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ju25\OneDrive\Desktop\Interventions\"/>
    </mc:Choice>
  </mc:AlternateContent>
  <xr:revisionPtr revIDLastSave="0" documentId="13_ncr:1_{BB9A3BAB-EF86-4831-9AAC-C790B8C316BE}" xr6:coauthVersionLast="47" xr6:coauthVersionMax="47" xr10:uidLastSave="{00000000-0000-0000-0000-000000000000}"/>
  <bookViews>
    <workbookView xWindow="-108" yWindow="-108" windowWidth="23256" windowHeight="12456" tabRatio="725" activeTab="8" xr2:uid="{3AE869F6-4009-439F-A439-C9FF793C03A8}"/>
  </bookViews>
  <sheets>
    <sheet name="Interventions" sheetId="1" r:id="rId1"/>
    <sheet name="Working" sheetId="3" state="hidden" r:id="rId2"/>
    <sheet name="Sheet5" sheetId="13" state="hidden" r:id="rId3"/>
    <sheet name="Book Review" sheetId="14" r:id="rId4"/>
    <sheet name="Debate" sheetId="5" r:id="rId5"/>
    <sheet name="GD" sheetId="4" r:id="rId6"/>
    <sheet name="Case study" sheetId="6" r:id="rId7"/>
    <sheet name="Capstone" sheetId="16" r:id="rId8"/>
    <sheet name="Term Rating Persona" sheetId="15" r:id="rId9"/>
  </sheets>
  <externalReferences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3" i="15" l="1"/>
  <c r="AM3" i="15"/>
  <c r="AN3" i="15"/>
  <c r="AQ3" i="15"/>
  <c r="AL4" i="15"/>
  <c r="AM4" i="15"/>
  <c r="AN4" i="15"/>
  <c r="AQ4" i="15"/>
  <c r="AL5" i="15"/>
  <c r="AM5" i="15"/>
  <c r="AN5" i="15"/>
  <c r="AQ5" i="15"/>
  <c r="AL6" i="15"/>
  <c r="AM6" i="15"/>
  <c r="AN6" i="15"/>
  <c r="AQ6" i="15"/>
  <c r="AL7" i="15"/>
  <c r="AM7" i="15"/>
  <c r="AN7" i="15"/>
  <c r="AQ7" i="15"/>
  <c r="AL8" i="15"/>
  <c r="AM8" i="15"/>
  <c r="AN8" i="15"/>
  <c r="AQ8" i="15"/>
  <c r="AL9" i="15"/>
  <c r="AM9" i="15"/>
  <c r="AN9" i="15"/>
  <c r="AQ9" i="15"/>
  <c r="AL10" i="15"/>
  <c r="AM10" i="15"/>
  <c r="AN10" i="15"/>
  <c r="AQ10" i="15"/>
  <c r="AL11" i="15"/>
  <c r="AM11" i="15"/>
  <c r="AN11" i="15"/>
  <c r="AQ11" i="15"/>
  <c r="AL12" i="15"/>
  <c r="AM12" i="15"/>
  <c r="AN12" i="15"/>
  <c r="AQ12" i="15"/>
  <c r="AL13" i="15"/>
  <c r="AM13" i="15"/>
  <c r="AN13" i="15"/>
  <c r="AQ13" i="15"/>
  <c r="AL14" i="15"/>
  <c r="AM14" i="15"/>
  <c r="AN14" i="15"/>
  <c r="AQ14" i="15"/>
  <c r="AL15" i="15"/>
  <c r="AM15" i="15"/>
  <c r="AN15" i="15"/>
  <c r="AQ15" i="15"/>
  <c r="AL16" i="15"/>
  <c r="AM16" i="15"/>
  <c r="AN16" i="15"/>
  <c r="AQ16" i="15"/>
  <c r="AL17" i="15"/>
  <c r="AM17" i="15"/>
  <c r="AN17" i="15"/>
  <c r="AQ17" i="15"/>
  <c r="AL18" i="15"/>
  <c r="AM18" i="15"/>
  <c r="AN18" i="15"/>
  <c r="AQ18" i="15"/>
  <c r="AL19" i="15"/>
  <c r="AM19" i="15"/>
  <c r="AN19" i="15"/>
  <c r="AQ19" i="15"/>
  <c r="AL20" i="15"/>
  <c r="AM20" i="15"/>
  <c r="AN20" i="15"/>
  <c r="AQ20" i="15"/>
  <c r="AL21" i="15"/>
  <c r="AM21" i="15"/>
  <c r="AN21" i="15"/>
  <c r="AQ21" i="15"/>
  <c r="AL22" i="15"/>
  <c r="AM22" i="15"/>
  <c r="AN22" i="15"/>
  <c r="AQ22" i="15"/>
  <c r="AL23" i="15"/>
  <c r="AM23" i="15"/>
  <c r="AN23" i="15"/>
  <c r="AQ23" i="15"/>
  <c r="AL24" i="15"/>
  <c r="AM24" i="15"/>
  <c r="AN24" i="15"/>
  <c r="AQ24" i="15"/>
  <c r="AL25" i="15"/>
  <c r="AM25" i="15"/>
  <c r="AN25" i="15"/>
  <c r="AQ25" i="15"/>
  <c r="AL26" i="15"/>
  <c r="AM26" i="15"/>
  <c r="AN26" i="15"/>
  <c r="AQ26" i="15"/>
  <c r="AL27" i="15"/>
  <c r="AM27" i="15"/>
  <c r="AN27" i="15"/>
  <c r="AQ27" i="15"/>
  <c r="AL28" i="15"/>
  <c r="AM28" i="15"/>
  <c r="AN28" i="15"/>
  <c r="AQ28" i="15"/>
  <c r="AL29" i="15"/>
  <c r="AM29" i="15"/>
  <c r="AN29" i="15"/>
  <c r="AQ29" i="15"/>
  <c r="AL30" i="15"/>
  <c r="AM30" i="15"/>
  <c r="AN30" i="15"/>
  <c r="AQ30" i="15"/>
  <c r="AL31" i="15"/>
  <c r="AM31" i="15"/>
  <c r="AN31" i="15"/>
  <c r="AQ31" i="15"/>
  <c r="AL32" i="15"/>
  <c r="AM32" i="15"/>
  <c r="AN32" i="15"/>
  <c r="AQ32" i="15"/>
  <c r="AL33" i="15"/>
  <c r="AM33" i="15"/>
  <c r="AN33" i="15"/>
  <c r="AQ33" i="15"/>
  <c r="AL34" i="15"/>
  <c r="AM34" i="15"/>
  <c r="AN34" i="15"/>
  <c r="AQ34" i="15"/>
  <c r="AL35" i="15"/>
  <c r="AM35" i="15"/>
  <c r="AN35" i="15"/>
  <c r="AQ35" i="15"/>
  <c r="AL36" i="15"/>
  <c r="AM36" i="15"/>
  <c r="AN36" i="15"/>
  <c r="AQ36" i="15"/>
  <c r="AL37" i="15"/>
  <c r="AM37" i="15"/>
  <c r="AN37" i="15"/>
  <c r="AQ37" i="15"/>
  <c r="AL38" i="15"/>
  <c r="AM38" i="15"/>
  <c r="AN38" i="15"/>
  <c r="AQ38" i="15"/>
  <c r="AL39" i="15"/>
  <c r="AM39" i="15"/>
  <c r="AN39" i="15"/>
  <c r="AQ39" i="15"/>
  <c r="AL40" i="15"/>
  <c r="AM40" i="15"/>
  <c r="AN40" i="15"/>
  <c r="AQ40" i="15"/>
  <c r="AL41" i="15"/>
  <c r="AM41" i="15"/>
  <c r="AN41" i="15"/>
  <c r="AQ41" i="15"/>
  <c r="AL42" i="15"/>
  <c r="AM42" i="15"/>
  <c r="AN42" i="15"/>
  <c r="AQ42" i="15"/>
  <c r="AL43" i="15"/>
  <c r="AM43" i="15"/>
  <c r="AN43" i="15"/>
  <c r="AQ43" i="15"/>
  <c r="AL44" i="15"/>
  <c r="AM44" i="15"/>
  <c r="AN44" i="15"/>
  <c r="AQ44" i="15"/>
  <c r="AL45" i="15"/>
  <c r="AM45" i="15"/>
  <c r="AN45" i="15"/>
  <c r="AQ45" i="15"/>
  <c r="AL46" i="15"/>
  <c r="AM46" i="15"/>
  <c r="AN46" i="15"/>
  <c r="AQ46" i="15"/>
  <c r="AL47" i="15"/>
  <c r="AM47" i="15"/>
  <c r="AN47" i="15"/>
  <c r="AQ47" i="15"/>
  <c r="AL48" i="15"/>
  <c r="AM48" i="15"/>
  <c r="AN48" i="15"/>
  <c r="AQ48" i="15"/>
  <c r="AL49" i="15"/>
  <c r="AM49" i="15"/>
  <c r="AN49" i="15"/>
  <c r="AQ49" i="15"/>
  <c r="AL50" i="15"/>
  <c r="AM50" i="15"/>
  <c r="AN50" i="15"/>
  <c r="AQ50" i="15"/>
  <c r="AL51" i="15"/>
  <c r="AM51" i="15"/>
  <c r="AN51" i="15"/>
  <c r="AQ51" i="15"/>
  <c r="AL52" i="15"/>
  <c r="AM52" i="15"/>
  <c r="AN52" i="15"/>
  <c r="AQ52" i="15"/>
  <c r="AL53" i="15"/>
  <c r="AM53" i="15"/>
  <c r="AN53" i="15"/>
  <c r="AQ53" i="15"/>
  <c r="AL54" i="15"/>
  <c r="AM54" i="15"/>
  <c r="AN54" i="15"/>
  <c r="AQ54" i="15"/>
  <c r="AL55" i="15"/>
  <c r="AM55" i="15"/>
  <c r="AN55" i="15"/>
  <c r="AQ55" i="15"/>
  <c r="AL56" i="15"/>
  <c r="AM56" i="15"/>
  <c r="AN56" i="15"/>
  <c r="AQ56" i="15"/>
  <c r="AL57" i="15"/>
  <c r="AM57" i="15"/>
  <c r="AN57" i="15"/>
  <c r="AQ57" i="15"/>
  <c r="AL58" i="15"/>
  <c r="AM58" i="15"/>
  <c r="AN58" i="15"/>
  <c r="AQ58" i="15"/>
  <c r="AL59" i="15"/>
  <c r="AM59" i="15"/>
  <c r="AN59" i="15"/>
  <c r="AQ59" i="15"/>
  <c r="AL60" i="15"/>
  <c r="AM60" i="15"/>
  <c r="AN60" i="15"/>
  <c r="AQ60" i="15"/>
  <c r="AL61" i="15"/>
  <c r="AM61" i="15"/>
  <c r="AN61" i="15"/>
  <c r="AQ61" i="15"/>
  <c r="AL62" i="15"/>
  <c r="AM62" i="15"/>
  <c r="AN62" i="15"/>
  <c r="AQ62" i="15"/>
  <c r="AL63" i="15"/>
  <c r="AM63" i="15"/>
  <c r="AN63" i="15"/>
  <c r="AQ63" i="15"/>
  <c r="AL64" i="15"/>
  <c r="AM64" i="15"/>
  <c r="AN64" i="15"/>
  <c r="AQ64" i="15"/>
  <c r="AL65" i="15"/>
  <c r="AM65" i="15"/>
  <c r="AN65" i="15"/>
  <c r="AQ65" i="15"/>
  <c r="AL66" i="15"/>
  <c r="AM66" i="15"/>
  <c r="AN66" i="15"/>
  <c r="AQ66" i="15"/>
  <c r="AL67" i="15"/>
  <c r="AM67" i="15"/>
  <c r="AN67" i="15"/>
  <c r="AQ67" i="15"/>
  <c r="AL68" i="15"/>
  <c r="AM68" i="15"/>
  <c r="AN68" i="15"/>
  <c r="AQ68" i="15"/>
  <c r="AL69" i="15"/>
  <c r="AM69" i="15"/>
  <c r="AN69" i="15"/>
  <c r="AQ69" i="15"/>
  <c r="AL70" i="15"/>
  <c r="AM70" i="15"/>
  <c r="AN70" i="15"/>
  <c r="AQ70" i="15"/>
  <c r="AL71" i="15"/>
  <c r="AM71" i="15"/>
  <c r="AN71" i="15"/>
  <c r="AQ71" i="15"/>
  <c r="AL72" i="15"/>
  <c r="AM72" i="15"/>
  <c r="AN72" i="15"/>
  <c r="AQ72" i="15"/>
  <c r="AL73" i="15"/>
  <c r="AM73" i="15"/>
  <c r="AN73" i="15"/>
  <c r="AQ73" i="15"/>
  <c r="AL74" i="15"/>
  <c r="AM74" i="15"/>
  <c r="AN74" i="15"/>
  <c r="AQ74" i="15"/>
  <c r="AL75" i="15"/>
  <c r="AM75" i="15"/>
  <c r="AN75" i="15"/>
  <c r="AQ75" i="15"/>
  <c r="AL76" i="15"/>
  <c r="AM76" i="15"/>
  <c r="AN76" i="15"/>
  <c r="AQ76" i="15"/>
  <c r="AL77" i="15"/>
  <c r="AM77" i="15"/>
  <c r="AN77" i="15"/>
  <c r="AQ77" i="15"/>
  <c r="AL78" i="15"/>
  <c r="AM78" i="15"/>
  <c r="AN78" i="15"/>
  <c r="AQ78" i="15"/>
  <c r="AL79" i="15"/>
  <c r="AM79" i="15"/>
  <c r="AN79" i="15"/>
  <c r="AQ79" i="15"/>
  <c r="AL80" i="15"/>
  <c r="AM80" i="15"/>
  <c r="AN80" i="15"/>
  <c r="AQ80" i="15"/>
  <c r="AL81" i="15"/>
  <c r="AM81" i="15"/>
  <c r="AN81" i="15"/>
  <c r="AQ81" i="15"/>
  <c r="AL82" i="15"/>
  <c r="AM82" i="15"/>
  <c r="AN82" i="15"/>
  <c r="AQ82" i="15"/>
  <c r="AL83" i="15"/>
  <c r="AM83" i="15"/>
  <c r="AN83" i="15"/>
  <c r="AQ83" i="15"/>
  <c r="AL84" i="15"/>
  <c r="AM84" i="15"/>
  <c r="AN84" i="15"/>
  <c r="AQ84" i="15"/>
  <c r="AL85" i="15"/>
  <c r="AM85" i="15"/>
  <c r="AN85" i="15"/>
  <c r="AQ85" i="15"/>
  <c r="AL86" i="15"/>
  <c r="AM86" i="15"/>
  <c r="AN86" i="15"/>
  <c r="AQ86" i="15"/>
  <c r="AL87" i="15"/>
  <c r="AM87" i="15"/>
  <c r="AN87" i="15"/>
  <c r="AQ87" i="15"/>
  <c r="AL88" i="15"/>
  <c r="AM88" i="15"/>
  <c r="AN88" i="15"/>
  <c r="AQ88" i="15"/>
  <c r="AL89" i="15"/>
  <c r="AM89" i="15"/>
  <c r="AN89" i="15"/>
  <c r="AQ89" i="15"/>
  <c r="AL90" i="15"/>
  <c r="AM90" i="15"/>
  <c r="AN90" i="15"/>
  <c r="AQ90" i="15"/>
  <c r="AL91" i="15"/>
  <c r="AM91" i="15"/>
  <c r="AN91" i="15"/>
  <c r="AQ91" i="15"/>
  <c r="AL92" i="15"/>
  <c r="AM92" i="15"/>
  <c r="AN92" i="15"/>
  <c r="AQ92" i="15"/>
  <c r="AL93" i="15"/>
  <c r="AM93" i="15"/>
  <c r="AN93" i="15"/>
  <c r="AQ93" i="15"/>
  <c r="AL94" i="15"/>
  <c r="AM94" i="15"/>
  <c r="AN94" i="15"/>
  <c r="AQ94" i="15"/>
  <c r="AL95" i="15"/>
  <c r="AM95" i="15"/>
  <c r="AN95" i="15"/>
  <c r="AQ95" i="15"/>
  <c r="AL96" i="15"/>
  <c r="AM96" i="15"/>
  <c r="AN96" i="15"/>
  <c r="AQ96" i="15"/>
  <c r="AL97" i="15"/>
  <c r="AM97" i="15"/>
  <c r="AN97" i="15"/>
  <c r="AQ97" i="15"/>
  <c r="AL98" i="15"/>
  <c r="AM98" i="15"/>
  <c r="AN98" i="15"/>
  <c r="AQ98" i="15"/>
  <c r="AL99" i="15"/>
  <c r="AM99" i="15"/>
  <c r="AN99" i="15"/>
  <c r="AQ99" i="15"/>
  <c r="AL100" i="15"/>
  <c r="AM100" i="15"/>
  <c r="AN100" i="15"/>
  <c r="AQ100" i="15"/>
  <c r="AL101" i="15"/>
  <c r="AM101" i="15"/>
  <c r="AN101" i="15"/>
  <c r="AQ101" i="15"/>
  <c r="AL102" i="15"/>
  <c r="AM102" i="15"/>
  <c r="AN102" i="15"/>
  <c r="AQ102" i="15"/>
  <c r="AL103" i="15"/>
  <c r="AM103" i="15"/>
  <c r="AN103" i="15"/>
  <c r="AQ103" i="15"/>
  <c r="AL104" i="15"/>
  <c r="AM104" i="15"/>
  <c r="AN104" i="15"/>
  <c r="AQ104" i="15"/>
  <c r="AL105" i="15"/>
  <c r="AM105" i="15"/>
  <c r="AN105" i="15"/>
  <c r="AQ105" i="15"/>
  <c r="AL106" i="15"/>
  <c r="AM106" i="15"/>
  <c r="AN106" i="15"/>
  <c r="AQ106" i="15"/>
  <c r="AL107" i="15"/>
  <c r="AM107" i="15"/>
  <c r="AN107" i="15"/>
  <c r="AQ107" i="15"/>
  <c r="AL108" i="15"/>
  <c r="AM108" i="15"/>
  <c r="AN108" i="15"/>
  <c r="AQ108" i="15"/>
  <c r="AL109" i="15"/>
  <c r="AM109" i="15"/>
  <c r="AN109" i="15"/>
  <c r="AQ109" i="15"/>
  <c r="AL110" i="15"/>
  <c r="AM110" i="15"/>
  <c r="AN110" i="15"/>
  <c r="AQ110" i="15"/>
  <c r="AL111" i="15"/>
  <c r="AM111" i="15"/>
  <c r="AN111" i="15"/>
  <c r="AQ111" i="15"/>
  <c r="AL112" i="15"/>
  <c r="AM112" i="15"/>
  <c r="AN112" i="15"/>
  <c r="AQ112" i="15"/>
  <c r="AL113" i="15"/>
  <c r="AM113" i="15"/>
  <c r="AN113" i="15"/>
  <c r="AQ113" i="15"/>
  <c r="AL114" i="15"/>
  <c r="AM114" i="15"/>
  <c r="AN114" i="15"/>
  <c r="AQ114" i="15"/>
  <c r="AL115" i="15"/>
  <c r="AM115" i="15"/>
  <c r="AN115" i="15"/>
  <c r="AQ115" i="15"/>
  <c r="AL116" i="15"/>
  <c r="AM116" i="15"/>
  <c r="AN116" i="15"/>
  <c r="AQ116" i="15"/>
  <c r="AL117" i="15"/>
  <c r="AM117" i="15"/>
  <c r="AN117" i="15"/>
  <c r="AQ117" i="15"/>
  <c r="AL118" i="15"/>
  <c r="AM118" i="15"/>
  <c r="AN118" i="15"/>
  <c r="AQ118" i="15"/>
  <c r="AL119" i="15"/>
  <c r="AM119" i="15"/>
  <c r="AN119" i="15"/>
  <c r="AQ119" i="15"/>
  <c r="AL120" i="15"/>
  <c r="AM120" i="15"/>
  <c r="AN120" i="15"/>
  <c r="AQ120" i="15"/>
  <c r="AL121" i="15"/>
  <c r="AM121" i="15"/>
  <c r="AN121" i="15"/>
  <c r="AQ121" i="15"/>
  <c r="AL122" i="15"/>
  <c r="AM122" i="15"/>
  <c r="AN122" i="15"/>
  <c r="AQ122" i="15"/>
  <c r="AL123" i="15"/>
  <c r="AM123" i="15"/>
  <c r="AN123" i="15"/>
  <c r="AQ123" i="15"/>
  <c r="AL124" i="15"/>
  <c r="AM124" i="15"/>
  <c r="AN124" i="15"/>
  <c r="AQ124" i="15"/>
  <c r="AL125" i="15"/>
  <c r="AM125" i="15"/>
  <c r="AN125" i="15"/>
  <c r="AQ125" i="15"/>
  <c r="AL126" i="15"/>
  <c r="AM126" i="15"/>
  <c r="AN126" i="15"/>
  <c r="AQ126" i="15"/>
  <c r="AL127" i="15"/>
  <c r="AM127" i="15"/>
  <c r="AN127" i="15"/>
  <c r="AQ127" i="15"/>
  <c r="AL128" i="15"/>
  <c r="AM128" i="15"/>
  <c r="AN128" i="15"/>
  <c r="AQ128" i="15"/>
  <c r="AL129" i="15"/>
  <c r="AM129" i="15"/>
  <c r="AN129" i="15"/>
  <c r="AQ129" i="15"/>
  <c r="AL130" i="15"/>
  <c r="AM130" i="15"/>
  <c r="AN130" i="15"/>
  <c r="AQ130" i="15"/>
  <c r="AL131" i="15"/>
  <c r="AM131" i="15"/>
  <c r="AN131" i="15"/>
  <c r="AQ131" i="15"/>
  <c r="AL132" i="15"/>
  <c r="AM132" i="15"/>
  <c r="AN132" i="15"/>
  <c r="AQ132" i="15"/>
  <c r="AL133" i="15"/>
  <c r="AM133" i="15"/>
  <c r="AN133" i="15"/>
  <c r="AQ133" i="15"/>
  <c r="AL134" i="15"/>
  <c r="AM134" i="15"/>
  <c r="AN134" i="15"/>
  <c r="AQ134" i="15"/>
  <c r="AL135" i="15"/>
  <c r="AM135" i="15"/>
  <c r="AN135" i="15"/>
  <c r="AQ135" i="15"/>
  <c r="AL136" i="15"/>
  <c r="AM136" i="15"/>
  <c r="AN136" i="15"/>
  <c r="AQ136" i="15"/>
  <c r="AL137" i="15"/>
  <c r="AM137" i="15"/>
  <c r="AN137" i="15"/>
  <c r="AQ137" i="15"/>
  <c r="AL138" i="15"/>
  <c r="AM138" i="15"/>
  <c r="AN138" i="15"/>
  <c r="AQ138" i="15"/>
  <c r="AL139" i="15"/>
  <c r="AM139" i="15"/>
  <c r="AN139" i="15"/>
  <c r="AQ139" i="15"/>
  <c r="AL140" i="15"/>
  <c r="AM140" i="15"/>
  <c r="AN140" i="15"/>
  <c r="AQ140" i="15"/>
  <c r="AL141" i="15"/>
  <c r="AM141" i="15"/>
  <c r="AN141" i="15"/>
  <c r="AQ141" i="15"/>
  <c r="AL142" i="15"/>
  <c r="AM142" i="15"/>
  <c r="AN142" i="15"/>
  <c r="AQ142" i="15"/>
  <c r="AL143" i="15"/>
  <c r="AM143" i="15"/>
  <c r="AN143" i="15"/>
  <c r="AQ143" i="15"/>
  <c r="AL144" i="15"/>
  <c r="AM144" i="15"/>
  <c r="AN144" i="15"/>
  <c r="AQ144" i="15"/>
  <c r="AL145" i="15"/>
  <c r="AM145" i="15"/>
  <c r="AN145" i="15"/>
  <c r="AQ145" i="15"/>
  <c r="AL146" i="15"/>
  <c r="AM146" i="15"/>
  <c r="AN146" i="15"/>
  <c r="AQ146" i="15"/>
  <c r="AL147" i="15"/>
  <c r="AM147" i="15"/>
  <c r="AN147" i="15"/>
  <c r="AQ147" i="15"/>
  <c r="AL148" i="15"/>
  <c r="AM148" i="15"/>
  <c r="AN148" i="15"/>
  <c r="AQ148" i="15"/>
  <c r="AL149" i="15"/>
  <c r="AM149" i="15"/>
  <c r="AN149" i="15"/>
  <c r="AQ149" i="15"/>
  <c r="AL150" i="15"/>
  <c r="AM150" i="15"/>
  <c r="AN150" i="15"/>
  <c r="AQ150" i="15"/>
  <c r="AL151" i="15"/>
  <c r="AM151" i="15"/>
  <c r="AN151" i="15"/>
  <c r="AQ151" i="15"/>
  <c r="AL152" i="15"/>
  <c r="AM152" i="15"/>
  <c r="AN152" i="15"/>
  <c r="AQ152" i="15"/>
  <c r="AL153" i="15"/>
  <c r="AM153" i="15"/>
  <c r="AN153" i="15"/>
  <c r="AQ153" i="15"/>
  <c r="AL154" i="15"/>
  <c r="AM154" i="15"/>
  <c r="AN154" i="15"/>
  <c r="AQ154" i="15"/>
  <c r="AL155" i="15"/>
  <c r="AM155" i="15"/>
  <c r="AN155" i="15"/>
  <c r="AQ155" i="15"/>
  <c r="AL156" i="15"/>
  <c r="AM156" i="15"/>
  <c r="AN156" i="15"/>
  <c r="AQ156" i="15"/>
  <c r="AL157" i="15"/>
  <c r="AM157" i="15"/>
  <c r="AN157" i="15"/>
  <c r="AQ157" i="15"/>
  <c r="AL158" i="15"/>
  <c r="AM158" i="15"/>
  <c r="AN158" i="15"/>
  <c r="AQ158" i="15"/>
  <c r="AL159" i="15"/>
  <c r="AM159" i="15"/>
  <c r="AN159" i="15"/>
  <c r="AQ159" i="15"/>
  <c r="AL160" i="15"/>
  <c r="AM160" i="15"/>
  <c r="AN160" i="15"/>
  <c r="AQ160" i="15"/>
  <c r="AL161" i="15"/>
  <c r="AM161" i="15"/>
  <c r="AN161" i="15"/>
  <c r="AQ161" i="15"/>
  <c r="AL162" i="15"/>
  <c r="AM162" i="15"/>
  <c r="AN162" i="15"/>
  <c r="AQ162" i="15"/>
  <c r="AL163" i="15"/>
  <c r="AM163" i="15"/>
  <c r="AN163" i="15"/>
  <c r="AQ163" i="15"/>
  <c r="AL164" i="15"/>
  <c r="AM164" i="15"/>
  <c r="AN164" i="15"/>
  <c r="AQ164" i="15"/>
  <c r="AL165" i="15"/>
  <c r="AM165" i="15"/>
  <c r="AN165" i="15"/>
  <c r="AQ165" i="15"/>
  <c r="AL166" i="15"/>
  <c r="AM166" i="15"/>
  <c r="AN166" i="15"/>
  <c r="AQ166" i="15"/>
  <c r="AL167" i="15"/>
  <c r="AM167" i="15"/>
  <c r="AN167" i="15"/>
  <c r="AQ167" i="15"/>
  <c r="AL168" i="15"/>
  <c r="AM168" i="15"/>
  <c r="AN168" i="15"/>
  <c r="AQ168" i="15"/>
  <c r="AL169" i="15"/>
  <c r="AM169" i="15"/>
  <c r="AN169" i="15"/>
  <c r="AQ169" i="15"/>
  <c r="AL170" i="15"/>
  <c r="AM170" i="15"/>
  <c r="AN170" i="15"/>
  <c r="AQ170" i="15"/>
  <c r="AL171" i="15"/>
  <c r="AM171" i="15"/>
  <c r="AN171" i="15"/>
  <c r="AQ171" i="15"/>
  <c r="AL172" i="15"/>
  <c r="AM172" i="15"/>
  <c r="AN172" i="15"/>
  <c r="AQ172" i="15"/>
  <c r="AL173" i="15"/>
  <c r="AM173" i="15"/>
  <c r="AN173" i="15"/>
  <c r="AQ173" i="15"/>
  <c r="AL174" i="15"/>
  <c r="AM174" i="15"/>
  <c r="AN174" i="15"/>
  <c r="AQ174" i="15"/>
  <c r="AL175" i="15"/>
  <c r="AM175" i="15"/>
  <c r="AN175" i="15"/>
  <c r="AQ175" i="15"/>
  <c r="AL176" i="15"/>
  <c r="AM176" i="15"/>
  <c r="AN176" i="15"/>
  <c r="AQ176" i="15"/>
  <c r="AL177" i="15"/>
  <c r="AM177" i="15"/>
  <c r="AN177" i="15"/>
  <c r="AQ177" i="15"/>
  <c r="AL178" i="15"/>
  <c r="AM178" i="15"/>
  <c r="AN178" i="15"/>
  <c r="AQ178" i="15"/>
  <c r="AL179" i="15"/>
  <c r="AM179" i="15"/>
  <c r="AN179" i="15"/>
  <c r="AQ179" i="15"/>
  <c r="AL180" i="15"/>
  <c r="AM180" i="15"/>
  <c r="AN180" i="15"/>
  <c r="AQ180" i="15"/>
  <c r="AL181" i="15"/>
  <c r="AM181" i="15"/>
  <c r="AN181" i="15"/>
  <c r="AQ181" i="15"/>
  <c r="AL182" i="15"/>
  <c r="AM182" i="15"/>
  <c r="AN182" i="15"/>
  <c r="AQ182" i="15"/>
  <c r="AL183" i="15"/>
  <c r="AM183" i="15"/>
  <c r="AN183" i="15"/>
  <c r="AQ183" i="15"/>
  <c r="AL184" i="15"/>
  <c r="AM184" i="15"/>
  <c r="AN184" i="15"/>
  <c r="AQ184" i="15"/>
  <c r="AL185" i="15"/>
  <c r="AM185" i="15"/>
  <c r="AN185" i="15"/>
  <c r="AQ185" i="15"/>
  <c r="AL186" i="15"/>
  <c r="AM186" i="15"/>
  <c r="AN186" i="15"/>
  <c r="AQ186" i="15"/>
  <c r="AL187" i="15"/>
  <c r="AM187" i="15"/>
  <c r="AN187" i="15"/>
  <c r="AQ187" i="15"/>
  <c r="AL188" i="15"/>
  <c r="AM188" i="15"/>
  <c r="AN188" i="15"/>
  <c r="AQ188" i="15"/>
  <c r="AL189" i="15"/>
  <c r="AM189" i="15"/>
  <c r="AN189" i="15"/>
  <c r="AQ189" i="15"/>
  <c r="AL190" i="15"/>
  <c r="AM190" i="15"/>
  <c r="AN190" i="15"/>
  <c r="AQ190" i="15"/>
  <c r="AL191" i="15"/>
  <c r="AM191" i="15"/>
  <c r="AN191" i="15"/>
  <c r="AQ191" i="15"/>
  <c r="AL192" i="15"/>
  <c r="AM192" i="15"/>
  <c r="AN192" i="15"/>
  <c r="AQ192" i="15"/>
  <c r="AL193" i="15"/>
  <c r="AM193" i="15"/>
  <c r="AN193" i="15"/>
  <c r="AQ193" i="15"/>
  <c r="AL194" i="15"/>
  <c r="AM194" i="15"/>
  <c r="AN194" i="15"/>
  <c r="AQ194" i="15"/>
  <c r="AL195" i="15"/>
  <c r="AM195" i="15"/>
  <c r="AN195" i="15"/>
  <c r="AQ195" i="15"/>
  <c r="AL196" i="15"/>
  <c r="AM196" i="15"/>
  <c r="AN196" i="15"/>
  <c r="AQ196" i="15"/>
  <c r="AL197" i="15"/>
  <c r="AM197" i="15"/>
  <c r="AN197" i="15"/>
  <c r="AQ197" i="15"/>
  <c r="AL198" i="15"/>
  <c r="AM198" i="15"/>
  <c r="AN198" i="15"/>
  <c r="AQ198" i="15"/>
  <c r="AL199" i="15"/>
  <c r="AM199" i="15"/>
  <c r="AN199" i="15"/>
  <c r="AQ199" i="15"/>
  <c r="AL200" i="15"/>
  <c r="AM200" i="15"/>
  <c r="AN200" i="15"/>
  <c r="AQ200" i="15"/>
  <c r="AL201" i="15"/>
  <c r="AM201" i="15"/>
  <c r="AN201" i="15"/>
  <c r="AQ201" i="15"/>
  <c r="AL202" i="15"/>
  <c r="AM202" i="15"/>
  <c r="AN202" i="15"/>
  <c r="AQ202" i="15"/>
  <c r="AL203" i="15"/>
  <c r="AM203" i="15"/>
  <c r="AN203" i="15"/>
  <c r="AQ203" i="15"/>
  <c r="AL204" i="15"/>
  <c r="AM204" i="15"/>
  <c r="AN204" i="15"/>
  <c r="AQ204" i="15"/>
  <c r="AL205" i="15"/>
  <c r="AM205" i="15"/>
  <c r="AN205" i="15"/>
  <c r="AQ205" i="15"/>
  <c r="AL206" i="15"/>
  <c r="AM206" i="15"/>
  <c r="AN206" i="15"/>
  <c r="AQ206" i="15"/>
  <c r="AL207" i="15"/>
  <c r="AM207" i="15"/>
  <c r="AN207" i="15"/>
  <c r="AQ207" i="15"/>
  <c r="AL208" i="15"/>
  <c r="AM208" i="15"/>
  <c r="AN208" i="15"/>
  <c r="AQ208" i="15"/>
  <c r="AL209" i="15"/>
  <c r="AM209" i="15"/>
  <c r="AN209" i="15"/>
  <c r="AQ209" i="15"/>
  <c r="AL210" i="15"/>
  <c r="AM210" i="15"/>
  <c r="AN210" i="15"/>
  <c r="AQ210" i="15"/>
  <c r="AL211" i="15"/>
  <c r="AM211" i="15"/>
  <c r="AN211" i="15"/>
  <c r="AQ211" i="15"/>
  <c r="AL212" i="15"/>
  <c r="AM212" i="15"/>
  <c r="AN212" i="15"/>
  <c r="AQ212" i="15"/>
  <c r="AL213" i="15"/>
  <c r="AM213" i="15"/>
  <c r="AN213" i="15"/>
  <c r="AQ213" i="15"/>
  <c r="AL214" i="15"/>
  <c r="AM214" i="15"/>
  <c r="AN214" i="15"/>
  <c r="AQ214" i="15"/>
  <c r="AL215" i="15"/>
  <c r="AM215" i="15"/>
  <c r="AN215" i="15"/>
  <c r="AQ215" i="15"/>
  <c r="AL216" i="15"/>
  <c r="AM216" i="15"/>
  <c r="AN216" i="15"/>
  <c r="AQ216" i="15"/>
  <c r="AL217" i="15"/>
  <c r="AM217" i="15"/>
  <c r="AN217" i="15"/>
  <c r="AQ217" i="15"/>
  <c r="AL218" i="15"/>
  <c r="AM218" i="15"/>
  <c r="AN218" i="15"/>
  <c r="AQ218" i="15"/>
  <c r="AL219" i="15"/>
  <c r="AM219" i="15"/>
  <c r="AN219" i="15"/>
  <c r="AQ219" i="15"/>
  <c r="AL220" i="15"/>
  <c r="AM220" i="15"/>
  <c r="AN220" i="15"/>
  <c r="AQ220" i="15"/>
  <c r="AL221" i="15"/>
  <c r="AM221" i="15"/>
  <c r="AN221" i="15"/>
  <c r="AQ221" i="15"/>
  <c r="AL222" i="15"/>
  <c r="AM222" i="15"/>
  <c r="AN222" i="15"/>
  <c r="AQ222" i="15"/>
  <c r="AL223" i="15"/>
  <c r="AM223" i="15"/>
  <c r="AN223" i="15"/>
  <c r="AQ223" i="15"/>
  <c r="AL224" i="15"/>
  <c r="AM224" i="15"/>
  <c r="AN224" i="15"/>
  <c r="AQ224" i="15"/>
  <c r="AL225" i="15"/>
  <c r="AM225" i="15"/>
  <c r="AN225" i="15"/>
  <c r="AQ225" i="15"/>
  <c r="AL226" i="15"/>
  <c r="AM226" i="15"/>
  <c r="AN226" i="15"/>
  <c r="AQ226" i="15"/>
  <c r="AL227" i="15"/>
  <c r="AM227" i="15"/>
  <c r="AN227" i="15"/>
  <c r="AQ227" i="15"/>
  <c r="AL228" i="15"/>
  <c r="AM228" i="15"/>
  <c r="AN228" i="15"/>
  <c r="AQ228" i="15"/>
  <c r="AL229" i="15"/>
  <c r="AM229" i="15"/>
  <c r="AN229" i="15"/>
  <c r="AQ229" i="15"/>
  <c r="AL230" i="15"/>
  <c r="AM230" i="15"/>
  <c r="AN230" i="15"/>
  <c r="AQ230" i="15"/>
  <c r="AZ3" i="15"/>
  <c r="AZ4" i="15"/>
  <c r="AZ5" i="15"/>
  <c r="AZ6" i="15"/>
  <c r="AZ7" i="15"/>
  <c r="AZ8" i="15"/>
  <c r="AZ9" i="15"/>
  <c r="AZ10" i="15"/>
  <c r="AZ11" i="15"/>
  <c r="AZ12" i="15"/>
  <c r="AZ13" i="15"/>
  <c r="AZ14" i="15"/>
  <c r="AZ15" i="15"/>
  <c r="AZ16" i="15"/>
  <c r="AZ17" i="15"/>
  <c r="AZ18" i="15"/>
  <c r="AZ19" i="15"/>
  <c r="AZ20" i="15"/>
  <c r="AZ21" i="15"/>
  <c r="AZ22" i="15"/>
  <c r="AZ23" i="15"/>
  <c r="AZ24" i="15"/>
  <c r="AZ25" i="15"/>
  <c r="AZ26" i="15"/>
  <c r="AZ27" i="15"/>
  <c r="AZ28" i="15"/>
  <c r="AZ29" i="15"/>
  <c r="AZ30" i="15"/>
  <c r="AZ31" i="15"/>
  <c r="AZ32" i="15"/>
  <c r="AZ33" i="15"/>
  <c r="AZ34" i="15"/>
  <c r="AZ35" i="15"/>
  <c r="AZ36" i="15"/>
  <c r="AZ37" i="15"/>
  <c r="AZ38" i="15"/>
  <c r="AZ39" i="15"/>
  <c r="AZ40" i="15"/>
  <c r="AZ41" i="15"/>
  <c r="AZ42" i="15"/>
  <c r="AZ43" i="15"/>
  <c r="AZ44" i="15"/>
  <c r="AZ45" i="15"/>
  <c r="AZ46" i="15"/>
  <c r="AZ47" i="15"/>
  <c r="AZ48" i="15"/>
  <c r="AZ49" i="15"/>
  <c r="AZ50" i="15"/>
  <c r="AZ51" i="15"/>
  <c r="AZ52" i="15"/>
  <c r="AZ53" i="15"/>
  <c r="AZ54" i="15"/>
  <c r="AZ55" i="15"/>
  <c r="AZ56" i="15"/>
  <c r="AZ57" i="15"/>
  <c r="AZ58" i="15"/>
  <c r="AZ59" i="15"/>
  <c r="AZ60" i="15"/>
  <c r="AZ61" i="15"/>
  <c r="AZ62" i="15"/>
  <c r="AZ63" i="15"/>
  <c r="AZ64" i="15"/>
  <c r="AZ65" i="15"/>
  <c r="AZ66" i="15"/>
  <c r="AZ67" i="15"/>
  <c r="AZ68" i="15"/>
  <c r="AZ69" i="15"/>
  <c r="AZ70" i="15"/>
  <c r="AZ71" i="15"/>
  <c r="AZ72" i="15"/>
  <c r="AZ73" i="15"/>
  <c r="AZ74" i="15"/>
  <c r="AZ75" i="15"/>
  <c r="AZ76" i="15"/>
  <c r="AZ77" i="15"/>
  <c r="AZ78" i="15"/>
  <c r="AZ79" i="15"/>
  <c r="AZ80" i="15"/>
  <c r="AZ81" i="15"/>
  <c r="AZ82" i="15"/>
  <c r="AZ83" i="15"/>
  <c r="AZ84" i="15"/>
  <c r="AZ85" i="15"/>
  <c r="AZ86" i="15"/>
  <c r="AZ87" i="15"/>
  <c r="AZ88" i="15"/>
  <c r="AZ89" i="15"/>
  <c r="AZ90" i="15"/>
  <c r="AZ91" i="15"/>
  <c r="AZ92" i="15"/>
  <c r="AZ93" i="15"/>
  <c r="AZ94" i="15"/>
  <c r="AZ95" i="15"/>
  <c r="AZ96" i="15"/>
  <c r="AZ97" i="15"/>
  <c r="AZ98" i="15"/>
  <c r="AZ99" i="15"/>
  <c r="AZ100" i="15"/>
  <c r="AZ101" i="15"/>
  <c r="AZ102" i="15"/>
  <c r="AZ103" i="15"/>
  <c r="AZ104" i="15"/>
  <c r="AZ105" i="15"/>
  <c r="AZ106" i="15"/>
  <c r="AZ107" i="15"/>
  <c r="AZ108" i="15"/>
  <c r="AZ109" i="15"/>
  <c r="AZ110" i="15"/>
  <c r="AZ111" i="15"/>
  <c r="AZ112" i="15"/>
  <c r="AZ113" i="15"/>
  <c r="AZ114" i="15"/>
  <c r="AZ115" i="15"/>
  <c r="AZ116" i="15"/>
  <c r="AZ117" i="15"/>
  <c r="AZ118" i="15"/>
  <c r="AZ119" i="15"/>
  <c r="AZ120" i="15"/>
  <c r="AZ121" i="15"/>
  <c r="AZ122" i="15"/>
  <c r="AZ123" i="15"/>
  <c r="AZ124" i="15"/>
  <c r="AZ125" i="15"/>
  <c r="AZ126" i="15"/>
  <c r="AZ127" i="15"/>
  <c r="AZ128" i="15"/>
  <c r="AZ129" i="15"/>
  <c r="AZ130" i="15"/>
  <c r="AZ131" i="15"/>
  <c r="AZ132" i="15"/>
  <c r="AZ133" i="15"/>
  <c r="AZ134" i="15"/>
  <c r="AZ135" i="15"/>
  <c r="AZ136" i="15"/>
  <c r="AZ137" i="15"/>
  <c r="AZ138" i="15"/>
  <c r="AZ139" i="15"/>
  <c r="AZ140" i="15"/>
  <c r="AZ141" i="15"/>
  <c r="AZ142" i="15"/>
  <c r="AZ143" i="15"/>
  <c r="AZ144" i="15"/>
  <c r="AZ145" i="15"/>
  <c r="AZ146" i="15"/>
  <c r="AZ147" i="15"/>
  <c r="AZ148" i="15"/>
  <c r="AZ149" i="15"/>
  <c r="AZ150" i="15"/>
  <c r="AZ151" i="15"/>
  <c r="AZ152" i="15"/>
  <c r="AZ153" i="15"/>
  <c r="AZ154" i="15"/>
  <c r="AZ155" i="15"/>
  <c r="AZ156" i="15"/>
  <c r="AZ157" i="15"/>
  <c r="AZ158" i="15"/>
  <c r="AZ159" i="15"/>
  <c r="AZ160" i="15"/>
  <c r="AZ161" i="15"/>
  <c r="AZ162" i="15"/>
  <c r="AZ163" i="15"/>
  <c r="AZ164" i="15"/>
  <c r="AZ165" i="15"/>
  <c r="AZ166" i="15"/>
  <c r="AZ167" i="15"/>
  <c r="AZ168" i="15"/>
  <c r="AZ169" i="15"/>
  <c r="AZ170" i="15"/>
  <c r="AZ171" i="15"/>
  <c r="AZ172" i="15"/>
  <c r="AZ173" i="15"/>
  <c r="AZ174" i="15"/>
  <c r="AZ175" i="15"/>
  <c r="AZ176" i="15"/>
  <c r="AZ177" i="15"/>
  <c r="AZ178" i="15"/>
  <c r="AZ179" i="15"/>
  <c r="AZ180" i="15"/>
  <c r="AZ181" i="15"/>
  <c r="AZ182" i="15"/>
  <c r="AZ183" i="15"/>
  <c r="AZ184" i="15"/>
  <c r="AZ185" i="15"/>
  <c r="AZ186" i="15"/>
  <c r="AZ187" i="15"/>
  <c r="AZ188" i="15"/>
  <c r="AZ189" i="15"/>
  <c r="AZ190" i="15"/>
  <c r="AZ191" i="15"/>
  <c r="AZ192" i="15"/>
  <c r="AZ193" i="15"/>
  <c r="AZ194" i="15"/>
  <c r="AZ195" i="15"/>
  <c r="AZ196" i="15"/>
  <c r="AZ197" i="15"/>
  <c r="AZ198" i="15"/>
  <c r="AZ199" i="15"/>
  <c r="AZ200" i="15"/>
  <c r="AZ201" i="15"/>
  <c r="AZ202" i="15"/>
  <c r="AZ203" i="15"/>
  <c r="AZ204" i="15"/>
  <c r="AZ205" i="15"/>
  <c r="AZ206" i="15"/>
  <c r="AZ207" i="15"/>
  <c r="AZ208" i="15"/>
  <c r="AZ209" i="15"/>
  <c r="AZ210" i="15"/>
  <c r="AZ211" i="15"/>
  <c r="AZ212" i="15"/>
  <c r="AZ213" i="15"/>
  <c r="AZ214" i="15"/>
  <c r="AZ215" i="15"/>
  <c r="AZ216" i="15"/>
  <c r="AZ217" i="15"/>
  <c r="AZ218" i="15"/>
  <c r="AZ219" i="15"/>
  <c r="AZ220" i="15"/>
  <c r="AZ221" i="15"/>
  <c r="AZ222" i="15"/>
  <c r="AZ223" i="15"/>
  <c r="AZ224" i="15"/>
  <c r="AZ225" i="15"/>
  <c r="AZ226" i="15"/>
  <c r="AZ227" i="15"/>
  <c r="AZ228" i="15"/>
  <c r="AZ229" i="15"/>
  <c r="AZ230" i="15"/>
  <c r="AY3" i="15"/>
  <c r="AY4" i="15"/>
  <c r="AY5" i="15"/>
  <c r="AY6" i="15"/>
  <c r="AY7" i="15"/>
  <c r="AY8" i="15"/>
  <c r="AY9" i="15"/>
  <c r="AY10" i="15"/>
  <c r="AY11" i="15"/>
  <c r="AY12" i="15"/>
  <c r="AY13" i="15"/>
  <c r="AY14" i="15"/>
  <c r="AY15" i="15"/>
  <c r="AY16" i="15"/>
  <c r="AY17" i="15"/>
  <c r="AY18" i="15"/>
  <c r="AY19" i="15"/>
  <c r="AY20" i="15"/>
  <c r="AY21" i="15"/>
  <c r="AY22" i="15"/>
  <c r="AY23" i="15"/>
  <c r="AY24" i="15"/>
  <c r="AY25" i="15"/>
  <c r="AY26" i="15"/>
  <c r="AY27" i="15"/>
  <c r="AY28" i="15"/>
  <c r="AY29" i="15"/>
  <c r="AY30" i="15"/>
  <c r="AY31" i="15"/>
  <c r="AY32" i="15"/>
  <c r="AY33" i="15"/>
  <c r="AY34" i="15"/>
  <c r="AY35" i="15"/>
  <c r="AY36" i="15"/>
  <c r="AY37" i="15"/>
  <c r="AY38" i="15"/>
  <c r="AY39" i="15"/>
  <c r="AY40" i="15"/>
  <c r="AY41" i="15"/>
  <c r="AY42" i="15"/>
  <c r="AY43" i="15"/>
  <c r="AY44" i="15"/>
  <c r="AY45" i="15"/>
  <c r="AY46" i="15"/>
  <c r="AY47" i="15"/>
  <c r="AY48" i="15"/>
  <c r="AY49" i="15"/>
  <c r="AY50" i="15"/>
  <c r="AY51" i="15"/>
  <c r="AY52" i="15"/>
  <c r="AY53" i="15"/>
  <c r="AY54" i="15"/>
  <c r="AY55" i="15"/>
  <c r="AY56" i="15"/>
  <c r="AY57" i="15"/>
  <c r="AY58" i="15"/>
  <c r="AY59" i="15"/>
  <c r="AY60" i="15"/>
  <c r="AY61" i="15"/>
  <c r="AY62" i="15"/>
  <c r="AY63" i="15"/>
  <c r="AY64" i="15"/>
  <c r="AY65" i="15"/>
  <c r="AY66" i="15"/>
  <c r="AY67" i="15"/>
  <c r="AY68" i="15"/>
  <c r="AY69" i="15"/>
  <c r="AY70" i="15"/>
  <c r="AY71" i="15"/>
  <c r="AY72" i="15"/>
  <c r="AY73" i="15"/>
  <c r="AY74" i="15"/>
  <c r="AY75" i="15"/>
  <c r="AY76" i="15"/>
  <c r="AY77" i="15"/>
  <c r="AY78" i="15"/>
  <c r="AY79" i="15"/>
  <c r="AY80" i="15"/>
  <c r="AY81" i="15"/>
  <c r="AY82" i="15"/>
  <c r="AY83" i="15"/>
  <c r="AY84" i="15"/>
  <c r="AY85" i="15"/>
  <c r="AY86" i="15"/>
  <c r="AY87" i="15"/>
  <c r="AY88" i="15"/>
  <c r="AY89" i="15"/>
  <c r="AY90" i="15"/>
  <c r="AY91" i="15"/>
  <c r="AY92" i="15"/>
  <c r="AY93" i="15"/>
  <c r="AY94" i="15"/>
  <c r="AY95" i="15"/>
  <c r="AY96" i="15"/>
  <c r="AY97" i="15"/>
  <c r="AY98" i="15"/>
  <c r="AY99" i="15"/>
  <c r="AY100" i="15"/>
  <c r="AY101" i="15"/>
  <c r="AY102" i="15"/>
  <c r="AY103" i="15"/>
  <c r="AY104" i="15"/>
  <c r="AY105" i="15"/>
  <c r="AY106" i="15"/>
  <c r="AY107" i="15"/>
  <c r="AY108" i="15"/>
  <c r="AY109" i="15"/>
  <c r="AY110" i="15"/>
  <c r="AY111" i="15"/>
  <c r="AY112" i="15"/>
  <c r="AY113" i="15"/>
  <c r="AY114" i="15"/>
  <c r="AY115" i="15"/>
  <c r="AY116" i="15"/>
  <c r="AY117" i="15"/>
  <c r="AY118" i="15"/>
  <c r="AY119" i="15"/>
  <c r="AY120" i="15"/>
  <c r="AY121" i="15"/>
  <c r="AY122" i="15"/>
  <c r="AY123" i="15"/>
  <c r="AY124" i="15"/>
  <c r="AY125" i="15"/>
  <c r="AY126" i="15"/>
  <c r="AY127" i="15"/>
  <c r="AY128" i="15"/>
  <c r="AY129" i="15"/>
  <c r="AY130" i="15"/>
  <c r="AY131" i="15"/>
  <c r="AY132" i="15"/>
  <c r="AY133" i="15"/>
  <c r="AY134" i="15"/>
  <c r="AY135" i="15"/>
  <c r="AY136" i="15"/>
  <c r="AY137" i="15"/>
  <c r="AY138" i="15"/>
  <c r="AY139" i="15"/>
  <c r="AY140" i="15"/>
  <c r="AY141" i="15"/>
  <c r="AY142" i="15"/>
  <c r="AY143" i="15"/>
  <c r="AY144" i="15"/>
  <c r="AY145" i="15"/>
  <c r="AY146" i="15"/>
  <c r="AY147" i="15"/>
  <c r="AY148" i="15"/>
  <c r="AY149" i="15"/>
  <c r="AY150" i="15"/>
  <c r="AY151" i="15"/>
  <c r="AY152" i="15"/>
  <c r="AY153" i="15"/>
  <c r="AY154" i="15"/>
  <c r="AY155" i="15"/>
  <c r="AY156" i="15"/>
  <c r="AY157" i="15"/>
  <c r="AY158" i="15"/>
  <c r="AY159" i="15"/>
  <c r="AY160" i="15"/>
  <c r="AY161" i="15"/>
  <c r="AY162" i="15"/>
  <c r="AY163" i="15"/>
  <c r="AY164" i="15"/>
  <c r="AY165" i="15"/>
  <c r="AY166" i="15"/>
  <c r="AY167" i="15"/>
  <c r="AY168" i="15"/>
  <c r="AY169" i="15"/>
  <c r="AY170" i="15"/>
  <c r="AY171" i="15"/>
  <c r="AY172" i="15"/>
  <c r="AY173" i="15"/>
  <c r="AY174" i="15"/>
  <c r="AY175" i="15"/>
  <c r="AY176" i="15"/>
  <c r="AY177" i="15"/>
  <c r="AY178" i="15"/>
  <c r="AY179" i="15"/>
  <c r="AY180" i="15"/>
  <c r="AY181" i="15"/>
  <c r="AY182" i="15"/>
  <c r="AY183" i="15"/>
  <c r="AY184" i="15"/>
  <c r="AY185" i="15"/>
  <c r="AY186" i="15"/>
  <c r="AY187" i="15"/>
  <c r="AY188" i="15"/>
  <c r="AY189" i="15"/>
  <c r="AY190" i="15"/>
  <c r="AY191" i="15"/>
  <c r="AY192" i="15"/>
  <c r="AY193" i="15"/>
  <c r="AY194" i="15"/>
  <c r="AY195" i="15"/>
  <c r="AY196" i="15"/>
  <c r="AY197" i="15"/>
  <c r="AY198" i="15"/>
  <c r="AY199" i="15"/>
  <c r="AY200" i="15"/>
  <c r="AY201" i="15"/>
  <c r="AY202" i="15"/>
  <c r="AY203" i="15"/>
  <c r="AY204" i="15"/>
  <c r="AY205" i="15"/>
  <c r="AY206" i="15"/>
  <c r="AY207" i="15"/>
  <c r="AY208" i="15"/>
  <c r="AY209" i="15"/>
  <c r="AY210" i="15"/>
  <c r="AY211" i="15"/>
  <c r="AY212" i="15"/>
  <c r="AY213" i="15"/>
  <c r="AY214" i="15"/>
  <c r="AY215" i="15"/>
  <c r="AY216" i="15"/>
  <c r="AY217" i="15"/>
  <c r="AY218" i="15"/>
  <c r="AY219" i="15"/>
  <c r="AY220" i="15"/>
  <c r="AY221" i="15"/>
  <c r="AY222" i="15"/>
  <c r="AY223" i="15"/>
  <c r="AY224" i="15"/>
  <c r="AY225" i="15"/>
  <c r="AY226" i="15"/>
  <c r="AY227" i="15"/>
  <c r="AY228" i="15"/>
  <c r="AY229" i="15"/>
  <c r="AY230" i="15"/>
  <c r="AW3" i="15"/>
  <c r="AW4" i="15"/>
  <c r="AW5" i="15"/>
  <c r="AW6" i="15"/>
  <c r="AW7" i="15"/>
  <c r="AW8" i="15"/>
  <c r="AW9" i="15"/>
  <c r="AW10" i="15"/>
  <c r="AW11" i="15"/>
  <c r="AW12" i="15"/>
  <c r="AW13" i="15"/>
  <c r="AW14" i="15"/>
  <c r="AW15" i="15"/>
  <c r="AW16" i="15"/>
  <c r="AW17" i="15"/>
  <c r="AW18" i="15"/>
  <c r="AW19" i="15"/>
  <c r="AW20" i="15"/>
  <c r="AW21" i="15"/>
  <c r="AW22" i="15"/>
  <c r="AW23" i="15"/>
  <c r="AW24" i="15"/>
  <c r="AW25" i="15"/>
  <c r="AW26" i="15"/>
  <c r="AW27" i="15"/>
  <c r="AW28" i="15"/>
  <c r="AW29" i="15"/>
  <c r="AW30" i="15"/>
  <c r="AW31" i="15"/>
  <c r="AW32" i="15"/>
  <c r="AW33" i="15"/>
  <c r="AW34" i="15"/>
  <c r="AW35" i="15"/>
  <c r="AW36" i="15"/>
  <c r="AW37" i="15"/>
  <c r="AW38" i="15"/>
  <c r="AW39" i="15"/>
  <c r="AW40" i="15"/>
  <c r="AW41" i="15"/>
  <c r="AW42" i="15"/>
  <c r="AW43" i="15"/>
  <c r="AW44" i="15"/>
  <c r="AW45" i="15"/>
  <c r="AW46" i="15"/>
  <c r="AW47" i="15"/>
  <c r="AW48" i="15"/>
  <c r="AW49" i="15"/>
  <c r="AW50" i="15"/>
  <c r="AW51" i="15"/>
  <c r="AW52" i="15"/>
  <c r="AW53" i="15"/>
  <c r="AW54" i="15"/>
  <c r="AW55" i="15"/>
  <c r="AW56" i="15"/>
  <c r="AW57" i="15"/>
  <c r="AW58" i="15"/>
  <c r="AW59" i="15"/>
  <c r="AW60" i="15"/>
  <c r="AW61" i="15"/>
  <c r="AW62" i="15"/>
  <c r="AW63" i="15"/>
  <c r="AW64" i="15"/>
  <c r="AW65" i="15"/>
  <c r="AW66" i="15"/>
  <c r="AW67" i="15"/>
  <c r="AW68" i="15"/>
  <c r="AW69" i="15"/>
  <c r="AW70" i="15"/>
  <c r="AW71" i="15"/>
  <c r="AW72" i="15"/>
  <c r="AW73" i="15"/>
  <c r="AW74" i="15"/>
  <c r="AW75" i="15"/>
  <c r="AW76" i="15"/>
  <c r="AW77" i="15"/>
  <c r="AW78" i="15"/>
  <c r="AW79" i="15"/>
  <c r="AW80" i="15"/>
  <c r="AW81" i="15"/>
  <c r="AW82" i="15"/>
  <c r="AW83" i="15"/>
  <c r="AW84" i="15"/>
  <c r="AW85" i="15"/>
  <c r="AW86" i="15"/>
  <c r="AW87" i="15"/>
  <c r="AW88" i="15"/>
  <c r="AW89" i="15"/>
  <c r="AW90" i="15"/>
  <c r="AW91" i="15"/>
  <c r="AW92" i="15"/>
  <c r="AW93" i="15"/>
  <c r="AW94" i="15"/>
  <c r="AW95" i="15"/>
  <c r="AW96" i="15"/>
  <c r="AW97" i="15"/>
  <c r="AW98" i="15"/>
  <c r="AW99" i="15"/>
  <c r="AW100" i="15"/>
  <c r="AW101" i="15"/>
  <c r="AW102" i="15"/>
  <c r="AW103" i="15"/>
  <c r="AW104" i="15"/>
  <c r="AW105" i="15"/>
  <c r="AW106" i="15"/>
  <c r="AW107" i="15"/>
  <c r="AW108" i="15"/>
  <c r="AW109" i="15"/>
  <c r="AW110" i="15"/>
  <c r="AW111" i="15"/>
  <c r="AW112" i="15"/>
  <c r="AW113" i="15"/>
  <c r="AW114" i="15"/>
  <c r="AW115" i="15"/>
  <c r="AW116" i="15"/>
  <c r="AW117" i="15"/>
  <c r="AW118" i="15"/>
  <c r="AW119" i="15"/>
  <c r="AW120" i="15"/>
  <c r="AW121" i="15"/>
  <c r="AW122" i="15"/>
  <c r="AW123" i="15"/>
  <c r="AW124" i="15"/>
  <c r="AW125" i="15"/>
  <c r="AW126" i="15"/>
  <c r="AW127" i="15"/>
  <c r="AW128" i="15"/>
  <c r="AW129" i="15"/>
  <c r="AW130" i="15"/>
  <c r="AW131" i="15"/>
  <c r="AW132" i="15"/>
  <c r="AW133" i="15"/>
  <c r="AW134" i="15"/>
  <c r="AW135" i="15"/>
  <c r="AW136" i="15"/>
  <c r="AW137" i="15"/>
  <c r="AW138" i="15"/>
  <c r="AW139" i="15"/>
  <c r="AW140" i="15"/>
  <c r="AW141" i="15"/>
  <c r="AW142" i="15"/>
  <c r="AW143" i="15"/>
  <c r="AW144" i="15"/>
  <c r="AW145" i="15"/>
  <c r="AW146" i="15"/>
  <c r="AW147" i="15"/>
  <c r="AW148" i="15"/>
  <c r="AW149" i="15"/>
  <c r="AW150" i="15"/>
  <c r="AW151" i="15"/>
  <c r="AW152" i="15"/>
  <c r="AW153" i="15"/>
  <c r="AW154" i="15"/>
  <c r="AW155" i="15"/>
  <c r="AW156" i="15"/>
  <c r="AW157" i="15"/>
  <c r="AW158" i="15"/>
  <c r="AW159" i="15"/>
  <c r="AW160" i="15"/>
  <c r="AW161" i="15"/>
  <c r="AW162" i="15"/>
  <c r="AW163" i="15"/>
  <c r="AW164" i="15"/>
  <c r="AW165" i="15"/>
  <c r="AW166" i="15"/>
  <c r="AW167" i="15"/>
  <c r="AW168" i="15"/>
  <c r="AW169" i="15"/>
  <c r="AW170" i="15"/>
  <c r="AW171" i="15"/>
  <c r="AW172" i="15"/>
  <c r="AW173" i="15"/>
  <c r="AW174" i="15"/>
  <c r="AW175" i="15"/>
  <c r="AW176" i="15"/>
  <c r="AW177" i="15"/>
  <c r="AW178" i="15"/>
  <c r="AW179" i="15"/>
  <c r="AW180" i="15"/>
  <c r="AW181" i="15"/>
  <c r="AW182" i="15"/>
  <c r="AW183" i="15"/>
  <c r="AW184" i="15"/>
  <c r="AW185" i="15"/>
  <c r="AW186" i="15"/>
  <c r="AW187" i="15"/>
  <c r="AW188" i="15"/>
  <c r="AW189" i="15"/>
  <c r="AW190" i="15"/>
  <c r="AW191" i="15"/>
  <c r="AW192" i="15"/>
  <c r="AW193" i="15"/>
  <c r="AW194" i="15"/>
  <c r="AW195" i="15"/>
  <c r="AW196" i="15"/>
  <c r="AW197" i="15"/>
  <c r="AW198" i="15"/>
  <c r="AW199" i="15"/>
  <c r="AW200" i="15"/>
  <c r="AW201" i="15"/>
  <c r="AW202" i="15"/>
  <c r="AW203" i="15"/>
  <c r="AW204" i="15"/>
  <c r="AW205" i="15"/>
  <c r="AW206" i="15"/>
  <c r="AW207" i="15"/>
  <c r="AW208" i="15"/>
  <c r="AW209" i="15"/>
  <c r="AW210" i="15"/>
  <c r="AW211" i="15"/>
  <c r="AW212" i="15"/>
  <c r="AW213" i="15"/>
  <c r="AW214" i="15"/>
  <c r="AW215" i="15"/>
  <c r="AW216" i="15"/>
  <c r="AW217" i="15"/>
  <c r="AW218" i="15"/>
  <c r="AW219" i="15"/>
  <c r="AW220" i="15"/>
  <c r="AW221" i="15"/>
  <c r="AW222" i="15"/>
  <c r="AW223" i="15"/>
  <c r="AW224" i="15"/>
  <c r="AW225" i="15"/>
  <c r="AW226" i="15"/>
  <c r="AW227" i="15"/>
  <c r="AW228" i="15"/>
  <c r="AW229" i="15"/>
  <c r="AW230" i="15"/>
  <c r="AV3" i="15"/>
  <c r="AV4" i="15"/>
  <c r="AV5" i="15"/>
  <c r="AV6" i="15"/>
  <c r="AV7" i="15"/>
  <c r="AV8" i="15"/>
  <c r="AV9" i="15"/>
  <c r="AV10" i="15"/>
  <c r="AV11" i="15"/>
  <c r="AV12" i="15"/>
  <c r="AV13" i="15"/>
  <c r="AV14" i="15"/>
  <c r="AV15" i="15"/>
  <c r="AV16" i="15"/>
  <c r="AV17" i="15"/>
  <c r="AV18" i="15"/>
  <c r="AV19" i="15"/>
  <c r="AV20" i="15"/>
  <c r="AV21" i="15"/>
  <c r="AV22" i="15"/>
  <c r="AV23" i="15"/>
  <c r="AV24" i="15"/>
  <c r="AV25" i="15"/>
  <c r="AV26" i="15"/>
  <c r="AV27" i="15"/>
  <c r="AV28" i="15"/>
  <c r="AV29" i="15"/>
  <c r="AV30" i="15"/>
  <c r="AV31" i="15"/>
  <c r="AV32" i="15"/>
  <c r="AV33" i="15"/>
  <c r="AV34" i="15"/>
  <c r="AV35" i="15"/>
  <c r="AV36" i="15"/>
  <c r="AV37" i="15"/>
  <c r="AV38" i="15"/>
  <c r="AV39" i="15"/>
  <c r="AV40" i="15"/>
  <c r="AV41" i="15"/>
  <c r="AV42" i="15"/>
  <c r="AV43" i="15"/>
  <c r="AV44" i="15"/>
  <c r="AV45" i="15"/>
  <c r="AV46" i="15"/>
  <c r="AV47" i="15"/>
  <c r="AV48" i="15"/>
  <c r="AV49" i="15"/>
  <c r="AV50" i="15"/>
  <c r="AV51" i="15"/>
  <c r="AV52" i="15"/>
  <c r="AV53" i="15"/>
  <c r="AV54" i="15"/>
  <c r="AV55" i="15"/>
  <c r="AV56" i="15"/>
  <c r="AV57" i="15"/>
  <c r="AV58" i="15"/>
  <c r="AV59" i="15"/>
  <c r="AV60" i="15"/>
  <c r="AV61" i="15"/>
  <c r="AV62" i="15"/>
  <c r="AV63" i="15"/>
  <c r="AV64" i="15"/>
  <c r="AV65" i="15"/>
  <c r="AV66" i="15"/>
  <c r="AV67" i="15"/>
  <c r="AV68" i="15"/>
  <c r="AV69" i="15"/>
  <c r="AV70" i="15"/>
  <c r="AV71" i="15"/>
  <c r="AV72" i="15"/>
  <c r="AV73" i="15"/>
  <c r="AV74" i="15"/>
  <c r="AV75" i="15"/>
  <c r="AV76" i="15"/>
  <c r="AV77" i="15"/>
  <c r="AV78" i="15"/>
  <c r="AV79" i="15"/>
  <c r="AV80" i="15"/>
  <c r="AV81" i="15"/>
  <c r="AV82" i="15"/>
  <c r="AV83" i="15"/>
  <c r="AV84" i="15"/>
  <c r="AV85" i="15"/>
  <c r="AV86" i="15"/>
  <c r="AV87" i="15"/>
  <c r="AV88" i="15"/>
  <c r="AV89" i="15"/>
  <c r="AV90" i="15"/>
  <c r="AV91" i="15"/>
  <c r="AV92" i="15"/>
  <c r="AV93" i="15"/>
  <c r="AV94" i="15"/>
  <c r="AV95" i="15"/>
  <c r="AV96" i="15"/>
  <c r="AV97" i="15"/>
  <c r="AV98" i="15"/>
  <c r="AV99" i="15"/>
  <c r="AV100" i="15"/>
  <c r="AV101" i="15"/>
  <c r="AV102" i="15"/>
  <c r="AV103" i="15"/>
  <c r="AV104" i="15"/>
  <c r="AV105" i="15"/>
  <c r="AV106" i="15"/>
  <c r="AV107" i="15"/>
  <c r="AV108" i="15"/>
  <c r="AV109" i="15"/>
  <c r="AV110" i="15"/>
  <c r="AV111" i="15"/>
  <c r="AV112" i="15"/>
  <c r="AV113" i="15"/>
  <c r="AV114" i="15"/>
  <c r="AV115" i="15"/>
  <c r="AV116" i="15"/>
  <c r="AV117" i="15"/>
  <c r="AV118" i="15"/>
  <c r="AV119" i="15"/>
  <c r="AV120" i="15"/>
  <c r="AV121" i="15"/>
  <c r="AV122" i="15"/>
  <c r="AV123" i="15"/>
  <c r="AV124" i="15"/>
  <c r="AV125" i="15"/>
  <c r="AV126" i="15"/>
  <c r="AV127" i="15"/>
  <c r="AV128" i="15"/>
  <c r="AV129" i="15"/>
  <c r="AV130" i="15"/>
  <c r="AV131" i="15"/>
  <c r="AV132" i="15"/>
  <c r="AV133" i="15"/>
  <c r="AV134" i="15"/>
  <c r="AV135" i="15"/>
  <c r="AV136" i="15"/>
  <c r="AV137" i="15"/>
  <c r="AV138" i="15"/>
  <c r="AV139" i="15"/>
  <c r="AV140" i="15"/>
  <c r="AV141" i="15"/>
  <c r="AV142" i="15"/>
  <c r="AV143" i="15"/>
  <c r="AV144" i="15"/>
  <c r="AV145" i="15"/>
  <c r="AV146" i="15"/>
  <c r="AV147" i="15"/>
  <c r="AV148" i="15"/>
  <c r="AV149" i="15"/>
  <c r="AV150" i="15"/>
  <c r="AV151" i="15"/>
  <c r="AV152" i="15"/>
  <c r="AV153" i="15"/>
  <c r="AV154" i="15"/>
  <c r="AV155" i="15"/>
  <c r="AV156" i="15"/>
  <c r="AV157" i="15"/>
  <c r="AV158" i="15"/>
  <c r="AV159" i="15"/>
  <c r="AV160" i="15"/>
  <c r="AV161" i="15"/>
  <c r="AV162" i="15"/>
  <c r="AV163" i="15"/>
  <c r="AV164" i="15"/>
  <c r="AV165" i="15"/>
  <c r="AV166" i="15"/>
  <c r="AV167" i="15"/>
  <c r="AV168" i="15"/>
  <c r="AV169" i="15"/>
  <c r="AV170" i="15"/>
  <c r="AV171" i="15"/>
  <c r="AV172" i="15"/>
  <c r="AV173" i="15"/>
  <c r="AV174" i="15"/>
  <c r="AV175" i="15"/>
  <c r="AV176" i="15"/>
  <c r="AV177" i="15"/>
  <c r="AV178" i="15"/>
  <c r="AV179" i="15"/>
  <c r="AV180" i="15"/>
  <c r="AV181" i="15"/>
  <c r="AV182" i="15"/>
  <c r="AV183" i="15"/>
  <c r="AV184" i="15"/>
  <c r="AV185" i="15"/>
  <c r="AV186" i="15"/>
  <c r="AV187" i="15"/>
  <c r="AV188" i="15"/>
  <c r="AV189" i="15"/>
  <c r="AV190" i="15"/>
  <c r="AV191" i="15"/>
  <c r="AV192" i="15"/>
  <c r="AV193" i="15"/>
  <c r="AV194" i="15"/>
  <c r="AV195" i="15"/>
  <c r="AV196" i="15"/>
  <c r="AV197" i="15"/>
  <c r="AV198" i="15"/>
  <c r="AV199" i="15"/>
  <c r="AV200" i="15"/>
  <c r="AV201" i="15"/>
  <c r="AV202" i="15"/>
  <c r="AV203" i="15"/>
  <c r="AV204" i="15"/>
  <c r="AV205" i="15"/>
  <c r="AV206" i="15"/>
  <c r="AV207" i="15"/>
  <c r="AV208" i="15"/>
  <c r="AV209" i="15"/>
  <c r="AV210" i="15"/>
  <c r="AV211" i="15"/>
  <c r="AV212" i="15"/>
  <c r="AV213" i="15"/>
  <c r="AV214" i="15"/>
  <c r="AV215" i="15"/>
  <c r="AV216" i="15"/>
  <c r="AV217" i="15"/>
  <c r="AV218" i="15"/>
  <c r="AV219" i="15"/>
  <c r="AV220" i="15"/>
  <c r="AV221" i="15"/>
  <c r="AV222" i="15"/>
  <c r="AV223" i="15"/>
  <c r="AV224" i="15"/>
  <c r="AV225" i="15"/>
  <c r="AV226" i="15"/>
  <c r="AV227" i="15"/>
  <c r="AV228" i="15"/>
  <c r="AV229" i="15"/>
  <c r="AV230" i="15"/>
  <c r="AU3" i="15"/>
  <c r="AU4" i="15"/>
  <c r="AU5" i="15"/>
  <c r="AU6" i="15"/>
  <c r="AU7" i="15"/>
  <c r="AU8" i="15"/>
  <c r="AU9" i="15"/>
  <c r="AU10" i="15"/>
  <c r="AU11" i="15"/>
  <c r="AU12" i="15"/>
  <c r="AU13" i="15"/>
  <c r="AU14" i="15"/>
  <c r="AU15" i="15"/>
  <c r="AU16" i="15"/>
  <c r="AU17" i="15"/>
  <c r="AU18" i="15"/>
  <c r="AU19" i="15"/>
  <c r="AU20" i="15"/>
  <c r="AU21" i="15"/>
  <c r="AU22" i="15"/>
  <c r="AU23" i="15"/>
  <c r="AU24" i="15"/>
  <c r="AU25" i="15"/>
  <c r="AU26" i="15"/>
  <c r="AU27" i="15"/>
  <c r="AU28" i="15"/>
  <c r="AU29" i="15"/>
  <c r="AU30" i="15"/>
  <c r="AU31" i="15"/>
  <c r="AU32" i="15"/>
  <c r="AU33" i="15"/>
  <c r="AU34" i="15"/>
  <c r="AU35" i="15"/>
  <c r="AU36" i="15"/>
  <c r="AU37" i="15"/>
  <c r="AU38" i="15"/>
  <c r="AU39" i="15"/>
  <c r="AU40" i="15"/>
  <c r="AU41" i="15"/>
  <c r="AU42" i="15"/>
  <c r="AU43" i="15"/>
  <c r="AU44" i="15"/>
  <c r="AU45" i="15"/>
  <c r="AU46" i="15"/>
  <c r="AU47" i="15"/>
  <c r="AU48" i="15"/>
  <c r="AU49" i="15"/>
  <c r="AU50" i="15"/>
  <c r="AU51" i="15"/>
  <c r="AU52" i="15"/>
  <c r="AU53" i="15"/>
  <c r="AU54" i="15"/>
  <c r="AU55" i="15"/>
  <c r="AU56" i="15"/>
  <c r="AU57" i="15"/>
  <c r="AU58" i="15"/>
  <c r="AU59" i="15"/>
  <c r="AU60" i="15"/>
  <c r="AU61" i="15"/>
  <c r="AU62" i="15"/>
  <c r="AU63" i="15"/>
  <c r="AU64" i="15"/>
  <c r="AU65" i="15"/>
  <c r="AU66" i="15"/>
  <c r="AU67" i="15"/>
  <c r="AU68" i="15"/>
  <c r="AU69" i="15"/>
  <c r="AU70" i="15"/>
  <c r="AU71" i="15"/>
  <c r="AU72" i="15"/>
  <c r="AU73" i="15"/>
  <c r="AU74" i="15"/>
  <c r="AU75" i="15"/>
  <c r="AU76" i="15"/>
  <c r="AU77" i="15"/>
  <c r="AU78" i="15"/>
  <c r="AU79" i="15"/>
  <c r="AU80" i="15"/>
  <c r="AU81" i="15"/>
  <c r="AU82" i="15"/>
  <c r="AU83" i="15"/>
  <c r="AU84" i="15"/>
  <c r="AU85" i="15"/>
  <c r="AU86" i="15"/>
  <c r="AU87" i="15"/>
  <c r="AU88" i="15"/>
  <c r="AU89" i="15"/>
  <c r="AU90" i="15"/>
  <c r="AU91" i="15"/>
  <c r="AU92" i="15"/>
  <c r="AU93" i="15"/>
  <c r="AU94" i="15"/>
  <c r="AU95" i="15"/>
  <c r="AU96" i="15"/>
  <c r="AU97" i="15"/>
  <c r="AU98" i="15"/>
  <c r="AU99" i="15"/>
  <c r="AU100" i="15"/>
  <c r="AU101" i="15"/>
  <c r="AU102" i="15"/>
  <c r="AU103" i="15"/>
  <c r="AU104" i="15"/>
  <c r="AU105" i="15"/>
  <c r="AU106" i="15"/>
  <c r="AU107" i="15"/>
  <c r="AU108" i="15"/>
  <c r="AU109" i="15"/>
  <c r="AU110" i="15"/>
  <c r="AU111" i="15"/>
  <c r="AU112" i="15"/>
  <c r="AU113" i="15"/>
  <c r="AU114" i="15"/>
  <c r="AU115" i="15"/>
  <c r="AU116" i="15"/>
  <c r="AU117" i="15"/>
  <c r="AU118" i="15"/>
  <c r="AU119" i="15"/>
  <c r="AU120" i="15"/>
  <c r="AU121" i="15"/>
  <c r="AU122" i="15"/>
  <c r="AU123" i="15"/>
  <c r="AU124" i="15"/>
  <c r="AU125" i="15"/>
  <c r="AU126" i="15"/>
  <c r="AU127" i="15"/>
  <c r="AU128" i="15"/>
  <c r="AU129" i="15"/>
  <c r="AU130" i="15"/>
  <c r="AU131" i="15"/>
  <c r="AU132" i="15"/>
  <c r="AU133" i="15"/>
  <c r="AU134" i="15"/>
  <c r="AU135" i="15"/>
  <c r="AU136" i="15"/>
  <c r="AU137" i="15"/>
  <c r="AU138" i="15"/>
  <c r="AU139" i="15"/>
  <c r="AU140" i="15"/>
  <c r="AU141" i="15"/>
  <c r="AU142" i="15"/>
  <c r="AU143" i="15"/>
  <c r="AU144" i="15"/>
  <c r="AU145" i="15"/>
  <c r="AU146" i="15"/>
  <c r="AU147" i="15"/>
  <c r="AU148" i="15"/>
  <c r="AU149" i="15"/>
  <c r="AU150" i="15"/>
  <c r="AU151" i="15"/>
  <c r="AU152" i="15"/>
  <c r="AU153" i="15"/>
  <c r="AU154" i="15"/>
  <c r="AU155" i="15"/>
  <c r="AU156" i="15"/>
  <c r="AU157" i="15"/>
  <c r="AU158" i="15"/>
  <c r="AU159" i="15"/>
  <c r="AU160" i="15"/>
  <c r="AU161" i="15"/>
  <c r="AU162" i="15"/>
  <c r="AU163" i="15"/>
  <c r="AU164" i="15"/>
  <c r="AU165" i="15"/>
  <c r="AU166" i="15"/>
  <c r="AU167" i="15"/>
  <c r="AU168" i="15"/>
  <c r="AU169" i="15"/>
  <c r="AU170" i="15"/>
  <c r="AU171" i="15"/>
  <c r="AU172" i="15"/>
  <c r="AU173" i="15"/>
  <c r="AU174" i="15"/>
  <c r="AU175" i="15"/>
  <c r="AU176" i="15"/>
  <c r="AU177" i="15"/>
  <c r="AU178" i="15"/>
  <c r="AU179" i="15"/>
  <c r="AU180" i="15"/>
  <c r="AU181" i="15"/>
  <c r="AU182" i="15"/>
  <c r="AU183" i="15"/>
  <c r="AU184" i="15"/>
  <c r="AU185" i="15"/>
  <c r="AU186" i="15"/>
  <c r="AU187" i="15"/>
  <c r="AU188" i="15"/>
  <c r="AU189" i="15"/>
  <c r="AU190" i="15"/>
  <c r="AU191" i="15"/>
  <c r="AU192" i="15"/>
  <c r="AU193" i="15"/>
  <c r="AU194" i="15"/>
  <c r="AU195" i="15"/>
  <c r="AU196" i="15"/>
  <c r="AU197" i="15"/>
  <c r="AU198" i="15"/>
  <c r="AU199" i="15"/>
  <c r="AU200" i="15"/>
  <c r="AU201" i="15"/>
  <c r="AU202" i="15"/>
  <c r="AU203" i="15"/>
  <c r="AU204" i="15"/>
  <c r="AU205" i="15"/>
  <c r="AU206" i="15"/>
  <c r="AU207" i="15"/>
  <c r="AU208" i="15"/>
  <c r="AU209" i="15"/>
  <c r="AU210" i="15"/>
  <c r="AU211" i="15"/>
  <c r="AU212" i="15"/>
  <c r="AU213" i="15"/>
  <c r="AU214" i="15"/>
  <c r="AU215" i="15"/>
  <c r="AU216" i="15"/>
  <c r="AU217" i="15"/>
  <c r="AU218" i="15"/>
  <c r="AU219" i="15"/>
  <c r="AU220" i="15"/>
  <c r="AU221" i="15"/>
  <c r="AU222" i="15"/>
  <c r="AU223" i="15"/>
  <c r="AU224" i="15"/>
  <c r="AU225" i="15"/>
  <c r="AU226" i="15"/>
  <c r="AU227" i="15"/>
  <c r="AU228" i="15"/>
  <c r="AU229" i="15"/>
  <c r="AU230" i="15"/>
  <c r="AT3" i="15"/>
  <c r="AT4" i="15"/>
  <c r="AT5" i="15"/>
  <c r="AT6" i="15"/>
  <c r="AT7" i="15"/>
  <c r="AT8" i="15"/>
  <c r="AT9" i="15"/>
  <c r="AT10" i="15"/>
  <c r="AT11" i="15"/>
  <c r="AT12" i="15"/>
  <c r="AT13" i="15"/>
  <c r="AT14" i="15"/>
  <c r="AT15" i="15"/>
  <c r="AT16" i="15"/>
  <c r="AT17" i="15"/>
  <c r="AT18" i="15"/>
  <c r="AT19" i="15"/>
  <c r="AT20" i="15"/>
  <c r="AT21" i="15"/>
  <c r="AT22" i="15"/>
  <c r="AT23" i="15"/>
  <c r="AT24" i="15"/>
  <c r="AT25" i="15"/>
  <c r="AT26" i="15"/>
  <c r="AT27" i="15"/>
  <c r="AT28" i="15"/>
  <c r="AT29" i="15"/>
  <c r="AT30" i="15"/>
  <c r="AT31" i="15"/>
  <c r="AT32" i="15"/>
  <c r="AT33" i="15"/>
  <c r="AT34" i="15"/>
  <c r="AT35" i="15"/>
  <c r="AT36" i="15"/>
  <c r="AT37" i="15"/>
  <c r="AT38" i="15"/>
  <c r="AT39" i="15"/>
  <c r="AT40" i="15"/>
  <c r="AT41" i="15"/>
  <c r="AT42" i="15"/>
  <c r="AT43" i="15"/>
  <c r="AT44" i="15"/>
  <c r="AT45" i="15"/>
  <c r="AT46" i="15"/>
  <c r="AT47" i="15"/>
  <c r="AT48" i="15"/>
  <c r="AT49" i="15"/>
  <c r="AT50" i="15"/>
  <c r="AT51" i="15"/>
  <c r="AT52" i="15"/>
  <c r="AT53" i="15"/>
  <c r="AT54" i="15"/>
  <c r="AT55" i="15"/>
  <c r="AT56" i="15"/>
  <c r="AT57" i="15"/>
  <c r="AT58" i="15"/>
  <c r="AT59" i="15"/>
  <c r="AT60" i="15"/>
  <c r="AT61" i="15"/>
  <c r="AT62" i="15"/>
  <c r="AT63" i="15"/>
  <c r="AT64" i="15"/>
  <c r="AT65" i="15"/>
  <c r="AT66" i="15"/>
  <c r="AT67" i="15"/>
  <c r="AT68" i="15"/>
  <c r="AT69" i="15"/>
  <c r="AT70" i="15"/>
  <c r="AT71" i="15"/>
  <c r="AT72" i="15"/>
  <c r="AT73" i="15"/>
  <c r="AT74" i="15"/>
  <c r="AT75" i="15"/>
  <c r="AT76" i="15"/>
  <c r="AT77" i="15"/>
  <c r="AT78" i="15"/>
  <c r="AT79" i="15"/>
  <c r="AT80" i="15"/>
  <c r="AT81" i="15"/>
  <c r="AT82" i="15"/>
  <c r="AT83" i="15"/>
  <c r="AT84" i="15"/>
  <c r="AT85" i="15"/>
  <c r="AT86" i="15"/>
  <c r="AT87" i="15"/>
  <c r="AT88" i="15"/>
  <c r="AT89" i="15"/>
  <c r="AT90" i="15"/>
  <c r="AT91" i="15"/>
  <c r="AT92" i="15"/>
  <c r="AT93" i="15"/>
  <c r="AT94" i="15"/>
  <c r="AT95" i="15"/>
  <c r="AT96" i="15"/>
  <c r="AT97" i="15"/>
  <c r="AT98" i="15"/>
  <c r="AT99" i="15"/>
  <c r="AT100" i="15"/>
  <c r="AT101" i="15"/>
  <c r="AT102" i="15"/>
  <c r="AT103" i="15"/>
  <c r="AT104" i="15"/>
  <c r="AT105" i="15"/>
  <c r="AT106" i="15"/>
  <c r="AT107" i="15"/>
  <c r="AT108" i="15"/>
  <c r="AT109" i="15"/>
  <c r="AT110" i="15"/>
  <c r="AT111" i="15"/>
  <c r="AT112" i="15"/>
  <c r="AT113" i="15"/>
  <c r="AT114" i="15"/>
  <c r="AT115" i="15"/>
  <c r="AT116" i="15"/>
  <c r="AT117" i="15"/>
  <c r="AT118" i="15"/>
  <c r="AT119" i="15"/>
  <c r="AT120" i="15"/>
  <c r="AT121" i="15"/>
  <c r="AT122" i="15"/>
  <c r="AT123" i="15"/>
  <c r="AT124" i="15"/>
  <c r="AT125" i="15"/>
  <c r="AT126" i="15"/>
  <c r="AT127" i="15"/>
  <c r="AT128" i="15"/>
  <c r="AT129" i="15"/>
  <c r="AT130" i="15"/>
  <c r="AT131" i="15"/>
  <c r="AT132" i="15"/>
  <c r="AT133" i="15"/>
  <c r="AT134" i="15"/>
  <c r="AT135" i="15"/>
  <c r="AT136" i="15"/>
  <c r="AT137" i="15"/>
  <c r="AT138" i="15"/>
  <c r="AT139" i="15"/>
  <c r="AT140" i="15"/>
  <c r="AT141" i="15"/>
  <c r="AT142" i="15"/>
  <c r="AT143" i="15"/>
  <c r="AT144" i="15"/>
  <c r="AT145" i="15"/>
  <c r="AT146" i="15"/>
  <c r="AT147" i="15"/>
  <c r="AT148" i="15"/>
  <c r="AT149" i="15"/>
  <c r="AT150" i="15"/>
  <c r="AT151" i="15"/>
  <c r="AT152" i="15"/>
  <c r="AT153" i="15"/>
  <c r="AT154" i="15"/>
  <c r="AT155" i="15"/>
  <c r="AT156" i="15"/>
  <c r="AT157" i="15"/>
  <c r="AT158" i="15"/>
  <c r="AT159" i="15"/>
  <c r="AT160" i="15"/>
  <c r="AT161" i="15"/>
  <c r="AT162" i="15"/>
  <c r="AT163" i="15"/>
  <c r="AT164" i="15"/>
  <c r="AT165" i="15"/>
  <c r="AT166" i="15"/>
  <c r="AT167" i="15"/>
  <c r="AT168" i="15"/>
  <c r="AT169" i="15"/>
  <c r="AT170" i="15"/>
  <c r="AT171" i="15"/>
  <c r="AT172" i="15"/>
  <c r="AT173" i="15"/>
  <c r="AT174" i="15"/>
  <c r="AT175" i="15"/>
  <c r="AT176" i="15"/>
  <c r="AT177" i="15"/>
  <c r="AT178" i="15"/>
  <c r="AT179" i="15"/>
  <c r="AT180" i="15"/>
  <c r="AT181" i="15"/>
  <c r="AT182" i="15"/>
  <c r="AT183" i="15"/>
  <c r="AT184" i="15"/>
  <c r="AT185" i="15"/>
  <c r="AT186" i="15"/>
  <c r="AT187" i="15"/>
  <c r="AT188" i="15"/>
  <c r="AT189" i="15"/>
  <c r="AT190" i="15"/>
  <c r="AT191" i="15"/>
  <c r="AT192" i="15"/>
  <c r="AT193" i="15"/>
  <c r="AT194" i="15"/>
  <c r="AT195" i="15"/>
  <c r="AT196" i="15"/>
  <c r="AT197" i="15"/>
  <c r="AT198" i="15"/>
  <c r="AT199" i="15"/>
  <c r="AT200" i="15"/>
  <c r="AT201" i="15"/>
  <c r="AT202" i="15"/>
  <c r="AT203" i="15"/>
  <c r="AT204" i="15"/>
  <c r="AT205" i="15"/>
  <c r="AT206" i="15"/>
  <c r="AT207" i="15"/>
  <c r="AT208" i="15"/>
  <c r="AT209" i="15"/>
  <c r="AT210" i="15"/>
  <c r="AT211" i="15"/>
  <c r="AT212" i="15"/>
  <c r="AT213" i="15"/>
  <c r="AT214" i="15"/>
  <c r="AT215" i="15"/>
  <c r="AT216" i="15"/>
  <c r="AT217" i="15"/>
  <c r="AT218" i="15"/>
  <c r="AT219" i="15"/>
  <c r="AT220" i="15"/>
  <c r="AT221" i="15"/>
  <c r="AT222" i="15"/>
  <c r="AT223" i="15"/>
  <c r="AT224" i="15"/>
  <c r="AT225" i="15"/>
  <c r="AT226" i="15"/>
  <c r="AT227" i="15"/>
  <c r="AT228" i="15"/>
  <c r="AT229" i="15"/>
  <c r="AT230" i="1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81" i="5"/>
  <c r="Q82" i="5"/>
  <c r="Q83" i="5"/>
  <c r="Q84" i="5"/>
  <c r="Q85" i="5"/>
  <c r="Q86" i="5"/>
  <c r="Q87" i="5"/>
  <c r="Q88" i="5"/>
  <c r="Q89" i="5"/>
  <c r="Q90" i="5"/>
  <c r="Q91" i="5"/>
  <c r="Q92" i="5"/>
  <c r="Q93" i="5"/>
  <c r="Q94" i="5"/>
  <c r="Q95" i="5"/>
  <c r="Q96" i="5"/>
  <c r="Q97" i="5"/>
  <c r="Q98" i="5"/>
  <c r="Q99" i="5"/>
  <c r="Q100" i="5"/>
  <c r="Q101" i="5"/>
  <c r="Q102" i="5"/>
  <c r="Q103" i="5"/>
  <c r="Q104" i="5"/>
  <c r="Q105" i="5"/>
  <c r="Q106" i="5"/>
  <c r="Q107" i="5"/>
  <c r="Q108" i="5"/>
  <c r="Q109" i="5"/>
  <c r="Q110" i="5"/>
  <c r="Q111" i="5"/>
  <c r="Q112" i="5"/>
  <c r="Q113" i="5"/>
  <c r="Q114" i="5"/>
  <c r="Q115" i="5"/>
  <c r="Q116" i="5"/>
  <c r="Q117" i="5"/>
  <c r="Q118" i="5"/>
  <c r="Q119" i="5"/>
  <c r="Q120" i="5"/>
  <c r="Q121" i="5"/>
  <c r="Q122" i="5"/>
  <c r="Q123" i="5"/>
  <c r="Q124" i="5"/>
  <c r="Q125" i="5"/>
  <c r="Q126" i="5"/>
  <c r="Q127" i="5"/>
  <c r="Q128" i="5"/>
  <c r="Q129" i="5"/>
  <c r="Q130" i="5"/>
  <c r="Q131" i="5"/>
  <c r="Q132" i="5"/>
  <c r="Q133" i="5"/>
  <c r="Q134" i="5"/>
  <c r="Q135" i="5"/>
  <c r="Q136" i="5"/>
  <c r="Q137" i="5"/>
  <c r="Q138" i="5"/>
  <c r="Q139" i="5"/>
  <c r="Q140" i="5"/>
  <c r="Q141" i="5"/>
  <c r="Q142" i="5"/>
  <c r="Q143" i="5"/>
  <c r="Q144" i="5"/>
  <c r="Q145" i="5"/>
  <c r="Q146" i="5"/>
  <c r="Q147" i="5"/>
  <c r="Q148" i="5"/>
  <c r="Q149" i="5"/>
  <c r="Q150" i="5"/>
  <c r="Q151" i="5"/>
  <c r="Q152" i="5"/>
  <c r="Q153" i="5"/>
  <c r="Q154" i="5"/>
  <c r="Q155" i="5"/>
  <c r="Q156" i="5"/>
  <c r="Q157" i="5"/>
  <c r="Q158" i="5"/>
  <c r="Q159" i="5"/>
  <c r="Q160" i="5"/>
  <c r="Q161" i="5"/>
  <c r="Q162" i="5"/>
  <c r="Q163" i="5"/>
  <c r="Q164" i="5"/>
  <c r="Q165" i="5"/>
  <c r="Q166" i="5"/>
  <c r="Q167" i="5"/>
  <c r="Q168" i="5"/>
  <c r="Q169" i="5"/>
  <c r="Q170" i="5"/>
  <c r="Q171" i="5"/>
  <c r="Q172" i="5"/>
  <c r="Q173" i="5"/>
  <c r="Q174" i="5"/>
  <c r="Q175" i="5"/>
  <c r="Q176" i="5"/>
  <c r="Q177" i="5"/>
  <c r="Q178" i="5"/>
  <c r="Q179" i="5"/>
  <c r="Q180" i="5"/>
  <c r="Q181" i="5"/>
  <c r="Q182" i="5"/>
  <c r="Q183" i="5"/>
  <c r="Q184" i="5"/>
  <c r="Q185" i="5"/>
  <c r="Q186" i="5"/>
  <c r="Q187" i="5"/>
  <c r="Q188" i="5"/>
  <c r="Q189" i="5"/>
  <c r="Q190" i="5"/>
  <c r="Q191" i="5"/>
  <c r="Q192" i="5"/>
  <c r="Q193" i="5"/>
  <c r="Q194" i="5"/>
  <c r="Q195" i="5"/>
  <c r="Q196" i="5"/>
  <c r="Q197" i="5"/>
  <c r="Q198" i="5"/>
  <c r="Q199" i="5"/>
  <c r="Q200" i="5"/>
  <c r="Q201" i="5"/>
  <c r="Q202" i="5"/>
  <c r="Q203" i="5"/>
  <c r="Q204" i="5"/>
  <c r="Q205" i="5"/>
  <c r="Q206" i="5"/>
  <c r="Q207" i="5"/>
  <c r="Q208" i="5"/>
  <c r="Q209" i="5"/>
  <c r="Q210" i="5"/>
  <c r="Q211" i="5"/>
  <c r="Q212" i="5"/>
  <c r="Q213" i="5"/>
  <c r="Q214" i="5"/>
  <c r="Q215" i="5"/>
  <c r="Q216" i="5"/>
  <c r="Q217" i="5"/>
  <c r="Q218" i="5"/>
  <c r="Q219" i="5"/>
  <c r="Q220" i="5"/>
  <c r="Q221" i="5"/>
  <c r="Q222" i="5"/>
  <c r="Q223" i="5"/>
  <c r="Q224" i="5"/>
  <c r="Q225" i="5"/>
  <c r="Q226" i="5"/>
  <c r="Q227" i="5"/>
  <c r="Q228" i="5"/>
  <c r="Q229" i="5"/>
  <c r="Q230" i="5"/>
  <c r="Q3" i="5"/>
  <c r="AO4" i="5"/>
  <c r="AO5" i="5"/>
  <c r="AO6" i="5"/>
  <c r="AO7" i="5"/>
  <c r="AO8" i="5"/>
  <c r="AO9" i="5"/>
  <c r="AO10" i="5"/>
  <c r="AO11" i="5"/>
  <c r="AO12" i="5"/>
  <c r="AO13" i="5"/>
  <c r="AO14" i="5"/>
  <c r="AO15" i="5"/>
  <c r="AO16" i="5"/>
  <c r="AO17" i="5"/>
  <c r="AO18" i="5"/>
  <c r="AO19" i="5"/>
  <c r="AO20" i="5"/>
  <c r="AO21" i="5"/>
  <c r="AO22" i="5"/>
  <c r="AO23" i="5"/>
  <c r="AO24" i="5"/>
  <c r="AO25" i="5"/>
  <c r="AO26" i="5"/>
  <c r="AO27" i="5"/>
  <c r="AO28" i="5"/>
  <c r="AO29" i="5"/>
  <c r="AO30" i="5"/>
  <c r="AO31" i="5"/>
  <c r="AO32" i="5"/>
  <c r="AO33" i="5"/>
  <c r="AO34" i="5"/>
  <c r="AO35" i="5"/>
  <c r="AO36" i="5"/>
  <c r="AO37" i="5"/>
  <c r="AO38" i="5"/>
  <c r="AO39" i="5"/>
  <c r="AO40" i="5"/>
  <c r="AO41" i="5"/>
  <c r="AO42" i="5"/>
  <c r="AO43" i="5"/>
  <c r="AO44" i="5"/>
  <c r="AO45" i="5"/>
  <c r="AO46" i="5"/>
  <c r="AO47" i="5"/>
  <c r="AO48" i="5"/>
  <c r="AO49" i="5"/>
  <c r="AO50" i="5"/>
  <c r="AO51" i="5"/>
  <c r="AO52" i="5"/>
  <c r="AO53" i="5"/>
  <c r="AO54" i="5"/>
  <c r="AO55" i="5"/>
  <c r="AO56" i="5"/>
  <c r="AO57" i="5"/>
  <c r="AO58" i="5"/>
  <c r="AO59" i="5"/>
  <c r="AO60" i="5"/>
  <c r="AO61" i="5"/>
  <c r="AO62" i="5"/>
  <c r="AO63" i="5"/>
  <c r="AO64" i="5"/>
  <c r="AO65" i="5"/>
  <c r="AO66" i="5"/>
  <c r="AO67" i="5"/>
  <c r="AO68" i="5"/>
  <c r="AO69" i="5"/>
  <c r="AO70" i="5"/>
  <c r="AO71" i="5"/>
  <c r="AO72" i="5"/>
  <c r="AO73" i="5"/>
  <c r="AO74" i="5"/>
  <c r="AO75" i="5"/>
  <c r="AO76" i="5"/>
  <c r="AO77" i="5"/>
  <c r="AO78" i="5"/>
  <c r="AO79" i="5"/>
  <c r="AO80" i="5"/>
  <c r="AO81" i="5"/>
  <c r="AO82" i="5"/>
  <c r="AO83" i="5"/>
  <c r="AO84" i="5"/>
  <c r="AO85" i="5"/>
  <c r="AO86" i="5"/>
  <c r="AO87" i="5"/>
  <c r="AO88" i="5"/>
  <c r="AO89" i="5"/>
  <c r="AO90" i="5"/>
  <c r="AO91" i="5"/>
  <c r="AO92" i="5"/>
  <c r="AO93" i="5"/>
  <c r="AO94" i="5"/>
  <c r="AO95" i="5"/>
  <c r="AO96" i="5"/>
  <c r="AO97" i="5"/>
  <c r="AO98" i="5"/>
  <c r="AO99" i="5"/>
  <c r="AO100" i="5"/>
  <c r="AO101" i="5"/>
  <c r="AO102" i="5"/>
  <c r="AO103" i="5"/>
  <c r="AO104" i="5"/>
  <c r="AO105" i="5"/>
  <c r="AO106" i="5"/>
  <c r="AO107" i="5"/>
  <c r="AO108" i="5"/>
  <c r="AO109" i="5"/>
  <c r="AO110" i="5"/>
  <c r="AO111" i="5"/>
  <c r="AO112" i="5"/>
  <c r="AO113" i="5"/>
  <c r="AO114" i="5"/>
  <c r="AO115" i="5"/>
  <c r="AO116" i="5"/>
  <c r="AO117" i="5"/>
  <c r="AO118" i="5"/>
  <c r="AO119" i="5"/>
  <c r="AO120" i="5"/>
  <c r="AO121" i="5"/>
  <c r="AO122" i="5"/>
  <c r="AO123" i="5"/>
  <c r="AO124" i="5"/>
  <c r="AO125" i="5"/>
  <c r="AO126" i="5"/>
  <c r="AO127" i="5"/>
  <c r="AO128" i="5"/>
  <c r="AO129" i="5"/>
  <c r="AO130" i="5"/>
  <c r="AO131" i="5"/>
  <c r="AO132" i="5"/>
  <c r="AO133" i="5"/>
  <c r="AO134" i="5"/>
  <c r="AO135" i="5"/>
  <c r="AO136" i="5"/>
  <c r="AO137" i="5"/>
  <c r="AO138" i="5"/>
  <c r="AO139" i="5"/>
  <c r="AO140" i="5"/>
  <c r="AO141" i="5"/>
  <c r="AO142" i="5"/>
  <c r="AO143" i="5"/>
  <c r="AO144" i="5"/>
  <c r="AO145" i="5"/>
  <c r="AO146" i="5"/>
  <c r="AO147" i="5"/>
  <c r="AO148" i="5"/>
  <c r="AO149" i="5"/>
  <c r="AO150" i="5"/>
  <c r="AO151" i="5"/>
  <c r="AO152" i="5"/>
  <c r="AO153" i="5"/>
  <c r="AO154" i="5"/>
  <c r="AO155" i="5"/>
  <c r="AO156" i="5"/>
  <c r="AO157" i="5"/>
  <c r="AO158" i="5"/>
  <c r="AO159" i="5"/>
  <c r="AO160" i="5"/>
  <c r="AO161" i="5"/>
  <c r="AO162" i="5"/>
  <c r="AO163" i="5"/>
  <c r="AO164" i="5"/>
  <c r="AO165" i="5"/>
  <c r="AO166" i="5"/>
  <c r="AO167" i="5"/>
  <c r="AO168" i="5"/>
  <c r="AO169" i="5"/>
  <c r="AO170" i="5"/>
  <c r="AO171" i="5"/>
  <c r="AO172" i="5"/>
  <c r="AO173" i="5"/>
  <c r="AO174" i="5"/>
  <c r="AO175" i="5"/>
  <c r="AO176" i="5"/>
  <c r="AO177" i="5"/>
  <c r="AO178" i="5"/>
  <c r="AO179" i="5"/>
  <c r="AO180" i="5"/>
  <c r="AO181" i="5"/>
  <c r="AO182" i="5"/>
  <c r="AO183" i="5"/>
  <c r="AO184" i="5"/>
  <c r="AO185" i="5"/>
  <c r="AO186" i="5"/>
  <c r="AO187" i="5"/>
  <c r="AO188" i="5"/>
  <c r="AO189" i="5"/>
  <c r="AO190" i="5"/>
  <c r="AO191" i="5"/>
  <c r="AO192" i="5"/>
  <c r="AO193" i="5"/>
  <c r="AO194" i="5"/>
  <c r="AO195" i="5"/>
  <c r="AO196" i="5"/>
  <c r="AO197" i="5"/>
  <c r="AO198" i="5"/>
  <c r="AO199" i="5"/>
  <c r="AO200" i="5"/>
  <c r="AO201" i="5"/>
  <c r="AO202" i="5"/>
  <c r="AO203" i="5"/>
  <c r="AO204" i="5"/>
  <c r="AO205" i="5"/>
  <c r="AO206" i="5"/>
  <c r="AO207" i="5"/>
  <c r="AO208" i="5"/>
  <c r="AO209" i="5"/>
  <c r="AO210" i="5"/>
  <c r="AO211" i="5"/>
  <c r="AO212" i="5"/>
  <c r="AO213" i="5"/>
  <c r="AO214" i="5"/>
  <c r="AO215" i="5"/>
  <c r="AO216" i="5"/>
  <c r="AO217" i="5"/>
  <c r="AO218" i="5"/>
  <c r="AO219" i="5"/>
  <c r="AO220" i="5"/>
  <c r="AO221" i="5"/>
  <c r="AO222" i="5"/>
  <c r="AO223" i="5"/>
  <c r="AO224" i="5"/>
  <c r="AO225" i="5"/>
  <c r="AO226" i="5"/>
  <c r="AO227" i="5"/>
  <c r="AO228" i="5"/>
  <c r="AO229" i="5"/>
  <c r="AO230" i="5"/>
  <c r="AO3" i="5"/>
  <c r="BA4" i="5"/>
  <c r="BA5" i="5"/>
  <c r="BA6" i="5"/>
  <c r="BA7" i="5"/>
  <c r="BA8" i="5"/>
  <c r="BA9" i="5"/>
  <c r="BA10" i="5"/>
  <c r="BA11" i="5"/>
  <c r="BA12" i="5"/>
  <c r="BA13" i="5"/>
  <c r="BA14" i="5"/>
  <c r="BA15" i="5"/>
  <c r="BA16" i="5"/>
  <c r="BA17" i="5"/>
  <c r="BA18" i="5"/>
  <c r="BA19" i="5"/>
  <c r="BA20" i="5"/>
  <c r="BA21" i="5"/>
  <c r="BA22" i="5"/>
  <c r="BA23" i="5"/>
  <c r="BA24" i="5"/>
  <c r="BA25" i="5"/>
  <c r="BA26" i="5"/>
  <c r="BA27" i="5"/>
  <c r="BA28" i="5"/>
  <c r="BA29" i="5"/>
  <c r="BA30" i="5"/>
  <c r="BA31" i="5"/>
  <c r="BA32" i="5"/>
  <c r="BA33" i="5"/>
  <c r="BA34" i="5"/>
  <c r="BA35" i="5"/>
  <c r="BA36" i="5"/>
  <c r="BA37" i="5"/>
  <c r="BA38" i="5"/>
  <c r="BA39" i="5"/>
  <c r="BA40" i="5"/>
  <c r="BA41" i="5"/>
  <c r="BA42" i="5"/>
  <c r="BA43" i="5"/>
  <c r="BA44" i="5"/>
  <c r="BA45" i="5"/>
  <c r="BA46" i="5"/>
  <c r="BA47" i="5"/>
  <c r="BA48" i="5"/>
  <c r="BA49" i="5"/>
  <c r="BA50" i="5"/>
  <c r="BA51" i="5"/>
  <c r="BA52" i="5"/>
  <c r="BA53" i="5"/>
  <c r="BA54" i="5"/>
  <c r="BA55" i="5"/>
  <c r="BA56" i="5"/>
  <c r="BA57" i="5"/>
  <c r="BA58" i="5"/>
  <c r="BA59" i="5"/>
  <c r="BA60" i="5"/>
  <c r="BA61" i="5"/>
  <c r="BA62" i="5"/>
  <c r="BA63" i="5"/>
  <c r="BA64" i="5"/>
  <c r="BA65" i="5"/>
  <c r="BA66" i="5"/>
  <c r="BA67" i="5"/>
  <c r="BA68" i="5"/>
  <c r="BA69" i="5"/>
  <c r="BA70" i="5"/>
  <c r="BA71" i="5"/>
  <c r="BA72" i="5"/>
  <c r="BA73" i="5"/>
  <c r="BA74" i="5"/>
  <c r="BA75" i="5"/>
  <c r="BA76" i="5"/>
  <c r="BA77" i="5"/>
  <c r="BA78" i="5"/>
  <c r="BA79" i="5"/>
  <c r="BA80" i="5"/>
  <c r="BA81" i="5"/>
  <c r="BA82" i="5"/>
  <c r="BA83" i="5"/>
  <c r="BA84" i="5"/>
  <c r="BA85" i="5"/>
  <c r="BA86" i="5"/>
  <c r="BA87" i="5"/>
  <c r="BA88" i="5"/>
  <c r="BA89" i="5"/>
  <c r="BA90" i="5"/>
  <c r="BA91" i="5"/>
  <c r="BA92" i="5"/>
  <c r="BA93" i="5"/>
  <c r="BA94" i="5"/>
  <c r="BA95" i="5"/>
  <c r="BA96" i="5"/>
  <c r="BA97" i="5"/>
  <c r="BA98" i="5"/>
  <c r="BA99" i="5"/>
  <c r="BA100" i="5"/>
  <c r="BA101" i="5"/>
  <c r="BA102" i="5"/>
  <c r="BA103" i="5"/>
  <c r="BA104" i="5"/>
  <c r="BA105" i="5"/>
  <c r="BA106" i="5"/>
  <c r="BA107" i="5"/>
  <c r="BA108" i="5"/>
  <c r="BA109" i="5"/>
  <c r="BA110" i="5"/>
  <c r="BA111" i="5"/>
  <c r="BA112" i="5"/>
  <c r="BA113" i="5"/>
  <c r="BA114" i="5"/>
  <c r="BA115" i="5"/>
  <c r="BA116" i="5"/>
  <c r="BA117" i="5"/>
  <c r="BA118" i="5"/>
  <c r="BA119" i="5"/>
  <c r="BA120" i="5"/>
  <c r="BA121" i="5"/>
  <c r="BA122" i="5"/>
  <c r="BA123" i="5"/>
  <c r="BA124" i="5"/>
  <c r="BA125" i="5"/>
  <c r="BA126" i="5"/>
  <c r="BA127" i="5"/>
  <c r="BA128" i="5"/>
  <c r="BA129" i="5"/>
  <c r="BA130" i="5"/>
  <c r="BA131" i="5"/>
  <c r="BA132" i="5"/>
  <c r="BA133" i="5"/>
  <c r="BA134" i="5"/>
  <c r="BA135" i="5"/>
  <c r="BA136" i="5"/>
  <c r="BA137" i="5"/>
  <c r="BA138" i="5"/>
  <c r="BA139" i="5"/>
  <c r="BA140" i="5"/>
  <c r="BA141" i="5"/>
  <c r="BA142" i="5"/>
  <c r="BA143" i="5"/>
  <c r="BA144" i="5"/>
  <c r="BA145" i="5"/>
  <c r="BA146" i="5"/>
  <c r="BA147" i="5"/>
  <c r="BA148" i="5"/>
  <c r="BA149" i="5"/>
  <c r="BA150" i="5"/>
  <c r="BA151" i="5"/>
  <c r="BA152" i="5"/>
  <c r="BA153" i="5"/>
  <c r="BA154" i="5"/>
  <c r="BA155" i="5"/>
  <c r="BA156" i="5"/>
  <c r="BA157" i="5"/>
  <c r="BA158" i="5"/>
  <c r="BA159" i="5"/>
  <c r="BA160" i="5"/>
  <c r="BA161" i="5"/>
  <c r="BA162" i="5"/>
  <c r="BA163" i="5"/>
  <c r="BA164" i="5"/>
  <c r="BA165" i="5"/>
  <c r="BA166" i="5"/>
  <c r="BA167" i="5"/>
  <c r="BA168" i="5"/>
  <c r="BA169" i="5"/>
  <c r="BA170" i="5"/>
  <c r="BA171" i="5"/>
  <c r="BA172" i="5"/>
  <c r="BA173" i="5"/>
  <c r="BA174" i="5"/>
  <c r="BA175" i="5"/>
  <c r="BA176" i="5"/>
  <c r="BA177" i="5"/>
  <c r="BA178" i="5"/>
  <c r="BA179" i="5"/>
  <c r="BA180" i="5"/>
  <c r="BA181" i="5"/>
  <c r="BA182" i="5"/>
  <c r="BA183" i="5"/>
  <c r="BA184" i="5"/>
  <c r="BA185" i="5"/>
  <c r="BA186" i="5"/>
  <c r="BA187" i="5"/>
  <c r="BA188" i="5"/>
  <c r="BA189" i="5"/>
  <c r="BA190" i="5"/>
  <c r="BA191" i="5"/>
  <c r="BA192" i="5"/>
  <c r="BA193" i="5"/>
  <c r="BA194" i="5"/>
  <c r="BA195" i="5"/>
  <c r="BA196" i="5"/>
  <c r="BA197" i="5"/>
  <c r="BA198" i="5"/>
  <c r="BA199" i="5"/>
  <c r="BA200" i="5"/>
  <c r="BA201" i="5"/>
  <c r="BA202" i="5"/>
  <c r="BA203" i="5"/>
  <c r="BA204" i="5"/>
  <c r="BA205" i="5"/>
  <c r="BA206" i="5"/>
  <c r="BA207" i="5"/>
  <c r="BA208" i="5"/>
  <c r="BA209" i="5"/>
  <c r="BA210" i="5"/>
  <c r="BA211" i="5"/>
  <c r="BA212" i="5"/>
  <c r="BA213" i="5"/>
  <c r="BA214" i="5"/>
  <c r="BA215" i="5"/>
  <c r="BA216" i="5"/>
  <c r="BA217" i="5"/>
  <c r="BA218" i="5"/>
  <c r="BA219" i="5"/>
  <c r="BA220" i="5"/>
  <c r="BA221" i="5"/>
  <c r="BA222" i="5"/>
  <c r="BA223" i="5"/>
  <c r="BA224" i="5"/>
  <c r="BA225" i="5"/>
  <c r="BA226" i="5"/>
  <c r="BA227" i="5"/>
  <c r="BA228" i="5"/>
  <c r="BA229" i="5"/>
  <c r="BA230" i="5"/>
  <c r="BA3" i="5"/>
  <c r="BA4" i="14"/>
  <c r="BA5" i="14"/>
  <c r="BA6" i="14"/>
  <c r="BA7" i="14"/>
  <c r="BA8" i="14"/>
  <c r="BA9" i="14"/>
  <c r="BA10" i="14"/>
  <c r="BA11" i="14"/>
  <c r="BA12" i="14"/>
  <c r="BA13" i="14"/>
  <c r="BA14" i="14"/>
  <c r="BA15" i="14"/>
  <c r="BA16" i="14"/>
  <c r="BA17" i="14"/>
  <c r="BA18" i="14"/>
  <c r="BA19" i="14"/>
  <c r="BA20" i="14"/>
  <c r="BA21" i="14"/>
  <c r="BA22" i="14"/>
  <c r="BA23" i="14"/>
  <c r="BA24" i="14"/>
  <c r="BA25" i="14"/>
  <c r="BA26" i="14"/>
  <c r="BA27" i="14"/>
  <c r="BA28" i="14"/>
  <c r="BA29" i="14"/>
  <c r="BA30" i="14"/>
  <c r="BA31" i="14"/>
  <c r="BA32" i="14"/>
  <c r="BA33" i="14"/>
  <c r="BA34" i="14"/>
  <c r="BA35" i="14"/>
  <c r="BA36" i="14"/>
  <c r="BA37" i="14"/>
  <c r="BA38" i="14"/>
  <c r="BA39" i="14"/>
  <c r="BA40" i="14"/>
  <c r="BA41" i="14"/>
  <c r="BA42" i="14"/>
  <c r="BA43" i="14"/>
  <c r="BA44" i="14"/>
  <c r="BA45" i="14"/>
  <c r="BA46" i="14"/>
  <c r="BA47" i="14"/>
  <c r="BA48" i="14"/>
  <c r="BA49" i="14"/>
  <c r="BA50" i="14"/>
  <c r="BA51" i="14"/>
  <c r="BA52" i="14"/>
  <c r="BA53" i="14"/>
  <c r="BA54" i="14"/>
  <c r="BA55" i="14"/>
  <c r="BA56" i="14"/>
  <c r="BA57" i="14"/>
  <c r="BA58" i="14"/>
  <c r="BA59" i="14"/>
  <c r="BA60" i="14"/>
  <c r="BA61" i="14"/>
  <c r="BA62" i="14"/>
  <c r="BA63" i="14"/>
  <c r="BA64" i="14"/>
  <c r="BA65" i="14"/>
  <c r="BA66" i="14"/>
  <c r="BA67" i="14"/>
  <c r="BA68" i="14"/>
  <c r="BA69" i="14"/>
  <c r="BA70" i="14"/>
  <c r="BA71" i="14"/>
  <c r="BA72" i="14"/>
  <c r="BA73" i="14"/>
  <c r="BA74" i="14"/>
  <c r="BA75" i="14"/>
  <c r="BA76" i="14"/>
  <c r="BA77" i="14"/>
  <c r="BA78" i="14"/>
  <c r="BA79" i="14"/>
  <c r="BA80" i="14"/>
  <c r="BA81" i="14"/>
  <c r="BA82" i="14"/>
  <c r="BA83" i="14"/>
  <c r="BA84" i="14"/>
  <c r="BA85" i="14"/>
  <c r="BA86" i="14"/>
  <c r="BA87" i="14"/>
  <c r="BA88" i="14"/>
  <c r="BA89" i="14"/>
  <c r="BA90" i="14"/>
  <c r="BA91" i="14"/>
  <c r="BA92" i="14"/>
  <c r="BA93" i="14"/>
  <c r="BA94" i="14"/>
  <c r="BA95" i="14"/>
  <c r="BA96" i="14"/>
  <c r="BA97" i="14"/>
  <c r="BA98" i="14"/>
  <c r="BA99" i="14"/>
  <c r="BA100" i="14"/>
  <c r="BA101" i="14"/>
  <c r="BA102" i="14"/>
  <c r="BA103" i="14"/>
  <c r="BA104" i="14"/>
  <c r="BA105" i="14"/>
  <c r="BA106" i="14"/>
  <c r="BA107" i="14"/>
  <c r="BA108" i="14"/>
  <c r="BA109" i="14"/>
  <c r="BA110" i="14"/>
  <c r="BA111" i="14"/>
  <c r="BA112" i="14"/>
  <c r="BA113" i="14"/>
  <c r="BA114" i="14"/>
  <c r="BA115" i="14"/>
  <c r="BA116" i="14"/>
  <c r="BA117" i="14"/>
  <c r="BA118" i="14"/>
  <c r="BA119" i="14"/>
  <c r="BA120" i="14"/>
  <c r="BA121" i="14"/>
  <c r="BA122" i="14"/>
  <c r="BA123" i="14"/>
  <c r="BA124" i="14"/>
  <c r="BA125" i="14"/>
  <c r="BA126" i="14"/>
  <c r="BA127" i="14"/>
  <c r="BA128" i="14"/>
  <c r="BA129" i="14"/>
  <c r="BA130" i="14"/>
  <c r="BA131" i="14"/>
  <c r="BA132" i="14"/>
  <c r="BA133" i="14"/>
  <c r="BA134" i="14"/>
  <c r="BA135" i="14"/>
  <c r="BA136" i="14"/>
  <c r="BA137" i="14"/>
  <c r="BA138" i="14"/>
  <c r="BA139" i="14"/>
  <c r="BA140" i="14"/>
  <c r="BA141" i="14"/>
  <c r="BA142" i="14"/>
  <c r="BA143" i="14"/>
  <c r="BA144" i="14"/>
  <c r="BA145" i="14"/>
  <c r="BA146" i="14"/>
  <c r="BA147" i="14"/>
  <c r="BA148" i="14"/>
  <c r="BA149" i="14"/>
  <c r="BA150" i="14"/>
  <c r="BA151" i="14"/>
  <c r="BA152" i="14"/>
  <c r="BA153" i="14"/>
  <c r="BA154" i="14"/>
  <c r="BA155" i="14"/>
  <c r="BA156" i="14"/>
  <c r="BA157" i="14"/>
  <c r="BA158" i="14"/>
  <c r="BA159" i="14"/>
  <c r="BA160" i="14"/>
  <c r="BA161" i="14"/>
  <c r="BA162" i="14"/>
  <c r="BA163" i="14"/>
  <c r="BA164" i="14"/>
  <c r="BA165" i="14"/>
  <c r="BA166" i="14"/>
  <c r="BA167" i="14"/>
  <c r="BA168" i="14"/>
  <c r="BA169" i="14"/>
  <c r="BA170" i="14"/>
  <c r="BA171" i="14"/>
  <c r="BA172" i="14"/>
  <c r="BA173" i="14"/>
  <c r="BA174" i="14"/>
  <c r="BA175" i="14"/>
  <c r="BA176" i="14"/>
  <c r="BA177" i="14"/>
  <c r="BA178" i="14"/>
  <c r="BA179" i="14"/>
  <c r="BA180" i="14"/>
  <c r="BA181" i="14"/>
  <c r="BA182" i="14"/>
  <c r="BA183" i="14"/>
  <c r="BA184" i="14"/>
  <c r="BA185" i="14"/>
  <c r="BA186" i="14"/>
  <c r="BA187" i="14"/>
  <c r="BA188" i="14"/>
  <c r="BA189" i="14"/>
  <c r="BA190" i="14"/>
  <c r="BA191" i="14"/>
  <c r="BA192" i="14"/>
  <c r="BA193" i="14"/>
  <c r="BA194" i="14"/>
  <c r="BA195" i="14"/>
  <c r="BA196" i="14"/>
  <c r="BA197" i="14"/>
  <c r="BA198" i="14"/>
  <c r="BA199" i="14"/>
  <c r="BA200" i="14"/>
  <c r="BA201" i="14"/>
  <c r="BA202" i="14"/>
  <c r="BA203" i="14"/>
  <c r="BA204" i="14"/>
  <c r="BA205" i="14"/>
  <c r="BA206" i="14"/>
  <c r="BA207" i="14"/>
  <c r="BA208" i="14"/>
  <c r="BA209" i="14"/>
  <c r="BA210" i="14"/>
  <c r="BA211" i="14"/>
  <c r="BA212" i="14"/>
  <c r="BA213" i="14"/>
  <c r="BA214" i="14"/>
  <c r="BA215" i="14"/>
  <c r="BA216" i="14"/>
  <c r="BA217" i="14"/>
  <c r="BA218" i="14"/>
  <c r="BA219" i="14"/>
  <c r="BA220" i="14"/>
  <c r="BA221" i="14"/>
  <c r="BA222" i="14"/>
  <c r="BA223" i="14"/>
  <c r="BA224" i="14"/>
  <c r="BA225" i="14"/>
  <c r="BA226" i="14"/>
  <c r="BA227" i="14"/>
  <c r="BA228" i="14"/>
  <c r="BA229" i="14"/>
  <c r="BA230" i="14"/>
  <c r="AO4" i="14"/>
  <c r="AO5" i="14"/>
  <c r="AO6" i="14"/>
  <c r="AO7" i="14"/>
  <c r="AO8" i="14"/>
  <c r="AO9" i="14"/>
  <c r="AO10" i="14"/>
  <c r="AO11" i="14"/>
  <c r="AO12" i="14"/>
  <c r="AO13" i="14"/>
  <c r="AO14" i="14"/>
  <c r="AO15" i="14"/>
  <c r="AO16" i="14"/>
  <c r="AO17" i="14"/>
  <c r="AO18" i="14"/>
  <c r="AO19" i="14"/>
  <c r="AO20" i="14"/>
  <c r="AO21" i="14"/>
  <c r="AO22" i="14"/>
  <c r="AO23" i="14"/>
  <c r="AO24" i="14"/>
  <c r="AO25" i="14"/>
  <c r="AO26" i="14"/>
  <c r="AO27" i="14"/>
  <c r="AO28" i="14"/>
  <c r="AO29" i="14"/>
  <c r="AO30" i="14"/>
  <c r="AO31" i="14"/>
  <c r="AO32" i="14"/>
  <c r="AO33" i="14"/>
  <c r="AO34" i="14"/>
  <c r="AO35" i="14"/>
  <c r="AO36" i="14"/>
  <c r="AO37" i="14"/>
  <c r="AO38" i="14"/>
  <c r="AO39" i="14"/>
  <c r="AO40" i="14"/>
  <c r="AO41" i="14"/>
  <c r="AO42" i="14"/>
  <c r="AO43" i="14"/>
  <c r="AO44" i="14"/>
  <c r="AO45" i="14"/>
  <c r="AO46" i="14"/>
  <c r="AO47" i="14"/>
  <c r="AO48" i="14"/>
  <c r="AO49" i="14"/>
  <c r="AO50" i="14"/>
  <c r="AO51" i="14"/>
  <c r="AO52" i="14"/>
  <c r="AO53" i="14"/>
  <c r="AO54" i="14"/>
  <c r="AO55" i="14"/>
  <c r="AO56" i="14"/>
  <c r="AO57" i="14"/>
  <c r="AO58" i="14"/>
  <c r="AO59" i="14"/>
  <c r="AO60" i="14"/>
  <c r="AO61" i="14"/>
  <c r="AO62" i="14"/>
  <c r="AO63" i="14"/>
  <c r="AO64" i="14"/>
  <c r="AO65" i="14"/>
  <c r="AO66" i="14"/>
  <c r="AO67" i="14"/>
  <c r="AO68" i="14"/>
  <c r="AO69" i="14"/>
  <c r="AO70" i="14"/>
  <c r="AO71" i="14"/>
  <c r="AO72" i="14"/>
  <c r="AO73" i="14"/>
  <c r="AO74" i="14"/>
  <c r="AO75" i="14"/>
  <c r="AO76" i="14"/>
  <c r="AO77" i="14"/>
  <c r="AO78" i="14"/>
  <c r="AO79" i="14"/>
  <c r="AO80" i="14"/>
  <c r="AO81" i="14"/>
  <c r="AO82" i="14"/>
  <c r="AO83" i="14"/>
  <c r="AO84" i="14"/>
  <c r="AO85" i="14"/>
  <c r="AO86" i="14"/>
  <c r="AO87" i="14"/>
  <c r="AO88" i="14"/>
  <c r="AO89" i="14"/>
  <c r="AO90" i="14"/>
  <c r="AO91" i="14"/>
  <c r="AO92" i="14"/>
  <c r="AO93" i="14"/>
  <c r="AO94" i="14"/>
  <c r="AO95" i="14"/>
  <c r="AO96" i="14"/>
  <c r="AO97" i="14"/>
  <c r="AO98" i="14"/>
  <c r="AO99" i="14"/>
  <c r="AO100" i="14"/>
  <c r="AO101" i="14"/>
  <c r="AO102" i="14"/>
  <c r="AO103" i="14"/>
  <c r="AO104" i="14"/>
  <c r="AO105" i="14"/>
  <c r="AO106" i="14"/>
  <c r="AO107" i="14"/>
  <c r="AO108" i="14"/>
  <c r="AO109" i="14"/>
  <c r="AO110" i="14"/>
  <c r="AO111" i="14"/>
  <c r="AO112" i="14"/>
  <c r="AO113" i="14"/>
  <c r="AO114" i="14"/>
  <c r="AO115" i="14"/>
  <c r="AO116" i="14"/>
  <c r="AO117" i="14"/>
  <c r="AO118" i="14"/>
  <c r="AO119" i="14"/>
  <c r="AO120" i="14"/>
  <c r="AO121" i="14"/>
  <c r="AO122" i="14"/>
  <c r="AO123" i="14"/>
  <c r="AO124" i="14"/>
  <c r="AO125" i="14"/>
  <c r="AO126" i="14"/>
  <c r="AO127" i="14"/>
  <c r="AO128" i="14"/>
  <c r="AO129" i="14"/>
  <c r="AO130" i="14"/>
  <c r="AO131" i="14"/>
  <c r="AO132" i="14"/>
  <c r="AO133" i="14"/>
  <c r="AO134" i="14"/>
  <c r="AO135" i="14"/>
  <c r="AO136" i="14"/>
  <c r="AO137" i="14"/>
  <c r="AO138" i="14"/>
  <c r="AO139" i="14"/>
  <c r="AO140" i="14"/>
  <c r="AO141" i="14"/>
  <c r="AO142" i="14"/>
  <c r="AO143" i="14"/>
  <c r="AO144" i="14"/>
  <c r="AO145" i="14"/>
  <c r="AO146" i="14"/>
  <c r="AO147" i="14"/>
  <c r="AO148" i="14"/>
  <c r="AO149" i="14"/>
  <c r="AO150" i="14"/>
  <c r="AO151" i="14"/>
  <c r="AO152" i="14"/>
  <c r="AO153" i="14"/>
  <c r="AO154" i="14"/>
  <c r="AO155" i="14"/>
  <c r="AO156" i="14"/>
  <c r="AO157" i="14"/>
  <c r="AO158" i="14"/>
  <c r="AO159" i="14"/>
  <c r="AO160" i="14"/>
  <c r="AO161" i="14"/>
  <c r="AO162" i="14"/>
  <c r="AO163" i="14"/>
  <c r="AO164" i="14"/>
  <c r="AO165" i="14"/>
  <c r="AO166" i="14"/>
  <c r="AO167" i="14"/>
  <c r="AO168" i="14"/>
  <c r="AO169" i="14"/>
  <c r="AO170" i="14"/>
  <c r="AO171" i="14"/>
  <c r="AO172" i="14"/>
  <c r="AO173" i="14"/>
  <c r="AO174" i="14"/>
  <c r="AO175" i="14"/>
  <c r="AO176" i="14"/>
  <c r="AO177" i="14"/>
  <c r="AO178" i="14"/>
  <c r="AO179" i="14"/>
  <c r="AO180" i="14"/>
  <c r="AO181" i="14"/>
  <c r="AO182" i="14"/>
  <c r="AO183" i="14"/>
  <c r="AO184" i="14"/>
  <c r="AO185" i="14"/>
  <c r="AO186" i="14"/>
  <c r="AO187" i="14"/>
  <c r="AO188" i="14"/>
  <c r="AO189" i="14"/>
  <c r="AO190" i="14"/>
  <c r="AO191" i="14"/>
  <c r="AO192" i="14"/>
  <c r="AO193" i="14"/>
  <c r="AO194" i="14"/>
  <c r="AO195" i="14"/>
  <c r="AO196" i="14"/>
  <c r="AO197" i="14"/>
  <c r="AO198" i="14"/>
  <c r="AO199" i="14"/>
  <c r="AO200" i="14"/>
  <c r="AO201" i="14"/>
  <c r="AO202" i="14"/>
  <c r="AO203" i="14"/>
  <c r="AO204" i="14"/>
  <c r="AO205" i="14"/>
  <c r="AO206" i="14"/>
  <c r="AO207" i="14"/>
  <c r="AO208" i="14"/>
  <c r="AO209" i="14"/>
  <c r="AO210" i="14"/>
  <c r="AO211" i="14"/>
  <c r="AO212" i="14"/>
  <c r="AO213" i="14"/>
  <c r="AO214" i="14"/>
  <c r="AO215" i="14"/>
  <c r="AO216" i="14"/>
  <c r="AO217" i="14"/>
  <c r="AO218" i="14"/>
  <c r="AO219" i="14"/>
  <c r="AO220" i="14"/>
  <c r="AO221" i="14"/>
  <c r="AO222" i="14"/>
  <c r="AO223" i="14"/>
  <c r="AO224" i="14"/>
  <c r="AO225" i="14"/>
  <c r="AO226" i="14"/>
  <c r="AO227" i="14"/>
  <c r="AO228" i="14"/>
  <c r="AO229" i="14"/>
  <c r="AO230" i="14"/>
  <c r="AO3" i="14"/>
  <c r="Q4" i="14"/>
  <c r="Q5" i="14"/>
  <c r="Q6" i="14"/>
  <c r="Q7" i="14"/>
  <c r="Q8" i="14"/>
  <c r="Q9" i="14"/>
  <c r="Q10" i="14"/>
  <c r="Q11" i="14"/>
  <c r="Q12" i="14"/>
  <c r="Q13" i="14"/>
  <c r="Q14" i="14"/>
  <c r="Q15" i="14"/>
  <c r="Q16" i="14"/>
  <c r="Q17" i="14"/>
  <c r="Q18" i="14"/>
  <c r="Q19" i="14"/>
  <c r="Q20" i="14"/>
  <c r="Q21" i="14"/>
  <c r="Q22" i="14"/>
  <c r="Q23" i="14"/>
  <c r="Q24" i="14"/>
  <c r="Q25" i="14"/>
  <c r="Q26" i="14"/>
  <c r="Q27" i="14"/>
  <c r="Q28" i="14"/>
  <c r="Q29" i="14"/>
  <c r="Q30" i="14"/>
  <c r="Q31" i="14"/>
  <c r="Q32" i="14"/>
  <c r="Q33" i="14"/>
  <c r="Q34" i="14"/>
  <c r="Q35" i="14"/>
  <c r="Q36" i="14"/>
  <c r="Q37" i="14"/>
  <c r="Q38" i="14"/>
  <c r="Q39" i="14"/>
  <c r="Q40" i="14"/>
  <c r="Q41" i="14"/>
  <c r="Q42" i="14"/>
  <c r="Q43" i="14"/>
  <c r="Q44" i="14"/>
  <c r="Q45" i="14"/>
  <c r="Q46" i="14"/>
  <c r="Q47" i="14"/>
  <c r="Q48" i="14"/>
  <c r="Q49" i="14"/>
  <c r="Q50" i="14"/>
  <c r="Q51" i="14"/>
  <c r="Q52" i="14"/>
  <c r="Q53" i="14"/>
  <c r="Q54" i="14"/>
  <c r="Q55" i="14"/>
  <c r="Q56" i="14"/>
  <c r="Q57" i="14"/>
  <c r="Q58" i="14"/>
  <c r="Q59" i="14"/>
  <c r="Q60" i="14"/>
  <c r="Q61" i="14"/>
  <c r="Q62" i="14"/>
  <c r="Q63" i="14"/>
  <c r="Q64" i="14"/>
  <c r="Q65" i="14"/>
  <c r="Q66" i="14"/>
  <c r="Q67" i="14"/>
  <c r="Q68" i="14"/>
  <c r="Q69" i="14"/>
  <c r="Q70" i="14"/>
  <c r="Q71" i="14"/>
  <c r="Q72" i="14"/>
  <c r="Q73" i="14"/>
  <c r="Q74" i="14"/>
  <c r="Q75" i="14"/>
  <c r="Q76" i="14"/>
  <c r="Q77" i="14"/>
  <c r="Q78" i="14"/>
  <c r="Q79" i="14"/>
  <c r="Q80" i="14"/>
  <c r="Q81" i="14"/>
  <c r="Q82" i="14"/>
  <c r="Q83" i="14"/>
  <c r="Q84" i="14"/>
  <c r="Q85" i="14"/>
  <c r="Q86" i="14"/>
  <c r="Q87" i="14"/>
  <c r="Q88" i="14"/>
  <c r="Q89" i="14"/>
  <c r="Q90" i="14"/>
  <c r="Q91" i="14"/>
  <c r="Q92" i="14"/>
  <c r="Q93" i="14"/>
  <c r="Q94" i="14"/>
  <c r="Q95" i="14"/>
  <c r="Q96" i="14"/>
  <c r="Q97" i="14"/>
  <c r="Q98" i="14"/>
  <c r="Q99" i="14"/>
  <c r="Q100" i="14"/>
  <c r="Q101" i="14"/>
  <c r="Q102" i="14"/>
  <c r="Q103" i="14"/>
  <c r="Q104" i="14"/>
  <c r="Q105" i="14"/>
  <c r="Q106" i="14"/>
  <c r="Q107" i="14"/>
  <c r="Q108" i="14"/>
  <c r="Q109" i="14"/>
  <c r="Q110" i="14"/>
  <c r="Q111" i="14"/>
  <c r="Q112" i="14"/>
  <c r="Q113" i="14"/>
  <c r="Q114" i="14"/>
  <c r="Q115" i="14"/>
  <c r="Q116" i="14"/>
  <c r="Q117" i="14"/>
  <c r="Q118" i="14"/>
  <c r="Q119" i="14"/>
  <c r="Q120" i="14"/>
  <c r="Q121" i="14"/>
  <c r="Q122" i="14"/>
  <c r="Q123" i="14"/>
  <c r="Q124" i="14"/>
  <c r="Q125" i="14"/>
  <c r="Q126" i="14"/>
  <c r="Q127" i="14"/>
  <c r="Q128" i="14"/>
  <c r="Q129" i="14"/>
  <c r="Q130" i="14"/>
  <c r="Q131" i="14"/>
  <c r="Q132" i="14"/>
  <c r="Q133" i="14"/>
  <c r="Q134" i="14"/>
  <c r="Q135" i="14"/>
  <c r="Q136" i="14"/>
  <c r="Q137" i="14"/>
  <c r="Q138" i="14"/>
  <c r="Q139" i="14"/>
  <c r="Q140" i="14"/>
  <c r="Q141" i="14"/>
  <c r="Q142" i="14"/>
  <c r="Q143" i="14"/>
  <c r="Q144" i="14"/>
  <c r="Q145" i="14"/>
  <c r="Q146" i="14"/>
  <c r="Q147" i="14"/>
  <c r="Q148" i="14"/>
  <c r="Q149" i="14"/>
  <c r="Q150" i="14"/>
  <c r="Q151" i="14"/>
  <c r="Q152" i="14"/>
  <c r="Q153" i="14"/>
  <c r="Q154" i="14"/>
  <c r="Q155" i="14"/>
  <c r="Q156" i="14"/>
  <c r="Q157" i="14"/>
  <c r="Q158" i="14"/>
  <c r="Q159" i="14"/>
  <c r="Q160" i="14"/>
  <c r="Q161" i="14"/>
  <c r="Q162" i="14"/>
  <c r="Q163" i="14"/>
  <c r="Q164" i="14"/>
  <c r="Q165" i="14"/>
  <c r="Q166" i="14"/>
  <c r="Q167" i="14"/>
  <c r="Q168" i="14"/>
  <c r="Q169" i="14"/>
  <c r="Q170" i="14"/>
  <c r="Q171" i="14"/>
  <c r="Q172" i="14"/>
  <c r="Q173" i="14"/>
  <c r="Q174" i="14"/>
  <c r="Q175" i="14"/>
  <c r="Q176" i="14"/>
  <c r="Q177" i="14"/>
  <c r="Q178" i="14"/>
  <c r="Q179" i="14"/>
  <c r="Q180" i="14"/>
  <c r="Q181" i="14"/>
  <c r="Q182" i="14"/>
  <c r="Q183" i="14"/>
  <c r="Q184" i="14"/>
  <c r="Q185" i="14"/>
  <c r="Q186" i="14"/>
  <c r="Q187" i="14"/>
  <c r="Q188" i="14"/>
  <c r="Q189" i="14"/>
  <c r="Q190" i="14"/>
  <c r="Q191" i="14"/>
  <c r="Q192" i="14"/>
  <c r="Q193" i="14"/>
  <c r="Q194" i="14"/>
  <c r="Q195" i="14"/>
  <c r="Q196" i="14"/>
  <c r="Q197" i="14"/>
  <c r="Q198" i="14"/>
  <c r="Q199" i="14"/>
  <c r="Q200" i="14"/>
  <c r="Q201" i="14"/>
  <c r="Q202" i="14"/>
  <c r="Q203" i="14"/>
  <c r="Q204" i="14"/>
  <c r="Q205" i="14"/>
  <c r="Q206" i="14"/>
  <c r="Q207" i="14"/>
  <c r="Q208" i="14"/>
  <c r="Q209" i="14"/>
  <c r="Q210" i="14"/>
  <c r="Q211" i="14"/>
  <c r="Q212" i="14"/>
  <c r="Q213" i="14"/>
  <c r="Q214" i="14"/>
  <c r="Q215" i="14"/>
  <c r="Q216" i="14"/>
  <c r="Q217" i="14"/>
  <c r="Q218" i="14"/>
  <c r="Q219" i="14"/>
  <c r="Q220" i="14"/>
  <c r="Q221" i="14"/>
  <c r="Q222" i="14"/>
  <c r="Q223" i="14"/>
  <c r="Q224" i="14"/>
  <c r="Q225" i="14"/>
  <c r="Q226" i="14"/>
  <c r="Q227" i="14"/>
  <c r="Q228" i="14"/>
  <c r="Q229" i="14"/>
  <c r="Q230" i="14"/>
  <c r="Q3" i="14"/>
  <c r="K4" i="14"/>
  <c r="K5" i="14"/>
  <c r="K6" i="14"/>
  <c r="K7" i="14"/>
  <c r="K8" i="14"/>
  <c r="K9" i="14"/>
  <c r="K10" i="14"/>
  <c r="K11" i="14"/>
  <c r="K12" i="14"/>
  <c r="K13" i="14"/>
  <c r="K14" i="14"/>
  <c r="K15" i="14"/>
  <c r="K16" i="14"/>
  <c r="K17" i="14"/>
  <c r="K18" i="14"/>
  <c r="K19" i="14"/>
  <c r="K20" i="14"/>
  <c r="K21" i="14"/>
  <c r="K22" i="14"/>
  <c r="K23" i="14"/>
  <c r="K24" i="14"/>
  <c r="K25" i="14"/>
  <c r="K26" i="14"/>
  <c r="K27" i="14"/>
  <c r="K28" i="14"/>
  <c r="K29" i="14"/>
  <c r="K30" i="14"/>
  <c r="K31" i="14"/>
  <c r="K32" i="14"/>
  <c r="K33" i="14"/>
  <c r="K34" i="14"/>
  <c r="K35" i="14"/>
  <c r="K36" i="14"/>
  <c r="K37" i="14"/>
  <c r="K38" i="14"/>
  <c r="K39" i="14"/>
  <c r="K40" i="14"/>
  <c r="K41" i="14"/>
  <c r="K42" i="14"/>
  <c r="K43" i="14"/>
  <c r="K44" i="14"/>
  <c r="K45" i="14"/>
  <c r="K46" i="14"/>
  <c r="K47" i="14"/>
  <c r="K48" i="14"/>
  <c r="K49" i="14"/>
  <c r="K50" i="14"/>
  <c r="K51" i="14"/>
  <c r="K52" i="14"/>
  <c r="K53" i="14"/>
  <c r="K54" i="14"/>
  <c r="K55" i="14"/>
  <c r="K56" i="14"/>
  <c r="K57" i="14"/>
  <c r="K58" i="14"/>
  <c r="K59" i="14"/>
  <c r="K60" i="14"/>
  <c r="K61" i="14"/>
  <c r="K62" i="14"/>
  <c r="K63" i="14"/>
  <c r="K64" i="14"/>
  <c r="K65" i="14"/>
  <c r="K66" i="14"/>
  <c r="K67" i="14"/>
  <c r="K68" i="14"/>
  <c r="K69" i="14"/>
  <c r="K70" i="14"/>
  <c r="K71" i="14"/>
  <c r="K72" i="14"/>
  <c r="K73" i="14"/>
  <c r="K74" i="14"/>
  <c r="K75" i="14"/>
  <c r="K76" i="14"/>
  <c r="K77" i="14"/>
  <c r="K78" i="14"/>
  <c r="K79" i="14"/>
  <c r="K80" i="14"/>
  <c r="K81" i="14"/>
  <c r="K82" i="14"/>
  <c r="K83" i="14"/>
  <c r="K84" i="14"/>
  <c r="K85" i="14"/>
  <c r="K86" i="14"/>
  <c r="K87" i="14"/>
  <c r="K88" i="14"/>
  <c r="K89" i="14"/>
  <c r="K90" i="14"/>
  <c r="K91" i="14"/>
  <c r="K92" i="14"/>
  <c r="K93" i="14"/>
  <c r="K94" i="14"/>
  <c r="K95" i="14"/>
  <c r="K96" i="14"/>
  <c r="K97" i="14"/>
  <c r="K98" i="14"/>
  <c r="K99" i="14"/>
  <c r="K100" i="14"/>
  <c r="K101" i="14"/>
  <c r="K102" i="14"/>
  <c r="K103" i="14"/>
  <c r="K104" i="14"/>
  <c r="K105" i="14"/>
  <c r="K106" i="14"/>
  <c r="K107" i="14"/>
  <c r="K108" i="14"/>
  <c r="K109" i="14"/>
  <c r="K110" i="14"/>
  <c r="K111" i="14"/>
  <c r="K112" i="14"/>
  <c r="K113" i="14"/>
  <c r="K114" i="14"/>
  <c r="K115" i="14"/>
  <c r="K116" i="14"/>
  <c r="K117" i="14"/>
  <c r="K118" i="14"/>
  <c r="K119" i="14"/>
  <c r="K120" i="14"/>
  <c r="K121" i="14"/>
  <c r="K122" i="14"/>
  <c r="K123" i="14"/>
  <c r="K124" i="14"/>
  <c r="K125" i="14"/>
  <c r="K126" i="14"/>
  <c r="K127" i="14"/>
  <c r="K128" i="14"/>
  <c r="K129" i="14"/>
  <c r="K130" i="14"/>
  <c r="K131" i="14"/>
  <c r="K132" i="14"/>
  <c r="K133" i="14"/>
  <c r="K134" i="14"/>
  <c r="K135" i="14"/>
  <c r="K136" i="14"/>
  <c r="K137" i="14"/>
  <c r="K138" i="14"/>
  <c r="K139" i="14"/>
  <c r="K140" i="14"/>
  <c r="K141" i="14"/>
  <c r="K142" i="14"/>
  <c r="K143" i="14"/>
  <c r="K144" i="14"/>
  <c r="K145" i="14"/>
  <c r="K146" i="14"/>
  <c r="K147" i="14"/>
  <c r="K148" i="14"/>
  <c r="K149" i="14"/>
  <c r="K150" i="14"/>
  <c r="K151" i="14"/>
  <c r="K152" i="14"/>
  <c r="K153" i="14"/>
  <c r="K154" i="14"/>
  <c r="K155" i="14"/>
  <c r="K156" i="14"/>
  <c r="K157" i="14"/>
  <c r="K158" i="14"/>
  <c r="K159" i="14"/>
  <c r="K160" i="14"/>
  <c r="K161" i="14"/>
  <c r="K162" i="14"/>
  <c r="K163" i="14"/>
  <c r="K164" i="14"/>
  <c r="K165" i="14"/>
  <c r="K166" i="14"/>
  <c r="K167" i="14"/>
  <c r="K168" i="14"/>
  <c r="K169" i="14"/>
  <c r="K170" i="14"/>
  <c r="K171" i="14"/>
  <c r="K172" i="14"/>
  <c r="K173" i="14"/>
  <c r="K174" i="14"/>
  <c r="K175" i="14"/>
  <c r="K176" i="14"/>
  <c r="K177" i="14"/>
  <c r="K178" i="14"/>
  <c r="K179" i="14"/>
  <c r="K180" i="14"/>
  <c r="K181" i="14"/>
  <c r="K182" i="14"/>
  <c r="K183" i="14"/>
  <c r="K184" i="14"/>
  <c r="K185" i="14"/>
  <c r="K186" i="14"/>
  <c r="K187" i="14"/>
  <c r="K188" i="14"/>
  <c r="K189" i="14"/>
  <c r="K190" i="14"/>
  <c r="K191" i="14"/>
  <c r="K192" i="14"/>
  <c r="K193" i="14"/>
  <c r="K194" i="14"/>
  <c r="K195" i="14"/>
  <c r="K196" i="14"/>
  <c r="K197" i="14"/>
  <c r="K198" i="14"/>
  <c r="K199" i="14"/>
  <c r="K200" i="14"/>
  <c r="K201" i="14"/>
  <c r="K202" i="14"/>
  <c r="K203" i="14"/>
  <c r="K204" i="14"/>
  <c r="K205" i="14"/>
  <c r="K206" i="14"/>
  <c r="K207" i="14"/>
  <c r="K208" i="14"/>
  <c r="K209" i="14"/>
  <c r="K210" i="14"/>
  <c r="K211" i="14"/>
  <c r="K212" i="14"/>
  <c r="K213" i="14"/>
  <c r="K214" i="14"/>
  <c r="K215" i="14"/>
  <c r="K216" i="14"/>
  <c r="K217" i="14"/>
  <c r="K218" i="14"/>
  <c r="K219" i="14"/>
  <c r="K220" i="14"/>
  <c r="K221" i="14"/>
  <c r="K222" i="14"/>
  <c r="K223" i="14"/>
  <c r="K224" i="14"/>
  <c r="K225" i="14"/>
  <c r="K226" i="14"/>
  <c r="K227" i="14"/>
  <c r="K228" i="14"/>
  <c r="K229" i="14"/>
  <c r="K230" i="14"/>
  <c r="K3" i="14"/>
  <c r="BD3" i="15" l="1"/>
  <c r="BD4" i="15"/>
  <c r="BD5" i="15"/>
  <c r="BD6" i="15"/>
  <c r="BD7" i="15"/>
  <c r="BD8" i="15"/>
  <c r="BD9" i="15"/>
  <c r="BD10" i="15"/>
  <c r="BD11" i="15"/>
  <c r="BD12" i="15"/>
  <c r="BD13" i="15"/>
  <c r="BD14" i="15"/>
  <c r="BD15" i="15"/>
  <c r="BD16" i="15"/>
  <c r="BD17" i="15"/>
  <c r="BD18" i="15"/>
  <c r="BD19" i="15"/>
  <c r="BD20" i="15"/>
  <c r="BD21" i="15"/>
  <c r="BD22" i="15"/>
  <c r="BD23" i="15"/>
  <c r="BD24" i="15"/>
  <c r="BD25" i="15"/>
  <c r="BD26" i="15"/>
  <c r="BD27" i="15"/>
  <c r="BD28" i="15"/>
  <c r="BD29" i="15"/>
  <c r="BD30" i="15"/>
  <c r="BD31" i="15"/>
  <c r="BD32" i="15"/>
  <c r="BD33" i="15"/>
  <c r="BD34" i="15"/>
  <c r="BD35" i="15"/>
  <c r="BD36" i="15"/>
  <c r="BD37" i="15"/>
  <c r="BD38" i="15"/>
  <c r="BD39" i="15"/>
  <c r="BD40" i="15"/>
  <c r="BD41" i="15"/>
  <c r="BD42" i="15"/>
  <c r="BD43" i="15"/>
  <c r="BD44" i="15"/>
  <c r="BD45" i="15"/>
  <c r="BD46" i="15"/>
  <c r="BD47" i="15"/>
  <c r="BD48" i="15"/>
  <c r="BD49" i="15"/>
  <c r="BD50" i="15"/>
  <c r="BD51" i="15"/>
  <c r="BD52" i="15"/>
  <c r="BD53" i="15"/>
  <c r="BD54" i="15"/>
  <c r="BD55" i="15"/>
  <c r="BD56" i="15"/>
  <c r="BD57" i="15"/>
  <c r="BD58" i="15"/>
  <c r="BD59" i="15"/>
  <c r="BD60" i="15"/>
  <c r="BD61" i="15"/>
  <c r="BD62" i="15"/>
  <c r="BD63" i="15"/>
  <c r="BD64" i="15"/>
  <c r="BD65" i="15"/>
  <c r="BD66" i="15"/>
  <c r="BD67" i="15"/>
  <c r="BD68" i="15"/>
  <c r="BD69" i="15"/>
  <c r="BD70" i="15"/>
  <c r="BD71" i="15"/>
  <c r="BD72" i="15"/>
  <c r="BD73" i="15"/>
  <c r="BD74" i="15"/>
  <c r="BD75" i="15"/>
  <c r="BD76" i="15"/>
  <c r="BD77" i="15"/>
  <c r="BD78" i="15"/>
  <c r="BD79" i="15"/>
  <c r="BD80" i="15"/>
  <c r="BD81" i="15"/>
  <c r="BD82" i="15"/>
  <c r="BD83" i="15"/>
  <c r="BD84" i="15"/>
  <c r="BD85" i="15"/>
  <c r="BD86" i="15"/>
  <c r="BD87" i="15"/>
  <c r="BD88" i="15"/>
  <c r="BD89" i="15"/>
  <c r="BD90" i="15"/>
  <c r="BD91" i="15"/>
  <c r="BD92" i="15"/>
  <c r="BD93" i="15"/>
  <c r="BD94" i="15"/>
  <c r="BD95" i="15"/>
  <c r="BD96" i="15"/>
  <c r="BD97" i="15"/>
  <c r="BD98" i="15"/>
  <c r="BD99" i="15"/>
  <c r="BD100" i="15"/>
  <c r="BD101" i="15"/>
  <c r="BD102" i="15"/>
  <c r="BD103" i="15"/>
  <c r="BD104" i="15"/>
  <c r="BD105" i="15"/>
  <c r="BD106" i="15"/>
  <c r="BD107" i="15"/>
  <c r="BD108" i="15"/>
  <c r="BD109" i="15"/>
  <c r="BD110" i="15"/>
  <c r="BD111" i="15"/>
  <c r="BD112" i="15"/>
  <c r="BD113" i="15"/>
  <c r="BD114" i="15"/>
  <c r="BD115" i="15"/>
  <c r="BD116" i="15"/>
  <c r="BD117" i="15"/>
  <c r="BD118" i="15"/>
  <c r="BD119" i="15"/>
  <c r="BD120" i="15"/>
  <c r="BD121" i="15"/>
  <c r="BD122" i="15"/>
  <c r="BD123" i="15"/>
  <c r="BD124" i="15"/>
  <c r="BD125" i="15"/>
  <c r="BD126" i="15"/>
  <c r="BD127" i="15"/>
  <c r="BD128" i="15"/>
  <c r="BD129" i="15"/>
  <c r="BD130" i="15"/>
  <c r="BD131" i="15"/>
  <c r="BD132" i="15"/>
  <c r="BD133" i="15"/>
  <c r="BD134" i="15"/>
  <c r="BD135" i="15"/>
  <c r="BD136" i="15"/>
  <c r="BD137" i="15"/>
  <c r="BD138" i="15"/>
  <c r="BD139" i="15"/>
  <c r="BD140" i="15"/>
  <c r="BD141" i="15"/>
  <c r="BD142" i="15"/>
  <c r="BD143" i="15"/>
  <c r="BD144" i="15"/>
  <c r="BD145" i="15"/>
  <c r="BD146" i="15"/>
  <c r="BD147" i="15"/>
  <c r="BD148" i="15"/>
  <c r="BD149" i="15"/>
  <c r="BD150" i="15"/>
  <c r="BD151" i="15"/>
  <c r="BD152" i="15"/>
  <c r="BD153" i="15"/>
  <c r="BD154" i="15"/>
  <c r="BD155" i="15"/>
  <c r="BD156" i="15"/>
  <c r="BD157" i="15"/>
  <c r="BD158" i="15"/>
  <c r="BD159" i="15"/>
  <c r="BD160" i="15"/>
  <c r="BD161" i="15"/>
  <c r="BD162" i="15"/>
  <c r="BD163" i="15"/>
  <c r="BD164" i="15"/>
  <c r="BD165" i="15"/>
  <c r="BD166" i="15"/>
  <c r="BD167" i="15"/>
  <c r="BD168" i="15"/>
  <c r="BD169" i="15"/>
  <c r="BD170" i="15"/>
  <c r="BD171" i="15"/>
  <c r="BD172" i="15"/>
  <c r="BD173" i="15"/>
  <c r="BD174" i="15"/>
  <c r="BD175" i="15"/>
  <c r="BD176" i="15"/>
  <c r="BD177" i="15"/>
  <c r="BD178" i="15"/>
  <c r="BD179" i="15"/>
  <c r="BD180" i="15"/>
  <c r="BD181" i="15"/>
  <c r="BD182" i="15"/>
  <c r="BD183" i="15"/>
  <c r="BD184" i="15"/>
  <c r="BD185" i="15"/>
  <c r="BD186" i="15"/>
  <c r="BD187" i="15"/>
  <c r="BD188" i="15"/>
  <c r="BD189" i="15"/>
  <c r="BD190" i="15"/>
  <c r="BD191" i="15"/>
  <c r="BD192" i="15"/>
  <c r="BD193" i="15"/>
  <c r="BD194" i="15"/>
  <c r="BD195" i="15"/>
  <c r="BD196" i="15"/>
  <c r="BD197" i="15"/>
  <c r="BD198" i="15"/>
  <c r="BD199" i="15"/>
  <c r="BD200" i="15"/>
  <c r="BD201" i="15"/>
  <c r="BD202" i="15"/>
  <c r="BD203" i="15"/>
  <c r="BD204" i="15"/>
  <c r="BD205" i="15"/>
  <c r="BD206" i="15"/>
  <c r="BD207" i="15"/>
  <c r="BD208" i="15"/>
  <c r="BD209" i="15"/>
  <c r="BD210" i="15"/>
  <c r="BD211" i="15"/>
  <c r="BD212" i="15"/>
  <c r="BD213" i="15"/>
  <c r="BD214" i="15"/>
  <c r="BD215" i="15"/>
  <c r="BD216" i="15"/>
  <c r="BD217" i="15"/>
  <c r="BD218" i="15"/>
  <c r="BD219" i="15"/>
  <c r="BD220" i="15"/>
  <c r="BD221" i="15"/>
  <c r="BD222" i="15"/>
  <c r="BD223" i="15"/>
  <c r="BD224" i="15"/>
  <c r="BD225" i="15"/>
  <c r="BD226" i="15"/>
  <c r="BD227" i="15"/>
  <c r="BD228" i="15"/>
  <c r="BD229" i="15"/>
  <c r="BD230" i="15"/>
  <c r="BC3" i="15"/>
  <c r="BC4" i="15"/>
  <c r="BC5" i="15"/>
  <c r="BC6" i="15"/>
  <c r="BC7" i="15"/>
  <c r="BC8" i="15"/>
  <c r="BC9" i="15"/>
  <c r="BC10" i="15"/>
  <c r="BC11" i="15"/>
  <c r="BC12" i="15"/>
  <c r="BC13" i="15"/>
  <c r="BC14" i="15"/>
  <c r="BC15" i="15"/>
  <c r="BC16" i="15"/>
  <c r="BC17" i="15"/>
  <c r="BC18" i="15"/>
  <c r="BC19" i="15"/>
  <c r="BC20" i="15"/>
  <c r="BC21" i="15"/>
  <c r="BC22" i="15"/>
  <c r="BC23" i="15"/>
  <c r="BC24" i="15"/>
  <c r="BC25" i="15"/>
  <c r="BC26" i="15"/>
  <c r="BC27" i="15"/>
  <c r="BC28" i="15"/>
  <c r="BC29" i="15"/>
  <c r="BC30" i="15"/>
  <c r="BC31" i="15"/>
  <c r="BC32" i="15"/>
  <c r="BC33" i="15"/>
  <c r="BC34" i="15"/>
  <c r="BC35" i="15"/>
  <c r="BC36" i="15"/>
  <c r="BC37" i="15"/>
  <c r="BC38" i="15"/>
  <c r="BC39" i="15"/>
  <c r="BC40" i="15"/>
  <c r="BC41" i="15"/>
  <c r="BC42" i="15"/>
  <c r="BC43" i="15"/>
  <c r="BC44" i="15"/>
  <c r="BC45" i="15"/>
  <c r="BC46" i="15"/>
  <c r="BC47" i="15"/>
  <c r="BC48" i="15"/>
  <c r="BC49" i="15"/>
  <c r="BC50" i="15"/>
  <c r="BC51" i="15"/>
  <c r="BC52" i="15"/>
  <c r="BC53" i="15"/>
  <c r="BC54" i="15"/>
  <c r="BC55" i="15"/>
  <c r="BC56" i="15"/>
  <c r="BC57" i="15"/>
  <c r="BC58" i="15"/>
  <c r="BC59" i="15"/>
  <c r="BC60" i="15"/>
  <c r="BC61" i="15"/>
  <c r="BC62" i="15"/>
  <c r="BC63" i="15"/>
  <c r="BC64" i="15"/>
  <c r="BC65" i="15"/>
  <c r="BC66" i="15"/>
  <c r="BC67" i="15"/>
  <c r="BC68" i="15"/>
  <c r="BC69" i="15"/>
  <c r="BC70" i="15"/>
  <c r="BC71" i="15"/>
  <c r="BC72" i="15"/>
  <c r="BC73" i="15"/>
  <c r="BC74" i="15"/>
  <c r="BC75" i="15"/>
  <c r="BC76" i="15"/>
  <c r="BC77" i="15"/>
  <c r="BC78" i="15"/>
  <c r="BC79" i="15"/>
  <c r="BC80" i="15"/>
  <c r="BC81" i="15"/>
  <c r="BC82" i="15"/>
  <c r="BC83" i="15"/>
  <c r="BC84" i="15"/>
  <c r="BC85" i="15"/>
  <c r="BC86" i="15"/>
  <c r="BC87" i="15"/>
  <c r="BC88" i="15"/>
  <c r="BC89" i="15"/>
  <c r="BC90" i="15"/>
  <c r="BC91" i="15"/>
  <c r="BC92" i="15"/>
  <c r="BC93" i="15"/>
  <c r="BC94" i="15"/>
  <c r="BC95" i="15"/>
  <c r="BC96" i="15"/>
  <c r="BC97" i="15"/>
  <c r="BC98" i="15"/>
  <c r="BC99" i="15"/>
  <c r="BC100" i="15"/>
  <c r="BC101" i="15"/>
  <c r="BC102" i="15"/>
  <c r="BC103" i="15"/>
  <c r="BC104" i="15"/>
  <c r="BC105" i="15"/>
  <c r="BC106" i="15"/>
  <c r="BC107" i="15"/>
  <c r="BC108" i="15"/>
  <c r="BC109" i="15"/>
  <c r="BC110" i="15"/>
  <c r="BC111" i="15"/>
  <c r="BC112" i="15"/>
  <c r="BC113" i="15"/>
  <c r="BC114" i="15"/>
  <c r="BC115" i="15"/>
  <c r="BC116" i="15"/>
  <c r="BC117" i="15"/>
  <c r="BC118" i="15"/>
  <c r="BC119" i="15"/>
  <c r="BC120" i="15"/>
  <c r="BC121" i="15"/>
  <c r="BC122" i="15"/>
  <c r="BC123" i="15"/>
  <c r="BC124" i="15"/>
  <c r="BC125" i="15"/>
  <c r="BC126" i="15"/>
  <c r="BC127" i="15"/>
  <c r="BC128" i="15"/>
  <c r="BC129" i="15"/>
  <c r="BC130" i="15"/>
  <c r="BC131" i="15"/>
  <c r="BC132" i="15"/>
  <c r="BC133" i="15"/>
  <c r="BC134" i="15"/>
  <c r="BC135" i="15"/>
  <c r="BC136" i="15"/>
  <c r="BC137" i="15"/>
  <c r="BC138" i="15"/>
  <c r="BC139" i="15"/>
  <c r="BC140" i="15"/>
  <c r="BC141" i="15"/>
  <c r="BC142" i="15"/>
  <c r="BC143" i="15"/>
  <c r="BC144" i="15"/>
  <c r="BC145" i="15"/>
  <c r="BC146" i="15"/>
  <c r="BC147" i="15"/>
  <c r="BC148" i="15"/>
  <c r="BC149" i="15"/>
  <c r="BC150" i="15"/>
  <c r="BC151" i="15"/>
  <c r="BC152" i="15"/>
  <c r="BC153" i="15"/>
  <c r="BC154" i="15"/>
  <c r="BC155" i="15"/>
  <c r="BC156" i="15"/>
  <c r="BC157" i="15"/>
  <c r="BC158" i="15"/>
  <c r="BC159" i="15"/>
  <c r="BC160" i="15"/>
  <c r="BC161" i="15"/>
  <c r="BC162" i="15"/>
  <c r="BC163" i="15"/>
  <c r="BC164" i="15"/>
  <c r="BC165" i="15"/>
  <c r="BC166" i="15"/>
  <c r="BC167" i="15"/>
  <c r="BC168" i="15"/>
  <c r="BC169" i="15"/>
  <c r="BC170" i="15"/>
  <c r="BC171" i="15"/>
  <c r="BC172" i="15"/>
  <c r="BC173" i="15"/>
  <c r="BC174" i="15"/>
  <c r="BC175" i="15"/>
  <c r="BC176" i="15"/>
  <c r="BC177" i="15"/>
  <c r="BC178" i="15"/>
  <c r="BC179" i="15"/>
  <c r="BC180" i="15"/>
  <c r="BC181" i="15"/>
  <c r="BC182" i="15"/>
  <c r="BC183" i="15"/>
  <c r="BC184" i="15"/>
  <c r="BC185" i="15"/>
  <c r="BC186" i="15"/>
  <c r="BC187" i="15"/>
  <c r="BC188" i="15"/>
  <c r="BC189" i="15"/>
  <c r="BC190" i="15"/>
  <c r="BC191" i="15"/>
  <c r="BC192" i="15"/>
  <c r="BC193" i="15"/>
  <c r="BC194" i="15"/>
  <c r="BC195" i="15"/>
  <c r="BC196" i="15"/>
  <c r="BC197" i="15"/>
  <c r="BC198" i="15"/>
  <c r="BC199" i="15"/>
  <c r="BC200" i="15"/>
  <c r="BC201" i="15"/>
  <c r="BC202" i="15"/>
  <c r="BC203" i="15"/>
  <c r="BC204" i="15"/>
  <c r="BC205" i="15"/>
  <c r="BC206" i="15"/>
  <c r="BC207" i="15"/>
  <c r="BC208" i="15"/>
  <c r="BC209" i="15"/>
  <c r="BC210" i="15"/>
  <c r="BC211" i="15"/>
  <c r="BC212" i="15"/>
  <c r="BC213" i="15"/>
  <c r="BC214" i="15"/>
  <c r="BC215" i="15"/>
  <c r="BC216" i="15"/>
  <c r="BC217" i="15"/>
  <c r="BC218" i="15"/>
  <c r="BC219" i="15"/>
  <c r="BC220" i="15"/>
  <c r="BC221" i="15"/>
  <c r="BC222" i="15"/>
  <c r="BC223" i="15"/>
  <c r="BC224" i="15"/>
  <c r="BC225" i="15"/>
  <c r="BC226" i="15"/>
  <c r="BC227" i="15"/>
  <c r="BC228" i="15"/>
  <c r="BC229" i="15"/>
  <c r="BC230" i="15"/>
  <c r="AI3" i="15"/>
  <c r="AI4" i="15"/>
  <c r="AI5" i="15"/>
  <c r="AI6" i="15"/>
  <c r="AI7" i="15"/>
  <c r="AI8" i="15"/>
  <c r="AI9" i="15"/>
  <c r="AI10" i="15"/>
  <c r="AI11" i="15"/>
  <c r="AI12" i="15"/>
  <c r="AI13" i="15"/>
  <c r="AI14" i="15"/>
  <c r="AI15" i="15"/>
  <c r="AI16" i="15"/>
  <c r="AI17" i="15"/>
  <c r="AI18" i="15"/>
  <c r="AI19" i="15"/>
  <c r="AI20" i="15"/>
  <c r="AI21" i="15"/>
  <c r="AI22" i="15"/>
  <c r="AI23" i="15"/>
  <c r="AI24" i="15"/>
  <c r="AI25" i="15"/>
  <c r="AI26" i="15"/>
  <c r="AI27" i="15"/>
  <c r="AI28" i="15"/>
  <c r="AI29" i="15"/>
  <c r="AI30" i="15"/>
  <c r="AI31" i="15"/>
  <c r="AI32" i="15"/>
  <c r="AI33" i="15"/>
  <c r="AI34" i="15"/>
  <c r="AI35" i="15"/>
  <c r="AI36" i="15"/>
  <c r="AI37" i="15"/>
  <c r="AI38" i="15"/>
  <c r="AI39" i="15"/>
  <c r="AI40" i="15"/>
  <c r="AI41" i="15"/>
  <c r="AI42" i="15"/>
  <c r="AI43" i="15"/>
  <c r="AI44" i="15"/>
  <c r="AI45" i="15"/>
  <c r="AI46" i="15"/>
  <c r="AI47" i="15"/>
  <c r="AI48" i="15"/>
  <c r="AI49" i="15"/>
  <c r="AI50" i="15"/>
  <c r="AI51" i="15"/>
  <c r="AI52" i="15"/>
  <c r="AI53" i="15"/>
  <c r="AI54" i="15"/>
  <c r="AI55" i="15"/>
  <c r="AI56" i="15"/>
  <c r="AI57" i="15"/>
  <c r="AI58" i="15"/>
  <c r="AI59" i="15"/>
  <c r="AI60" i="15"/>
  <c r="AI61" i="15"/>
  <c r="AI62" i="15"/>
  <c r="AI63" i="15"/>
  <c r="AI64" i="15"/>
  <c r="AI65" i="15"/>
  <c r="AI66" i="15"/>
  <c r="AI67" i="15"/>
  <c r="AI68" i="15"/>
  <c r="AI69" i="15"/>
  <c r="AI70" i="15"/>
  <c r="AI71" i="15"/>
  <c r="AI72" i="15"/>
  <c r="AI73" i="15"/>
  <c r="AI74" i="15"/>
  <c r="AI75" i="15"/>
  <c r="AI76" i="15"/>
  <c r="AI77" i="15"/>
  <c r="AI78" i="15"/>
  <c r="AI79" i="15"/>
  <c r="AI80" i="15"/>
  <c r="AI81" i="15"/>
  <c r="AI82" i="15"/>
  <c r="AI83" i="15"/>
  <c r="AI84" i="15"/>
  <c r="AI85" i="15"/>
  <c r="AI86" i="15"/>
  <c r="AI87" i="15"/>
  <c r="AI88" i="15"/>
  <c r="AI89" i="15"/>
  <c r="AI90" i="15"/>
  <c r="AI91" i="15"/>
  <c r="AI92" i="15"/>
  <c r="AI93" i="15"/>
  <c r="AI94" i="15"/>
  <c r="AI95" i="15"/>
  <c r="AI96" i="15"/>
  <c r="AI97" i="15"/>
  <c r="AI98" i="15"/>
  <c r="AI99" i="15"/>
  <c r="AI100" i="15"/>
  <c r="AI101" i="15"/>
  <c r="AI102" i="15"/>
  <c r="AI103" i="15"/>
  <c r="AI104" i="15"/>
  <c r="AI105" i="15"/>
  <c r="AI106" i="15"/>
  <c r="AI107" i="15"/>
  <c r="AI108" i="15"/>
  <c r="AI109" i="15"/>
  <c r="AI110" i="15"/>
  <c r="AI111" i="15"/>
  <c r="AI112" i="15"/>
  <c r="AI113" i="15"/>
  <c r="AI114" i="15"/>
  <c r="AI115" i="15"/>
  <c r="AI116" i="15"/>
  <c r="AI117" i="15"/>
  <c r="AI118" i="15"/>
  <c r="AI119" i="15"/>
  <c r="AI120" i="15"/>
  <c r="AI121" i="15"/>
  <c r="AI122" i="15"/>
  <c r="AI123" i="15"/>
  <c r="AI124" i="15"/>
  <c r="AI125" i="15"/>
  <c r="AI126" i="15"/>
  <c r="AI127" i="15"/>
  <c r="AI128" i="15"/>
  <c r="AI129" i="15"/>
  <c r="AI130" i="15"/>
  <c r="AI131" i="15"/>
  <c r="AI132" i="15"/>
  <c r="AI133" i="15"/>
  <c r="AI134" i="15"/>
  <c r="AI135" i="15"/>
  <c r="AI136" i="15"/>
  <c r="AI137" i="15"/>
  <c r="AI138" i="15"/>
  <c r="AI139" i="15"/>
  <c r="AI140" i="15"/>
  <c r="AI141" i="15"/>
  <c r="AI142" i="15"/>
  <c r="AI143" i="15"/>
  <c r="AI144" i="15"/>
  <c r="AI145" i="15"/>
  <c r="AI146" i="15"/>
  <c r="AI147" i="15"/>
  <c r="AI148" i="15"/>
  <c r="AI149" i="15"/>
  <c r="AI150" i="15"/>
  <c r="AI151" i="15"/>
  <c r="AI152" i="15"/>
  <c r="AI153" i="15"/>
  <c r="AI154" i="15"/>
  <c r="AI155" i="15"/>
  <c r="AI156" i="15"/>
  <c r="AI157" i="15"/>
  <c r="AI158" i="15"/>
  <c r="AI159" i="15"/>
  <c r="AI160" i="15"/>
  <c r="AI161" i="15"/>
  <c r="AI162" i="15"/>
  <c r="AI163" i="15"/>
  <c r="AI164" i="15"/>
  <c r="AI165" i="15"/>
  <c r="AI166" i="15"/>
  <c r="AI167" i="15"/>
  <c r="AI168" i="15"/>
  <c r="AI169" i="15"/>
  <c r="AI170" i="15"/>
  <c r="AI171" i="15"/>
  <c r="AI172" i="15"/>
  <c r="AI173" i="15"/>
  <c r="AI174" i="15"/>
  <c r="AI175" i="15"/>
  <c r="AI176" i="15"/>
  <c r="AI177" i="15"/>
  <c r="AI178" i="15"/>
  <c r="AI179" i="15"/>
  <c r="AI180" i="15"/>
  <c r="AI181" i="15"/>
  <c r="AI182" i="15"/>
  <c r="AI183" i="15"/>
  <c r="AI184" i="15"/>
  <c r="AI185" i="15"/>
  <c r="AI186" i="15"/>
  <c r="AI187" i="15"/>
  <c r="AI188" i="15"/>
  <c r="AI189" i="15"/>
  <c r="AI190" i="15"/>
  <c r="AI191" i="15"/>
  <c r="AI192" i="15"/>
  <c r="AI193" i="15"/>
  <c r="AI194" i="15"/>
  <c r="AI195" i="15"/>
  <c r="AI196" i="15"/>
  <c r="AI197" i="15"/>
  <c r="AI198" i="15"/>
  <c r="AI199" i="15"/>
  <c r="AI200" i="15"/>
  <c r="AI201" i="15"/>
  <c r="AI202" i="15"/>
  <c r="AI203" i="15"/>
  <c r="AI204" i="15"/>
  <c r="AI205" i="15"/>
  <c r="AI206" i="15"/>
  <c r="AI207" i="15"/>
  <c r="AI208" i="15"/>
  <c r="AI209" i="15"/>
  <c r="AI210" i="15"/>
  <c r="AI211" i="15"/>
  <c r="AI212" i="15"/>
  <c r="AI213" i="15"/>
  <c r="AI214" i="15"/>
  <c r="AI215" i="15"/>
  <c r="AI216" i="15"/>
  <c r="AI217" i="15"/>
  <c r="AI218" i="15"/>
  <c r="AI219" i="15"/>
  <c r="AI220" i="15"/>
  <c r="AI221" i="15"/>
  <c r="AI222" i="15"/>
  <c r="AI223" i="15"/>
  <c r="AI224" i="15"/>
  <c r="AI225" i="15"/>
  <c r="AI226" i="15"/>
  <c r="AI227" i="15"/>
  <c r="AI228" i="15"/>
  <c r="AI229" i="15"/>
  <c r="AI230" i="15"/>
  <c r="W10" i="6"/>
  <c r="W18" i="6"/>
  <c r="W26" i="6"/>
  <c r="W34" i="6"/>
  <c r="W50" i="6"/>
  <c r="W66" i="6"/>
  <c r="W74" i="6"/>
  <c r="W82" i="6"/>
  <c r="W90" i="6"/>
  <c r="W98" i="6"/>
  <c r="W114" i="6"/>
  <c r="W122" i="6"/>
  <c r="W130" i="6"/>
  <c r="W138" i="6"/>
  <c r="W146" i="6"/>
  <c r="W154" i="6"/>
  <c r="W162" i="6"/>
  <c r="W170" i="6"/>
  <c r="W186" i="6"/>
  <c r="W194" i="6"/>
  <c r="W202" i="6"/>
  <c r="W209" i="6"/>
  <c r="W210" i="6"/>
  <c r="W217" i="6"/>
  <c r="W218" i="6"/>
  <c r="W225" i="6"/>
  <c r="W226" i="6"/>
  <c r="AD3" i="15"/>
  <c r="AD4" i="15"/>
  <c r="AD5" i="15"/>
  <c r="AD6" i="15"/>
  <c r="AD7" i="15"/>
  <c r="AD8" i="15"/>
  <c r="AD9" i="15"/>
  <c r="AD10" i="15"/>
  <c r="AD11" i="15"/>
  <c r="AD12" i="15"/>
  <c r="AD13" i="15"/>
  <c r="AD14" i="15"/>
  <c r="AD15" i="15"/>
  <c r="AD16" i="15"/>
  <c r="AD17" i="15"/>
  <c r="AD18" i="15"/>
  <c r="AD19" i="15"/>
  <c r="AD20" i="15"/>
  <c r="AD21" i="15"/>
  <c r="AD22" i="15"/>
  <c r="AD23" i="15"/>
  <c r="AD24" i="15"/>
  <c r="AD25" i="15"/>
  <c r="AD26" i="15"/>
  <c r="AD27" i="15"/>
  <c r="AD28" i="15"/>
  <c r="AD29" i="15"/>
  <c r="AD30" i="15"/>
  <c r="AD31" i="15"/>
  <c r="AD32" i="15"/>
  <c r="AD33" i="15"/>
  <c r="AD34" i="15"/>
  <c r="AD35" i="15"/>
  <c r="AD36" i="15"/>
  <c r="AD37" i="15"/>
  <c r="AD38" i="15"/>
  <c r="AD39" i="15"/>
  <c r="AD40" i="15"/>
  <c r="AD41" i="15"/>
  <c r="AD42" i="15"/>
  <c r="AD43" i="15"/>
  <c r="AD44" i="15"/>
  <c r="AD45" i="15"/>
  <c r="AD46" i="15"/>
  <c r="AD47" i="15"/>
  <c r="AD48" i="15"/>
  <c r="AD49" i="15"/>
  <c r="AD50" i="15"/>
  <c r="AD51" i="15"/>
  <c r="AD52" i="15"/>
  <c r="AD53" i="15"/>
  <c r="AD54" i="15"/>
  <c r="AD55" i="15"/>
  <c r="AD56" i="15"/>
  <c r="AD57" i="15"/>
  <c r="AD58" i="15"/>
  <c r="AD59" i="15"/>
  <c r="AD60" i="15"/>
  <c r="AD61" i="15"/>
  <c r="AD62" i="15"/>
  <c r="AD63" i="15"/>
  <c r="AD64" i="15"/>
  <c r="AD65" i="15"/>
  <c r="AD66" i="15"/>
  <c r="AD67" i="15"/>
  <c r="AD68" i="15"/>
  <c r="AD69" i="15"/>
  <c r="AD70" i="15"/>
  <c r="AD71" i="15"/>
  <c r="AD72" i="15"/>
  <c r="AD73" i="15"/>
  <c r="AD74" i="15"/>
  <c r="AD75" i="15"/>
  <c r="AD76" i="15"/>
  <c r="AD77" i="15"/>
  <c r="AD78" i="15"/>
  <c r="AD79" i="15"/>
  <c r="AD80" i="15"/>
  <c r="AD81" i="15"/>
  <c r="AD82" i="15"/>
  <c r="AD83" i="15"/>
  <c r="AD84" i="15"/>
  <c r="AD85" i="15"/>
  <c r="AD86" i="15"/>
  <c r="AD87" i="15"/>
  <c r="AD88" i="15"/>
  <c r="AD89" i="15"/>
  <c r="AD90" i="15"/>
  <c r="AD91" i="15"/>
  <c r="AD92" i="15"/>
  <c r="AD93" i="15"/>
  <c r="AD94" i="15"/>
  <c r="AD95" i="15"/>
  <c r="AD96" i="15"/>
  <c r="AD97" i="15"/>
  <c r="AD98" i="15"/>
  <c r="AD99" i="15"/>
  <c r="AD100" i="15"/>
  <c r="AD101" i="15"/>
  <c r="AD102" i="15"/>
  <c r="AD103" i="15"/>
  <c r="AD104" i="15"/>
  <c r="AD105" i="15"/>
  <c r="AD106" i="15"/>
  <c r="AD107" i="15"/>
  <c r="AD108" i="15"/>
  <c r="AD109" i="15"/>
  <c r="AD110" i="15"/>
  <c r="AD111" i="15"/>
  <c r="AD112" i="15"/>
  <c r="AD113" i="15"/>
  <c r="AD114" i="15"/>
  <c r="AD115" i="15"/>
  <c r="AD116" i="15"/>
  <c r="AD117" i="15"/>
  <c r="AD118" i="15"/>
  <c r="AD119" i="15"/>
  <c r="AD120" i="15"/>
  <c r="AD121" i="15"/>
  <c r="AD122" i="15"/>
  <c r="AD123" i="15"/>
  <c r="AD124" i="15"/>
  <c r="AD125" i="15"/>
  <c r="AD126" i="15"/>
  <c r="AD127" i="15"/>
  <c r="AD128" i="15"/>
  <c r="AD129" i="15"/>
  <c r="AD130" i="15"/>
  <c r="AD131" i="15"/>
  <c r="AD132" i="15"/>
  <c r="AD133" i="15"/>
  <c r="AD134" i="15"/>
  <c r="AD135" i="15"/>
  <c r="AD136" i="15"/>
  <c r="AD137" i="15"/>
  <c r="AD138" i="15"/>
  <c r="AD139" i="15"/>
  <c r="AD140" i="15"/>
  <c r="AD141" i="15"/>
  <c r="AD142" i="15"/>
  <c r="AD143" i="15"/>
  <c r="AD144" i="15"/>
  <c r="AD145" i="15"/>
  <c r="AD146" i="15"/>
  <c r="AD147" i="15"/>
  <c r="AD148" i="15"/>
  <c r="AD149" i="15"/>
  <c r="AD150" i="15"/>
  <c r="AD151" i="15"/>
  <c r="AD152" i="15"/>
  <c r="AD153" i="15"/>
  <c r="AD154" i="15"/>
  <c r="AD155" i="15"/>
  <c r="AD156" i="15"/>
  <c r="AD157" i="15"/>
  <c r="AD158" i="15"/>
  <c r="AD159" i="15"/>
  <c r="AD160" i="15"/>
  <c r="AD161" i="15"/>
  <c r="AD162" i="15"/>
  <c r="AD163" i="15"/>
  <c r="AD164" i="15"/>
  <c r="AD165" i="15"/>
  <c r="AD166" i="15"/>
  <c r="AD167" i="15"/>
  <c r="AD168" i="15"/>
  <c r="AD169" i="15"/>
  <c r="AD170" i="15"/>
  <c r="AD171" i="15"/>
  <c r="AD172" i="15"/>
  <c r="AD173" i="15"/>
  <c r="AD174" i="15"/>
  <c r="AD175" i="15"/>
  <c r="AD176" i="15"/>
  <c r="AD177" i="15"/>
  <c r="AD178" i="15"/>
  <c r="AD179" i="15"/>
  <c r="AD180" i="15"/>
  <c r="AD181" i="15"/>
  <c r="AD182" i="15"/>
  <c r="AD183" i="15"/>
  <c r="AD184" i="15"/>
  <c r="AD185" i="15"/>
  <c r="AD186" i="15"/>
  <c r="AD187" i="15"/>
  <c r="AD188" i="15"/>
  <c r="AD189" i="15"/>
  <c r="AD190" i="15"/>
  <c r="AD191" i="15"/>
  <c r="AD192" i="15"/>
  <c r="AD193" i="15"/>
  <c r="AD194" i="15"/>
  <c r="AD195" i="15"/>
  <c r="AD196" i="15"/>
  <c r="AD197" i="15"/>
  <c r="AD198" i="15"/>
  <c r="AD199" i="15"/>
  <c r="AD200" i="15"/>
  <c r="AD201" i="15"/>
  <c r="AD202" i="15"/>
  <c r="AD203" i="15"/>
  <c r="AD204" i="15"/>
  <c r="AD205" i="15"/>
  <c r="AD206" i="15"/>
  <c r="AD207" i="15"/>
  <c r="AD208" i="15"/>
  <c r="AD209" i="15"/>
  <c r="AD210" i="15"/>
  <c r="AD211" i="15"/>
  <c r="AD212" i="15"/>
  <c r="AD213" i="15"/>
  <c r="AD214" i="15"/>
  <c r="AD215" i="15"/>
  <c r="AD216" i="15"/>
  <c r="AD217" i="15"/>
  <c r="AD218" i="15"/>
  <c r="AD219" i="15"/>
  <c r="AD220" i="15"/>
  <c r="AD221" i="15"/>
  <c r="AD222" i="15"/>
  <c r="AD223" i="15"/>
  <c r="AD224" i="15"/>
  <c r="AD225" i="15"/>
  <c r="AD226" i="15"/>
  <c r="AD227" i="15"/>
  <c r="AD228" i="15"/>
  <c r="AD229" i="15"/>
  <c r="AD230" i="15"/>
  <c r="S3" i="15"/>
  <c r="S4" i="15"/>
  <c r="S5" i="15"/>
  <c r="S6" i="15"/>
  <c r="S7" i="15"/>
  <c r="S8" i="15"/>
  <c r="S9" i="15"/>
  <c r="S10" i="15"/>
  <c r="S11" i="15"/>
  <c r="S12" i="15"/>
  <c r="S13" i="15"/>
  <c r="S14" i="15"/>
  <c r="S15" i="15"/>
  <c r="S16" i="15"/>
  <c r="S17" i="15"/>
  <c r="S18" i="15"/>
  <c r="S19" i="15"/>
  <c r="S20" i="15"/>
  <c r="S21" i="15"/>
  <c r="S22" i="15"/>
  <c r="S23" i="15"/>
  <c r="S24" i="15"/>
  <c r="S25" i="15"/>
  <c r="S26" i="15"/>
  <c r="S27" i="15"/>
  <c r="S28" i="15"/>
  <c r="S29" i="15"/>
  <c r="S30" i="15"/>
  <c r="S31" i="15"/>
  <c r="S32" i="15"/>
  <c r="S33" i="15"/>
  <c r="S34" i="15"/>
  <c r="S35" i="15"/>
  <c r="S36" i="15"/>
  <c r="S37" i="15"/>
  <c r="S38" i="15"/>
  <c r="S39" i="15"/>
  <c r="S40" i="15"/>
  <c r="S41" i="15"/>
  <c r="S42" i="15"/>
  <c r="S43" i="15"/>
  <c r="S44" i="15"/>
  <c r="S45" i="15"/>
  <c r="S46" i="15"/>
  <c r="S47" i="15"/>
  <c r="S48" i="15"/>
  <c r="S49" i="15"/>
  <c r="S50" i="15"/>
  <c r="S51" i="15"/>
  <c r="S52" i="15"/>
  <c r="S53" i="15"/>
  <c r="S54" i="15"/>
  <c r="S55" i="15"/>
  <c r="S56" i="15"/>
  <c r="S57" i="15"/>
  <c r="S58" i="15"/>
  <c r="S59" i="15"/>
  <c r="S60" i="15"/>
  <c r="S61" i="15"/>
  <c r="S62" i="15"/>
  <c r="S63" i="15"/>
  <c r="S64" i="15"/>
  <c r="S65" i="15"/>
  <c r="S66" i="15"/>
  <c r="S67" i="15"/>
  <c r="S68" i="15"/>
  <c r="S69" i="15"/>
  <c r="S70" i="15"/>
  <c r="S71" i="15"/>
  <c r="S72" i="15"/>
  <c r="S73" i="15"/>
  <c r="S74" i="15"/>
  <c r="S75" i="15"/>
  <c r="S76" i="15"/>
  <c r="S77" i="15"/>
  <c r="S78" i="15"/>
  <c r="S79" i="15"/>
  <c r="S80" i="15"/>
  <c r="S81" i="15"/>
  <c r="S82" i="15"/>
  <c r="S83" i="15"/>
  <c r="S84" i="15"/>
  <c r="S85" i="15"/>
  <c r="S86" i="15"/>
  <c r="S87" i="15"/>
  <c r="S88" i="15"/>
  <c r="S89" i="15"/>
  <c r="S90" i="15"/>
  <c r="S91" i="15"/>
  <c r="S92" i="15"/>
  <c r="S93" i="15"/>
  <c r="S94" i="15"/>
  <c r="S95" i="15"/>
  <c r="S96" i="15"/>
  <c r="S97" i="15"/>
  <c r="S98" i="15"/>
  <c r="S99" i="15"/>
  <c r="S100" i="15"/>
  <c r="S101" i="15"/>
  <c r="S102" i="15"/>
  <c r="S103" i="15"/>
  <c r="S104" i="15"/>
  <c r="S105" i="15"/>
  <c r="S106" i="15"/>
  <c r="S107" i="15"/>
  <c r="S108" i="15"/>
  <c r="S109" i="15"/>
  <c r="S110" i="15"/>
  <c r="S111" i="15"/>
  <c r="S112" i="15"/>
  <c r="S113" i="15"/>
  <c r="S114" i="15"/>
  <c r="S115" i="15"/>
  <c r="S116" i="15"/>
  <c r="S117" i="15"/>
  <c r="S118" i="15"/>
  <c r="S119" i="15"/>
  <c r="S120" i="15"/>
  <c r="S121" i="15"/>
  <c r="S122" i="15"/>
  <c r="S123" i="15"/>
  <c r="S124" i="15"/>
  <c r="S125" i="15"/>
  <c r="S126" i="15"/>
  <c r="S127" i="15"/>
  <c r="S128" i="15"/>
  <c r="S129" i="15"/>
  <c r="S130" i="15"/>
  <c r="S131" i="15"/>
  <c r="S132" i="15"/>
  <c r="S133" i="15"/>
  <c r="S134" i="15"/>
  <c r="S135" i="15"/>
  <c r="S136" i="15"/>
  <c r="S137" i="15"/>
  <c r="S138" i="15"/>
  <c r="S139" i="15"/>
  <c r="S140" i="15"/>
  <c r="S141" i="15"/>
  <c r="S142" i="15"/>
  <c r="S143" i="15"/>
  <c r="S144" i="15"/>
  <c r="S145" i="15"/>
  <c r="S146" i="15"/>
  <c r="S147" i="15"/>
  <c r="S148" i="15"/>
  <c r="S149" i="15"/>
  <c r="S150" i="15"/>
  <c r="S151" i="15"/>
  <c r="S152" i="15"/>
  <c r="S153" i="15"/>
  <c r="S154" i="15"/>
  <c r="S155" i="15"/>
  <c r="S156" i="15"/>
  <c r="S157" i="15"/>
  <c r="S158" i="15"/>
  <c r="S159" i="15"/>
  <c r="S160" i="15"/>
  <c r="S161" i="15"/>
  <c r="S162" i="15"/>
  <c r="S163" i="15"/>
  <c r="S164" i="15"/>
  <c r="S165" i="15"/>
  <c r="S166" i="15"/>
  <c r="S167" i="15"/>
  <c r="S168" i="15"/>
  <c r="S169" i="15"/>
  <c r="S170" i="15"/>
  <c r="S171" i="15"/>
  <c r="S172" i="15"/>
  <c r="S173" i="15"/>
  <c r="S174" i="15"/>
  <c r="S175" i="15"/>
  <c r="S176" i="15"/>
  <c r="S177" i="15"/>
  <c r="S178" i="15"/>
  <c r="S179" i="15"/>
  <c r="S180" i="15"/>
  <c r="S181" i="15"/>
  <c r="S182" i="15"/>
  <c r="S183" i="15"/>
  <c r="S184" i="15"/>
  <c r="S185" i="15"/>
  <c r="S186" i="15"/>
  <c r="S187" i="15"/>
  <c r="S188" i="15"/>
  <c r="S189" i="15"/>
  <c r="S190" i="15"/>
  <c r="S191" i="15"/>
  <c r="S192" i="15"/>
  <c r="S193" i="15"/>
  <c r="S194" i="15"/>
  <c r="S195" i="15"/>
  <c r="S196" i="15"/>
  <c r="S197" i="15"/>
  <c r="S198" i="15"/>
  <c r="S199" i="15"/>
  <c r="S200" i="15"/>
  <c r="S201" i="15"/>
  <c r="S202" i="15"/>
  <c r="S203" i="15"/>
  <c r="S204" i="15"/>
  <c r="S205" i="15"/>
  <c r="S206" i="15"/>
  <c r="S207" i="15"/>
  <c r="S208" i="15"/>
  <c r="S209" i="15"/>
  <c r="S210" i="15"/>
  <c r="S211" i="15"/>
  <c r="S212" i="15"/>
  <c r="S213" i="15"/>
  <c r="S214" i="15"/>
  <c r="S215" i="15"/>
  <c r="S216" i="15"/>
  <c r="S217" i="15"/>
  <c r="S218" i="15"/>
  <c r="S219" i="15"/>
  <c r="S220" i="15"/>
  <c r="S221" i="15"/>
  <c r="S222" i="15"/>
  <c r="S223" i="15"/>
  <c r="S224" i="15"/>
  <c r="S225" i="15"/>
  <c r="S226" i="15"/>
  <c r="S227" i="15"/>
  <c r="S228" i="15"/>
  <c r="S229" i="15"/>
  <c r="S230" i="15"/>
  <c r="N3" i="15"/>
  <c r="N4" i="15"/>
  <c r="N5" i="15"/>
  <c r="N6" i="15"/>
  <c r="N7" i="15"/>
  <c r="N8" i="15"/>
  <c r="N9" i="15"/>
  <c r="N10" i="15"/>
  <c r="N11" i="15"/>
  <c r="N12" i="15"/>
  <c r="N13" i="15"/>
  <c r="N14" i="15"/>
  <c r="N15" i="15"/>
  <c r="N16" i="15"/>
  <c r="N17" i="15"/>
  <c r="N18" i="15"/>
  <c r="N19" i="15"/>
  <c r="N20" i="15"/>
  <c r="N21" i="15"/>
  <c r="N22" i="15"/>
  <c r="N23" i="15"/>
  <c r="N24" i="15"/>
  <c r="N25" i="15"/>
  <c r="N26" i="15"/>
  <c r="N27" i="15"/>
  <c r="N28" i="15"/>
  <c r="N29" i="15"/>
  <c r="N30" i="15"/>
  <c r="N31" i="15"/>
  <c r="N32" i="15"/>
  <c r="N33" i="15"/>
  <c r="N34" i="15"/>
  <c r="N35" i="15"/>
  <c r="N36" i="15"/>
  <c r="N37" i="15"/>
  <c r="N38" i="15"/>
  <c r="N39" i="15"/>
  <c r="N40" i="15"/>
  <c r="N41" i="15"/>
  <c r="N42" i="15"/>
  <c r="N43" i="15"/>
  <c r="N44" i="15"/>
  <c r="N45" i="15"/>
  <c r="N46" i="15"/>
  <c r="N47" i="15"/>
  <c r="N48" i="15"/>
  <c r="N49" i="15"/>
  <c r="N50" i="15"/>
  <c r="N51" i="15"/>
  <c r="N52" i="15"/>
  <c r="N53" i="15"/>
  <c r="N54" i="15"/>
  <c r="N55" i="15"/>
  <c r="N56" i="15"/>
  <c r="N57" i="15"/>
  <c r="N58" i="15"/>
  <c r="N59" i="15"/>
  <c r="N60" i="15"/>
  <c r="N61" i="15"/>
  <c r="N62" i="15"/>
  <c r="N63" i="15"/>
  <c r="N64" i="15"/>
  <c r="N65" i="15"/>
  <c r="N66" i="15"/>
  <c r="N67" i="15"/>
  <c r="N68" i="15"/>
  <c r="N69" i="15"/>
  <c r="N70" i="15"/>
  <c r="N71" i="15"/>
  <c r="N72" i="15"/>
  <c r="N73" i="15"/>
  <c r="N74" i="15"/>
  <c r="N75" i="15"/>
  <c r="N76" i="15"/>
  <c r="N77" i="15"/>
  <c r="N78" i="15"/>
  <c r="N79" i="15"/>
  <c r="N80" i="15"/>
  <c r="N81" i="15"/>
  <c r="N82" i="15"/>
  <c r="N83" i="15"/>
  <c r="N84" i="15"/>
  <c r="N85" i="15"/>
  <c r="N86" i="15"/>
  <c r="N87" i="15"/>
  <c r="N88" i="15"/>
  <c r="N89" i="15"/>
  <c r="N90" i="15"/>
  <c r="N91" i="15"/>
  <c r="N92" i="15"/>
  <c r="N93" i="15"/>
  <c r="N94" i="15"/>
  <c r="N95" i="15"/>
  <c r="N96" i="15"/>
  <c r="N97" i="15"/>
  <c r="N98" i="15"/>
  <c r="N99" i="15"/>
  <c r="N100" i="15"/>
  <c r="N101" i="15"/>
  <c r="N102" i="15"/>
  <c r="N103" i="15"/>
  <c r="N104" i="15"/>
  <c r="N105" i="15"/>
  <c r="N106" i="15"/>
  <c r="N107" i="15"/>
  <c r="N108" i="15"/>
  <c r="N109" i="15"/>
  <c r="N110" i="15"/>
  <c r="N111" i="15"/>
  <c r="N112" i="15"/>
  <c r="N113" i="15"/>
  <c r="N114" i="15"/>
  <c r="N115" i="15"/>
  <c r="N116" i="15"/>
  <c r="N117" i="15"/>
  <c r="N118" i="15"/>
  <c r="N119" i="15"/>
  <c r="N120" i="15"/>
  <c r="N121" i="15"/>
  <c r="N122" i="15"/>
  <c r="N123" i="15"/>
  <c r="N124" i="15"/>
  <c r="N125" i="15"/>
  <c r="N126" i="15"/>
  <c r="N127" i="15"/>
  <c r="N128" i="15"/>
  <c r="N129" i="15"/>
  <c r="N130" i="15"/>
  <c r="N131" i="15"/>
  <c r="N132" i="15"/>
  <c r="N133" i="15"/>
  <c r="N134" i="15"/>
  <c r="N135" i="15"/>
  <c r="N136" i="15"/>
  <c r="N137" i="15"/>
  <c r="N138" i="15"/>
  <c r="N139" i="15"/>
  <c r="N140" i="15"/>
  <c r="N141" i="15"/>
  <c r="N142" i="15"/>
  <c r="N143" i="15"/>
  <c r="N144" i="15"/>
  <c r="N145" i="15"/>
  <c r="N146" i="15"/>
  <c r="N147" i="15"/>
  <c r="N148" i="15"/>
  <c r="N149" i="15"/>
  <c r="N150" i="15"/>
  <c r="N151" i="15"/>
  <c r="N152" i="15"/>
  <c r="N153" i="15"/>
  <c r="N154" i="15"/>
  <c r="N155" i="15"/>
  <c r="N156" i="15"/>
  <c r="N157" i="15"/>
  <c r="N158" i="15"/>
  <c r="N159" i="15"/>
  <c r="N160" i="15"/>
  <c r="N161" i="15"/>
  <c r="N162" i="15"/>
  <c r="N163" i="15"/>
  <c r="N164" i="15"/>
  <c r="N165" i="15"/>
  <c r="N166" i="15"/>
  <c r="N167" i="15"/>
  <c r="N168" i="15"/>
  <c r="N169" i="15"/>
  <c r="N170" i="15"/>
  <c r="N171" i="15"/>
  <c r="N172" i="15"/>
  <c r="N173" i="15"/>
  <c r="N174" i="15"/>
  <c r="N175" i="15"/>
  <c r="N176" i="15"/>
  <c r="N177" i="15"/>
  <c r="N178" i="15"/>
  <c r="N179" i="15"/>
  <c r="N180" i="15"/>
  <c r="N181" i="15"/>
  <c r="N182" i="15"/>
  <c r="N183" i="15"/>
  <c r="N184" i="15"/>
  <c r="N185" i="15"/>
  <c r="N186" i="15"/>
  <c r="N187" i="15"/>
  <c r="N188" i="15"/>
  <c r="N189" i="15"/>
  <c r="N190" i="15"/>
  <c r="N191" i="15"/>
  <c r="N192" i="15"/>
  <c r="N193" i="15"/>
  <c r="N194" i="15"/>
  <c r="N195" i="15"/>
  <c r="N196" i="15"/>
  <c r="N197" i="15"/>
  <c r="N198" i="15"/>
  <c r="N199" i="15"/>
  <c r="N200" i="15"/>
  <c r="N201" i="15"/>
  <c r="N202" i="15"/>
  <c r="N203" i="15"/>
  <c r="N204" i="15"/>
  <c r="N205" i="15"/>
  <c r="N206" i="15"/>
  <c r="N207" i="15"/>
  <c r="N208" i="15"/>
  <c r="N209" i="15"/>
  <c r="N210" i="15"/>
  <c r="N211" i="15"/>
  <c r="N212" i="15"/>
  <c r="N213" i="15"/>
  <c r="N214" i="15"/>
  <c r="N215" i="15"/>
  <c r="N216" i="15"/>
  <c r="N217" i="15"/>
  <c r="N218" i="15"/>
  <c r="N219" i="15"/>
  <c r="N220" i="15"/>
  <c r="N221" i="15"/>
  <c r="N222" i="15"/>
  <c r="N223" i="15"/>
  <c r="N224" i="15"/>
  <c r="N225" i="15"/>
  <c r="N226" i="15"/>
  <c r="N227" i="15"/>
  <c r="N228" i="15"/>
  <c r="N229" i="15"/>
  <c r="N230" i="15"/>
  <c r="K3" i="15"/>
  <c r="K4" i="15"/>
  <c r="K5" i="15"/>
  <c r="K6" i="15"/>
  <c r="K7" i="15"/>
  <c r="K8" i="15"/>
  <c r="K9" i="15"/>
  <c r="K10" i="15"/>
  <c r="K11" i="15"/>
  <c r="K12" i="15"/>
  <c r="K13" i="15"/>
  <c r="K14" i="15"/>
  <c r="K15" i="15"/>
  <c r="K16" i="15"/>
  <c r="K17" i="15"/>
  <c r="K18" i="15"/>
  <c r="K19" i="15"/>
  <c r="K20" i="15"/>
  <c r="K21" i="15"/>
  <c r="K22" i="15"/>
  <c r="K23" i="15"/>
  <c r="K24" i="15"/>
  <c r="K25" i="15"/>
  <c r="K26" i="15"/>
  <c r="K27" i="15"/>
  <c r="K28" i="15"/>
  <c r="K29" i="15"/>
  <c r="K30" i="15"/>
  <c r="K31" i="15"/>
  <c r="K32" i="15"/>
  <c r="K33" i="15"/>
  <c r="K34" i="15"/>
  <c r="K35" i="15"/>
  <c r="K36" i="15"/>
  <c r="K37" i="15"/>
  <c r="K38" i="15"/>
  <c r="K39" i="15"/>
  <c r="K40" i="15"/>
  <c r="K41" i="15"/>
  <c r="K42" i="15"/>
  <c r="K43" i="15"/>
  <c r="K44" i="15"/>
  <c r="K45" i="15"/>
  <c r="K46" i="15"/>
  <c r="K47" i="15"/>
  <c r="K48" i="15"/>
  <c r="K49" i="15"/>
  <c r="K50" i="15"/>
  <c r="K51" i="15"/>
  <c r="K52" i="15"/>
  <c r="K53" i="15"/>
  <c r="K54" i="15"/>
  <c r="K55" i="15"/>
  <c r="K56" i="15"/>
  <c r="K57" i="15"/>
  <c r="K58" i="15"/>
  <c r="K59" i="15"/>
  <c r="K60" i="15"/>
  <c r="K61" i="15"/>
  <c r="K62" i="15"/>
  <c r="K63" i="15"/>
  <c r="K64" i="15"/>
  <c r="K65" i="15"/>
  <c r="K66" i="15"/>
  <c r="K67" i="15"/>
  <c r="K68" i="15"/>
  <c r="K69" i="15"/>
  <c r="K70" i="15"/>
  <c r="K71" i="15"/>
  <c r="K72" i="15"/>
  <c r="K73" i="15"/>
  <c r="K74" i="15"/>
  <c r="K75" i="15"/>
  <c r="K76" i="15"/>
  <c r="K77" i="15"/>
  <c r="K78" i="15"/>
  <c r="K79" i="15"/>
  <c r="K80" i="15"/>
  <c r="K81" i="15"/>
  <c r="K82" i="15"/>
  <c r="K83" i="15"/>
  <c r="K84" i="15"/>
  <c r="K85" i="15"/>
  <c r="K86" i="15"/>
  <c r="K87" i="15"/>
  <c r="K88" i="15"/>
  <c r="K89" i="15"/>
  <c r="K90" i="15"/>
  <c r="K91" i="15"/>
  <c r="K92" i="15"/>
  <c r="K93" i="15"/>
  <c r="K94" i="15"/>
  <c r="K95" i="15"/>
  <c r="K96" i="15"/>
  <c r="K97" i="15"/>
  <c r="K98" i="15"/>
  <c r="K99" i="15"/>
  <c r="K100" i="15"/>
  <c r="K101" i="15"/>
  <c r="K102" i="15"/>
  <c r="K103" i="15"/>
  <c r="K104" i="15"/>
  <c r="K105" i="15"/>
  <c r="K106" i="15"/>
  <c r="K107" i="15"/>
  <c r="K108" i="15"/>
  <c r="K109" i="15"/>
  <c r="K110" i="15"/>
  <c r="K111" i="15"/>
  <c r="K112" i="15"/>
  <c r="K113" i="15"/>
  <c r="K114" i="15"/>
  <c r="K115" i="15"/>
  <c r="K116" i="15"/>
  <c r="K117" i="15"/>
  <c r="K118" i="15"/>
  <c r="K119" i="15"/>
  <c r="K120" i="15"/>
  <c r="K121" i="15"/>
  <c r="K122" i="15"/>
  <c r="K123" i="15"/>
  <c r="K124" i="15"/>
  <c r="K125" i="15"/>
  <c r="K126" i="15"/>
  <c r="K127" i="15"/>
  <c r="K128" i="15"/>
  <c r="K129" i="15"/>
  <c r="K130" i="15"/>
  <c r="K131" i="15"/>
  <c r="K132" i="15"/>
  <c r="K133" i="15"/>
  <c r="K134" i="15"/>
  <c r="K135" i="15"/>
  <c r="K136" i="15"/>
  <c r="K137" i="15"/>
  <c r="K138" i="15"/>
  <c r="K139" i="15"/>
  <c r="K140" i="15"/>
  <c r="K141" i="15"/>
  <c r="K142" i="15"/>
  <c r="K143" i="15"/>
  <c r="K144" i="15"/>
  <c r="K145" i="15"/>
  <c r="K146" i="15"/>
  <c r="K147" i="15"/>
  <c r="K148" i="15"/>
  <c r="K149" i="15"/>
  <c r="K150" i="15"/>
  <c r="K151" i="15"/>
  <c r="K152" i="15"/>
  <c r="K153" i="15"/>
  <c r="K154" i="15"/>
  <c r="K155" i="15"/>
  <c r="K156" i="15"/>
  <c r="K157" i="15"/>
  <c r="K158" i="15"/>
  <c r="K159" i="15"/>
  <c r="K160" i="15"/>
  <c r="K161" i="15"/>
  <c r="K162" i="15"/>
  <c r="K163" i="15"/>
  <c r="K164" i="15"/>
  <c r="K165" i="15"/>
  <c r="K166" i="15"/>
  <c r="K167" i="15"/>
  <c r="K168" i="15"/>
  <c r="K169" i="15"/>
  <c r="K170" i="15"/>
  <c r="K171" i="15"/>
  <c r="K172" i="15"/>
  <c r="K173" i="15"/>
  <c r="K174" i="15"/>
  <c r="K175" i="15"/>
  <c r="K176" i="15"/>
  <c r="K177" i="15"/>
  <c r="K178" i="15"/>
  <c r="K179" i="15"/>
  <c r="K180" i="15"/>
  <c r="K181" i="15"/>
  <c r="K182" i="15"/>
  <c r="K183" i="15"/>
  <c r="K184" i="15"/>
  <c r="K185" i="15"/>
  <c r="K186" i="15"/>
  <c r="K187" i="15"/>
  <c r="K188" i="15"/>
  <c r="K189" i="15"/>
  <c r="K190" i="15"/>
  <c r="K191" i="15"/>
  <c r="K192" i="15"/>
  <c r="K193" i="15"/>
  <c r="K194" i="15"/>
  <c r="K195" i="15"/>
  <c r="K196" i="15"/>
  <c r="K197" i="15"/>
  <c r="K198" i="15"/>
  <c r="K199" i="15"/>
  <c r="K200" i="15"/>
  <c r="K201" i="15"/>
  <c r="K202" i="15"/>
  <c r="K203" i="15"/>
  <c r="K204" i="15"/>
  <c r="K205" i="15"/>
  <c r="K206" i="15"/>
  <c r="K207" i="15"/>
  <c r="K208" i="15"/>
  <c r="K209" i="15"/>
  <c r="K210" i="15"/>
  <c r="K211" i="15"/>
  <c r="K212" i="15"/>
  <c r="K213" i="15"/>
  <c r="K214" i="15"/>
  <c r="K215" i="15"/>
  <c r="K216" i="15"/>
  <c r="K217" i="15"/>
  <c r="K218" i="15"/>
  <c r="K219" i="15"/>
  <c r="K220" i="15"/>
  <c r="K221" i="15"/>
  <c r="K222" i="15"/>
  <c r="K223" i="15"/>
  <c r="K224" i="15"/>
  <c r="K225" i="15"/>
  <c r="K226" i="15"/>
  <c r="K227" i="15"/>
  <c r="K228" i="15"/>
  <c r="K229" i="15"/>
  <c r="K230" i="15"/>
  <c r="F3" i="15"/>
  <c r="F4" i="15"/>
  <c r="F5" i="15"/>
  <c r="F6" i="15"/>
  <c r="F7" i="15"/>
  <c r="F8" i="15"/>
  <c r="F9" i="15"/>
  <c r="F10" i="15"/>
  <c r="F11" i="15"/>
  <c r="F12" i="15"/>
  <c r="F13" i="15"/>
  <c r="F14" i="15"/>
  <c r="F15" i="15"/>
  <c r="F16" i="15"/>
  <c r="F17" i="15"/>
  <c r="F18" i="15"/>
  <c r="F19" i="15"/>
  <c r="F20" i="15"/>
  <c r="F21" i="15"/>
  <c r="F22" i="15"/>
  <c r="F23" i="15"/>
  <c r="F24" i="15"/>
  <c r="F25" i="15"/>
  <c r="F26" i="15"/>
  <c r="F27" i="15"/>
  <c r="F28" i="15"/>
  <c r="F29" i="15"/>
  <c r="F30" i="15"/>
  <c r="F31" i="15"/>
  <c r="F32" i="15"/>
  <c r="F33" i="15"/>
  <c r="F34" i="15"/>
  <c r="F35" i="15"/>
  <c r="F36" i="15"/>
  <c r="F37" i="15"/>
  <c r="F38" i="15"/>
  <c r="F39" i="15"/>
  <c r="F40" i="15"/>
  <c r="F41" i="15"/>
  <c r="F42" i="15"/>
  <c r="F43" i="15"/>
  <c r="F44" i="15"/>
  <c r="F45" i="15"/>
  <c r="F46" i="15"/>
  <c r="F47" i="15"/>
  <c r="F48" i="15"/>
  <c r="F49" i="15"/>
  <c r="F50" i="15"/>
  <c r="F51" i="15"/>
  <c r="F52" i="15"/>
  <c r="F53" i="15"/>
  <c r="F54" i="15"/>
  <c r="F55" i="15"/>
  <c r="F56" i="15"/>
  <c r="F57" i="15"/>
  <c r="F58" i="15"/>
  <c r="F59" i="15"/>
  <c r="F60" i="15"/>
  <c r="F61" i="15"/>
  <c r="F62" i="15"/>
  <c r="F63" i="15"/>
  <c r="F64" i="15"/>
  <c r="F65" i="15"/>
  <c r="F66" i="15"/>
  <c r="F67" i="15"/>
  <c r="F68" i="15"/>
  <c r="F69" i="15"/>
  <c r="F70" i="15"/>
  <c r="F71" i="15"/>
  <c r="F72" i="15"/>
  <c r="F73" i="15"/>
  <c r="F74" i="15"/>
  <c r="F75" i="15"/>
  <c r="F76" i="15"/>
  <c r="F77" i="15"/>
  <c r="F78" i="15"/>
  <c r="F79" i="15"/>
  <c r="F80" i="15"/>
  <c r="F81" i="15"/>
  <c r="F82" i="15"/>
  <c r="F83" i="15"/>
  <c r="F84" i="15"/>
  <c r="F85" i="15"/>
  <c r="F86" i="15"/>
  <c r="F87" i="15"/>
  <c r="F88" i="15"/>
  <c r="F89" i="15"/>
  <c r="F90" i="15"/>
  <c r="F91" i="15"/>
  <c r="F92" i="15"/>
  <c r="F93" i="15"/>
  <c r="F94" i="15"/>
  <c r="F95" i="15"/>
  <c r="F96" i="15"/>
  <c r="F97" i="15"/>
  <c r="F98" i="15"/>
  <c r="F99" i="15"/>
  <c r="F100" i="15"/>
  <c r="F101" i="15"/>
  <c r="F102" i="15"/>
  <c r="F103" i="15"/>
  <c r="F104" i="15"/>
  <c r="F105" i="15"/>
  <c r="F106" i="15"/>
  <c r="F107" i="15"/>
  <c r="F108" i="15"/>
  <c r="F109" i="15"/>
  <c r="F110" i="15"/>
  <c r="F111" i="15"/>
  <c r="F112" i="15"/>
  <c r="F113" i="15"/>
  <c r="F114" i="15"/>
  <c r="F115" i="15"/>
  <c r="F116" i="15"/>
  <c r="F117" i="15"/>
  <c r="F118" i="15"/>
  <c r="F119" i="15"/>
  <c r="F120" i="15"/>
  <c r="F121" i="15"/>
  <c r="F122" i="15"/>
  <c r="F123" i="15"/>
  <c r="F124" i="15"/>
  <c r="F125" i="15"/>
  <c r="F126" i="15"/>
  <c r="F127" i="15"/>
  <c r="F128" i="15"/>
  <c r="F129" i="15"/>
  <c r="F130" i="15"/>
  <c r="F131" i="15"/>
  <c r="F132" i="15"/>
  <c r="F133" i="15"/>
  <c r="F134" i="15"/>
  <c r="F135" i="15"/>
  <c r="F136" i="15"/>
  <c r="F137" i="15"/>
  <c r="F138" i="15"/>
  <c r="F139" i="15"/>
  <c r="F140" i="15"/>
  <c r="F141" i="15"/>
  <c r="F142" i="15"/>
  <c r="F143" i="15"/>
  <c r="F144" i="15"/>
  <c r="F145" i="15"/>
  <c r="F146" i="15"/>
  <c r="F147" i="15"/>
  <c r="F148" i="15"/>
  <c r="F149" i="15"/>
  <c r="F150" i="15"/>
  <c r="F151" i="15"/>
  <c r="F152" i="15"/>
  <c r="F153" i="15"/>
  <c r="F154" i="15"/>
  <c r="F155" i="15"/>
  <c r="F156" i="15"/>
  <c r="F157" i="15"/>
  <c r="F158" i="15"/>
  <c r="F159" i="15"/>
  <c r="F160" i="15"/>
  <c r="F161" i="15"/>
  <c r="F162" i="15"/>
  <c r="F163" i="15"/>
  <c r="F164" i="15"/>
  <c r="F165" i="15"/>
  <c r="F166" i="15"/>
  <c r="F167" i="15"/>
  <c r="F168" i="15"/>
  <c r="F169" i="15"/>
  <c r="F170" i="15"/>
  <c r="F171" i="15"/>
  <c r="F172" i="15"/>
  <c r="F173" i="15"/>
  <c r="F174" i="15"/>
  <c r="F175" i="15"/>
  <c r="F176" i="15"/>
  <c r="F177" i="15"/>
  <c r="F178" i="15"/>
  <c r="F179" i="15"/>
  <c r="F180" i="15"/>
  <c r="F181" i="15"/>
  <c r="F182" i="15"/>
  <c r="F183" i="15"/>
  <c r="F184" i="15"/>
  <c r="F185" i="15"/>
  <c r="F186" i="15"/>
  <c r="F187" i="15"/>
  <c r="F188" i="15"/>
  <c r="F189" i="15"/>
  <c r="F190" i="15"/>
  <c r="F191" i="15"/>
  <c r="F192" i="15"/>
  <c r="F193" i="15"/>
  <c r="F194" i="15"/>
  <c r="F195" i="15"/>
  <c r="F196" i="15"/>
  <c r="F197" i="15"/>
  <c r="F198" i="15"/>
  <c r="F199" i="15"/>
  <c r="F200" i="15"/>
  <c r="F201" i="15"/>
  <c r="F202" i="15"/>
  <c r="F203" i="15"/>
  <c r="F204" i="15"/>
  <c r="F205" i="15"/>
  <c r="F206" i="15"/>
  <c r="F207" i="15"/>
  <c r="F208" i="15"/>
  <c r="F209" i="15"/>
  <c r="F210" i="15"/>
  <c r="F211" i="15"/>
  <c r="F212" i="15"/>
  <c r="F213" i="15"/>
  <c r="F214" i="15"/>
  <c r="F215" i="15"/>
  <c r="F216" i="15"/>
  <c r="F217" i="15"/>
  <c r="F218" i="15"/>
  <c r="F219" i="15"/>
  <c r="F220" i="15"/>
  <c r="F221" i="15"/>
  <c r="F222" i="15"/>
  <c r="F223" i="15"/>
  <c r="F224" i="15"/>
  <c r="F225" i="15"/>
  <c r="F226" i="15"/>
  <c r="F227" i="15"/>
  <c r="F228" i="15"/>
  <c r="F229" i="15"/>
  <c r="F230" i="15"/>
  <c r="K6" i="16"/>
  <c r="K8" i="16"/>
  <c r="K11" i="16"/>
  <c r="K14" i="16"/>
  <c r="K16" i="16"/>
  <c r="K19" i="16"/>
  <c r="K22" i="16"/>
  <c r="K24" i="16"/>
  <c r="K27" i="16"/>
  <c r="K30" i="16"/>
  <c r="K32" i="16"/>
  <c r="K35" i="16"/>
  <c r="K38" i="16"/>
  <c r="K40" i="16"/>
  <c r="K41" i="16"/>
  <c r="K43" i="16"/>
  <c r="K48" i="16"/>
  <c r="K49" i="16"/>
  <c r="K51" i="16"/>
  <c r="K56" i="16"/>
  <c r="K57" i="16"/>
  <c r="K59" i="16"/>
  <c r="K64" i="16"/>
  <c r="K65" i="16"/>
  <c r="K67" i="16"/>
  <c r="K70" i="16"/>
  <c r="K72" i="16"/>
  <c r="K73" i="16"/>
  <c r="K78" i="16"/>
  <c r="K80" i="16"/>
  <c r="K81" i="16"/>
  <c r="K86" i="16"/>
  <c r="K88" i="16"/>
  <c r="K89" i="16"/>
  <c r="K94" i="16"/>
  <c r="K96" i="16"/>
  <c r="K97" i="16"/>
  <c r="K99" i="16"/>
  <c r="K102" i="16"/>
  <c r="K104" i="16"/>
  <c r="K105" i="16"/>
  <c r="K107" i="16"/>
  <c r="K110" i="16"/>
  <c r="K112" i="16"/>
  <c r="K113" i="16"/>
  <c r="K115" i="16"/>
  <c r="K118" i="16"/>
  <c r="K120" i="16"/>
  <c r="K121" i="16"/>
  <c r="K123" i="16"/>
  <c r="K126" i="16"/>
  <c r="K128" i="16"/>
  <c r="K129" i="16"/>
  <c r="K131" i="16"/>
  <c r="K134" i="16"/>
  <c r="K136" i="16"/>
  <c r="K137" i="16"/>
  <c r="K139" i="16"/>
  <c r="K142" i="16"/>
  <c r="K144" i="16"/>
  <c r="K145" i="16"/>
  <c r="K147" i="16"/>
  <c r="K150" i="16"/>
  <c r="K152" i="16"/>
  <c r="K153" i="16"/>
  <c r="K155" i="16"/>
  <c r="K158" i="16"/>
  <c r="K160" i="16"/>
  <c r="K161" i="16"/>
  <c r="K163" i="16"/>
  <c r="K166" i="16"/>
  <c r="K168" i="16"/>
  <c r="K169" i="16"/>
  <c r="K174" i="16"/>
  <c r="K176" i="16"/>
  <c r="K177" i="16"/>
  <c r="K182" i="16"/>
  <c r="K184" i="16"/>
  <c r="K185" i="16"/>
  <c r="K189" i="16"/>
  <c r="K190" i="16"/>
  <c r="K193" i="16"/>
  <c r="K195" i="16"/>
  <c r="K197" i="16"/>
  <c r="K198" i="16"/>
  <c r="K200" i="16"/>
  <c r="K201" i="16"/>
  <c r="K203" i="16"/>
  <c r="K205" i="16"/>
  <c r="K206" i="16"/>
  <c r="K208" i="16"/>
  <c r="K209" i="16"/>
  <c r="K213" i="16"/>
  <c r="K214" i="16"/>
  <c r="K217" i="16"/>
  <c r="K219" i="16"/>
  <c r="K221" i="16"/>
  <c r="K222" i="16"/>
  <c r="K224" i="16"/>
  <c r="K225" i="16"/>
  <c r="K227" i="16"/>
  <c r="K229" i="16"/>
  <c r="K230" i="16"/>
  <c r="Q11" i="16"/>
  <c r="Q15" i="16"/>
  <c r="Q19" i="16"/>
  <c r="Q23" i="16"/>
  <c r="Q27" i="16"/>
  <c r="Q31" i="16"/>
  <c r="Q35" i="16"/>
  <c r="Q39" i="16"/>
  <c r="Q47" i="16"/>
  <c r="Q55" i="16"/>
  <c r="Q59" i="16"/>
  <c r="Q63" i="16"/>
  <c r="Q67" i="16"/>
  <c r="Q71" i="16"/>
  <c r="Q75" i="16"/>
  <c r="Q79" i="16"/>
  <c r="Q83" i="16"/>
  <c r="Q87" i="16"/>
  <c r="Q95" i="16"/>
  <c r="Q103" i="16"/>
  <c r="Q107" i="16"/>
  <c r="Q111" i="16"/>
  <c r="Q115" i="16"/>
  <c r="Q119" i="16"/>
  <c r="Q127" i="16"/>
  <c r="Q131" i="16"/>
  <c r="Q139" i="16"/>
  <c r="Q143" i="16"/>
  <c r="Q147" i="16"/>
  <c r="Q148" i="16"/>
  <c r="Q152" i="16"/>
  <c r="Q155" i="16"/>
  <c r="Q156" i="16"/>
  <c r="Q159" i="16"/>
  <c r="Q164" i="16"/>
  <c r="Q167" i="16"/>
  <c r="Q168" i="16"/>
  <c r="Q175" i="16"/>
  <c r="Q176" i="16"/>
  <c r="Q179" i="16"/>
  <c r="Q183" i="16"/>
  <c r="Q187" i="16"/>
  <c r="Q188" i="16"/>
  <c r="Q191" i="16"/>
  <c r="Q195" i="16"/>
  <c r="Q196" i="16"/>
  <c r="Q199" i="16"/>
  <c r="Q200" i="16"/>
  <c r="Q203" i="16"/>
  <c r="Q204" i="16"/>
  <c r="Q207" i="16"/>
  <c r="Q211" i="16"/>
  <c r="Q212" i="16"/>
  <c r="Q215" i="16"/>
  <c r="Q216" i="16"/>
  <c r="Q219" i="16"/>
  <c r="Q220" i="16"/>
  <c r="Q223" i="16"/>
  <c r="Q227" i="16"/>
  <c r="Q228" i="16"/>
  <c r="Q229" i="16"/>
  <c r="W11" i="16"/>
  <c r="W19" i="16"/>
  <c r="W35" i="16"/>
  <c r="W43" i="16"/>
  <c r="W51" i="16"/>
  <c r="W59" i="16"/>
  <c r="W67" i="16"/>
  <c r="W75" i="16"/>
  <c r="W83" i="16"/>
  <c r="W91" i="16"/>
  <c r="W99" i="16"/>
  <c r="W107" i="16"/>
  <c r="W115" i="16"/>
  <c r="W131" i="16"/>
  <c r="W139" i="16"/>
  <c r="W147" i="16"/>
  <c r="W163" i="16"/>
  <c r="W171" i="16"/>
  <c r="W179" i="16"/>
  <c r="W187" i="16"/>
  <c r="W195" i="16"/>
  <c r="W203" i="16"/>
  <c r="W211" i="16"/>
  <c r="W217" i="16"/>
  <c r="W219" i="16"/>
  <c r="W220" i="16"/>
  <c r="W227" i="16"/>
  <c r="W228" i="16"/>
  <c r="W229" i="16"/>
  <c r="AO11" i="16"/>
  <c r="AO13" i="16"/>
  <c r="AO15" i="16"/>
  <c r="AO17" i="16"/>
  <c r="AO19" i="16"/>
  <c r="AO21" i="16"/>
  <c r="AO23" i="16"/>
  <c r="AO25" i="16"/>
  <c r="AO27" i="16"/>
  <c r="AO29" i="16"/>
  <c r="AO31" i="16"/>
  <c r="AO33" i="16"/>
  <c r="AO35" i="16"/>
  <c r="AO37" i="16"/>
  <c r="AO39" i="16"/>
  <c r="AO41" i="16"/>
  <c r="AO43" i="16"/>
  <c r="AO45" i="16"/>
  <c r="AO47" i="16"/>
  <c r="AO49" i="16"/>
  <c r="AO51" i="16"/>
  <c r="AO53" i="16"/>
  <c r="AO55" i="16"/>
  <c r="AO57" i="16"/>
  <c r="AO59" i="16"/>
  <c r="AO61" i="16"/>
  <c r="AO63" i="16"/>
  <c r="AO65" i="16"/>
  <c r="AO75" i="16"/>
  <c r="AO77" i="16"/>
  <c r="AO79" i="16"/>
  <c r="AO81" i="16"/>
  <c r="AO83" i="16"/>
  <c r="AO85" i="16"/>
  <c r="AO87" i="16"/>
  <c r="AO89" i="16"/>
  <c r="AO91" i="16"/>
  <c r="AO93" i="16"/>
  <c r="AO95" i="16"/>
  <c r="AO97" i="16"/>
  <c r="AO99" i="16"/>
  <c r="AO101" i="16"/>
  <c r="AO103" i="16"/>
  <c r="AO105" i="16"/>
  <c r="AO107" i="16"/>
  <c r="AO109" i="16"/>
  <c r="AO111" i="16"/>
  <c r="AO113" i="16"/>
  <c r="AO115" i="16"/>
  <c r="AO117" i="16"/>
  <c r="AO119" i="16"/>
  <c r="AO121" i="16"/>
  <c r="AO123" i="16"/>
  <c r="AO125" i="16"/>
  <c r="AO127" i="16"/>
  <c r="AO129" i="16"/>
  <c r="AO139" i="16"/>
  <c r="AO141" i="16"/>
  <c r="AO143" i="16"/>
  <c r="AO145" i="16"/>
  <c r="AO147" i="16"/>
  <c r="AO149" i="16"/>
  <c r="AO151" i="16"/>
  <c r="AO153" i="16"/>
  <c r="AO155" i="16"/>
  <c r="AO157" i="16"/>
  <c r="AO159" i="16"/>
  <c r="AO161" i="16"/>
  <c r="AO163" i="16"/>
  <c r="AO165" i="16"/>
  <c r="AO167" i="16"/>
  <c r="AO169" i="16"/>
  <c r="AO171" i="16"/>
  <c r="AO173" i="16"/>
  <c r="AO175" i="16"/>
  <c r="AO177" i="16"/>
  <c r="AO179" i="16"/>
  <c r="AO181" i="16"/>
  <c r="AO183" i="16"/>
  <c r="AO185" i="16"/>
  <c r="AO187" i="16"/>
  <c r="AO189" i="16"/>
  <c r="AO191" i="16"/>
  <c r="AO193" i="16"/>
  <c r="AO203" i="16"/>
  <c r="AO205" i="16"/>
  <c r="AO207" i="16"/>
  <c r="AO209" i="16"/>
  <c r="AO211" i="16"/>
  <c r="AO213" i="16"/>
  <c r="AO215" i="16"/>
  <c r="AO217" i="16"/>
  <c r="AO219" i="16"/>
  <c r="AO221" i="16"/>
  <c r="AO223" i="16"/>
  <c r="AO225" i="16"/>
  <c r="AO227" i="16"/>
  <c r="AO229" i="16"/>
  <c r="BA10" i="16"/>
  <c r="BA18" i="16"/>
  <c r="BA26" i="16"/>
  <c r="BA34" i="16"/>
  <c r="BA42" i="16"/>
  <c r="BA50" i="16"/>
  <c r="BA58" i="16"/>
  <c r="BA66" i="16"/>
  <c r="BA74" i="16"/>
  <c r="BA82" i="16"/>
  <c r="BA90" i="16"/>
  <c r="BA98" i="16"/>
  <c r="BA106" i="16"/>
  <c r="BA114" i="16"/>
  <c r="BA122" i="16"/>
  <c r="BA130" i="16"/>
  <c r="BA138" i="16"/>
  <c r="BA146" i="16"/>
  <c r="BA154" i="16"/>
  <c r="BA162" i="16"/>
  <c r="BA170" i="16"/>
  <c r="BA178" i="16"/>
  <c r="BA186" i="16"/>
  <c r="BA194" i="16"/>
  <c r="BA202" i="16"/>
  <c r="BA210" i="16"/>
  <c r="BA211" i="16"/>
  <c r="BA218" i="16"/>
  <c r="BA219" i="16"/>
  <c r="BA226" i="16"/>
  <c r="BA227" i="16"/>
  <c r="Q3" i="16"/>
  <c r="BA230" i="16"/>
  <c r="AU230" i="16"/>
  <c r="AO230" i="16"/>
  <c r="AI230" i="16"/>
  <c r="AC230" i="16"/>
  <c r="W230" i="16"/>
  <c r="Q230" i="16"/>
  <c r="BA229" i="16"/>
  <c r="AU229" i="16"/>
  <c r="AI229" i="16"/>
  <c r="AC229" i="16"/>
  <c r="BA228" i="16"/>
  <c r="AU228" i="16"/>
  <c r="AO228" i="16"/>
  <c r="AI228" i="16"/>
  <c r="AC228" i="16"/>
  <c r="K228" i="16"/>
  <c r="AU227" i="16"/>
  <c r="AI227" i="16"/>
  <c r="AC227" i="16"/>
  <c r="AU226" i="16"/>
  <c r="AO226" i="16"/>
  <c r="AI226" i="16"/>
  <c r="AC226" i="16"/>
  <c r="W226" i="16"/>
  <c r="Q226" i="16"/>
  <c r="K226" i="16"/>
  <c r="BA225" i="16"/>
  <c r="AU225" i="16"/>
  <c r="AI225" i="16"/>
  <c r="AC225" i="16"/>
  <c r="W225" i="16"/>
  <c r="Q225" i="16"/>
  <c r="BA224" i="16"/>
  <c r="AU224" i="16"/>
  <c r="AO224" i="16"/>
  <c r="AI224" i="16"/>
  <c r="AC224" i="16"/>
  <c r="W224" i="16"/>
  <c r="Q224" i="16"/>
  <c r="BA223" i="16"/>
  <c r="AU223" i="16"/>
  <c r="AI223" i="16"/>
  <c r="AC223" i="16"/>
  <c r="W223" i="16"/>
  <c r="K223" i="16"/>
  <c r="BA222" i="16"/>
  <c r="AU222" i="16"/>
  <c r="AO222" i="16"/>
  <c r="AI222" i="16"/>
  <c r="AC222" i="16"/>
  <c r="W222" i="16"/>
  <c r="Q222" i="16"/>
  <c r="BA221" i="16"/>
  <c r="AU221" i="16"/>
  <c r="AI221" i="16"/>
  <c r="AC221" i="16"/>
  <c r="W221" i="16"/>
  <c r="Q221" i="16"/>
  <c r="BA220" i="16"/>
  <c r="AU220" i="16"/>
  <c r="AO220" i="16"/>
  <c r="AI220" i="16"/>
  <c r="AC220" i="16"/>
  <c r="K220" i="16"/>
  <c r="AU219" i="16"/>
  <c r="AI219" i="16"/>
  <c r="AC219" i="16"/>
  <c r="AU218" i="16"/>
  <c r="AO218" i="16"/>
  <c r="AI218" i="16"/>
  <c r="AC218" i="16"/>
  <c r="W218" i="16"/>
  <c r="Q218" i="16"/>
  <c r="K218" i="16"/>
  <c r="BA217" i="16"/>
  <c r="AU217" i="16"/>
  <c r="AI217" i="16"/>
  <c r="AC217" i="16"/>
  <c r="Q217" i="16"/>
  <c r="BA216" i="16"/>
  <c r="AU216" i="16"/>
  <c r="AO216" i="16"/>
  <c r="AI216" i="16"/>
  <c r="AC216" i="16"/>
  <c r="W216" i="16"/>
  <c r="K216" i="16"/>
  <c r="BA215" i="16"/>
  <c r="AU215" i="16"/>
  <c r="AI215" i="16"/>
  <c r="AC215" i="16"/>
  <c r="W215" i="16"/>
  <c r="K215" i="16"/>
  <c r="BA214" i="16"/>
  <c r="AU214" i="16"/>
  <c r="AO214" i="16"/>
  <c r="AI214" i="16"/>
  <c r="AC214" i="16"/>
  <c r="W214" i="16"/>
  <c r="Q214" i="16"/>
  <c r="BA213" i="16"/>
  <c r="AU213" i="16"/>
  <c r="AI213" i="16"/>
  <c r="AC213" i="16"/>
  <c r="W213" i="16"/>
  <c r="Q213" i="16"/>
  <c r="BA212" i="16"/>
  <c r="AU212" i="16"/>
  <c r="AO212" i="16"/>
  <c r="AI212" i="16"/>
  <c r="AC212" i="16"/>
  <c r="W212" i="16"/>
  <c r="K212" i="16"/>
  <c r="AU211" i="16"/>
  <c r="AI211" i="16"/>
  <c r="AC211" i="16"/>
  <c r="K211" i="16"/>
  <c r="AU210" i="16"/>
  <c r="AO210" i="16"/>
  <c r="AI210" i="16"/>
  <c r="AC210" i="16"/>
  <c r="W210" i="16"/>
  <c r="Q210" i="16"/>
  <c r="K210" i="16"/>
  <c r="BA209" i="16"/>
  <c r="AU209" i="16"/>
  <c r="AI209" i="16"/>
  <c r="AC209" i="16"/>
  <c r="W209" i="16"/>
  <c r="Q209" i="16"/>
  <c r="BA208" i="16"/>
  <c r="AU208" i="16"/>
  <c r="AO208" i="16"/>
  <c r="AI208" i="16"/>
  <c r="AC208" i="16"/>
  <c r="W208" i="16"/>
  <c r="Q208" i="16"/>
  <c r="BA207" i="16"/>
  <c r="AU207" i="16"/>
  <c r="AI207" i="16"/>
  <c r="AC207" i="16"/>
  <c r="W207" i="16"/>
  <c r="K207" i="16"/>
  <c r="BA206" i="16"/>
  <c r="AU206" i="16"/>
  <c r="AO206" i="16"/>
  <c r="AI206" i="16"/>
  <c r="AC206" i="16"/>
  <c r="W206" i="16"/>
  <c r="Q206" i="16"/>
  <c r="BA205" i="16"/>
  <c r="AU205" i="16"/>
  <c r="AI205" i="16"/>
  <c r="AC205" i="16"/>
  <c r="W205" i="16"/>
  <c r="Q205" i="16"/>
  <c r="BA204" i="16"/>
  <c r="AU204" i="16"/>
  <c r="AO204" i="16"/>
  <c r="AI204" i="16"/>
  <c r="AC204" i="16"/>
  <c r="W204" i="16"/>
  <c r="K204" i="16"/>
  <c r="BA203" i="16"/>
  <c r="AU203" i="16"/>
  <c r="AI203" i="16"/>
  <c r="AC203" i="16"/>
  <c r="AU202" i="16"/>
  <c r="AO202" i="16"/>
  <c r="AI202" i="16"/>
  <c r="AC202" i="16"/>
  <c r="W202" i="16"/>
  <c r="Q202" i="16"/>
  <c r="K202" i="16"/>
  <c r="BA201" i="16"/>
  <c r="AU201" i="16"/>
  <c r="AO201" i="16"/>
  <c r="AI201" i="16"/>
  <c r="AC201" i="16"/>
  <c r="W201" i="16"/>
  <c r="Q201" i="16"/>
  <c r="BA200" i="16"/>
  <c r="AU200" i="16"/>
  <c r="AO200" i="16"/>
  <c r="AI200" i="16"/>
  <c r="AC200" i="16"/>
  <c r="W200" i="16"/>
  <c r="BA199" i="16"/>
  <c r="AU199" i="16"/>
  <c r="AO199" i="16"/>
  <c r="AI199" i="16"/>
  <c r="AC199" i="16"/>
  <c r="W199" i="16"/>
  <c r="K199" i="16"/>
  <c r="BA198" i="16"/>
  <c r="AU198" i="16"/>
  <c r="AO198" i="16"/>
  <c r="AI198" i="16"/>
  <c r="AC198" i="16"/>
  <c r="W198" i="16"/>
  <c r="Q198" i="16"/>
  <c r="BA197" i="16"/>
  <c r="AU197" i="16"/>
  <c r="AO197" i="16"/>
  <c r="AI197" i="16"/>
  <c r="AC197" i="16"/>
  <c r="W197" i="16"/>
  <c r="Q197" i="16"/>
  <c r="BA196" i="16"/>
  <c r="AU196" i="16"/>
  <c r="AO196" i="16"/>
  <c r="AI196" i="16"/>
  <c r="AC196" i="16"/>
  <c r="W196" i="16"/>
  <c r="K196" i="16"/>
  <c r="BA195" i="16"/>
  <c r="AU195" i="16"/>
  <c r="AO195" i="16"/>
  <c r="AI195" i="16"/>
  <c r="AC195" i="16"/>
  <c r="AU194" i="16"/>
  <c r="AO194" i="16"/>
  <c r="AI194" i="16"/>
  <c r="AC194" i="16"/>
  <c r="W194" i="16"/>
  <c r="Q194" i="16"/>
  <c r="K194" i="16"/>
  <c r="BA193" i="16"/>
  <c r="AU193" i="16"/>
  <c r="AI193" i="16"/>
  <c r="AC193" i="16"/>
  <c r="W193" i="16"/>
  <c r="Q193" i="16"/>
  <c r="BA192" i="16"/>
  <c r="AU192" i="16"/>
  <c r="AO192" i="16"/>
  <c r="AI192" i="16"/>
  <c r="AC192" i="16"/>
  <c r="W192" i="16"/>
  <c r="Q192" i="16"/>
  <c r="K192" i="16"/>
  <c r="BA191" i="16"/>
  <c r="AU191" i="16"/>
  <c r="AI191" i="16"/>
  <c r="AC191" i="16"/>
  <c r="W191" i="16"/>
  <c r="K191" i="16"/>
  <c r="BA190" i="16"/>
  <c r="AU190" i="16"/>
  <c r="AO190" i="16"/>
  <c r="AI190" i="16"/>
  <c r="AC190" i="16"/>
  <c r="W190" i="16"/>
  <c r="Q190" i="16"/>
  <c r="BA189" i="16"/>
  <c r="AU189" i="16"/>
  <c r="AI189" i="16"/>
  <c r="AC189" i="16"/>
  <c r="W189" i="16"/>
  <c r="Q189" i="16"/>
  <c r="BA188" i="16"/>
  <c r="AU188" i="16"/>
  <c r="AO188" i="16"/>
  <c r="AI188" i="16"/>
  <c r="AC188" i="16"/>
  <c r="W188" i="16"/>
  <c r="K188" i="16"/>
  <c r="BA187" i="16"/>
  <c r="AU187" i="16"/>
  <c r="AI187" i="16"/>
  <c r="AC187" i="16"/>
  <c r="K187" i="16"/>
  <c r="AU186" i="16"/>
  <c r="AO186" i="16"/>
  <c r="AI186" i="16"/>
  <c r="AC186" i="16"/>
  <c r="W186" i="16"/>
  <c r="Q186" i="16"/>
  <c r="K186" i="16"/>
  <c r="BA185" i="16"/>
  <c r="AU185" i="16"/>
  <c r="AI185" i="16"/>
  <c r="AC185" i="16"/>
  <c r="W185" i="16"/>
  <c r="Q185" i="16"/>
  <c r="BA184" i="16"/>
  <c r="AU184" i="16"/>
  <c r="AO184" i="16"/>
  <c r="AI184" i="16"/>
  <c r="AC184" i="16"/>
  <c r="W184" i="16"/>
  <c r="Q184" i="16"/>
  <c r="BA183" i="16"/>
  <c r="AU183" i="16"/>
  <c r="AI183" i="16"/>
  <c r="AC183" i="16"/>
  <c r="W183" i="16"/>
  <c r="K183" i="16"/>
  <c r="BA182" i="16"/>
  <c r="AU182" i="16"/>
  <c r="AO182" i="16"/>
  <c r="AI182" i="16"/>
  <c r="AC182" i="16"/>
  <c r="W182" i="16"/>
  <c r="Q182" i="16"/>
  <c r="BA181" i="16"/>
  <c r="AU181" i="16"/>
  <c r="AI181" i="16"/>
  <c r="AC181" i="16"/>
  <c r="W181" i="16"/>
  <c r="Q181" i="16"/>
  <c r="K181" i="16"/>
  <c r="BA180" i="16"/>
  <c r="AU180" i="16"/>
  <c r="AO180" i="16"/>
  <c r="AI180" i="16"/>
  <c r="AC180" i="16"/>
  <c r="W180" i="16"/>
  <c r="Q180" i="16"/>
  <c r="K180" i="16"/>
  <c r="BA179" i="16"/>
  <c r="AU179" i="16"/>
  <c r="AI179" i="16"/>
  <c r="AC179" i="16"/>
  <c r="K179" i="16"/>
  <c r="AU178" i="16"/>
  <c r="AO178" i="16"/>
  <c r="AI178" i="16"/>
  <c r="AC178" i="16"/>
  <c r="W178" i="16"/>
  <c r="Q178" i="16"/>
  <c r="K178" i="16"/>
  <c r="BA177" i="16"/>
  <c r="AU177" i="16"/>
  <c r="AI177" i="16"/>
  <c r="AC177" i="16"/>
  <c r="W177" i="16"/>
  <c r="Q177" i="16"/>
  <c r="BA176" i="16"/>
  <c r="AU176" i="16"/>
  <c r="AO176" i="16"/>
  <c r="AI176" i="16"/>
  <c r="AC176" i="16"/>
  <c r="W176" i="16"/>
  <c r="BA175" i="16"/>
  <c r="AU175" i="16"/>
  <c r="AI175" i="16"/>
  <c r="AC175" i="16"/>
  <c r="W175" i="16"/>
  <c r="K175" i="16"/>
  <c r="BA174" i="16"/>
  <c r="AU174" i="16"/>
  <c r="AO174" i="16"/>
  <c r="AI174" i="16"/>
  <c r="AC174" i="16"/>
  <c r="W174" i="16"/>
  <c r="Q174" i="16"/>
  <c r="BA173" i="16"/>
  <c r="AU173" i="16"/>
  <c r="AI173" i="16"/>
  <c r="AC173" i="16"/>
  <c r="W173" i="16"/>
  <c r="Q173" i="16"/>
  <c r="K173" i="16"/>
  <c r="BA172" i="16"/>
  <c r="AU172" i="16"/>
  <c r="AO172" i="16"/>
  <c r="AI172" i="16"/>
  <c r="AC172" i="16"/>
  <c r="W172" i="16"/>
  <c r="Q172" i="16"/>
  <c r="K172" i="16"/>
  <c r="BA171" i="16"/>
  <c r="AU171" i="16"/>
  <c r="AI171" i="16"/>
  <c r="AC171" i="16"/>
  <c r="Q171" i="16"/>
  <c r="K171" i="16"/>
  <c r="AU170" i="16"/>
  <c r="AO170" i="16"/>
  <c r="AI170" i="16"/>
  <c r="AC170" i="16"/>
  <c r="W170" i="16"/>
  <c r="Q170" i="16"/>
  <c r="K170" i="16"/>
  <c r="BA169" i="16"/>
  <c r="AU169" i="16"/>
  <c r="AI169" i="16"/>
  <c r="AC169" i="16"/>
  <c r="W169" i="16"/>
  <c r="Q169" i="16"/>
  <c r="BA168" i="16"/>
  <c r="AU168" i="16"/>
  <c r="AO168" i="16"/>
  <c r="AI168" i="16"/>
  <c r="AC168" i="16"/>
  <c r="W168" i="16"/>
  <c r="BA167" i="16"/>
  <c r="AU167" i="16"/>
  <c r="AI167" i="16"/>
  <c r="AC167" i="16"/>
  <c r="W167" i="16"/>
  <c r="K167" i="16"/>
  <c r="BA166" i="16"/>
  <c r="AU166" i="16"/>
  <c r="AO166" i="16"/>
  <c r="AI166" i="16"/>
  <c r="AC166" i="16"/>
  <c r="W166" i="16"/>
  <c r="Q166" i="16"/>
  <c r="BA165" i="16"/>
  <c r="AU165" i="16"/>
  <c r="AI165" i="16"/>
  <c r="AC165" i="16"/>
  <c r="W165" i="16"/>
  <c r="Q165" i="16"/>
  <c r="K165" i="16"/>
  <c r="BA164" i="16"/>
  <c r="AU164" i="16"/>
  <c r="AO164" i="16"/>
  <c r="AI164" i="16"/>
  <c r="AC164" i="16"/>
  <c r="W164" i="16"/>
  <c r="K164" i="16"/>
  <c r="BA163" i="16"/>
  <c r="AU163" i="16"/>
  <c r="AI163" i="16"/>
  <c r="AC163" i="16"/>
  <c r="Q163" i="16"/>
  <c r="AU162" i="16"/>
  <c r="AO162" i="16"/>
  <c r="AI162" i="16"/>
  <c r="AC162" i="16"/>
  <c r="W162" i="16"/>
  <c r="Q162" i="16"/>
  <c r="K162" i="16"/>
  <c r="BA161" i="16"/>
  <c r="AU161" i="16"/>
  <c r="AI161" i="16"/>
  <c r="AC161" i="16"/>
  <c r="W161" i="16"/>
  <c r="Q161" i="16"/>
  <c r="BA160" i="16"/>
  <c r="AU160" i="16"/>
  <c r="AO160" i="16"/>
  <c r="AI160" i="16"/>
  <c r="AC160" i="16"/>
  <c r="W160" i="16"/>
  <c r="Q160" i="16"/>
  <c r="BA159" i="16"/>
  <c r="AU159" i="16"/>
  <c r="AI159" i="16"/>
  <c r="AC159" i="16"/>
  <c r="W159" i="16"/>
  <c r="K159" i="16"/>
  <c r="BA158" i="16"/>
  <c r="AU158" i="16"/>
  <c r="AO158" i="16"/>
  <c r="AI158" i="16"/>
  <c r="AC158" i="16"/>
  <c r="W158" i="16"/>
  <c r="Q158" i="16"/>
  <c r="BA157" i="16"/>
  <c r="AU157" i="16"/>
  <c r="AI157" i="16"/>
  <c r="AC157" i="16"/>
  <c r="W157" i="16"/>
  <c r="Q157" i="16"/>
  <c r="K157" i="16"/>
  <c r="BA156" i="16"/>
  <c r="AU156" i="16"/>
  <c r="AO156" i="16"/>
  <c r="AI156" i="16"/>
  <c r="AC156" i="16"/>
  <c r="W156" i="16"/>
  <c r="K156" i="16"/>
  <c r="BA155" i="16"/>
  <c r="AU155" i="16"/>
  <c r="AI155" i="16"/>
  <c r="AC155" i="16"/>
  <c r="W155" i="16"/>
  <c r="AU154" i="16"/>
  <c r="AO154" i="16"/>
  <c r="AI154" i="16"/>
  <c r="AC154" i="16"/>
  <c r="W154" i="16"/>
  <c r="Q154" i="16"/>
  <c r="K154" i="16"/>
  <c r="BA153" i="16"/>
  <c r="AU153" i="16"/>
  <c r="AI153" i="16"/>
  <c r="AC153" i="16"/>
  <c r="W153" i="16"/>
  <c r="Q153" i="16"/>
  <c r="BA152" i="16"/>
  <c r="AU152" i="16"/>
  <c r="AO152" i="16"/>
  <c r="AI152" i="16"/>
  <c r="AC152" i="16"/>
  <c r="W152" i="16"/>
  <c r="BA151" i="16"/>
  <c r="AU151" i="16"/>
  <c r="AI151" i="16"/>
  <c r="AC151" i="16"/>
  <c r="W151" i="16"/>
  <c r="Q151" i="16"/>
  <c r="K151" i="16"/>
  <c r="BA150" i="16"/>
  <c r="AU150" i="16"/>
  <c r="AO150" i="16"/>
  <c r="AI150" i="16"/>
  <c r="AC150" i="16"/>
  <c r="W150" i="16"/>
  <c r="Q150" i="16"/>
  <c r="BA149" i="16"/>
  <c r="AU149" i="16"/>
  <c r="AI149" i="16"/>
  <c r="AC149" i="16"/>
  <c r="W149" i="16"/>
  <c r="Q149" i="16"/>
  <c r="K149" i="16"/>
  <c r="BA148" i="16"/>
  <c r="AU148" i="16"/>
  <c r="AO148" i="16"/>
  <c r="AI148" i="16"/>
  <c r="AC148" i="16"/>
  <c r="W148" i="16"/>
  <c r="K148" i="16"/>
  <c r="BA147" i="16"/>
  <c r="AU147" i="16"/>
  <c r="AI147" i="16"/>
  <c r="AC147" i="16"/>
  <c r="AU146" i="16"/>
  <c r="AO146" i="16"/>
  <c r="AI146" i="16"/>
  <c r="AC146" i="16"/>
  <c r="W146" i="16"/>
  <c r="Q146" i="16"/>
  <c r="K146" i="16"/>
  <c r="BA145" i="16"/>
  <c r="AU145" i="16"/>
  <c r="AI145" i="16"/>
  <c r="AC145" i="16"/>
  <c r="W145" i="16"/>
  <c r="Q145" i="16"/>
  <c r="BA144" i="16"/>
  <c r="AU144" i="16"/>
  <c r="AO144" i="16"/>
  <c r="AI144" i="16"/>
  <c r="AC144" i="16"/>
  <c r="W144" i="16"/>
  <c r="Q144" i="16"/>
  <c r="BA143" i="16"/>
  <c r="AU143" i="16"/>
  <c r="AI143" i="16"/>
  <c r="AC143" i="16"/>
  <c r="W143" i="16"/>
  <c r="K143" i="16"/>
  <c r="BA142" i="16"/>
  <c r="AU142" i="16"/>
  <c r="AO142" i="16"/>
  <c r="AI142" i="16"/>
  <c r="AC142" i="16"/>
  <c r="W142" i="16"/>
  <c r="Q142" i="16"/>
  <c r="BA141" i="16"/>
  <c r="AU141" i="16"/>
  <c r="AI141" i="16"/>
  <c r="AC141" i="16"/>
  <c r="W141" i="16"/>
  <c r="Q141" i="16"/>
  <c r="K141" i="16"/>
  <c r="BA140" i="16"/>
  <c r="AU140" i="16"/>
  <c r="AO140" i="16"/>
  <c r="AI140" i="16"/>
  <c r="AC140" i="16"/>
  <c r="W140" i="16"/>
  <c r="Q140" i="16"/>
  <c r="K140" i="16"/>
  <c r="BA139" i="16"/>
  <c r="AU139" i="16"/>
  <c r="AI139" i="16"/>
  <c r="AC139" i="16"/>
  <c r="AU138" i="16"/>
  <c r="AO138" i="16"/>
  <c r="AI138" i="16"/>
  <c r="AC138" i="16"/>
  <c r="W138" i="16"/>
  <c r="Q138" i="16"/>
  <c r="K138" i="16"/>
  <c r="BA137" i="16"/>
  <c r="AU137" i="16"/>
  <c r="AO137" i="16"/>
  <c r="AI137" i="16"/>
  <c r="AC137" i="16"/>
  <c r="W137" i="16"/>
  <c r="Q137" i="16"/>
  <c r="BA136" i="16"/>
  <c r="AU136" i="16"/>
  <c r="AO136" i="16"/>
  <c r="AI136" i="16"/>
  <c r="AC136" i="16"/>
  <c r="W136" i="16"/>
  <c r="Q136" i="16"/>
  <c r="BA135" i="16"/>
  <c r="AU135" i="16"/>
  <c r="AO135" i="16"/>
  <c r="AI135" i="16"/>
  <c r="AC135" i="16"/>
  <c r="W135" i="16"/>
  <c r="Q135" i="16"/>
  <c r="K135" i="16"/>
  <c r="BA134" i="16"/>
  <c r="AU134" i="16"/>
  <c r="AO134" i="16"/>
  <c r="AI134" i="16"/>
  <c r="AC134" i="16"/>
  <c r="W134" i="16"/>
  <c r="Q134" i="16"/>
  <c r="BA133" i="16"/>
  <c r="AU133" i="16"/>
  <c r="AO133" i="16"/>
  <c r="AI133" i="16"/>
  <c r="AC133" i="16"/>
  <c r="W133" i="16"/>
  <c r="Q133" i="16"/>
  <c r="K133" i="16"/>
  <c r="BA132" i="16"/>
  <c r="AU132" i="16"/>
  <c r="AO132" i="16"/>
  <c r="AI132" i="16"/>
  <c r="AC132" i="16"/>
  <c r="W132" i="16"/>
  <c r="Q132" i="16"/>
  <c r="K132" i="16"/>
  <c r="BA131" i="16"/>
  <c r="AU131" i="16"/>
  <c r="AO131" i="16"/>
  <c r="AI131" i="16"/>
  <c r="AC131" i="16"/>
  <c r="AU130" i="16"/>
  <c r="AO130" i="16"/>
  <c r="AI130" i="16"/>
  <c r="AC130" i="16"/>
  <c r="W130" i="16"/>
  <c r="Q130" i="16"/>
  <c r="K130" i="16"/>
  <c r="BA129" i="16"/>
  <c r="AU129" i="16"/>
  <c r="AI129" i="16"/>
  <c r="AC129" i="16"/>
  <c r="W129" i="16"/>
  <c r="Q129" i="16"/>
  <c r="BA128" i="16"/>
  <c r="AU128" i="16"/>
  <c r="AO128" i="16"/>
  <c r="AI128" i="16"/>
  <c r="AC128" i="16"/>
  <c r="W128" i="16"/>
  <c r="Q128" i="16"/>
  <c r="BA127" i="16"/>
  <c r="AU127" i="16"/>
  <c r="AI127" i="16"/>
  <c r="AC127" i="16"/>
  <c r="W127" i="16"/>
  <c r="K127" i="16"/>
  <c r="BA126" i="16"/>
  <c r="AU126" i="16"/>
  <c r="AO126" i="16"/>
  <c r="AI126" i="16"/>
  <c r="AC126" i="16"/>
  <c r="W126" i="16"/>
  <c r="Q126" i="16"/>
  <c r="BA125" i="16"/>
  <c r="AU125" i="16"/>
  <c r="AI125" i="16"/>
  <c r="AC125" i="16"/>
  <c r="W125" i="16"/>
  <c r="Q125" i="16"/>
  <c r="K125" i="16"/>
  <c r="BA124" i="16"/>
  <c r="AU124" i="16"/>
  <c r="AO124" i="16"/>
  <c r="AI124" i="16"/>
  <c r="AC124" i="16"/>
  <c r="W124" i="16"/>
  <c r="Q124" i="16"/>
  <c r="K124" i="16"/>
  <c r="BA123" i="16"/>
  <c r="AU123" i="16"/>
  <c r="AI123" i="16"/>
  <c r="AC123" i="16"/>
  <c r="W123" i="16"/>
  <c r="Q123" i="16"/>
  <c r="AU122" i="16"/>
  <c r="AO122" i="16"/>
  <c r="AI122" i="16"/>
  <c r="AC122" i="16"/>
  <c r="W122" i="16"/>
  <c r="Q122" i="16"/>
  <c r="K122" i="16"/>
  <c r="BA121" i="16"/>
  <c r="AU121" i="16"/>
  <c r="AI121" i="16"/>
  <c r="AC121" i="16"/>
  <c r="W121" i="16"/>
  <c r="Q121" i="16"/>
  <c r="BA120" i="16"/>
  <c r="AU120" i="16"/>
  <c r="AO120" i="16"/>
  <c r="AI120" i="16"/>
  <c r="AC120" i="16"/>
  <c r="W120" i="16"/>
  <c r="Q120" i="16"/>
  <c r="BA119" i="16"/>
  <c r="AU119" i="16"/>
  <c r="AI119" i="16"/>
  <c r="AC119" i="16"/>
  <c r="W119" i="16"/>
  <c r="K119" i="16"/>
  <c r="BA118" i="16"/>
  <c r="AU118" i="16"/>
  <c r="AO118" i="16"/>
  <c r="AI118" i="16"/>
  <c r="AC118" i="16"/>
  <c r="W118" i="16"/>
  <c r="Q118" i="16"/>
  <c r="BA117" i="16"/>
  <c r="AU117" i="16"/>
  <c r="AI117" i="16"/>
  <c r="AC117" i="16"/>
  <c r="W117" i="16"/>
  <c r="Q117" i="16"/>
  <c r="K117" i="16"/>
  <c r="BA116" i="16"/>
  <c r="AU116" i="16"/>
  <c r="AO116" i="16"/>
  <c r="AI116" i="16"/>
  <c r="AC116" i="16"/>
  <c r="W116" i="16"/>
  <c r="Q116" i="16"/>
  <c r="K116" i="16"/>
  <c r="BA115" i="16"/>
  <c r="AU115" i="16"/>
  <c r="AI115" i="16"/>
  <c r="AC115" i="16"/>
  <c r="AU114" i="16"/>
  <c r="AO114" i="16"/>
  <c r="AI114" i="16"/>
  <c r="AC114" i="16"/>
  <c r="W114" i="16"/>
  <c r="Q114" i="16"/>
  <c r="K114" i="16"/>
  <c r="BA113" i="16"/>
  <c r="AU113" i="16"/>
  <c r="AI113" i="16"/>
  <c r="AC113" i="16"/>
  <c r="W113" i="16"/>
  <c r="Q113" i="16"/>
  <c r="BA112" i="16"/>
  <c r="AU112" i="16"/>
  <c r="AO112" i="16"/>
  <c r="AI112" i="16"/>
  <c r="AC112" i="16"/>
  <c r="W112" i="16"/>
  <c r="Q112" i="16"/>
  <c r="BA111" i="16"/>
  <c r="AU111" i="16"/>
  <c r="AI111" i="16"/>
  <c r="AC111" i="16"/>
  <c r="W111" i="16"/>
  <c r="K111" i="16"/>
  <c r="BA110" i="16"/>
  <c r="AU110" i="16"/>
  <c r="AO110" i="16"/>
  <c r="AI110" i="16"/>
  <c r="AC110" i="16"/>
  <c r="W110" i="16"/>
  <c r="Q110" i="16"/>
  <c r="BA109" i="16"/>
  <c r="AU109" i="16"/>
  <c r="AI109" i="16"/>
  <c r="AC109" i="16"/>
  <c r="W109" i="16"/>
  <c r="Q109" i="16"/>
  <c r="K109" i="16"/>
  <c r="BA108" i="16"/>
  <c r="AU108" i="16"/>
  <c r="AO108" i="16"/>
  <c r="AI108" i="16"/>
  <c r="AC108" i="16"/>
  <c r="W108" i="16"/>
  <c r="Q108" i="16"/>
  <c r="K108" i="16"/>
  <c r="BA107" i="16"/>
  <c r="AU107" i="16"/>
  <c r="AI107" i="16"/>
  <c r="AC107" i="16"/>
  <c r="AU106" i="16"/>
  <c r="AO106" i="16"/>
  <c r="AI106" i="16"/>
  <c r="AC106" i="16"/>
  <c r="W106" i="16"/>
  <c r="Q106" i="16"/>
  <c r="K106" i="16"/>
  <c r="BA105" i="16"/>
  <c r="AU105" i="16"/>
  <c r="AI105" i="16"/>
  <c r="AC105" i="16"/>
  <c r="W105" i="16"/>
  <c r="Q105" i="16"/>
  <c r="BA104" i="16"/>
  <c r="AU104" i="16"/>
  <c r="AO104" i="16"/>
  <c r="AI104" i="16"/>
  <c r="AC104" i="16"/>
  <c r="W104" i="16"/>
  <c r="Q104" i="16"/>
  <c r="BA103" i="16"/>
  <c r="AU103" i="16"/>
  <c r="AI103" i="16"/>
  <c r="AC103" i="16"/>
  <c r="W103" i="16"/>
  <c r="K103" i="16"/>
  <c r="BA102" i="16"/>
  <c r="AU102" i="16"/>
  <c r="AO102" i="16"/>
  <c r="AI102" i="16"/>
  <c r="AC102" i="16"/>
  <c r="W102" i="16"/>
  <c r="Q102" i="16"/>
  <c r="BA101" i="16"/>
  <c r="AU101" i="16"/>
  <c r="AI101" i="16"/>
  <c r="AC101" i="16"/>
  <c r="W101" i="16"/>
  <c r="Q101" i="16"/>
  <c r="K101" i="16"/>
  <c r="BA100" i="16"/>
  <c r="AU100" i="16"/>
  <c r="AO100" i="16"/>
  <c r="AI100" i="16"/>
  <c r="AC100" i="16"/>
  <c r="W100" i="16"/>
  <c r="Q100" i="16"/>
  <c r="K100" i="16"/>
  <c r="BA99" i="16"/>
  <c r="AU99" i="16"/>
  <c r="AI99" i="16"/>
  <c r="AC99" i="16"/>
  <c r="Q99" i="16"/>
  <c r="AU98" i="16"/>
  <c r="AO98" i="16"/>
  <c r="AI98" i="16"/>
  <c r="AC98" i="16"/>
  <c r="W98" i="16"/>
  <c r="Q98" i="16"/>
  <c r="K98" i="16"/>
  <c r="BA97" i="16"/>
  <c r="AU97" i="16"/>
  <c r="AI97" i="16"/>
  <c r="AC97" i="16"/>
  <c r="W97" i="16"/>
  <c r="Q97" i="16"/>
  <c r="BA96" i="16"/>
  <c r="AU96" i="16"/>
  <c r="AO96" i="16"/>
  <c r="AI96" i="16"/>
  <c r="AC96" i="16"/>
  <c r="W96" i="16"/>
  <c r="Q96" i="16"/>
  <c r="BA95" i="16"/>
  <c r="AU95" i="16"/>
  <c r="AI95" i="16"/>
  <c r="AC95" i="16"/>
  <c r="W95" i="16"/>
  <c r="K95" i="16"/>
  <c r="BA94" i="16"/>
  <c r="AU94" i="16"/>
  <c r="AO94" i="16"/>
  <c r="AI94" i="16"/>
  <c r="AC94" i="16"/>
  <c r="W94" i="16"/>
  <c r="Q94" i="16"/>
  <c r="BA93" i="16"/>
  <c r="AU93" i="16"/>
  <c r="AI93" i="16"/>
  <c r="AC93" i="16"/>
  <c r="W93" i="16"/>
  <c r="Q93" i="16"/>
  <c r="K93" i="16"/>
  <c r="BA92" i="16"/>
  <c r="AU92" i="16"/>
  <c r="AO92" i="16"/>
  <c r="AI92" i="16"/>
  <c r="AC92" i="16"/>
  <c r="W92" i="16"/>
  <c r="Q92" i="16"/>
  <c r="K92" i="16"/>
  <c r="BA91" i="16"/>
  <c r="AU91" i="16"/>
  <c r="AI91" i="16"/>
  <c r="AC91" i="16"/>
  <c r="Q91" i="16"/>
  <c r="K91" i="16"/>
  <c r="AU90" i="16"/>
  <c r="AO90" i="16"/>
  <c r="AI90" i="16"/>
  <c r="AC90" i="16"/>
  <c r="W90" i="16"/>
  <c r="Q90" i="16"/>
  <c r="K90" i="16"/>
  <c r="BA89" i="16"/>
  <c r="AU89" i="16"/>
  <c r="AI89" i="16"/>
  <c r="AC89" i="16"/>
  <c r="W89" i="16"/>
  <c r="Q89" i="16"/>
  <c r="BA88" i="16"/>
  <c r="AU88" i="16"/>
  <c r="AO88" i="16"/>
  <c r="AI88" i="16"/>
  <c r="AC88" i="16"/>
  <c r="W88" i="16"/>
  <c r="Q88" i="16"/>
  <c r="BA87" i="16"/>
  <c r="AU87" i="16"/>
  <c r="AI87" i="16"/>
  <c r="AC87" i="16"/>
  <c r="W87" i="16"/>
  <c r="K87" i="16"/>
  <c r="BA86" i="16"/>
  <c r="AU86" i="16"/>
  <c r="AO86" i="16"/>
  <c r="AI86" i="16"/>
  <c r="AC86" i="16"/>
  <c r="W86" i="16"/>
  <c r="Q86" i="16"/>
  <c r="BA85" i="16"/>
  <c r="AU85" i="16"/>
  <c r="AI85" i="16"/>
  <c r="AC85" i="16"/>
  <c r="W85" i="16"/>
  <c r="Q85" i="16"/>
  <c r="K85" i="16"/>
  <c r="BA84" i="16"/>
  <c r="AU84" i="16"/>
  <c r="AO84" i="16"/>
  <c r="AI84" i="16"/>
  <c r="AC84" i="16"/>
  <c r="W84" i="16"/>
  <c r="Q84" i="16"/>
  <c r="K84" i="16"/>
  <c r="BA83" i="16"/>
  <c r="AU83" i="16"/>
  <c r="AI83" i="16"/>
  <c r="AC83" i="16"/>
  <c r="K83" i="16"/>
  <c r="AU82" i="16"/>
  <c r="AO82" i="16"/>
  <c r="AI82" i="16"/>
  <c r="AC82" i="16"/>
  <c r="W82" i="16"/>
  <c r="Q82" i="16"/>
  <c r="K82" i="16"/>
  <c r="BA81" i="16"/>
  <c r="AU81" i="16"/>
  <c r="AI81" i="16"/>
  <c r="AC81" i="16"/>
  <c r="W81" i="16"/>
  <c r="Q81" i="16"/>
  <c r="BA80" i="16"/>
  <c r="AU80" i="16"/>
  <c r="AO80" i="16"/>
  <c r="AI80" i="16"/>
  <c r="AC80" i="16"/>
  <c r="W80" i="16"/>
  <c r="Q80" i="16"/>
  <c r="BA79" i="16"/>
  <c r="AU79" i="16"/>
  <c r="AI79" i="16"/>
  <c r="AC79" i="16"/>
  <c r="W79" i="16"/>
  <c r="K79" i="16"/>
  <c r="BA78" i="16"/>
  <c r="AU78" i="16"/>
  <c r="AO78" i="16"/>
  <c r="AI78" i="16"/>
  <c r="AC78" i="16"/>
  <c r="W78" i="16"/>
  <c r="Q78" i="16"/>
  <c r="BA77" i="16"/>
  <c r="AU77" i="16"/>
  <c r="AI77" i="16"/>
  <c r="AC77" i="16"/>
  <c r="W77" i="16"/>
  <c r="Q77" i="16"/>
  <c r="K77" i="16"/>
  <c r="BA76" i="16"/>
  <c r="AU76" i="16"/>
  <c r="AO76" i="16"/>
  <c r="AI76" i="16"/>
  <c r="AC76" i="16"/>
  <c r="W76" i="16"/>
  <c r="Q76" i="16"/>
  <c r="K76" i="16"/>
  <c r="BA75" i="16"/>
  <c r="AU75" i="16"/>
  <c r="AI75" i="16"/>
  <c r="AC75" i="16"/>
  <c r="K75" i="16"/>
  <c r="AU74" i="16"/>
  <c r="AO74" i="16"/>
  <c r="AI74" i="16"/>
  <c r="AC74" i="16"/>
  <c r="W74" i="16"/>
  <c r="Q74" i="16"/>
  <c r="K74" i="16"/>
  <c r="BA73" i="16"/>
  <c r="AU73" i="16"/>
  <c r="AO73" i="16"/>
  <c r="AI73" i="16"/>
  <c r="AC73" i="16"/>
  <c r="W73" i="16"/>
  <c r="Q73" i="16"/>
  <c r="BA72" i="16"/>
  <c r="AU72" i="16"/>
  <c r="AO72" i="16"/>
  <c r="AI72" i="16"/>
  <c r="AC72" i="16"/>
  <c r="W72" i="16"/>
  <c r="Q72" i="16"/>
  <c r="BA71" i="16"/>
  <c r="AU71" i="16"/>
  <c r="AO71" i="16"/>
  <c r="AI71" i="16"/>
  <c r="AC71" i="16"/>
  <c r="W71" i="16"/>
  <c r="K71" i="16"/>
  <c r="BA70" i="16"/>
  <c r="AU70" i="16"/>
  <c r="AO70" i="16"/>
  <c r="AI70" i="16"/>
  <c r="AC70" i="16"/>
  <c r="W70" i="16"/>
  <c r="Q70" i="16"/>
  <c r="BA69" i="16"/>
  <c r="AU69" i="16"/>
  <c r="AO69" i="16"/>
  <c r="AI69" i="16"/>
  <c r="AC69" i="16"/>
  <c r="W69" i="16"/>
  <c r="Q69" i="16"/>
  <c r="K69" i="16"/>
  <c r="BA68" i="16"/>
  <c r="AU68" i="16"/>
  <c r="AO68" i="16"/>
  <c r="AI68" i="16"/>
  <c r="AC68" i="16"/>
  <c r="W68" i="16"/>
  <c r="Q68" i="16"/>
  <c r="K68" i="16"/>
  <c r="BA67" i="16"/>
  <c r="AU67" i="16"/>
  <c r="AO67" i="16"/>
  <c r="AI67" i="16"/>
  <c r="AC67" i="16"/>
  <c r="AU66" i="16"/>
  <c r="AO66" i="16"/>
  <c r="AI66" i="16"/>
  <c r="AC66" i="16"/>
  <c r="W66" i="16"/>
  <c r="Q66" i="16"/>
  <c r="K66" i="16"/>
  <c r="BA65" i="16"/>
  <c r="AU65" i="16"/>
  <c r="AI65" i="16"/>
  <c r="AC65" i="16"/>
  <c r="W65" i="16"/>
  <c r="Q65" i="16"/>
  <c r="BA64" i="16"/>
  <c r="AU64" i="16"/>
  <c r="AO64" i="16"/>
  <c r="AI64" i="16"/>
  <c r="AC64" i="16"/>
  <c r="W64" i="16"/>
  <c r="Q64" i="16"/>
  <c r="BA63" i="16"/>
  <c r="AU63" i="16"/>
  <c r="AI63" i="16"/>
  <c r="AC63" i="16"/>
  <c r="W63" i="16"/>
  <c r="K63" i="16"/>
  <c r="BA62" i="16"/>
  <c r="AU62" i="16"/>
  <c r="AO62" i="16"/>
  <c r="AI62" i="16"/>
  <c r="AC62" i="16"/>
  <c r="W62" i="16"/>
  <c r="Q62" i="16"/>
  <c r="K62" i="16"/>
  <c r="BA61" i="16"/>
  <c r="AU61" i="16"/>
  <c r="AI61" i="16"/>
  <c r="AC61" i="16"/>
  <c r="W61" i="16"/>
  <c r="Q61" i="16"/>
  <c r="K61" i="16"/>
  <c r="BA60" i="16"/>
  <c r="AU60" i="16"/>
  <c r="AO60" i="16"/>
  <c r="AI60" i="16"/>
  <c r="AC60" i="16"/>
  <c r="W60" i="16"/>
  <c r="Q60" i="16"/>
  <c r="K60" i="16"/>
  <c r="BA59" i="16"/>
  <c r="AU59" i="16"/>
  <c r="AI59" i="16"/>
  <c r="AC59" i="16"/>
  <c r="AU58" i="16"/>
  <c r="AO58" i="16"/>
  <c r="AI58" i="16"/>
  <c r="AC58" i="16"/>
  <c r="W58" i="16"/>
  <c r="Q58" i="16"/>
  <c r="K58" i="16"/>
  <c r="BA57" i="16"/>
  <c r="AU57" i="16"/>
  <c r="AI57" i="16"/>
  <c r="AC57" i="16"/>
  <c r="W57" i="16"/>
  <c r="Q57" i="16"/>
  <c r="BA56" i="16"/>
  <c r="AU56" i="16"/>
  <c r="AO56" i="16"/>
  <c r="AI56" i="16"/>
  <c r="AC56" i="16"/>
  <c r="W56" i="16"/>
  <c r="Q56" i="16"/>
  <c r="BA55" i="16"/>
  <c r="AU55" i="16"/>
  <c r="AI55" i="16"/>
  <c r="AC55" i="16"/>
  <c r="W55" i="16"/>
  <c r="K55" i="16"/>
  <c r="BA54" i="16"/>
  <c r="AU54" i="16"/>
  <c r="AO54" i="16"/>
  <c r="AI54" i="16"/>
  <c r="AC54" i="16"/>
  <c r="W54" i="16"/>
  <c r="Q54" i="16"/>
  <c r="K54" i="16"/>
  <c r="BA53" i="16"/>
  <c r="AU53" i="16"/>
  <c r="AI53" i="16"/>
  <c r="AC53" i="16"/>
  <c r="W53" i="16"/>
  <c r="Q53" i="16"/>
  <c r="K53" i="16"/>
  <c r="BA52" i="16"/>
  <c r="AU52" i="16"/>
  <c r="AO52" i="16"/>
  <c r="AI52" i="16"/>
  <c r="AC52" i="16"/>
  <c r="W52" i="16"/>
  <c r="Q52" i="16"/>
  <c r="K52" i="16"/>
  <c r="BA51" i="16"/>
  <c r="AU51" i="16"/>
  <c r="AI51" i="16"/>
  <c r="AC51" i="16"/>
  <c r="Q51" i="16"/>
  <c r="AU50" i="16"/>
  <c r="AO50" i="16"/>
  <c r="AI50" i="16"/>
  <c r="AC50" i="16"/>
  <c r="W50" i="16"/>
  <c r="Q50" i="16"/>
  <c r="K50" i="16"/>
  <c r="BA49" i="16"/>
  <c r="AU49" i="16"/>
  <c r="AI49" i="16"/>
  <c r="AC49" i="16"/>
  <c r="W49" i="16"/>
  <c r="Q49" i="16"/>
  <c r="BA48" i="16"/>
  <c r="AU48" i="16"/>
  <c r="AO48" i="16"/>
  <c r="AI48" i="16"/>
  <c r="AC48" i="16"/>
  <c r="W48" i="16"/>
  <c r="Q48" i="16"/>
  <c r="BA47" i="16"/>
  <c r="AU47" i="16"/>
  <c r="AI47" i="16"/>
  <c r="AC47" i="16"/>
  <c r="W47" i="16"/>
  <c r="K47" i="16"/>
  <c r="BA46" i="16"/>
  <c r="AU46" i="16"/>
  <c r="AO46" i="16"/>
  <c r="AI46" i="16"/>
  <c r="AC46" i="16"/>
  <c r="W46" i="16"/>
  <c r="Q46" i="16"/>
  <c r="K46" i="16"/>
  <c r="BA45" i="16"/>
  <c r="AU45" i="16"/>
  <c r="AI45" i="16"/>
  <c r="AC45" i="16"/>
  <c r="W45" i="16"/>
  <c r="Q45" i="16"/>
  <c r="K45" i="16"/>
  <c r="BA44" i="16"/>
  <c r="AU44" i="16"/>
  <c r="AO44" i="16"/>
  <c r="AI44" i="16"/>
  <c r="AC44" i="16"/>
  <c r="W44" i="16"/>
  <c r="Q44" i="16"/>
  <c r="K44" i="16"/>
  <c r="BA43" i="16"/>
  <c r="AU43" i="16"/>
  <c r="AI43" i="16"/>
  <c r="AC43" i="16"/>
  <c r="Q43" i="16"/>
  <c r="AU42" i="16"/>
  <c r="AO42" i="16"/>
  <c r="AI42" i="16"/>
  <c r="AC42" i="16"/>
  <c r="W42" i="16"/>
  <c r="Q42" i="16"/>
  <c r="K42" i="16"/>
  <c r="BA41" i="16"/>
  <c r="AU41" i="16"/>
  <c r="AI41" i="16"/>
  <c r="AC41" i="16"/>
  <c r="W41" i="16"/>
  <c r="Q41" i="16"/>
  <c r="BA40" i="16"/>
  <c r="AU40" i="16"/>
  <c r="AO40" i="16"/>
  <c r="AI40" i="16"/>
  <c r="AC40" i="16"/>
  <c r="W40" i="16"/>
  <c r="Q40" i="16"/>
  <c r="BA39" i="16"/>
  <c r="AU39" i="16"/>
  <c r="AI39" i="16"/>
  <c r="AC39" i="16"/>
  <c r="W39" i="16"/>
  <c r="K39" i="16"/>
  <c r="BA38" i="16"/>
  <c r="AU38" i="16"/>
  <c r="AO38" i="16"/>
  <c r="AI38" i="16"/>
  <c r="AC38" i="16"/>
  <c r="W38" i="16"/>
  <c r="Q38" i="16"/>
  <c r="BA37" i="16"/>
  <c r="AU37" i="16"/>
  <c r="AI37" i="16"/>
  <c r="AC37" i="16"/>
  <c r="W37" i="16"/>
  <c r="Q37" i="16"/>
  <c r="K37" i="16"/>
  <c r="BA36" i="16"/>
  <c r="AU36" i="16"/>
  <c r="AO36" i="16"/>
  <c r="AI36" i="16"/>
  <c r="AC36" i="16"/>
  <c r="W36" i="16"/>
  <c r="Q36" i="16"/>
  <c r="K36" i="16"/>
  <c r="BA35" i="16"/>
  <c r="AU35" i="16"/>
  <c r="AI35" i="16"/>
  <c r="AC35" i="16"/>
  <c r="AU34" i="16"/>
  <c r="AO34" i="16"/>
  <c r="AI34" i="16"/>
  <c r="AC34" i="16"/>
  <c r="W34" i="16"/>
  <c r="Q34" i="16"/>
  <c r="K34" i="16"/>
  <c r="BA33" i="16"/>
  <c r="AU33" i="16"/>
  <c r="AI33" i="16"/>
  <c r="AC33" i="16"/>
  <c r="W33" i="16"/>
  <c r="Q33" i="16"/>
  <c r="K33" i="16"/>
  <c r="BA32" i="16"/>
  <c r="AU32" i="16"/>
  <c r="AO32" i="16"/>
  <c r="AI32" i="16"/>
  <c r="AC32" i="16"/>
  <c r="W32" i="16"/>
  <c r="Q32" i="16"/>
  <c r="BA31" i="16"/>
  <c r="AU31" i="16"/>
  <c r="AI31" i="16"/>
  <c r="AC31" i="16"/>
  <c r="W31" i="16"/>
  <c r="K31" i="16"/>
  <c r="BA30" i="16"/>
  <c r="AU30" i="16"/>
  <c r="AO30" i="16"/>
  <c r="AI30" i="16"/>
  <c r="AC30" i="16"/>
  <c r="W30" i="16"/>
  <c r="Q30" i="16"/>
  <c r="BA29" i="16"/>
  <c r="AU29" i="16"/>
  <c r="AI29" i="16"/>
  <c r="AC29" i="16"/>
  <c r="W29" i="16"/>
  <c r="Q29" i="16"/>
  <c r="K29" i="16"/>
  <c r="BA28" i="16"/>
  <c r="AU28" i="16"/>
  <c r="AO28" i="16"/>
  <c r="AI28" i="16"/>
  <c r="AC28" i="16"/>
  <c r="W28" i="16"/>
  <c r="Q28" i="16"/>
  <c r="K28" i="16"/>
  <c r="BA27" i="16"/>
  <c r="AU27" i="16"/>
  <c r="AI27" i="16"/>
  <c r="AC27" i="16"/>
  <c r="W27" i="16"/>
  <c r="AU26" i="16"/>
  <c r="AO26" i="16"/>
  <c r="AI26" i="16"/>
  <c r="AC26" i="16"/>
  <c r="W26" i="16"/>
  <c r="Q26" i="16"/>
  <c r="K26" i="16"/>
  <c r="BA25" i="16"/>
  <c r="AU25" i="16"/>
  <c r="AI25" i="16"/>
  <c r="AC25" i="16"/>
  <c r="W25" i="16"/>
  <c r="Q25" i="16"/>
  <c r="K25" i="16"/>
  <c r="BA24" i="16"/>
  <c r="AU24" i="16"/>
  <c r="AO24" i="16"/>
  <c r="AI24" i="16"/>
  <c r="AC24" i="16"/>
  <c r="W24" i="16"/>
  <c r="Q24" i="16"/>
  <c r="BA23" i="16"/>
  <c r="AU23" i="16"/>
  <c r="AI23" i="16"/>
  <c r="AC23" i="16"/>
  <c r="W23" i="16"/>
  <c r="K23" i="16"/>
  <c r="BA22" i="16"/>
  <c r="AU22" i="16"/>
  <c r="AO22" i="16"/>
  <c r="AI22" i="16"/>
  <c r="AC22" i="16"/>
  <c r="W22" i="16"/>
  <c r="Q22" i="16"/>
  <c r="BA21" i="16"/>
  <c r="AU21" i="16"/>
  <c r="AI21" i="16"/>
  <c r="AC21" i="16"/>
  <c r="W21" i="16"/>
  <c r="Q21" i="16"/>
  <c r="K21" i="16"/>
  <c r="BA20" i="16"/>
  <c r="AU20" i="16"/>
  <c r="AO20" i="16"/>
  <c r="AI20" i="16"/>
  <c r="AC20" i="16"/>
  <c r="W20" i="16"/>
  <c r="Q20" i="16"/>
  <c r="K20" i="16"/>
  <c r="BA19" i="16"/>
  <c r="AU19" i="16"/>
  <c r="AI19" i="16"/>
  <c r="AC19" i="16"/>
  <c r="AU18" i="16"/>
  <c r="AO18" i="16"/>
  <c r="AI18" i="16"/>
  <c r="AC18" i="16"/>
  <c r="W18" i="16"/>
  <c r="Q18" i="16"/>
  <c r="K18" i="16"/>
  <c r="BA17" i="16"/>
  <c r="AU17" i="16"/>
  <c r="AI17" i="16"/>
  <c r="AC17" i="16"/>
  <c r="W17" i="16"/>
  <c r="Q17" i="16"/>
  <c r="K17" i="16"/>
  <c r="BA16" i="16"/>
  <c r="AU16" i="16"/>
  <c r="AO16" i="16"/>
  <c r="AI16" i="16"/>
  <c r="AC16" i="16"/>
  <c r="W16" i="16"/>
  <c r="Q16" i="16"/>
  <c r="BA15" i="16"/>
  <c r="AU15" i="16"/>
  <c r="AI15" i="16"/>
  <c r="AC15" i="16"/>
  <c r="W15" i="16"/>
  <c r="K15" i="16"/>
  <c r="BA14" i="16"/>
  <c r="AU14" i="16"/>
  <c r="AO14" i="16"/>
  <c r="AI14" i="16"/>
  <c r="AC14" i="16"/>
  <c r="W14" i="16"/>
  <c r="Q14" i="16"/>
  <c r="BA13" i="16"/>
  <c r="AU13" i="16"/>
  <c r="AI13" i="16"/>
  <c r="AC13" i="16"/>
  <c r="W13" i="16"/>
  <c r="Q13" i="16"/>
  <c r="K13" i="16"/>
  <c r="BA12" i="16"/>
  <c r="AU12" i="16"/>
  <c r="AO12" i="16"/>
  <c r="AI12" i="16"/>
  <c r="AC12" i="16"/>
  <c r="W12" i="16"/>
  <c r="Q12" i="16"/>
  <c r="K12" i="16"/>
  <c r="BA11" i="16"/>
  <c r="AU11" i="16"/>
  <c r="AI11" i="16"/>
  <c r="AC11" i="16"/>
  <c r="AU10" i="16"/>
  <c r="AO10" i="16"/>
  <c r="AI10" i="16"/>
  <c r="AC10" i="16"/>
  <c r="W10" i="16"/>
  <c r="Q10" i="16"/>
  <c r="K10" i="16"/>
  <c r="BA9" i="16"/>
  <c r="AU9" i="16"/>
  <c r="AO9" i="16"/>
  <c r="AI9" i="16"/>
  <c r="AC9" i="16"/>
  <c r="W9" i="16"/>
  <c r="Q9" i="16"/>
  <c r="K9" i="16"/>
  <c r="BA8" i="16"/>
  <c r="AU8" i="16"/>
  <c r="AO8" i="16"/>
  <c r="AI8" i="16"/>
  <c r="AC8" i="16"/>
  <c r="W8" i="16"/>
  <c r="Q8" i="16"/>
  <c r="BA7" i="16"/>
  <c r="AU7" i="16"/>
  <c r="AO7" i="16"/>
  <c r="AI7" i="16"/>
  <c r="AC7" i="16"/>
  <c r="W7" i="16"/>
  <c r="Q7" i="16"/>
  <c r="K7" i="16"/>
  <c r="BA6" i="16"/>
  <c r="AU6" i="16"/>
  <c r="AO6" i="16"/>
  <c r="AI6" i="16"/>
  <c r="AC6" i="16"/>
  <c r="W6" i="16"/>
  <c r="Q6" i="16"/>
  <c r="BA5" i="16"/>
  <c r="AU5" i="16"/>
  <c r="AO5" i="16"/>
  <c r="AI5" i="16"/>
  <c r="AC5" i="16"/>
  <c r="W5" i="16"/>
  <c r="Q5" i="16"/>
  <c r="K5" i="16"/>
  <c r="BA4" i="16"/>
  <c r="AU4" i="16"/>
  <c r="AO4" i="16"/>
  <c r="AI4" i="16"/>
  <c r="AC4" i="16"/>
  <c r="W4" i="16"/>
  <c r="Q4" i="16"/>
  <c r="K4" i="16"/>
  <c r="BA3" i="16"/>
  <c r="AU3" i="16"/>
  <c r="AO3" i="16"/>
  <c r="AI3" i="16"/>
  <c r="AC3" i="16"/>
  <c r="W3" i="16"/>
  <c r="K5" i="6"/>
  <c r="K7" i="6"/>
  <c r="K11" i="6"/>
  <c r="K13" i="6"/>
  <c r="K15" i="6"/>
  <c r="K19" i="6"/>
  <c r="K21" i="6"/>
  <c r="K23" i="6"/>
  <c r="K25" i="6"/>
  <c r="K27" i="6"/>
  <c r="K29" i="6"/>
  <c r="K31" i="6"/>
  <c r="K35" i="6"/>
  <c r="K37" i="6"/>
  <c r="K41" i="6"/>
  <c r="K43" i="6"/>
  <c r="K47" i="6"/>
  <c r="K49" i="6"/>
  <c r="K53" i="6"/>
  <c r="K55" i="6"/>
  <c r="K57" i="6"/>
  <c r="K59" i="6"/>
  <c r="K61" i="6"/>
  <c r="K63" i="6"/>
  <c r="K65" i="6"/>
  <c r="K67" i="6"/>
  <c r="K69" i="6"/>
  <c r="K71" i="6"/>
  <c r="K73" i="6"/>
  <c r="K75" i="6"/>
  <c r="K77" i="6"/>
  <c r="K81" i="6"/>
  <c r="K83" i="6"/>
  <c r="K85" i="6"/>
  <c r="K87" i="6"/>
  <c r="K89" i="6"/>
  <c r="K91" i="6"/>
  <c r="K93" i="6"/>
  <c r="K95" i="6"/>
  <c r="K97" i="6"/>
  <c r="K101" i="6"/>
  <c r="K103" i="6"/>
  <c r="K107" i="6"/>
  <c r="K109" i="6"/>
  <c r="K111" i="6"/>
  <c r="K113" i="6"/>
  <c r="K115" i="6"/>
  <c r="K119" i="6"/>
  <c r="K121" i="6"/>
  <c r="K123" i="6"/>
  <c r="K127" i="6"/>
  <c r="K129" i="6"/>
  <c r="K131" i="6"/>
  <c r="K133" i="6"/>
  <c r="K135" i="6"/>
  <c r="K137" i="6"/>
  <c r="K139" i="6"/>
  <c r="K141" i="6"/>
  <c r="K143" i="6"/>
  <c r="K145" i="6"/>
  <c r="K147" i="6"/>
  <c r="K149" i="6"/>
  <c r="K151" i="6"/>
  <c r="K153" i="6"/>
  <c r="K155" i="6"/>
  <c r="K157" i="6"/>
  <c r="K159" i="6"/>
  <c r="K161" i="6"/>
  <c r="K163" i="6"/>
  <c r="K167" i="6"/>
  <c r="K169" i="6"/>
  <c r="K171" i="6"/>
  <c r="K173" i="6"/>
  <c r="K175" i="6"/>
  <c r="K177" i="6"/>
  <c r="K179" i="6"/>
  <c r="K181" i="6"/>
  <c r="K183" i="6"/>
  <c r="K185" i="6"/>
  <c r="K187" i="6"/>
  <c r="K189" i="6"/>
  <c r="K191" i="6"/>
  <c r="K193" i="6"/>
  <c r="K195" i="6"/>
  <c r="K197" i="6"/>
  <c r="K199" i="6"/>
  <c r="K201" i="6"/>
  <c r="K203" i="6"/>
  <c r="K205" i="6"/>
  <c r="K207" i="6"/>
  <c r="K209" i="6"/>
  <c r="K211" i="6"/>
  <c r="K213" i="6"/>
  <c r="K215" i="6"/>
  <c r="K219" i="6"/>
  <c r="K223" i="6"/>
  <c r="K225" i="6"/>
  <c r="K227" i="6"/>
  <c r="K229" i="6"/>
  <c r="Q5" i="6"/>
  <c r="Q7" i="6"/>
  <c r="Q8" i="6"/>
  <c r="Q10" i="6"/>
  <c r="Q11" i="6"/>
  <c r="Q13" i="6"/>
  <c r="Q15" i="6"/>
  <c r="Q16" i="6"/>
  <c r="Q18" i="6"/>
  <c r="Q23" i="6"/>
  <c r="Q24" i="6"/>
  <c r="Q26" i="6"/>
  <c r="Q27" i="6"/>
  <c r="Q29" i="6"/>
  <c r="Q31" i="6"/>
  <c r="Q34" i="6"/>
  <c r="Q35" i="6"/>
  <c r="Q37" i="6"/>
  <c r="Q39" i="6"/>
  <c r="Q40" i="6"/>
  <c r="Q43" i="6"/>
  <c r="Q45" i="6"/>
  <c r="Q47" i="6"/>
  <c r="Q48" i="6"/>
  <c r="Q50" i="6"/>
  <c r="Q53" i="6"/>
  <c r="Q55" i="6"/>
  <c r="Q56" i="6"/>
  <c r="Q58" i="6"/>
  <c r="Q59" i="6"/>
  <c r="Q61" i="6"/>
  <c r="Q63" i="6"/>
  <c r="Q66" i="6"/>
  <c r="Q67" i="6"/>
  <c r="Q69" i="6"/>
  <c r="Q71" i="6"/>
  <c r="Q72" i="6"/>
  <c r="Q75" i="6"/>
  <c r="Q77" i="6"/>
  <c r="Q79" i="6"/>
  <c r="Q80" i="6"/>
  <c r="Q82" i="6"/>
  <c r="Q83" i="6"/>
  <c r="Q85" i="6"/>
  <c r="Q87" i="6"/>
  <c r="Q88" i="6"/>
  <c r="Q90" i="6"/>
  <c r="Q91" i="6"/>
  <c r="Q93" i="6"/>
  <c r="Q95" i="6"/>
  <c r="Q98" i="6"/>
  <c r="Q101" i="6"/>
  <c r="Q103" i="6"/>
  <c r="Q104" i="6"/>
  <c r="Q107" i="6"/>
  <c r="Q109" i="6"/>
  <c r="Q111" i="6"/>
  <c r="Q112" i="6"/>
  <c r="Q114" i="6"/>
  <c r="Q115" i="6"/>
  <c r="Q117" i="6"/>
  <c r="Q119" i="6"/>
  <c r="Q120" i="6"/>
  <c r="Q122" i="6"/>
  <c r="Q123" i="6"/>
  <c r="Q125" i="6"/>
  <c r="Q128" i="6"/>
  <c r="Q130" i="6"/>
  <c r="Q131" i="6"/>
  <c r="Q133" i="6"/>
  <c r="Q135" i="6"/>
  <c r="Q138" i="6"/>
  <c r="Q139" i="6"/>
  <c r="Q141" i="6"/>
  <c r="Q143" i="6"/>
  <c r="Q144" i="6"/>
  <c r="Q147" i="6"/>
  <c r="Q149" i="6"/>
  <c r="Q151" i="6"/>
  <c r="Q152" i="6"/>
  <c r="Q154" i="6"/>
  <c r="Q155" i="6"/>
  <c r="Q159" i="6"/>
  <c r="Q160" i="6"/>
  <c r="Q162" i="6"/>
  <c r="Q163" i="6"/>
  <c r="Q165" i="6"/>
  <c r="Q167" i="6"/>
  <c r="Q170" i="6"/>
  <c r="Q173" i="6"/>
  <c r="Q175" i="6"/>
  <c r="Q176" i="6"/>
  <c r="Q179" i="6"/>
  <c r="Q181" i="6"/>
  <c r="Q183" i="6"/>
  <c r="Q184" i="6"/>
  <c r="Q186" i="6"/>
  <c r="Q187" i="6"/>
  <c r="Q189" i="6"/>
  <c r="Q191" i="6"/>
  <c r="Q192" i="6"/>
  <c r="Q194" i="6"/>
  <c r="Q195" i="6"/>
  <c r="Q197" i="6"/>
  <c r="Q199" i="6"/>
  <c r="Q200" i="6"/>
  <c r="Q202" i="6"/>
  <c r="Q203" i="6"/>
  <c r="Q205" i="6"/>
  <c r="Q207" i="6"/>
  <c r="Q208" i="6"/>
  <c r="Q210" i="6"/>
  <c r="Q211" i="6"/>
  <c r="Q213" i="6"/>
  <c r="Q215" i="6"/>
  <c r="Q216" i="6"/>
  <c r="Q218" i="6"/>
  <c r="Q219" i="6"/>
  <c r="Q220" i="6"/>
  <c r="Q221" i="6"/>
  <c r="Q223" i="6"/>
  <c r="Q226" i="6"/>
  <c r="Q227" i="6"/>
  <c r="Q228" i="6"/>
  <c r="Q230" i="6"/>
  <c r="Q19" i="6"/>
  <c r="Q99" i="6"/>
  <c r="Q171" i="6"/>
  <c r="AO5" i="6"/>
  <c r="AO7" i="6"/>
  <c r="AO9" i="6"/>
  <c r="AO11" i="6"/>
  <c r="AO21" i="6"/>
  <c r="AO23" i="6"/>
  <c r="AO25" i="6"/>
  <c r="AO27" i="6"/>
  <c r="AO29" i="6"/>
  <c r="AO31" i="6"/>
  <c r="AO33" i="6"/>
  <c r="AO35" i="6"/>
  <c r="AO37" i="6"/>
  <c r="AO39" i="6"/>
  <c r="AO41" i="6"/>
  <c r="AO43" i="6"/>
  <c r="AO45" i="6"/>
  <c r="AO47" i="6"/>
  <c r="AO49" i="6"/>
  <c r="AO51" i="6"/>
  <c r="AO59" i="6"/>
  <c r="AO61" i="6"/>
  <c r="AO63" i="6"/>
  <c r="AO65" i="6"/>
  <c r="AO67" i="6"/>
  <c r="AO69" i="6"/>
  <c r="AO71" i="6"/>
  <c r="AO73" i="6"/>
  <c r="AO75" i="6"/>
  <c r="AO77" i="6"/>
  <c r="AO79" i="6"/>
  <c r="AO81" i="6"/>
  <c r="AO83" i="6"/>
  <c r="AO91" i="6"/>
  <c r="AO93" i="6"/>
  <c r="AO95" i="6"/>
  <c r="AO97" i="6"/>
  <c r="AO99" i="6"/>
  <c r="AO101" i="6"/>
  <c r="AO103" i="6"/>
  <c r="AO105" i="6"/>
  <c r="AO107" i="6"/>
  <c r="AO109" i="6"/>
  <c r="AO111" i="6"/>
  <c r="AO113" i="6"/>
  <c r="AO115" i="6"/>
  <c r="AO123" i="6"/>
  <c r="AO125" i="6"/>
  <c r="AO127" i="6"/>
  <c r="AO129" i="6"/>
  <c r="AO131" i="6"/>
  <c r="AO133" i="6"/>
  <c r="AO135" i="6"/>
  <c r="AO137" i="6"/>
  <c r="AO139" i="6"/>
  <c r="AO141" i="6"/>
  <c r="AO143" i="6"/>
  <c r="AO145" i="6"/>
  <c r="AO147" i="6"/>
  <c r="AO155" i="6"/>
  <c r="AO157" i="6"/>
  <c r="AO159" i="6"/>
  <c r="AO161" i="6"/>
  <c r="AO163" i="6"/>
  <c r="AO165" i="6"/>
  <c r="AO167" i="6"/>
  <c r="AO169" i="6"/>
  <c r="AO171" i="6"/>
  <c r="AO173" i="6"/>
  <c r="AO175" i="6"/>
  <c r="AO177" i="6"/>
  <c r="AO179" i="6"/>
  <c r="AO187" i="6"/>
  <c r="AO189" i="6"/>
  <c r="AO191" i="6"/>
  <c r="AO193" i="6"/>
  <c r="AO195" i="6"/>
  <c r="AO197" i="6"/>
  <c r="AO199" i="6"/>
  <c r="AO201" i="6"/>
  <c r="AO203" i="6"/>
  <c r="AO205" i="6"/>
  <c r="AO207" i="6"/>
  <c r="AO209" i="6"/>
  <c r="AO211" i="6"/>
  <c r="AO213" i="6"/>
  <c r="AO215" i="6"/>
  <c r="AO217" i="6"/>
  <c r="AO221" i="6"/>
  <c r="AO223" i="6"/>
  <c r="AO225" i="6"/>
  <c r="AO227" i="6"/>
  <c r="AO228" i="6"/>
  <c r="AO229" i="6"/>
  <c r="AU11" i="6"/>
  <c r="AU19" i="6"/>
  <c r="AU27" i="6"/>
  <c r="AU34" i="6"/>
  <c r="AU35" i="6"/>
  <c r="AU42" i="6"/>
  <c r="AU43" i="6"/>
  <c r="AU50" i="6"/>
  <c r="AU51" i="6"/>
  <c r="AU58" i="6"/>
  <c r="AU59" i="6"/>
  <c r="AU66" i="6"/>
  <c r="AU67" i="6"/>
  <c r="AU74" i="6"/>
  <c r="AU75" i="6"/>
  <c r="AU82" i="6"/>
  <c r="AU83" i="6"/>
  <c r="AU90" i="6"/>
  <c r="AU91" i="6"/>
  <c r="AU98" i="6"/>
  <c r="AU99" i="6"/>
  <c r="AU106" i="6"/>
  <c r="AU107" i="6"/>
  <c r="AU114" i="6"/>
  <c r="AU115" i="6"/>
  <c r="AU122" i="6"/>
  <c r="AU123" i="6"/>
  <c r="AU130" i="6"/>
  <c r="AU131" i="6"/>
  <c r="AU138" i="6"/>
  <c r="AU139" i="6"/>
  <c r="AU146" i="6"/>
  <c r="AU147" i="6"/>
  <c r="AU154" i="6"/>
  <c r="AU155" i="6"/>
  <c r="AU162" i="6"/>
  <c r="AU163" i="6"/>
  <c r="AU170" i="6"/>
  <c r="AU171" i="6"/>
  <c r="AU178" i="6"/>
  <c r="AU179" i="6"/>
  <c r="AU186" i="6"/>
  <c r="AU187" i="6"/>
  <c r="AU188" i="6"/>
  <c r="AU194" i="6"/>
  <c r="AU195" i="6"/>
  <c r="AU196" i="6"/>
  <c r="AU202" i="6"/>
  <c r="AU203" i="6"/>
  <c r="AU204" i="6"/>
  <c r="AU209" i="6"/>
  <c r="AU210" i="6"/>
  <c r="AU211" i="6"/>
  <c r="AU212" i="6"/>
  <c r="AU215" i="6"/>
  <c r="AU217" i="6"/>
  <c r="AU218" i="6"/>
  <c r="AU219" i="6"/>
  <c r="AU220" i="6"/>
  <c r="AU223" i="6"/>
  <c r="AU226" i="6"/>
  <c r="AU227" i="6"/>
  <c r="AU228" i="6"/>
  <c r="BA223" i="6"/>
  <c r="BA3" i="6"/>
  <c r="K3" i="6"/>
  <c r="BA230" i="6"/>
  <c r="AU230" i="6"/>
  <c r="AO230" i="6"/>
  <c r="AI230" i="6"/>
  <c r="AC230" i="6"/>
  <c r="W230" i="6"/>
  <c r="K230" i="6"/>
  <c r="BA229" i="6"/>
  <c r="AU229" i="6"/>
  <c r="AI229" i="6"/>
  <c r="AC229" i="6"/>
  <c r="W229" i="6"/>
  <c r="Q229" i="6"/>
  <c r="BA228" i="6"/>
  <c r="AI228" i="6"/>
  <c r="AC228" i="6"/>
  <c r="W228" i="6"/>
  <c r="K228" i="6"/>
  <c r="BA227" i="6"/>
  <c r="AI227" i="6"/>
  <c r="AC227" i="6"/>
  <c r="W227" i="6"/>
  <c r="BA226" i="6"/>
  <c r="AO226" i="6"/>
  <c r="AI226" i="6"/>
  <c r="AC226" i="6"/>
  <c r="K226" i="6"/>
  <c r="BA225" i="6"/>
  <c r="AU225" i="6"/>
  <c r="AI225" i="6"/>
  <c r="AC225" i="6"/>
  <c r="Q225" i="6"/>
  <c r="BA224" i="6"/>
  <c r="AU224" i="6"/>
  <c r="AO224" i="6"/>
  <c r="AI224" i="6"/>
  <c r="AC224" i="6"/>
  <c r="W224" i="6"/>
  <c r="Q224" i="6"/>
  <c r="K224" i="6"/>
  <c r="AI223" i="6"/>
  <c r="AC223" i="6"/>
  <c r="W223" i="6"/>
  <c r="BA222" i="6"/>
  <c r="AU222" i="6"/>
  <c r="AO222" i="6"/>
  <c r="AI222" i="6"/>
  <c r="AC222" i="6"/>
  <c r="W222" i="6"/>
  <c r="Q222" i="6"/>
  <c r="K222" i="6"/>
  <c r="BA221" i="6"/>
  <c r="AU221" i="6"/>
  <c r="AI221" i="6"/>
  <c r="AC221" i="6"/>
  <c r="W221" i="6"/>
  <c r="K221" i="6"/>
  <c r="BA220" i="6"/>
  <c r="AO220" i="6"/>
  <c r="AI220" i="6"/>
  <c r="AC220" i="6"/>
  <c r="W220" i="6"/>
  <c r="K220" i="6"/>
  <c r="BA219" i="6"/>
  <c r="AO219" i="6"/>
  <c r="AI219" i="6"/>
  <c r="AC219" i="6"/>
  <c r="W219" i="6"/>
  <c r="BA218" i="6"/>
  <c r="AO218" i="6"/>
  <c r="AI218" i="6"/>
  <c r="AC218" i="6"/>
  <c r="K218" i="6"/>
  <c r="BA217" i="6"/>
  <c r="AI217" i="6"/>
  <c r="AC217" i="6"/>
  <c r="Q217" i="6"/>
  <c r="K217" i="6"/>
  <c r="BA216" i="6"/>
  <c r="AU216" i="6"/>
  <c r="AO216" i="6"/>
  <c r="AI216" i="6"/>
  <c r="AC216" i="6"/>
  <c r="W216" i="6"/>
  <c r="K216" i="6"/>
  <c r="BA215" i="6"/>
  <c r="AI215" i="6"/>
  <c r="AC215" i="6"/>
  <c r="W215" i="6"/>
  <c r="BA214" i="6"/>
  <c r="AU214" i="6"/>
  <c r="AO214" i="6"/>
  <c r="AI214" i="6"/>
  <c r="AC214" i="6"/>
  <c r="W214" i="6"/>
  <c r="Q214" i="6"/>
  <c r="K214" i="6"/>
  <c r="BA213" i="6"/>
  <c r="AU213" i="6"/>
  <c r="AI213" i="6"/>
  <c r="AC213" i="6"/>
  <c r="W213" i="6"/>
  <c r="BA212" i="6"/>
  <c r="AO212" i="6"/>
  <c r="AI212" i="6"/>
  <c r="AC212" i="6"/>
  <c r="W212" i="6"/>
  <c r="Q212" i="6"/>
  <c r="K212" i="6"/>
  <c r="BA211" i="6"/>
  <c r="AI211" i="6"/>
  <c r="AC211" i="6"/>
  <c r="W211" i="6"/>
  <c r="BA210" i="6"/>
  <c r="AO210" i="6"/>
  <c r="AI210" i="6"/>
  <c r="AC210" i="6"/>
  <c r="K210" i="6"/>
  <c r="BA209" i="6"/>
  <c r="AI209" i="6"/>
  <c r="AC209" i="6"/>
  <c r="Q209" i="6"/>
  <c r="BA208" i="6"/>
  <c r="AU208" i="6"/>
  <c r="AO208" i="6"/>
  <c r="AI208" i="6"/>
  <c r="AC208" i="6"/>
  <c r="W208" i="6"/>
  <c r="K208" i="6"/>
  <c r="BA207" i="6"/>
  <c r="AU207" i="6"/>
  <c r="AI207" i="6"/>
  <c r="AC207" i="6"/>
  <c r="W207" i="6"/>
  <c r="BA206" i="6"/>
  <c r="AU206" i="6"/>
  <c r="AO206" i="6"/>
  <c r="AI206" i="6"/>
  <c r="AC206" i="6"/>
  <c r="W206" i="6"/>
  <c r="Q206" i="6"/>
  <c r="K206" i="6"/>
  <c r="BA205" i="6"/>
  <c r="AU205" i="6"/>
  <c r="AI205" i="6"/>
  <c r="AC205" i="6"/>
  <c r="W205" i="6"/>
  <c r="BA204" i="6"/>
  <c r="AO204" i="6"/>
  <c r="AI204" i="6"/>
  <c r="AC204" i="6"/>
  <c r="W204" i="6"/>
  <c r="Q204" i="6"/>
  <c r="K204" i="6"/>
  <c r="BA203" i="6"/>
  <c r="AI203" i="6"/>
  <c r="AC203" i="6"/>
  <c r="W203" i="6"/>
  <c r="BA202" i="6"/>
  <c r="AO202" i="6"/>
  <c r="AI202" i="6"/>
  <c r="AC202" i="6"/>
  <c r="K202" i="6"/>
  <c r="BA201" i="6"/>
  <c r="AU201" i="6"/>
  <c r="AI201" i="6"/>
  <c r="AC201" i="6"/>
  <c r="W201" i="6"/>
  <c r="Q201" i="6"/>
  <c r="BA200" i="6"/>
  <c r="AU200" i="6"/>
  <c r="AO200" i="6"/>
  <c r="AI200" i="6"/>
  <c r="AC200" i="6"/>
  <c r="W200" i="6"/>
  <c r="K200" i="6"/>
  <c r="BA199" i="6"/>
  <c r="AU199" i="6"/>
  <c r="AI199" i="6"/>
  <c r="AC199" i="6"/>
  <c r="W199" i="6"/>
  <c r="BA198" i="6"/>
  <c r="AU198" i="6"/>
  <c r="AO198" i="6"/>
  <c r="AI198" i="6"/>
  <c r="AC198" i="6"/>
  <c r="W198" i="6"/>
  <c r="Q198" i="6"/>
  <c r="K198" i="6"/>
  <c r="BA197" i="6"/>
  <c r="AU197" i="6"/>
  <c r="AI197" i="6"/>
  <c r="AC197" i="6"/>
  <c r="W197" i="6"/>
  <c r="BA196" i="6"/>
  <c r="AO196" i="6"/>
  <c r="AI196" i="6"/>
  <c r="AC196" i="6"/>
  <c r="W196" i="6"/>
  <c r="Q196" i="6"/>
  <c r="K196" i="6"/>
  <c r="BA195" i="6"/>
  <c r="AI195" i="6"/>
  <c r="AC195" i="6"/>
  <c r="W195" i="6"/>
  <c r="BA194" i="6"/>
  <c r="AO194" i="6"/>
  <c r="AI194" i="6"/>
  <c r="AC194" i="6"/>
  <c r="K194" i="6"/>
  <c r="BA193" i="6"/>
  <c r="AU193" i="6"/>
  <c r="AI193" i="6"/>
  <c r="AC193" i="6"/>
  <c r="W193" i="6"/>
  <c r="Q193" i="6"/>
  <c r="BA192" i="6"/>
  <c r="AU192" i="6"/>
  <c r="AO192" i="6"/>
  <c r="AI192" i="6"/>
  <c r="AC192" i="6"/>
  <c r="W192" i="6"/>
  <c r="K192" i="6"/>
  <c r="BA191" i="6"/>
  <c r="AU191" i="6"/>
  <c r="AI191" i="6"/>
  <c r="AC191" i="6"/>
  <c r="W191" i="6"/>
  <c r="BA190" i="6"/>
  <c r="AU190" i="6"/>
  <c r="AO190" i="6"/>
  <c r="AI190" i="6"/>
  <c r="AC190" i="6"/>
  <c r="W190" i="6"/>
  <c r="Q190" i="6"/>
  <c r="K190" i="6"/>
  <c r="BA189" i="6"/>
  <c r="AU189" i="6"/>
  <c r="AI189" i="6"/>
  <c r="AC189" i="6"/>
  <c r="W189" i="6"/>
  <c r="BA188" i="6"/>
  <c r="AO188" i="6"/>
  <c r="AI188" i="6"/>
  <c r="AC188" i="6"/>
  <c r="W188" i="6"/>
  <c r="Q188" i="6"/>
  <c r="K188" i="6"/>
  <c r="BA187" i="6"/>
  <c r="AI187" i="6"/>
  <c r="AC187" i="6"/>
  <c r="W187" i="6"/>
  <c r="BA186" i="6"/>
  <c r="AO186" i="6"/>
  <c r="AI186" i="6"/>
  <c r="AC186" i="6"/>
  <c r="K186" i="6"/>
  <c r="BA185" i="6"/>
  <c r="AU185" i="6"/>
  <c r="AO185" i="6"/>
  <c r="AI185" i="6"/>
  <c r="AC185" i="6"/>
  <c r="W185" i="6"/>
  <c r="Q185" i="6"/>
  <c r="BA184" i="6"/>
  <c r="AU184" i="6"/>
  <c r="AO184" i="6"/>
  <c r="AI184" i="6"/>
  <c r="AC184" i="6"/>
  <c r="W184" i="6"/>
  <c r="K184" i="6"/>
  <c r="BA183" i="6"/>
  <c r="AU183" i="6"/>
  <c r="AO183" i="6"/>
  <c r="AI183" i="6"/>
  <c r="AC183" i="6"/>
  <c r="W183" i="6"/>
  <c r="BA182" i="6"/>
  <c r="AU182" i="6"/>
  <c r="AO182" i="6"/>
  <c r="AI182" i="6"/>
  <c r="AC182" i="6"/>
  <c r="W182" i="6"/>
  <c r="Q182" i="6"/>
  <c r="K182" i="6"/>
  <c r="BA181" i="6"/>
  <c r="AU181" i="6"/>
  <c r="AO181" i="6"/>
  <c r="AI181" i="6"/>
  <c r="AC181" i="6"/>
  <c r="W181" i="6"/>
  <c r="BA180" i="6"/>
  <c r="AU180" i="6"/>
  <c r="AO180" i="6"/>
  <c r="AI180" i="6"/>
  <c r="AC180" i="6"/>
  <c r="W180" i="6"/>
  <c r="Q180" i="6"/>
  <c r="K180" i="6"/>
  <c r="BA179" i="6"/>
  <c r="AI179" i="6"/>
  <c r="AC179" i="6"/>
  <c r="W179" i="6"/>
  <c r="BA178" i="6"/>
  <c r="AO178" i="6"/>
  <c r="AI178" i="6"/>
  <c r="AC178" i="6"/>
  <c r="W178" i="6"/>
  <c r="Q178" i="6"/>
  <c r="K178" i="6"/>
  <c r="BA177" i="6"/>
  <c r="AU177" i="6"/>
  <c r="AI177" i="6"/>
  <c r="AC177" i="6"/>
  <c r="W177" i="6"/>
  <c r="Q177" i="6"/>
  <c r="BA176" i="6"/>
  <c r="AU176" i="6"/>
  <c r="AO176" i="6"/>
  <c r="AI176" i="6"/>
  <c r="AC176" i="6"/>
  <c r="W176" i="6"/>
  <c r="K176" i="6"/>
  <c r="BA175" i="6"/>
  <c r="AU175" i="6"/>
  <c r="AI175" i="6"/>
  <c r="AC175" i="6"/>
  <c r="W175" i="6"/>
  <c r="BA174" i="6"/>
  <c r="AU174" i="6"/>
  <c r="AO174" i="6"/>
  <c r="AI174" i="6"/>
  <c r="AC174" i="6"/>
  <c r="W174" i="6"/>
  <c r="Q174" i="6"/>
  <c r="K174" i="6"/>
  <c r="BA173" i="6"/>
  <c r="AU173" i="6"/>
  <c r="AI173" i="6"/>
  <c r="AC173" i="6"/>
  <c r="W173" i="6"/>
  <c r="BA172" i="6"/>
  <c r="AU172" i="6"/>
  <c r="AO172" i="6"/>
  <c r="AI172" i="6"/>
  <c r="AC172" i="6"/>
  <c r="W172" i="6"/>
  <c r="Q172" i="6"/>
  <c r="K172" i="6"/>
  <c r="BA171" i="6"/>
  <c r="AI171" i="6"/>
  <c r="AC171" i="6"/>
  <c r="W171" i="6"/>
  <c r="BA170" i="6"/>
  <c r="AO170" i="6"/>
  <c r="AI170" i="6"/>
  <c r="AC170" i="6"/>
  <c r="K170" i="6"/>
  <c r="BA169" i="6"/>
  <c r="AU169" i="6"/>
  <c r="AI169" i="6"/>
  <c r="AC169" i="6"/>
  <c r="W169" i="6"/>
  <c r="Q169" i="6"/>
  <c r="BA168" i="6"/>
  <c r="AU168" i="6"/>
  <c r="AO168" i="6"/>
  <c r="AI168" i="6"/>
  <c r="AC168" i="6"/>
  <c r="W168" i="6"/>
  <c r="Q168" i="6"/>
  <c r="K168" i="6"/>
  <c r="BA167" i="6"/>
  <c r="AU167" i="6"/>
  <c r="AI167" i="6"/>
  <c r="AC167" i="6"/>
  <c r="W167" i="6"/>
  <c r="BA166" i="6"/>
  <c r="AU166" i="6"/>
  <c r="AO166" i="6"/>
  <c r="AI166" i="6"/>
  <c r="AC166" i="6"/>
  <c r="W166" i="6"/>
  <c r="Q166" i="6"/>
  <c r="K166" i="6"/>
  <c r="BA165" i="6"/>
  <c r="AU165" i="6"/>
  <c r="AI165" i="6"/>
  <c r="AC165" i="6"/>
  <c r="W165" i="6"/>
  <c r="K165" i="6"/>
  <c r="BA164" i="6"/>
  <c r="AU164" i="6"/>
  <c r="AO164" i="6"/>
  <c r="AI164" i="6"/>
  <c r="AC164" i="6"/>
  <c r="W164" i="6"/>
  <c r="Q164" i="6"/>
  <c r="K164" i="6"/>
  <c r="BA163" i="6"/>
  <c r="AI163" i="6"/>
  <c r="AC163" i="6"/>
  <c r="W163" i="6"/>
  <c r="BA162" i="6"/>
  <c r="AO162" i="6"/>
  <c r="AI162" i="6"/>
  <c r="AC162" i="6"/>
  <c r="K162" i="6"/>
  <c r="BA161" i="6"/>
  <c r="AU161" i="6"/>
  <c r="AI161" i="6"/>
  <c r="AC161" i="6"/>
  <c r="W161" i="6"/>
  <c r="Q161" i="6"/>
  <c r="BA160" i="6"/>
  <c r="AU160" i="6"/>
  <c r="AO160" i="6"/>
  <c r="AI160" i="6"/>
  <c r="AC160" i="6"/>
  <c r="W160" i="6"/>
  <c r="K160" i="6"/>
  <c r="BA159" i="6"/>
  <c r="AU159" i="6"/>
  <c r="AI159" i="6"/>
  <c r="AC159" i="6"/>
  <c r="W159" i="6"/>
  <c r="BA158" i="6"/>
  <c r="AU158" i="6"/>
  <c r="AO158" i="6"/>
  <c r="AI158" i="6"/>
  <c r="AC158" i="6"/>
  <c r="W158" i="6"/>
  <c r="Q158" i="6"/>
  <c r="K158" i="6"/>
  <c r="BA157" i="6"/>
  <c r="AU157" i="6"/>
  <c r="AI157" i="6"/>
  <c r="AC157" i="6"/>
  <c r="W157" i="6"/>
  <c r="Q157" i="6"/>
  <c r="BA156" i="6"/>
  <c r="AU156" i="6"/>
  <c r="AO156" i="6"/>
  <c r="AI156" i="6"/>
  <c r="AC156" i="6"/>
  <c r="W156" i="6"/>
  <c r="Q156" i="6"/>
  <c r="K156" i="6"/>
  <c r="BA155" i="6"/>
  <c r="AI155" i="6"/>
  <c r="AC155" i="6"/>
  <c r="W155" i="6"/>
  <c r="BA154" i="6"/>
  <c r="AO154" i="6"/>
  <c r="AI154" i="6"/>
  <c r="AC154" i="6"/>
  <c r="K154" i="6"/>
  <c r="BA153" i="6"/>
  <c r="AU153" i="6"/>
  <c r="AO153" i="6"/>
  <c r="AI153" i="6"/>
  <c r="AC153" i="6"/>
  <c r="W153" i="6"/>
  <c r="Q153" i="6"/>
  <c r="BA152" i="6"/>
  <c r="AU152" i="6"/>
  <c r="AO152" i="6"/>
  <c r="AI152" i="6"/>
  <c r="AC152" i="6"/>
  <c r="W152" i="6"/>
  <c r="K152" i="6"/>
  <c r="BA151" i="6"/>
  <c r="AU151" i="6"/>
  <c r="AO151" i="6"/>
  <c r="AI151" i="6"/>
  <c r="AC151" i="6"/>
  <c r="W151" i="6"/>
  <c r="BA150" i="6"/>
  <c r="AU150" i="6"/>
  <c r="AO150" i="6"/>
  <c r="AI150" i="6"/>
  <c r="AC150" i="6"/>
  <c r="W150" i="6"/>
  <c r="Q150" i="6"/>
  <c r="K150" i="6"/>
  <c r="BA149" i="6"/>
  <c r="AU149" i="6"/>
  <c r="AO149" i="6"/>
  <c r="AI149" i="6"/>
  <c r="AC149" i="6"/>
  <c r="W149" i="6"/>
  <c r="BA148" i="6"/>
  <c r="AU148" i="6"/>
  <c r="AO148" i="6"/>
  <c r="AI148" i="6"/>
  <c r="AC148" i="6"/>
  <c r="W148" i="6"/>
  <c r="Q148" i="6"/>
  <c r="K148" i="6"/>
  <c r="BA147" i="6"/>
  <c r="AI147" i="6"/>
  <c r="AC147" i="6"/>
  <c r="W147" i="6"/>
  <c r="BA146" i="6"/>
  <c r="AO146" i="6"/>
  <c r="AI146" i="6"/>
  <c r="AC146" i="6"/>
  <c r="Q146" i="6"/>
  <c r="K146" i="6"/>
  <c r="BA145" i="6"/>
  <c r="AU145" i="6"/>
  <c r="AI145" i="6"/>
  <c r="AC145" i="6"/>
  <c r="W145" i="6"/>
  <c r="Q145" i="6"/>
  <c r="BA144" i="6"/>
  <c r="AU144" i="6"/>
  <c r="AO144" i="6"/>
  <c r="AI144" i="6"/>
  <c r="AC144" i="6"/>
  <c r="W144" i="6"/>
  <c r="K144" i="6"/>
  <c r="BA143" i="6"/>
  <c r="AU143" i="6"/>
  <c r="AI143" i="6"/>
  <c r="AC143" i="6"/>
  <c r="W143" i="6"/>
  <c r="BA142" i="6"/>
  <c r="AU142" i="6"/>
  <c r="AO142" i="6"/>
  <c r="AI142" i="6"/>
  <c r="AC142" i="6"/>
  <c r="W142" i="6"/>
  <c r="Q142" i="6"/>
  <c r="K142" i="6"/>
  <c r="BA141" i="6"/>
  <c r="AU141" i="6"/>
  <c r="AI141" i="6"/>
  <c r="AC141" i="6"/>
  <c r="W141" i="6"/>
  <c r="BA140" i="6"/>
  <c r="AU140" i="6"/>
  <c r="AO140" i="6"/>
  <c r="AI140" i="6"/>
  <c r="AC140" i="6"/>
  <c r="W140" i="6"/>
  <c r="Q140" i="6"/>
  <c r="K140" i="6"/>
  <c r="BA139" i="6"/>
  <c r="AI139" i="6"/>
  <c r="AC139" i="6"/>
  <c r="W139" i="6"/>
  <c r="BA138" i="6"/>
  <c r="AO138" i="6"/>
  <c r="AI138" i="6"/>
  <c r="AC138" i="6"/>
  <c r="K138" i="6"/>
  <c r="BA137" i="6"/>
  <c r="AU137" i="6"/>
  <c r="AI137" i="6"/>
  <c r="AC137" i="6"/>
  <c r="W137" i="6"/>
  <c r="Q137" i="6"/>
  <c r="BA136" i="6"/>
  <c r="AU136" i="6"/>
  <c r="AO136" i="6"/>
  <c r="AI136" i="6"/>
  <c r="AC136" i="6"/>
  <c r="W136" i="6"/>
  <c r="Q136" i="6"/>
  <c r="K136" i="6"/>
  <c r="BA135" i="6"/>
  <c r="AU135" i="6"/>
  <c r="AI135" i="6"/>
  <c r="AC135" i="6"/>
  <c r="W135" i="6"/>
  <c r="BA134" i="6"/>
  <c r="AU134" i="6"/>
  <c r="AO134" i="6"/>
  <c r="AI134" i="6"/>
  <c r="AC134" i="6"/>
  <c r="W134" i="6"/>
  <c r="Q134" i="6"/>
  <c r="K134" i="6"/>
  <c r="BA133" i="6"/>
  <c r="AU133" i="6"/>
  <c r="AI133" i="6"/>
  <c r="AC133" i="6"/>
  <c r="W133" i="6"/>
  <c r="BA132" i="6"/>
  <c r="AU132" i="6"/>
  <c r="AO132" i="6"/>
  <c r="AI132" i="6"/>
  <c r="AC132" i="6"/>
  <c r="W132" i="6"/>
  <c r="Q132" i="6"/>
  <c r="K132" i="6"/>
  <c r="BA131" i="6"/>
  <c r="AI131" i="6"/>
  <c r="AC131" i="6"/>
  <c r="W131" i="6"/>
  <c r="BA130" i="6"/>
  <c r="AO130" i="6"/>
  <c r="AI130" i="6"/>
  <c r="AC130" i="6"/>
  <c r="K130" i="6"/>
  <c r="BA129" i="6"/>
  <c r="AU129" i="6"/>
  <c r="AI129" i="6"/>
  <c r="AC129" i="6"/>
  <c r="W129" i="6"/>
  <c r="Q129" i="6"/>
  <c r="BA128" i="6"/>
  <c r="AU128" i="6"/>
  <c r="AO128" i="6"/>
  <c r="AI128" i="6"/>
  <c r="AC128" i="6"/>
  <c r="W128" i="6"/>
  <c r="K128" i="6"/>
  <c r="BA127" i="6"/>
  <c r="AU127" i="6"/>
  <c r="AI127" i="6"/>
  <c r="AC127" i="6"/>
  <c r="W127" i="6"/>
  <c r="Q127" i="6"/>
  <c r="BA126" i="6"/>
  <c r="AU126" i="6"/>
  <c r="AO126" i="6"/>
  <c r="AI126" i="6"/>
  <c r="AC126" i="6"/>
  <c r="W126" i="6"/>
  <c r="Q126" i="6"/>
  <c r="K126" i="6"/>
  <c r="BA125" i="6"/>
  <c r="AU125" i="6"/>
  <c r="AI125" i="6"/>
  <c r="AC125" i="6"/>
  <c r="W125" i="6"/>
  <c r="K125" i="6"/>
  <c r="BA124" i="6"/>
  <c r="AU124" i="6"/>
  <c r="AO124" i="6"/>
  <c r="AI124" i="6"/>
  <c r="AC124" i="6"/>
  <c r="W124" i="6"/>
  <c r="Q124" i="6"/>
  <c r="K124" i="6"/>
  <c r="BA123" i="6"/>
  <c r="AI123" i="6"/>
  <c r="AC123" i="6"/>
  <c r="W123" i="6"/>
  <c r="BA122" i="6"/>
  <c r="AO122" i="6"/>
  <c r="AI122" i="6"/>
  <c r="AC122" i="6"/>
  <c r="K122" i="6"/>
  <c r="BA121" i="6"/>
  <c r="AU121" i="6"/>
  <c r="AO121" i="6"/>
  <c r="AI121" i="6"/>
  <c r="AC121" i="6"/>
  <c r="W121" i="6"/>
  <c r="Q121" i="6"/>
  <c r="BA120" i="6"/>
  <c r="AU120" i="6"/>
  <c r="AO120" i="6"/>
  <c r="AI120" i="6"/>
  <c r="AC120" i="6"/>
  <c r="W120" i="6"/>
  <c r="K120" i="6"/>
  <c r="BA119" i="6"/>
  <c r="AU119" i="6"/>
  <c r="AO119" i="6"/>
  <c r="AI119" i="6"/>
  <c r="AC119" i="6"/>
  <c r="W119" i="6"/>
  <c r="BA118" i="6"/>
  <c r="AU118" i="6"/>
  <c r="AO118" i="6"/>
  <c r="AI118" i="6"/>
  <c r="AC118" i="6"/>
  <c r="W118" i="6"/>
  <c r="Q118" i="6"/>
  <c r="K118" i="6"/>
  <c r="BA117" i="6"/>
  <c r="AU117" i="6"/>
  <c r="AO117" i="6"/>
  <c r="AI117" i="6"/>
  <c r="AC117" i="6"/>
  <c r="W117" i="6"/>
  <c r="K117" i="6"/>
  <c r="BA116" i="6"/>
  <c r="AU116" i="6"/>
  <c r="AO116" i="6"/>
  <c r="AI116" i="6"/>
  <c r="AC116" i="6"/>
  <c r="W116" i="6"/>
  <c r="Q116" i="6"/>
  <c r="K116" i="6"/>
  <c r="BA115" i="6"/>
  <c r="AI115" i="6"/>
  <c r="AC115" i="6"/>
  <c r="W115" i="6"/>
  <c r="BA114" i="6"/>
  <c r="AO114" i="6"/>
  <c r="AI114" i="6"/>
  <c r="AC114" i="6"/>
  <c r="K114" i="6"/>
  <c r="BA113" i="6"/>
  <c r="AU113" i="6"/>
  <c r="AI113" i="6"/>
  <c r="AC113" i="6"/>
  <c r="W113" i="6"/>
  <c r="Q113" i="6"/>
  <c r="BA112" i="6"/>
  <c r="AU112" i="6"/>
  <c r="AO112" i="6"/>
  <c r="AI112" i="6"/>
  <c r="AC112" i="6"/>
  <c r="W112" i="6"/>
  <c r="K112" i="6"/>
  <c r="BA111" i="6"/>
  <c r="AU111" i="6"/>
  <c r="AI111" i="6"/>
  <c r="AC111" i="6"/>
  <c r="W111" i="6"/>
  <c r="BA110" i="6"/>
  <c r="AU110" i="6"/>
  <c r="AO110" i="6"/>
  <c r="AI110" i="6"/>
  <c r="AC110" i="6"/>
  <c r="W110" i="6"/>
  <c r="Q110" i="6"/>
  <c r="K110" i="6"/>
  <c r="BA109" i="6"/>
  <c r="AU109" i="6"/>
  <c r="AI109" i="6"/>
  <c r="AC109" i="6"/>
  <c r="W109" i="6"/>
  <c r="BA108" i="6"/>
  <c r="AU108" i="6"/>
  <c r="AO108" i="6"/>
  <c r="AI108" i="6"/>
  <c r="AC108" i="6"/>
  <c r="W108" i="6"/>
  <c r="Q108" i="6"/>
  <c r="K108" i="6"/>
  <c r="BA107" i="6"/>
  <c r="AI107" i="6"/>
  <c r="AC107" i="6"/>
  <c r="W107" i="6"/>
  <c r="BA106" i="6"/>
  <c r="AO106" i="6"/>
  <c r="AI106" i="6"/>
  <c r="AC106" i="6"/>
  <c r="W106" i="6"/>
  <c r="Q106" i="6"/>
  <c r="K106" i="6"/>
  <c r="BA105" i="6"/>
  <c r="AU105" i="6"/>
  <c r="AI105" i="6"/>
  <c r="AC105" i="6"/>
  <c r="W105" i="6"/>
  <c r="Q105" i="6"/>
  <c r="K105" i="6"/>
  <c r="BA104" i="6"/>
  <c r="AU104" i="6"/>
  <c r="AO104" i="6"/>
  <c r="AI104" i="6"/>
  <c r="AC104" i="6"/>
  <c r="W104" i="6"/>
  <c r="K104" i="6"/>
  <c r="BA103" i="6"/>
  <c r="AU103" i="6"/>
  <c r="AI103" i="6"/>
  <c r="AC103" i="6"/>
  <c r="W103" i="6"/>
  <c r="BA102" i="6"/>
  <c r="AU102" i="6"/>
  <c r="AO102" i="6"/>
  <c r="AI102" i="6"/>
  <c r="AC102" i="6"/>
  <c r="W102" i="6"/>
  <c r="Q102" i="6"/>
  <c r="K102" i="6"/>
  <c r="BA101" i="6"/>
  <c r="AU101" i="6"/>
  <c r="AI101" i="6"/>
  <c r="AC101" i="6"/>
  <c r="W101" i="6"/>
  <c r="BA100" i="6"/>
  <c r="AU100" i="6"/>
  <c r="AO100" i="6"/>
  <c r="AI100" i="6"/>
  <c r="AC100" i="6"/>
  <c r="W100" i="6"/>
  <c r="Q100" i="6"/>
  <c r="K100" i="6"/>
  <c r="BA99" i="6"/>
  <c r="AI99" i="6"/>
  <c r="AC99" i="6"/>
  <c r="W99" i="6"/>
  <c r="K99" i="6"/>
  <c r="BA98" i="6"/>
  <c r="AO98" i="6"/>
  <c r="AI98" i="6"/>
  <c r="AC98" i="6"/>
  <c r="K98" i="6"/>
  <c r="BA97" i="6"/>
  <c r="AU97" i="6"/>
  <c r="AI97" i="6"/>
  <c r="AC97" i="6"/>
  <c r="W97" i="6"/>
  <c r="Q97" i="6"/>
  <c r="BA96" i="6"/>
  <c r="AU96" i="6"/>
  <c r="AO96" i="6"/>
  <c r="AI96" i="6"/>
  <c r="AC96" i="6"/>
  <c r="W96" i="6"/>
  <c r="Q96" i="6"/>
  <c r="K96" i="6"/>
  <c r="BA95" i="6"/>
  <c r="AU95" i="6"/>
  <c r="AI95" i="6"/>
  <c r="AC95" i="6"/>
  <c r="W95" i="6"/>
  <c r="BA94" i="6"/>
  <c r="AU94" i="6"/>
  <c r="AO94" i="6"/>
  <c r="AI94" i="6"/>
  <c r="AC94" i="6"/>
  <c r="W94" i="6"/>
  <c r="Q94" i="6"/>
  <c r="K94" i="6"/>
  <c r="BA93" i="6"/>
  <c r="AU93" i="6"/>
  <c r="AI93" i="6"/>
  <c r="AC93" i="6"/>
  <c r="W93" i="6"/>
  <c r="BA92" i="6"/>
  <c r="AU92" i="6"/>
  <c r="AO92" i="6"/>
  <c r="AI92" i="6"/>
  <c r="AC92" i="6"/>
  <c r="W92" i="6"/>
  <c r="Q92" i="6"/>
  <c r="K92" i="6"/>
  <c r="BA91" i="6"/>
  <c r="AI91" i="6"/>
  <c r="AC91" i="6"/>
  <c r="W91" i="6"/>
  <c r="BA90" i="6"/>
  <c r="AO90" i="6"/>
  <c r="AI90" i="6"/>
  <c r="AC90" i="6"/>
  <c r="K90" i="6"/>
  <c r="BA89" i="6"/>
  <c r="AU89" i="6"/>
  <c r="AO89" i="6"/>
  <c r="AI89" i="6"/>
  <c r="AC89" i="6"/>
  <c r="W89" i="6"/>
  <c r="Q89" i="6"/>
  <c r="BA88" i="6"/>
  <c r="AU88" i="6"/>
  <c r="AO88" i="6"/>
  <c r="AI88" i="6"/>
  <c r="AC88" i="6"/>
  <c r="W88" i="6"/>
  <c r="K88" i="6"/>
  <c r="BA87" i="6"/>
  <c r="AU87" i="6"/>
  <c r="AO87" i="6"/>
  <c r="AI87" i="6"/>
  <c r="AC87" i="6"/>
  <c r="W87" i="6"/>
  <c r="BA86" i="6"/>
  <c r="AU86" i="6"/>
  <c r="AO86" i="6"/>
  <c r="AI86" i="6"/>
  <c r="AC86" i="6"/>
  <c r="W86" i="6"/>
  <c r="Q86" i="6"/>
  <c r="K86" i="6"/>
  <c r="BA85" i="6"/>
  <c r="AU85" i="6"/>
  <c r="AO85" i="6"/>
  <c r="AI85" i="6"/>
  <c r="AC85" i="6"/>
  <c r="W85" i="6"/>
  <c r="BA84" i="6"/>
  <c r="AU84" i="6"/>
  <c r="AO84" i="6"/>
  <c r="AI84" i="6"/>
  <c r="AC84" i="6"/>
  <c r="W84" i="6"/>
  <c r="Q84" i="6"/>
  <c r="K84" i="6"/>
  <c r="BA83" i="6"/>
  <c r="AI83" i="6"/>
  <c r="AC83" i="6"/>
  <c r="W83" i="6"/>
  <c r="BA82" i="6"/>
  <c r="AO82" i="6"/>
  <c r="AI82" i="6"/>
  <c r="AC82" i="6"/>
  <c r="K82" i="6"/>
  <c r="BA81" i="6"/>
  <c r="AU81" i="6"/>
  <c r="AI81" i="6"/>
  <c r="AC81" i="6"/>
  <c r="W81" i="6"/>
  <c r="Q81" i="6"/>
  <c r="BA80" i="6"/>
  <c r="AU80" i="6"/>
  <c r="AO80" i="6"/>
  <c r="AI80" i="6"/>
  <c r="AC80" i="6"/>
  <c r="W80" i="6"/>
  <c r="K80" i="6"/>
  <c r="BA79" i="6"/>
  <c r="AU79" i="6"/>
  <c r="AI79" i="6"/>
  <c r="AC79" i="6"/>
  <c r="W79" i="6"/>
  <c r="K79" i="6"/>
  <c r="BA78" i="6"/>
  <c r="AU78" i="6"/>
  <c r="AO78" i="6"/>
  <c r="AI78" i="6"/>
  <c r="AC78" i="6"/>
  <c r="W78" i="6"/>
  <c r="Q78" i="6"/>
  <c r="K78" i="6"/>
  <c r="BA77" i="6"/>
  <c r="AU77" i="6"/>
  <c r="AI77" i="6"/>
  <c r="AC77" i="6"/>
  <c r="W77" i="6"/>
  <c r="BA76" i="6"/>
  <c r="AU76" i="6"/>
  <c r="AO76" i="6"/>
  <c r="AI76" i="6"/>
  <c r="AC76" i="6"/>
  <c r="W76" i="6"/>
  <c r="Q76" i="6"/>
  <c r="K76" i="6"/>
  <c r="BA75" i="6"/>
  <c r="AI75" i="6"/>
  <c r="AC75" i="6"/>
  <c r="W75" i="6"/>
  <c r="BA74" i="6"/>
  <c r="AO74" i="6"/>
  <c r="AI74" i="6"/>
  <c r="AC74" i="6"/>
  <c r="Q74" i="6"/>
  <c r="K74" i="6"/>
  <c r="BA73" i="6"/>
  <c r="AU73" i="6"/>
  <c r="AI73" i="6"/>
  <c r="AC73" i="6"/>
  <c r="W73" i="6"/>
  <c r="Q73" i="6"/>
  <c r="BA72" i="6"/>
  <c r="AU72" i="6"/>
  <c r="AO72" i="6"/>
  <c r="AI72" i="6"/>
  <c r="AC72" i="6"/>
  <c r="W72" i="6"/>
  <c r="K72" i="6"/>
  <c r="BA71" i="6"/>
  <c r="AU71" i="6"/>
  <c r="AI71" i="6"/>
  <c r="AC71" i="6"/>
  <c r="W71" i="6"/>
  <c r="BA70" i="6"/>
  <c r="AU70" i="6"/>
  <c r="AO70" i="6"/>
  <c r="AI70" i="6"/>
  <c r="AC70" i="6"/>
  <c r="W70" i="6"/>
  <c r="Q70" i="6"/>
  <c r="K70" i="6"/>
  <c r="BA69" i="6"/>
  <c r="AU69" i="6"/>
  <c r="AI69" i="6"/>
  <c r="AC69" i="6"/>
  <c r="W69" i="6"/>
  <c r="BA68" i="6"/>
  <c r="AU68" i="6"/>
  <c r="AO68" i="6"/>
  <c r="AI68" i="6"/>
  <c r="AC68" i="6"/>
  <c r="W68" i="6"/>
  <c r="Q68" i="6"/>
  <c r="K68" i="6"/>
  <c r="BA67" i="6"/>
  <c r="AI67" i="6"/>
  <c r="AC67" i="6"/>
  <c r="W67" i="6"/>
  <c r="BA66" i="6"/>
  <c r="AO66" i="6"/>
  <c r="AI66" i="6"/>
  <c r="AC66" i="6"/>
  <c r="K66" i="6"/>
  <c r="BA65" i="6"/>
  <c r="AU65" i="6"/>
  <c r="AI65" i="6"/>
  <c r="AC65" i="6"/>
  <c r="W65" i="6"/>
  <c r="Q65" i="6"/>
  <c r="BA64" i="6"/>
  <c r="AU64" i="6"/>
  <c r="AO64" i="6"/>
  <c r="AI64" i="6"/>
  <c r="AC64" i="6"/>
  <c r="W64" i="6"/>
  <c r="Q64" i="6"/>
  <c r="K64" i="6"/>
  <c r="BA63" i="6"/>
  <c r="AU63" i="6"/>
  <c r="AI63" i="6"/>
  <c r="AC63" i="6"/>
  <c r="W63" i="6"/>
  <c r="BA62" i="6"/>
  <c r="AU62" i="6"/>
  <c r="AO62" i="6"/>
  <c r="AI62" i="6"/>
  <c r="AC62" i="6"/>
  <c r="W62" i="6"/>
  <c r="Q62" i="6"/>
  <c r="K62" i="6"/>
  <c r="BA61" i="6"/>
  <c r="AU61" i="6"/>
  <c r="AI61" i="6"/>
  <c r="AC61" i="6"/>
  <c r="W61" i="6"/>
  <c r="BA60" i="6"/>
  <c r="AU60" i="6"/>
  <c r="AO60" i="6"/>
  <c r="AI60" i="6"/>
  <c r="AC60" i="6"/>
  <c r="W60" i="6"/>
  <c r="Q60" i="6"/>
  <c r="K60" i="6"/>
  <c r="BA59" i="6"/>
  <c r="AI59" i="6"/>
  <c r="AC59" i="6"/>
  <c r="W59" i="6"/>
  <c r="BA58" i="6"/>
  <c r="AO58" i="6"/>
  <c r="AI58" i="6"/>
  <c r="AC58" i="6"/>
  <c r="W58" i="6"/>
  <c r="K58" i="6"/>
  <c r="BA57" i="6"/>
  <c r="AU57" i="6"/>
  <c r="AO57" i="6"/>
  <c r="AI57" i="6"/>
  <c r="AC57" i="6"/>
  <c r="W57" i="6"/>
  <c r="Q57" i="6"/>
  <c r="BA56" i="6"/>
  <c r="AU56" i="6"/>
  <c r="AO56" i="6"/>
  <c r="AI56" i="6"/>
  <c r="AC56" i="6"/>
  <c r="W56" i="6"/>
  <c r="K56" i="6"/>
  <c r="BA55" i="6"/>
  <c r="AU55" i="6"/>
  <c r="AO55" i="6"/>
  <c r="AI55" i="6"/>
  <c r="AC55" i="6"/>
  <c r="W55" i="6"/>
  <c r="BA54" i="6"/>
  <c r="AU54" i="6"/>
  <c r="AO54" i="6"/>
  <c r="AI54" i="6"/>
  <c r="AC54" i="6"/>
  <c r="W54" i="6"/>
  <c r="Q54" i="6"/>
  <c r="K54" i="6"/>
  <c r="BA53" i="6"/>
  <c r="AU53" i="6"/>
  <c r="AO53" i="6"/>
  <c r="AI53" i="6"/>
  <c r="AC53" i="6"/>
  <c r="W53" i="6"/>
  <c r="BA52" i="6"/>
  <c r="AU52" i="6"/>
  <c r="AO52" i="6"/>
  <c r="AI52" i="6"/>
  <c r="AC52" i="6"/>
  <c r="W52" i="6"/>
  <c r="Q52" i="6"/>
  <c r="K52" i="6"/>
  <c r="BA51" i="6"/>
  <c r="AI51" i="6"/>
  <c r="AC51" i="6"/>
  <c r="W51" i="6"/>
  <c r="Q51" i="6"/>
  <c r="K51" i="6"/>
  <c r="BA50" i="6"/>
  <c r="AO50" i="6"/>
  <c r="AI50" i="6"/>
  <c r="AC50" i="6"/>
  <c r="K50" i="6"/>
  <c r="BA49" i="6"/>
  <c r="AU49" i="6"/>
  <c r="AI49" i="6"/>
  <c r="AC49" i="6"/>
  <c r="W49" i="6"/>
  <c r="Q49" i="6"/>
  <c r="BA48" i="6"/>
  <c r="AU48" i="6"/>
  <c r="AO48" i="6"/>
  <c r="AI48" i="6"/>
  <c r="AC48" i="6"/>
  <c r="W48" i="6"/>
  <c r="K48" i="6"/>
  <c r="BA47" i="6"/>
  <c r="AU47" i="6"/>
  <c r="AI47" i="6"/>
  <c r="AC47" i="6"/>
  <c r="W47" i="6"/>
  <c r="BA46" i="6"/>
  <c r="AU46" i="6"/>
  <c r="AO46" i="6"/>
  <c r="AI46" i="6"/>
  <c r="AC46" i="6"/>
  <c r="W46" i="6"/>
  <c r="Q46" i="6"/>
  <c r="K46" i="6"/>
  <c r="BA45" i="6"/>
  <c r="AU45" i="6"/>
  <c r="AI45" i="6"/>
  <c r="AC45" i="6"/>
  <c r="W45" i="6"/>
  <c r="K45" i="6"/>
  <c r="BA44" i="6"/>
  <c r="AU44" i="6"/>
  <c r="AO44" i="6"/>
  <c r="AI44" i="6"/>
  <c r="AC44" i="6"/>
  <c r="W44" i="6"/>
  <c r="Q44" i="6"/>
  <c r="K44" i="6"/>
  <c r="BA43" i="6"/>
  <c r="AI43" i="6"/>
  <c r="AC43" i="6"/>
  <c r="W43" i="6"/>
  <c r="BA42" i="6"/>
  <c r="AO42" i="6"/>
  <c r="AI42" i="6"/>
  <c r="AC42" i="6"/>
  <c r="W42" i="6"/>
  <c r="Q42" i="6"/>
  <c r="K42" i="6"/>
  <c r="BA41" i="6"/>
  <c r="AU41" i="6"/>
  <c r="AI41" i="6"/>
  <c r="AC41" i="6"/>
  <c r="W41" i="6"/>
  <c r="Q41" i="6"/>
  <c r="BA40" i="6"/>
  <c r="AU40" i="6"/>
  <c r="AO40" i="6"/>
  <c r="AI40" i="6"/>
  <c r="AC40" i="6"/>
  <c r="W40" i="6"/>
  <c r="K40" i="6"/>
  <c r="BA39" i="6"/>
  <c r="AU39" i="6"/>
  <c r="AI39" i="6"/>
  <c r="AC39" i="6"/>
  <c r="W39" i="6"/>
  <c r="K39" i="6"/>
  <c r="BA38" i="6"/>
  <c r="AU38" i="6"/>
  <c r="AO38" i="6"/>
  <c r="AI38" i="6"/>
  <c r="AC38" i="6"/>
  <c r="W38" i="6"/>
  <c r="Q38" i="6"/>
  <c r="K38" i="6"/>
  <c r="BA37" i="6"/>
  <c r="AU37" i="6"/>
  <c r="AI37" i="6"/>
  <c r="AC37" i="6"/>
  <c r="W37" i="6"/>
  <c r="BA36" i="6"/>
  <c r="AU36" i="6"/>
  <c r="AO36" i="6"/>
  <c r="AI36" i="6"/>
  <c r="AC36" i="6"/>
  <c r="W36" i="6"/>
  <c r="Q36" i="6"/>
  <c r="K36" i="6"/>
  <c r="BA35" i="6"/>
  <c r="AI35" i="6"/>
  <c r="AC35" i="6"/>
  <c r="W35" i="6"/>
  <c r="BA34" i="6"/>
  <c r="AO34" i="6"/>
  <c r="AI34" i="6"/>
  <c r="AC34" i="6"/>
  <c r="K34" i="6"/>
  <c r="BA33" i="6"/>
  <c r="AU33" i="6"/>
  <c r="AI33" i="6"/>
  <c r="AC33" i="6"/>
  <c r="W33" i="6"/>
  <c r="Q33" i="6"/>
  <c r="K33" i="6"/>
  <c r="BA32" i="6"/>
  <c r="AU32" i="6"/>
  <c r="AO32" i="6"/>
  <c r="AI32" i="6"/>
  <c r="AC32" i="6"/>
  <c r="W32" i="6"/>
  <c r="Q32" i="6"/>
  <c r="K32" i="6"/>
  <c r="BA31" i="6"/>
  <c r="AU31" i="6"/>
  <c r="AI31" i="6"/>
  <c r="AC31" i="6"/>
  <c r="W31" i="6"/>
  <c r="BA30" i="6"/>
  <c r="AU30" i="6"/>
  <c r="AO30" i="6"/>
  <c r="AI30" i="6"/>
  <c r="AC30" i="6"/>
  <c r="W30" i="6"/>
  <c r="Q30" i="6"/>
  <c r="K30" i="6"/>
  <c r="BA29" i="6"/>
  <c r="AU29" i="6"/>
  <c r="AI29" i="6"/>
  <c r="AC29" i="6"/>
  <c r="W29" i="6"/>
  <c r="BA28" i="6"/>
  <c r="AU28" i="6"/>
  <c r="AO28" i="6"/>
  <c r="AI28" i="6"/>
  <c r="AC28" i="6"/>
  <c r="W28" i="6"/>
  <c r="Q28" i="6"/>
  <c r="K28" i="6"/>
  <c r="BA27" i="6"/>
  <c r="AI27" i="6"/>
  <c r="AC27" i="6"/>
  <c r="W27" i="6"/>
  <c r="BA26" i="6"/>
  <c r="AU26" i="6"/>
  <c r="AO26" i="6"/>
  <c r="AI26" i="6"/>
  <c r="AC26" i="6"/>
  <c r="K26" i="6"/>
  <c r="BA25" i="6"/>
  <c r="AU25" i="6"/>
  <c r="AI25" i="6"/>
  <c r="AC25" i="6"/>
  <c r="W25" i="6"/>
  <c r="Q25" i="6"/>
  <c r="BA24" i="6"/>
  <c r="AU24" i="6"/>
  <c r="AO24" i="6"/>
  <c r="AI24" i="6"/>
  <c r="AC24" i="6"/>
  <c r="W24" i="6"/>
  <c r="K24" i="6"/>
  <c r="BA23" i="6"/>
  <c r="AU23" i="6"/>
  <c r="AI23" i="6"/>
  <c r="AC23" i="6"/>
  <c r="W23" i="6"/>
  <c r="BA22" i="6"/>
  <c r="AU22" i="6"/>
  <c r="AO22" i="6"/>
  <c r="AI22" i="6"/>
  <c r="AC22" i="6"/>
  <c r="W22" i="6"/>
  <c r="Q22" i="6"/>
  <c r="K22" i="6"/>
  <c r="BA21" i="6"/>
  <c r="AU21" i="6"/>
  <c r="AI21" i="6"/>
  <c r="AC21" i="6"/>
  <c r="W21" i="6"/>
  <c r="Q21" i="6"/>
  <c r="BA20" i="6"/>
  <c r="AU20" i="6"/>
  <c r="AO20" i="6"/>
  <c r="AI20" i="6"/>
  <c r="AC20" i="6"/>
  <c r="W20" i="6"/>
  <c r="Q20" i="6"/>
  <c r="K20" i="6"/>
  <c r="BA19" i="6"/>
  <c r="AO19" i="6"/>
  <c r="AI19" i="6"/>
  <c r="AC19" i="6"/>
  <c r="W19" i="6"/>
  <c r="BA18" i="6"/>
  <c r="AU18" i="6"/>
  <c r="AO18" i="6"/>
  <c r="AI18" i="6"/>
  <c r="AC18" i="6"/>
  <c r="K18" i="6"/>
  <c r="BA17" i="6"/>
  <c r="AU17" i="6"/>
  <c r="AO17" i="6"/>
  <c r="AI17" i="6"/>
  <c r="AC17" i="6"/>
  <c r="W17" i="6"/>
  <c r="Q17" i="6"/>
  <c r="K17" i="6"/>
  <c r="BA16" i="6"/>
  <c r="AU16" i="6"/>
  <c r="AO16" i="6"/>
  <c r="AI16" i="6"/>
  <c r="AC16" i="6"/>
  <c r="W16" i="6"/>
  <c r="K16" i="6"/>
  <c r="BA15" i="6"/>
  <c r="AU15" i="6"/>
  <c r="AO15" i="6"/>
  <c r="AI15" i="6"/>
  <c r="AC15" i="6"/>
  <c r="W15" i="6"/>
  <c r="BA14" i="6"/>
  <c r="AU14" i="6"/>
  <c r="AO14" i="6"/>
  <c r="AI14" i="6"/>
  <c r="AC14" i="6"/>
  <c r="W14" i="6"/>
  <c r="Q14" i="6"/>
  <c r="K14" i="6"/>
  <c r="BA13" i="6"/>
  <c r="AU13" i="6"/>
  <c r="AO13" i="6"/>
  <c r="AI13" i="6"/>
  <c r="AC13" i="6"/>
  <c r="W13" i="6"/>
  <c r="BA12" i="6"/>
  <c r="AU12" i="6"/>
  <c r="AO12" i="6"/>
  <c r="AI12" i="6"/>
  <c r="AC12" i="6"/>
  <c r="W12" i="6"/>
  <c r="Q12" i="6"/>
  <c r="K12" i="6"/>
  <c r="BA11" i="6"/>
  <c r="AI11" i="6"/>
  <c r="AC11" i="6"/>
  <c r="W11" i="6"/>
  <c r="BA10" i="6"/>
  <c r="AU10" i="6"/>
  <c r="AO10" i="6"/>
  <c r="AI10" i="6"/>
  <c r="AC10" i="6"/>
  <c r="K10" i="6"/>
  <c r="BA9" i="6"/>
  <c r="AU9" i="6"/>
  <c r="AI9" i="6"/>
  <c r="AC9" i="6"/>
  <c r="W9" i="6"/>
  <c r="Q9" i="6"/>
  <c r="K9" i="6"/>
  <c r="BA8" i="6"/>
  <c r="AU8" i="6"/>
  <c r="AO8" i="6"/>
  <c r="AI8" i="6"/>
  <c r="AC8" i="6"/>
  <c r="W8" i="6"/>
  <c r="K8" i="6"/>
  <c r="BA7" i="6"/>
  <c r="AU7" i="6"/>
  <c r="AI7" i="6"/>
  <c r="AC7" i="6"/>
  <c r="W7" i="6"/>
  <c r="BA6" i="6"/>
  <c r="AU6" i="6"/>
  <c r="AO6" i="6"/>
  <c r="AI6" i="6"/>
  <c r="AC6" i="6"/>
  <c r="W6" i="6"/>
  <c r="Q6" i="6"/>
  <c r="K6" i="6"/>
  <c r="BA5" i="6"/>
  <c r="AU5" i="6"/>
  <c r="AI5" i="6"/>
  <c r="AC5" i="6"/>
  <c r="W5" i="6"/>
  <c r="BA4" i="6"/>
  <c r="AU4" i="6"/>
  <c r="AO4" i="6"/>
  <c r="AI4" i="6"/>
  <c r="AC4" i="6"/>
  <c r="W4" i="6"/>
  <c r="Q4" i="6"/>
  <c r="K4" i="6"/>
  <c r="AU3" i="6"/>
  <c r="AI3" i="6"/>
  <c r="AC3" i="6"/>
  <c r="W3" i="6"/>
  <c r="AF3" i="15" s="1"/>
  <c r="Q5" i="4"/>
  <c r="Q6" i="4"/>
  <c r="Q8" i="4"/>
  <c r="Q13" i="4"/>
  <c r="Q14" i="4"/>
  <c r="Q16" i="4"/>
  <c r="Q21" i="4"/>
  <c r="Q22" i="4"/>
  <c r="Q24" i="4"/>
  <c r="Q29" i="4"/>
  <c r="Q30" i="4"/>
  <c r="Q32" i="4"/>
  <c r="Q37" i="4"/>
  <c r="Q38" i="4"/>
  <c r="Q40" i="4"/>
  <c r="Q45" i="4"/>
  <c r="Q46" i="4"/>
  <c r="Q48" i="4"/>
  <c r="Q53" i="4"/>
  <c r="Q54" i="4"/>
  <c r="Q56" i="4"/>
  <c r="Q61" i="4"/>
  <c r="Q62" i="4"/>
  <c r="Q64" i="4"/>
  <c r="Q69" i="4"/>
  <c r="Q70" i="4"/>
  <c r="Q72" i="4"/>
  <c r="Q77" i="4"/>
  <c r="Q78" i="4"/>
  <c r="Q80" i="4"/>
  <c r="Q85" i="4"/>
  <c r="Q86" i="4"/>
  <c r="Q88" i="4"/>
  <c r="Q93" i="4"/>
  <c r="Q94" i="4"/>
  <c r="Q96" i="4"/>
  <c r="Q101" i="4"/>
  <c r="Q102" i="4"/>
  <c r="Q104" i="4"/>
  <c r="Q109" i="4"/>
  <c r="Q110" i="4"/>
  <c r="Q112" i="4"/>
  <c r="Q117" i="4"/>
  <c r="Q118" i="4"/>
  <c r="Q120" i="4"/>
  <c r="Q125" i="4"/>
  <c r="Q126" i="4"/>
  <c r="Q128" i="4"/>
  <c r="Q133" i="4"/>
  <c r="Q134" i="4"/>
  <c r="Q136" i="4"/>
  <c r="Q141" i="4"/>
  <c r="Q142" i="4"/>
  <c r="Q144" i="4"/>
  <c r="Q149" i="4"/>
  <c r="Q150" i="4"/>
  <c r="Q152" i="4"/>
  <c r="Q157" i="4"/>
  <c r="Q158" i="4"/>
  <c r="Q160" i="4"/>
  <c r="Q165" i="4"/>
  <c r="Q166" i="4"/>
  <c r="Q168" i="4"/>
  <c r="Q173" i="4"/>
  <c r="Q174" i="4"/>
  <c r="Q176" i="4"/>
  <c r="Q181" i="4"/>
  <c r="Q182" i="4"/>
  <c r="Q184" i="4"/>
  <c r="Q189" i="4"/>
  <c r="Q190" i="4"/>
  <c r="Q192" i="4"/>
  <c r="Q197" i="4"/>
  <c r="Q198" i="4"/>
  <c r="Q200" i="4"/>
  <c r="Q205" i="4"/>
  <c r="Q206" i="4"/>
  <c r="Q208" i="4"/>
  <c r="Q212" i="4"/>
  <c r="Q213" i="4"/>
  <c r="Q214" i="4"/>
  <c r="Q215" i="4"/>
  <c r="Q216" i="4"/>
  <c r="Q217" i="4"/>
  <c r="Q220" i="4"/>
  <c r="Q221" i="4"/>
  <c r="Q222" i="4"/>
  <c r="Q223" i="4"/>
  <c r="Q224" i="4"/>
  <c r="Q225" i="4"/>
  <c r="Q228" i="4"/>
  <c r="Q229" i="4"/>
  <c r="Q230" i="4"/>
  <c r="W11" i="4"/>
  <c r="W19" i="4"/>
  <c r="W27" i="4"/>
  <c r="W35" i="4"/>
  <c r="W43" i="4"/>
  <c r="W51" i="4"/>
  <c r="W59" i="4"/>
  <c r="W67" i="4"/>
  <c r="W75" i="4"/>
  <c r="W83" i="4"/>
  <c r="W91" i="4"/>
  <c r="W99" i="4"/>
  <c r="W107" i="4"/>
  <c r="W115" i="4"/>
  <c r="W123" i="4"/>
  <c r="W131" i="4"/>
  <c r="W139" i="4"/>
  <c r="W147" i="4"/>
  <c r="W155" i="4"/>
  <c r="W163" i="4"/>
  <c r="W171" i="4"/>
  <c r="W179" i="4"/>
  <c r="W187" i="4"/>
  <c r="W195" i="4"/>
  <c r="W203" i="4"/>
  <c r="W211" i="4"/>
  <c r="W219" i="4"/>
  <c r="W223" i="4"/>
  <c r="W227" i="4"/>
  <c r="W3" i="4"/>
  <c r="Q3" i="4"/>
  <c r="W4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Q4" i="4"/>
  <c r="Q7" i="4"/>
  <c r="Q9" i="4"/>
  <c r="Q10" i="4"/>
  <c r="Q11" i="4"/>
  <c r="Q12" i="4"/>
  <c r="Q15" i="4"/>
  <c r="Q17" i="4"/>
  <c r="Q18" i="4"/>
  <c r="Q19" i="4"/>
  <c r="Q20" i="4"/>
  <c r="Q23" i="4"/>
  <c r="Q25" i="4"/>
  <c r="Q26" i="4"/>
  <c r="Q27" i="4"/>
  <c r="Q28" i="4"/>
  <c r="Q31" i="4"/>
  <c r="Q33" i="4"/>
  <c r="Q34" i="4"/>
  <c r="Q35" i="4"/>
  <c r="Q36" i="4"/>
  <c r="Q39" i="4"/>
  <c r="Q41" i="4"/>
  <c r="Q42" i="4"/>
  <c r="Q43" i="4"/>
  <c r="Q44" i="4"/>
  <c r="Q47" i="4"/>
  <c r="Q49" i="4"/>
  <c r="Q50" i="4"/>
  <c r="Q51" i="4"/>
  <c r="Q52" i="4"/>
  <c r="Q55" i="4"/>
  <c r="Q57" i="4"/>
  <c r="Q58" i="4"/>
  <c r="Q59" i="4"/>
  <c r="Q60" i="4"/>
  <c r="Q63" i="4"/>
  <c r="Q65" i="4"/>
  <c r="Q66" i="4"/>
  <c r="Q67" i="4"/>
  <c r="Q68" i="4"/>
  <c r="Q71" i="4"/>
  <c r="Q73" i="4"/>
  <c r="Q74" i="4"/>
  <c r="Q75" i="4"/>
  <c r="Q76" i="4"/>
  <c r="Q79" i="4"/>
  <c r="Q81" i="4"/>
  <c r="Q82" i="4"/>
  <c r="Q83" i="4"/>
  <c r="Q84" i="4"/>
  <c r="Q87" i="4"/>
  <c r="Q89" i="4"/>
  <c r="Q90" i="4"/>
  <c r="Q91" i="4"/>
  <c r="Q92" i="4"/>
  <c r="Q95" i="4"/>
  <c r="Q97" i="4"/>
  <c r="Q98" i="4"/>
  <c r="Q99" i="4"/>
  <c r="Q100" i="4"/>
  <c r="Q103" i="4"/>
  <c r="Q105" i="4"/>
  <c r="Q106" i="4"/>
  <c r="Q107" i="4"/>
  <c r="Q108" i="4"/>
  <c r="Q111" i="4"/>
  <c r="Q113" i="4"/>
  <c r="Q114" i="4"/>
  <c r="Q115" i="4"/>
  <c r="Q116" i="4"/>
  <c r="Q119" i="4"/>
  <c r="Q121" i="4"/>
  <c r="Q122" i="4"/>
  <c r="Q123" i="4"/>
  <c r="Q124" i="4"/>
  <c r="Q127" i="4"/>
  <c r="Q129" i="4"/>
  <c r="Q130" i="4"/>
  <c r="Q131" i="4"/>
  <c r="Q132" i="4"/>
  <c r="Q135" i="4"/>
  <c r="Q137" i="4"/>
  <c r="Q138" i="4"/>
  <c r="Q139" i="4"/>
  <c r="Q140" i="4"/>
  <c r="Q143" i="4"/>
  <c r="Q145" i="4"/>
  <c r="Q146" i="4"/>
  <c r="Q147" i="4"/>
  <c r="Q148" i="4"/>
  <c r="Q151" i="4"/>
  <c r="Q153" i="4"/>
  <c r="Q154" i="4"/>
  <c r="Q155" i="4"/>
  <c r="Q156" i="4"/>
  <c r="Q159" i="4"/>
  <c r="Q161" i="4"/>
  <c r="Q162" i="4"/>
  <c r="Q163" i="4"/>
  <c r="Q164" i="4"/>
  <c r="Q167" i="4"/>
  <c r="Q169" i="4"/>
  <c r="Q170" i="4"/>
  <c r="Q171" i="4"/>
  <c r="Q172" i="4"/>
  <c r="Q175" i="4"/>
  <c r="Q177" i="4"/>
  <c r="Q178" i="4"/>
  <c r="Q179" i="4"/>
  <c r="Q180" i="4"/>
  <c r="Q183" i="4"/>
  <c r="Q185" i="4"/>
  <c r="Q186" i="4"/>
  <c r="Q187" i="4"/>
  <c r="Q188" i="4"/>
  <c r="Q191" i="4"/>
  <c r="Q193" i="4"/>
  <c r="Q194" i="4"/>
  <c r="Q195" i="4"/>
  <c r="Q196" i="4"/>
  <c r="Q199" i="4"/>
  <c r="Q201" i="4"/>
  <c r="Q202" i="4"/>
  <c r="Q203" i="4"/>
  <c r="Q204" i="4"/>
  <c r="Q207" i="4"/>
  <c r="Q209" i="4"/>
  <c r="Q210" i="4"/>
  <c r="Q211" i="4"/>
  <c r="Q218" i="4"/>
  <c r="Q219" i="4"/>
  <c r="Q226" i="4"/>
  <c r="Q227" i="4"/>
  <c r="W5" i="4"/>
  <c r="W6" i="4"/>
  <c r="W7" i="4"/>
  <c r="W8" i="4"/>
  <c r="W9" i="4"/>
  <c r="W10" i="4"/>
  <c r="W12" i="4"/>
  <c r="W13" i="4"/>
  <c r="W14" i="4"/>
  <c r="W15" i="4"/>
  <c r="W16" i="4"/>
  <c r="W17" i="4"/>
  <c r="W18" i="4"/>
  <c r="W20" i="4"/>
  <c r="W21" i="4"/>
  <c r="W22" i="4"/>
  <c r="W23" i="4"/>
  <c r="W24" i="4"/>
  <c r="W25" i="4"/>
  <c r="W26" i="4"/>
  <c r="W28" i="4"/>
  <c r="W29" i="4"/>
  <c r="W30" i="4"/>
  <c r="W31" i="4"/>
  <c r="W32" i="4"/>
  <c r="W33" i="4"/>
  <c r="W34" i="4"/>
  <c r="W36" i="4"/>
  <c r="W37" i="4"/>
  <c r="W38" i="4"/>
  <c r="W39" i="4"/>
  <c r="W40" i="4"/>
  <c r="W41" i="4"/>
  <c r="W42" i="4"/>
  <c r="W44" i="4"/>
  <c r="W45" i="4"/>
  <c r="W46" i="4"/>
  <c r="W47" i="4"/>
  <c r="W48" i="4"/>
  <c r="W49" i="4"/>
  <c r="W50" i="4"/>
  <c r="W52" i="4"/>
  <c r="W53" i="4"/>
  <c r="W54" i="4"/>
  <c r="W55" i="4"/>
  <c r="W56" i="4"/>
  <c r="W57" i="4"/>
  <c r="W58" i="4"/>
  <c r="W60" i="4"/>
  <c r="W61" i="4"/>
  <c r="W62" i="4"/>
  <c r="W63" i="4"/>
  <c r="W64" i="4"/>
  <c r="W65" i="4"/>
  <c r="W66" i="4"/>
  <c r="W68" i="4"/>
  <c r="W69" i="4"/>
  <c r="W70" i="4"/>
  <c r="W71" i="4"/>
  <c r="W72" i="4"/>
  <c r="W73" i="4"/>
  <c r="W74" i="4"/>
  <c r="W76" i="4"/>
  <c r="W77" i="4"/>
  <c r="W78" i="4"/>
  <c r="W79" i="4"/>
  <c r="W80" i="4"/>
  <c r="W81" i="4"/>
  <c r="W82" i="4"/>
  <c r="W84" i="4"/>
  <c r="W85" i="4"/>
  <c r="W86" i="4"/>
  <c r="W87" i="4"/>
  <c r="W88" i="4"/>
  <c r="W89" i="4"/>
  <c r="W90" i="4"/>
  <c r="W92" i="4"/>
  <c r="W93" i="4"/>
  <c r="W94" i="4"/>
  <c r="W95" i="4"/>
  <c r="W96" i="4"/>
  <c r="W97" i="4"/>
  <c r="W98" i="4"/>
  <c r="W100" i="4"/>
  <c r="W101" i="4"/>
  <c r="W102" i="4"/>
  <c r="W103" i="4"/>
  <c r="W104" i="4"/>
  <c r="W105" i="4"/>
  <c r="W106" i="4"/>
  <c r="W108" i="4"/>
  <c r="W109" i="4"/>
  <c r="W110" i="4"/>
  <c r="W111" i="4"/>
  <c r="W112" i="4"/>
  <c r="W113" i="4"/>
  <c r="W114" i="4"/>
  <c r="W116" i="4"/>
  <c r="W117" i="4"/>
  <c r="W118" i="4"/>
  <c r="W119" i="4"/>
  <c r="W120" i="4"/>
  <c r="W121" i="4"/>
  <c r="W122" i="4"/>
  <c r="W124" i="4"/>
  <c r="W125" i="4"/>
  <c r="W126" i="4"/>
  <c r="W127" i="4"/>
  <c r="W128" i="4"/>
  <c r="W129" i="4"/>
  <c r="W130" i="4"/>
  <c r="W132" i="4"/>
  <c r="W133" i="4"/>
  <c r="W134" i="4"/>
  <c r="W135" i="4"/>
  <c r="W136" i="4"/>
  <c r="W137" i="4"/>
  <c r="W138" i="4"/>
  <c r="W140" i="4"/>
  <c r="W141" i="4"/>
  <c r="W142" i="4"/>
  <c r="W143" i="4"/>
  <c r="W144" i="4"/>
  <c r="W145" i="4"/>
  <c r="W146" i="4"/>
  <c r="W148" i="4"/>
  <c r="W149" i="4"/>
  <c r="W150" i="4"/>
  <c r="W151" i="4"/>
  <c r="W152" i="4"/>
  <c r="W153" i="4"/>
  <c r="W154" i="4"/>
  <c r="W156" i="4"/>
  <c r="W157" i="4"/>
  <c r="W158" i="4"/>
  <c r="W159" i="4"/>
  <c r="W160" i="4"/>
  <c r="W161" i="4"/>
  <c r="W162" i="4"/>
  <c r="W164" i="4"/>
  <c r="W165" i="4"/>
  <c r="W166" i="4"/>
  <c r="W167" i="4"/>
  <c r="W168" i="4"/>
  <c r="W169" i="4"/>
  <c r="W170" i="4"/>
  <c r="W172" i="4"/>
  <c r="W173" i="4"/>
  <c r="W174" i="4"/>
  <c r="W175" i="4"/>
  <c r="W176" i="4"/>
  <c r="W177" i="4"/>
  <c r="W178" i="4"/>
  <c r="W180" i="4"/>
  <c r="W181" i="4"/>
  <c r="W182" i="4"/>
  <c r="W183" i="4"/>
  <c r="W184" i="4"/>
  <c r="W185" i="4"/>
  <c r="W186" i="4"/>
  <c r="W188" i="4"/>
  <c r="W189" i="4"/>
  <c r="W190" i="4"/>
  <c r="W191" i="4"/>
  <c r="W192" i="4"/>
  <c r="W193" i="4"/>
  <c r="W194" i="4"/>
  <c r="W196" i="4"/>
  <c r="W197" i="4"/>
  <c r="W198" i="4"/>
  <c r="W199" i="4"/>
  <c r="W200" i="4"/>
  <c r="W201" i="4"/>
  <c r="W202" i="4"/>
  <c r="W204" i="4"/>
  <c r="W205" i="4"/>
  <c r="W206" i="4"/>
  <c r="W207" i="4"/>
  <c r="W208" i="4"/>
  <c r="W209" i="4"/>
  <c r="W210" i="4"/>
  <c r="W212" i="4"/>
  <c r="W213" i="4"/>
  <c r="W214" i="4"/>
  <c r="W215" i="4"/>
  <c r="W216" i="4"/>
  <c r="W217" i="4"/>
  <c r="W218" i="4"/>
  <c r="W220" i="4"/>
  <c r="W221" i="4"/>
  <c r="W222" i="4"/>
  <c r="W224" i="4"/>
  <c r="W225" i="4"/>
  <c r="W226" i="4"/>
  <c r="W228" i="4"/>
  <c r="W229" i="4"/>
  <c r="W230" i="4"/>
  <c r="AC4" i="4"/>
  <c r="AC5" i="4"/>
  <c r="AC6" i="4"/>
  <c r="AC7" i="4"/>
  <c r="AC8" i="4"/>
  <c r="AC9" i="4"/>
  <c r="AC10" i="4"/>
  <c r="AC11" i="4"/>
  <c r="AC12" i="4"/>
  <c r="AC13" i="4"/>
  <c r="AC14" i="4"/>
  <c r="AC15" i="4"/>
  <c r="AC16" i="4"/>
  <c r="AC17" i="4"/>
  <c r="AC18" i="4"/>
  <c r="AC19" i="4"/>
  <c r="AC20" i="4"/>
  <c r="AC21" i="4"/>
  <c r="AC22" i="4"/>
  <c r="AC23" i="4"/>
  <c r="AC24" i="4"/>
  <c r="AC25" i="4"/>
  <c r="AC26" i="4"/>
  <c r="AC27" i="4"/>
  <c r="AC28" i="4"/>
  <c r="AC29" i="4"/>
  <c r="AC30" i="4"/>
  <c r="AC31" i="4"/>
  <c r="AC32" i="4"/>
  <c r="AC33" i="4"/>
  <c r="AC34" i="4"/>
  <c r="AC35" i="4"/>
  <c r="AC36" i="4"/>
  <c r="AC37" i="4"/>
  <c r="AC38" i="4"/>
  <c r="AC39" i="4"/>
  <c r="AC40" i="4"/>
  <c r="AC41" i="4"/>
  <c r="AC42" i="4"/>
  <c r="AC43" i="4"/>
  <c r="AC44" i="4"/>
  <c r="AC45" i="4"/>
  <c r="AC46" i="4"/>
  <c r="AC47" i="4"/>
  <c r="AC48" i="4"/>
  <c r="AC49" i="4"/>
  <c r="AC50" i="4"/>
  <c r="AC51" i="4"/>
  <c r="AC52" i="4"/>
  <c r="AC53" i="4"/>
  <c r="AC54" i="4"/>
  <c r="AC55" i="4"/>
  <c r="AC56" i="4"/>
  <c r="AC57" i="4"/>
  <c r="AC58" i="4"/>
  <c r="AC59" i="4"/>
  <c r="AC60" i="4"/>
  <c r="AC61" i="4"/>
  <c r="AC62" i="4"/>
  <c r="AC63" i="4"/>
  <c r="AC64" i="4"/>
  <c r="AC65" i="4"/>
  <c r="AC66" i="4"/>
  <c r="AC67" i="4"/>
  <c r="AC68" i="4"/>
  <c r="AC69" i="4"/>
  <c r="AC70" i="4"/>
  <c r="AC71" i="4"/>
  <c r="AC72" i="4"/>
  <c r="AC73" i="4"/>
  <c r="AC74" i="4"/>
  <c r="AC75" i="4"/>
  <c r="AC76" i="4"/>
  <c r="AC77" i="4"/>
  <c r="AC78" i="4"/>
  <c r="AC79" i="4"/>
  <c r="AC80" i="4"/>
  <c r="AC81" i="4"/>
  <c r="AC82" i="4"/>
  <c r="AC83" i="4"/>
  <c r="AC84" i="4"/>
  <c r="AC85" i="4"/>
  <c r="AC86" i="4"/>
  <c r="AC87" i="4"/>
  <c r="AC88" i="4"/>
  <c r="AC89" i="4"/>
  <c r="AC90" i="4"/>
  <c r="AC91" i="4"/>
  <c r="AC92" i="4"/>
  <c r="AC93" i="4"/>
  <c r="AC94" i="4"/>
  <c r="AC95" i="4"/>
  <c r="AC96" i="4"/>
  <c r="AC97" i="4"/>
  <c r="AC98" i="4"/>
  <c r="AC99" i="4"/>
  <c r="AC100" i="4"/>
  <c r="AC101" i="4"/>
  <c r="AC102" i="4"/>
  <c r="AC103" i="4"/>
  <c r="AC104" i="4"/>
  <c r="AC105" i="4"/>
  <c r="AC106" i="4"/>
  <c r="AC107" i="4"/>
  <c r="AC108" i="4"/>
  <c r="AC109" i="4"/>
  <c r="AC110" i="4"/>
  <c r="AC111" i="4"/>
  <c r="AC112" i="4"/>
  <c r="AC113" i="4"/>
  <c r="AC114" i="4"/>
  <c r="AC115" i="4"/>
  <c r="AC116" i="4"/>
  <c r="AC117" i="4"/>
  <c r="AC118" i="4"/>
  <c r="AC119" i="4"/>
  <c r="AC120" i="4"/>
  <c r="AC121" i="4"/>
  <c r="AC122" i="4"/>
  <c r="AC123" i="4"/>
  <c r="AC124" i="4"/>
  <c r="AC125" i="4"/>
  <c r="AC126" i="4"/>
  <c r="AC127" i="4"/>
  <c r="AC128" i="4"/>
  <c r="AC129" i="4"/>
  <c r="AC130" i="4"/>
  <c r="AC131" i="4"/>
  <c r="AC132" i="4"/>
  <c r="AC133" i="4"/>
  <c r="AC134" i="4"/>
  <c r="AC135" i="4"/>
  <c r="AC136" i="4"/>
  <c r="AC137" i="4"/>
  <c r="AC138" i="4"/>
  <c r="AC139" i="4"/>
  <c r="AC140" i="4"/>
  <c r="AC141" i="4"/>
  <c r="AC142" i="4"/>
  <c r="AC143" i="4"/>
  <c r="AC144" i="4"/>
  <c r="AC145" i="4"/>
  <c r="AC146" i="4"/>
  <c r="AC147" i="4"/>
  <c r="AC148" i="4"/>
  <c r="AC149" i="4"/>
  <c r="AC150" i="4"/>
  <c r="AC151" i="4"/>
  <c r="AC152" i="4"/>
  <c r="AC153" i="4"/>
  <c r="AC154" i="4"/>
  <c r="AC155" i="4"/>
  <c r="AC156" i="4"/>
  <c r="AC157" i="4"/>
  <c r="AC158" i="4"/>
  <c r="AC159" i="4"/>
  <c r="AC160" i="4"/>
  <c r="AC161" i="4"/>
  <c r="AC162" i="4"/>
  <c r="AC163" i="4"/>
  <c r="AC164" i="4"/>
  <c r="AC165" i="4"/>
  <c r="AC166" i="4"/>
  <c r="AC167" i="4"/>
  <c r="AC168" i="4"/>
  <c r="AC169" i="4"/>
  <c r="AC170" i="4"/>
  <c r="AC171" i="4"/>
  <c r="AC172" i="4"/>
  <c r="AC173" i="4"/>
  <c r="AC174" i="4"/>
  <c r="AC175" i="4"/>
  <c r="AC176" i="4"/>
  <c r="AC177" i="4"/>
  <c r="AC178" i="4"/>
  <c r="AC179" i="4"/>
  <c r="AC180" i="4"/>
  <c r="AC181" i="4"/>
  <c r="AC182" i="4"/>
  <c r="AC183" i="4"/>
  <c r="AC184" i="4"/>
  <c r="AC185" i="4"/>
  <c r="AC186" i="4"/>
  <c r="AC187" i="4"/>
  <c r="AC188" i="4"/>
  <c r="AC189" i="4"/>
  <c r="AC190" i="4"/>
  <c r="AC191" i="4"/>
  <c r="AC192" i="4"/>
  <c r="AC193" i="4"/>
  <c r="AC194" i="4"/>
  <c r="AC195" i="4"/>
  <c r="AC196" i="4"/>
  <c r="AC197" i="4"/>
  <c r="AC198" i="4"/>
  <c r="AC199" i="4"/>
  <c r="AC200" i="4"/>
  <c r="AC201" i="4"/>
  <c r="AC202" i="4"/>
  <c r="AC203" i="4"/>
  <c r="AC204" i="4"/>
  <c r="AC205" i="4"/>
  <c r="AC206" i="4"/>
  <c r="AC207" i="4"/>
  <c r="AC208" i="4"/>
  <c r="AC209" i="4"/>
  <c r="AC210" i="4"/>
  <c r="AC211" i="4"/>
  <c r="AC212" i="4"/>
  <c r="AC213" i="4"/>
  <c r="AC214" i="4"/>
  <c r="AC215" i="4"/>
  <c r="AC216" i="4"/>
  <c r="AC217" i="4"/>
  <c r="AC218" i="4"/>
  <c r="AC219" i="4"/>
  <c r="AC220" i="4"/>
  <c r="AC221" i="4"/>
  <c r="AC222" i="4"/>
  <c r="AC223" i="4"/>
  <c r="AC224" i="4"/>
  <c r="AC225" i="4"/>
  <c r="AC226" i="4"/>
  <c r="AC227" i="4"/>
  <c r="AC228" i="4"/>
  <c r="AC229" i="4"/>
  <c r="AC230" i="4"/>
  <c r="AI4" i="4"/>
  <c r="AI5" i="4"/>
  <c r="AI6" i="4"/>
  <c r="AI7" i="4"/>
  <c r="AI8" i="4"/>
  <c r="AI9" i="4"/>
  <c r="AI10" i="4"/>
  <c r="AI11" i="4"/>
  <c r="AI12" i="4"/>
  <c r="AI13" i="4"/>
  <c r="AI14" i="4"/>
  <c r="AI15" i="4"/>
  <c r="AI16" i="4"/>
  <c r="AI17" i="4"/>
  <c r="AI18" i="4"/>
  <c r="AI19" i="4"/>
  <c r="AI20" i="4"/>
  <c r="AI21" i="4"/>
  <c r="AI22" i="4"/>
  <c r="AI23" i="4"/>
  <c r="AI24" i="4"/>
  <c r="AI25" i="4"/>
  <c r="AI26" i="4"/>
  <c r="AI27" i="4"/>
  <c r="AI28" i="4"/>
  <c r="AI29" i="4"/>
  <c r="AI30" i="4"/>
  <c r="AI31" i="4"/>
  <c r="AI32" i="4"/>
  <c r="AI33" i="4"/>
  <c r="AI34" i="4"/>
  <c r="AI35" i="4"/>
  <c r="AI36" i="4"/>
  <c r="AI37" i="4"/>
  <c r="AI38" i="4"/>
  <c r="AI39" i="4"/>
  <c r="AI40" i="4"/>
  <c r="AI41" i="4"/>
  <c r="AI42" i="4"/>
  <c r="AI43" i="4"/>
  <c r="AI44" i="4"/>
  <c r="AI45" i="4"/>
  <c r="AI46" i="4"/>
  <c r="AI47" i="4"/>
  <c r="AI48" i="4"/>
  <c r="AI49" i="4"/>
  <c r="AI50" i="4"/>
  <c r="AI51" i="4"/>
  <c r="AI52" i="4"/>
  <c r="AI53" i="4"/>
  <c r="AI54" i="4"/>
  <c r="AI55" i="4"/>
  <c r="AI56" i="4"/>
  <c r="AI57" i="4"/>
  <c r="AI58" i="4"/>
  <c r="AI59" i="4"/>
  <c r="AI60" i="4"/>
  <c r="AI61" i="4"/>
  <c r="AI62" i="4"/>
  <c r="AI63" i="4"/>
  <c r="AI64" i="4"/>
  <c r="AI65" i="4"/>
  <c r="AI66" i="4"/>
  <c r="AI67" i="4"/>
  <c r="AI68" i="4"/>
  <c r="AI69" i="4"/>
  <c r="AI70" i="4"/>
  <c r="AI71" i="4"/>
  <c r="AI72" i="4"/>
  <c r="AI73" i="4"/>
  <c r="AI74" i="4"/>
  <c r="AI75" i="4"/>
  <c r="AI76" i="4"/>
  <c r="AI77" i="4"/>
  <c r="AI78" i="4"/>
  <c r="AI79" i="4"/>
  <c r="AI80" i="4"/>
  <c r="AI81" i="4"/>
  <c r="AI82" i="4"/>
  <c r="AI83" i="4"/>
  <c r="AI84" i="4"/>
  <c r="AI85" i="4"/>
  <c r="AI86" i="4"/>
  <c r="AI87" i="4"/>
  <c r="AI88" i="4"/>
  <c r="AI89" i="4"/>
  <c r="AI90" i="4"/>
  <c r="AI91" i="4"/>
  <c r="AI92" i="4"/>
  <c r="AI93" i="4"/>
  <c r="AI94" i="4"/>
  <c r="AI95" i="4"/>
  <c r="AI96" i="4"/>
  <c r="AI97" i="4"/>
  <c r="AI98" i="4"/>
  <c r="AI99" i="4"/>
  <c r="AI100" i="4"/>
  <c r="AI101" i="4"/>
  <c r="AI102" i="4"/>
  <c r="AI103" i="4"/>
  <c r="AI104" i="4"/>
  <c r="AI105" i="4"/>
  <c r="AI106" i="4"/>
  <c r="AI107" i="4"/>
  <c r="AI108" i="4"/>
  <c r="AI109" i="4"/>
  <c r="AI110" i="4"/>
  <c r="AI111" i="4"/>
  <c r="AI112" i="4"/>
  <c r="AI113" i="4"/>
  <c r="AI114" i="4"/>
  <c r="AI115" i="4"/>
  <c r="AI116" i="4"/>
  <c r="AI117" i="4"/>
  <c r="AI118" i="4"/>
  <c r="AI119" i="4"/>
  <c r="AI120" i="4"/>
  <c r="AI121" i="4"/>
  <c r="AI122" i="4"/>
  <c r="AI123" i="4"/>
  <c r="AI124" i="4"/>
  <c r="AI125" i="4"/>
  <c r="AI126" i="4"/>
  <c r="AI127" i="4"/>
  <c r="AI128" i="4"/>
  <c r="AI129" i="4"/>
  <c r="AI130" i="4"/>
  <c r="AI131" i="4"/>
  <c r="AI132" i="4"/>
  <c r="AI133" i="4"/>
  <c r="AI134" i="4"/>
  <c r="AI135" i="4"/>
  <c r="AI136" i="4"/>
  <c r="AI137" i="4"/>
  <c r="AI138" i="4"/>
  <c r="AI139" i="4"/>
  <c r="AI140" i="4"/>
  <c r="AI141" i="4"/>
  <c r="AI142" i="4"/>
  <c r="AI143" i="4"/>
  <c r="AI144" i="4"/>
  <c r="AI145" i="4"/>
  <c r="AI146" i="4"/>
  <c r="AI147" i="4"/>
  <c r="AI148" i="4"/>
  <c r="AI149" i="4"/>
  <c r="AI150" i="4"/>
  <c r="AI151" i="4"/>
  <c r="AI152" i="4"/>
  <c r="AI153" i="4"/>
  <c r="AI154" i="4"/>
  <c r="AI155" i="4"/>
  <c r="AI156" i="4"/>
  <c r="AI157" i="4"/>
  <c r="AI158" i="4"/>
  <c r="AI159" i="4"/>
  <c r="AI160" i="4"/>
  <c r="AI161" i="4"/>
  <c r="AI162" i="4"/>
  <c r="AI163" i="4"/>
  <c r="AI164" i="4"/>
  <c r="AI165" i="4"/>
  <c r="AI166" i="4"/>
  <c r="AI167" i="4"/>
  <c r="AI168" i="4"/>
  <c r="AI169" i="4"/>
  <c r="AI170" i="4"/>
  <c r="AI171" i="4"/>
  <c r="AI172" i="4"/>
  <c r="AI173" i="4"/>
  <c r="AI174" i="4"/>
  <c r="AI175" i="4"/>
  <c r="AI176" i="4"/>
  <c r="AI177" i="4"/>
  <c r="AI178" i="4"/>
  <c r="AI179" i="4"/>
  <c r="AI180" i="4"/>
  <c r="AI181" i="4"/>
  <c r="AI182" i="4"/>
  <c r="AI183" i="4"/>
  <c r="AI184" i="4"/>
  <c r="AI185" i="4"/>
  <c r="AI186" i="4"/>
  <c r="AI187" i="4"/>
  <c r="AI188" i="4"/>
  <c r="AI189" i="4"/>
  <c r="AI190" i="4"/>
  <c r="AI191" i="4"/>
  <c r="AI192" i="4"/>
  <c r="AI193" i="4"/>
  <c r="AI194" i="4"/>
  <c r="AI195" i="4"/>
  <c r="AI196" i="4"/>
  <c r="AI197" i="4"/>
  <c r="AI198" i="4"/>
  <c r="AI199" i="4"/>
  <c r="AI200" i="4"/>
  <c r="AI201" i="4"/>
  <c r="AI202" i="4"/>
  <c r="AI203" i="4"/>
  <c r="AI204" i="4"/>
  <c r="AI205" i="4"/>
  <c r="AI206" i="4"/>
  <c r="AI207" i="4"/>
  <c r="AI208" i="4"/>
  <c r="AI209" i="4"/>
  <c r="AI210" i="4"/>
  <c r="AI211" i="4"/>
  <c r="AI212" i="4"/>
  <c r="AI213" i="4"/>
  <c r="AI214" i="4"/>
  <c r="AI215" i="4"/>
  <c r="AI216" i="4"/>
  <c r="AI217" i="4"/>
  <c r="AI218" i="4"/>
  <c r="AI219" i="4"/>
  <c r="AI220" i="4"/>
  <c r="AI221" i="4"/>
  <c r="AI222" i="4"/>
  <c r="AI223" i="4"/>
  <c r="AI224" i="4"/>
  <c r="AI225" i="4"/>
  <c r="AI226" i="4"/>
  <c r="AI227" i="4"/>
  <c r="AI228" i="4"/>
  <c r="AI229" i="4"/>
  <c r="AI230" i="4"/>
  <c r="AO4" i="4"/>
  <c r="AO5" i="4"/>
  <c r="AO6" i="4"/>
  <c r="AO7" i="4"/>
  <c r="AO8" i="4"/>
  <c r="AO9" i="4"/>
  <c r="AO10" i="4"/>
  <c r="AO11" i="4"/>
  <c r="AO12" i="4"/>
  <c r="AO13" i="4"/>
  <c r="AO14" i="4"/>
  <c r="AO15" i="4"/>
  <c r="AO16" i="4"/>
  <c r="AO17" i="4"/>
  <c r="AO18" i="4"/>
  <c r="AO19" i="4"/>
  <c r="AO20" i="4"/>
  <c r="AO21" i="4"/>
  <c r="AO22" i="4"/>
  <c r="AO23" i="4"/>
  <c r="AO24" i="4"/>
  <c r="AO25" i="4"/>
  <c r="AO26" i="4"/>
  <c r="AO27" i="4"/>
  <c r="AO28" i="4"/>
  <c r="AO29" i="4"/>
  <c r="AO30" i="4"/>
  <c r="AO31" i="4"/>
  <c r="AO32" i="4"/>
  <c r="AO33" i="4"/>
  <c r="AO34" i="4"/>
  <c r="AO35" i="4"/>
  <c r="AO36" i="4"/>
  <c r="AO37" i="4"/>
  <c r="AO38" i="4"/>
  <c r="AO39" i="4"/>
  <c r="AO40" i="4"/>
  <c r="AO41" i="4"/>
  <c r="AO42" i="4"/>
  <c r="AO43" i="4"/>
  <c r="AO44" i="4"/>
  <c r="AO45" i="4"/>
  <c r="AO46" i="4"/>
  <c r="AO47" i="4"/>
  <c r="AO48" i="4"/>
  <c r="AO49" i="4"/>
  <c r="AO50" i="4"/>
  <c r="AO51" i="4"/>
  <c r="AO52" i="4"/>
  <c r="AO53" i="4"/>
  <c r="AO54" i="4"/>
  <c r="AO55" i="4"/>
  <c r="AO56" i="4"/>
  <c r="AO57" i="4"/>
  <c r="AO58" i="4"/>
  <c r="AO59" i="4"/>
  <c r="AO60" i="4"/>
  <c r="AO61" i="4"/>
  <c r="AO62" i="4"/>
  <c r="AO63" i="4"/>
  <c r="AO64" i="4"/>
  <c r="AO65" i="4"/>
  <c r="AO66" i="4"/>
  <c r="AO67" i="4"/>
  <c r="AO68" i="4"/>
  <c r="AO69" i="4"/>
  <c r="AO70" i="4"/>
  <c r="AO71" i="4"/>
  <c r="AO72" i="4"/>
  <c r="AO73" i="4"/>
  <c r="AO74" i="4"/>
  <c r="AO75" i="4"/>
  <c r="AO76" i="4"/>
  <c r="AO77" i="4"/>
  <c r="AO78" i="4"/>
  <c r="AO79" i="4"/>
  <c r="AO80" i="4"/>
  <c r="AO81" i="4"/>
  <c r="AO82" i="4"/>
  <c r="AO83" i="4"/>
  <c r="AO84" i="4"/>
  <c r="AO85" i="4"/>
  <c r="AO86" i="4"/>
  <c r="AO87" i="4"/>
  <c r="AO88" i="4"/>
  <c r="AO89" i="4"/>
  <c r="AO90" i="4"/>
  <c r="AO91" i="4"/>
  <c r="AO92" i="4"/>
  <c r="AO93" i="4"/>
  <c r="AO94" i="4"/>
  <c r="AO95" i="4"/>
  <c r="AO96" i="4"/>
  <c r="AO97" i="4"/>
  <c r="AO98" i="4"/>
  <c r="AO99" i="4"/>
  <c r="AO100" i="4"/>
  <c r="AO101" i="4"/>
  <c r="AO102" i="4"/>
  <c r="AO103" i="4"/>
  <c r="AO104" i="4"/>
  <c r="AO105" i="4"/>
  <c r="AO106" i="4"/>
  <c r="AO107" i="4"/>
  <c r="AO108" i="4"/>
  <c r="AO109" i="4"/>
  <c r="AO110" i="4"/>
  <c r="AO111" i="4"/>
  <c r="AO112" i="4"/>
  <c r="AO113" i="4"/>
  <c r="AO114" i="4"/>
  <c r="AO115" i="4"/>
  <c r="AO116" i="4"/>
  <c r="AO117" i="4"/>
  <c r="AO118" i="4"/>
  <c r="AO119" i="4"/>
  <c r="AO120" i="4"/>
  <c r="AO121" i="4"/>
  <c r="AO122" i="4"/>
  <c r="AO123" i="4"/>
  <c r="AO124" i="4"/>
  <c r="AO125" i="4"/>
  <c r="AO126" i="4"/>
  <c r="AO127" i="4"/>
  <c r="AO128" i="4"/>
  <c r="AO129" i="4"/>
  <c r="AO130" i="4"/>
  <c r="AO131" i="4"/>
  <c r="AO132" i="4"/>
  <c r="AO133" i="4"/>
  <c r="AO134" i="4"/>
  <c r="AO135" i="4"/>
  <c r="AO136" i="4"/>
  <c r="AO137" i="4"/>
  <c r="AO138" i="4"/>
  <c r="AO139" i="4"/>
  <c r="AO140" i="4"/>
  <c r="AO141" i="4"/>
  <c r="AO142" i="4"/>
  <c r="AO143" i="4"/>
  <c r="AO144" i="4"/>
  <c r="AO145" i="4"/>
  <c r="AO146" i="4"/>
  <c r="AO147" i="4"/>
  <c r="AO148" i="4"/>
  <c r="AO149" i="4"/>
  <c r="AO150" i="4"/>
  <c r="AO151" i="4"/>
  <c r="AO152" i="4"/>
  <c r="AO153" i="4"/>
  <c r="AO154" i="4"/>
  <c r="AO155" i="4"/>
  <c r="AO156" i="4"/>
  <c r="AO157" i="4"/>
  <c r="AO158" i="4"/>
  <c r="AO159" i="4"/>
  <c r="AO160" i="4"/>
  <c r="AO161" i="4"/>
  <c r="AO162" i="4"/>
  <c r="AO163" i="4"/>
  <c r="AO164" i="4"/>
  <c r="AO165" i="4"/>
  <c r="AO166" i="4"/>
  <c r="AO167" i="4"/>
  <c r="AO168" i="4"/>
  <c r="AO169" i="4"/>
  <c r="AO170" i="4"/>
  <c r="AO171" i="4"/>
  <c r="AO172" i="4"/>
  <c r="AO173" i="4"/>
  <c r="AO174" i="4"/>
  <c r="AO175" i="4"/>
  <c r="AO176" i="4"/>
  <c r="AO177" i="4"/>
  <c r="AO178" i="4"/>
  <c r="AO179" i="4"/>
  <c r="AO180" i="4"/>
  <c r="AO181" i="4"/>
  <c r="AO182" i="4"/>
  <c r="AO183" i="4"/>
  <c r="AO184" i="4"/>
  <c r="AO185" i="4"/>
  <c r="AO186" i="4"/>
  <c r="AO187" i="4"/>
  <c r="AO188" i="4"/>
  <c r="AO189" i="4"/>
  <c r="AO190" i="4"/>
  <c r="AO191" i="4"/>
  <c r="AO192" i="4"/>
  <c r="AO193" i="4"/>
  <c r="AO194" i="4"/>
  <c r="AO195" i="4"/>
  <c r="AO196" i="4"/>
  <c r="AO197" i="4"/>
  <c r="AO198" i="4"/>
  <c r="AO199" i="4"/>
  <c r="AO200" i="4"/>
  <c r="AO201" i="4"/>
  <c r="AO202" i="4"/>
  <c r="AO203" i="4"/>
  <c r="AO204" i="4"/>
  <c r="AO205" i="4"/>
  <c r="AO206" i="4"/>
  <c r="AO207" i="4"/>
  <c r="AO208" i="4"/>
  <c r="AO209" i="4"/>
  <c r="AO210" i="4"/>
  <c r="AO211" i="4"/>
  <c r="AO212" i="4"/>
  <c r="AO213" i="4"/>
  <c r="AO214" i="4"/>
  <c r="AO215" i="4"/>
  <c r="AO216" i="4"/>
  <c r="AO217" i="4"/>
  <c r="AO218" i="4"/>
  <c r="AO219" i="4"/>
  <c r="AO220" i="4"/>
  <c r="AO221" i="4"/>
  <c r="AO222" i="4"/>
  <c r="AO223" i="4"/>
  <c r="AO224" i="4"/>
  <c r="AO225" i="4"/>
  <c r="AO226" i="4"/>
  <c r="AO227" i="4"/>
  <c r="AO228" i="4"/>
  <c r="AO229" i="4"/>
  <c r="AO230" i="4"/>
  <c r="AU4" i="4"/>
  <c r="AU5" i="4"/>
  <c r="AU6" i="4"/>
  <c r="AU7" i="4"/>
  <c r="AU8" i="4"/>
  <c r="AU9" i="4"/>
  <c r="AU10" i="4"/>
  <c r="AU11" i="4"/>
  <c r="AU12" i="4"/>
  <c r="AU13" i="4"/>
  <c r="AU14" i="4"/>
  <c r="AU15" i="4"/>
  <c r="AU16" i="4"/>
  <c r="AU17" i="4"/>
  <c r="AU18" i="4"/>
  <c r="AU19" i="4"/>
  <c r="AU20" i="4"/>
  <c r="AU21" i="4"/>
  <c r="AU22" i="4"/>
  <c r="AU23" i="4"/>
  <c r="AU24" i="4"/>
  <c r="AU25" i="4"/>
  <c r="AU26" i="4"/>
  <c r="AU27" i="4"/>
  <c r="AU28" i="4"/>
  <c r="AU29" i="4"/>
  <c r="AU30" i="4"/>
  <c r="AU31" i="4"/>
  <c r="AU32" i="4"/>
  <c r="AU33" i="4"/>
  <c r="AU34" i="4"/>
  <c r="AU35" i="4"/>
  <c r="AU36" i="4"/>
  <c r="AU37" i="4"/>
  <c r="AU38" i="4"/>
  <c r="AU39" i="4"/>
  <c r="AU40" i="4"/>
  <c r="AU41" i="4"/>
  <c r="AU42" i="4"/>
  <c r="AU43" i="4"/>
  <c r="AU44" i="4"/>
  <c r="AU45" i="4"/>
  <c r="AU46" i="4"/>
  <c r="AU47" i="4"/>
  <c r="AU48" i="4"/>
  <c r="AU49" i="4"/>
  <c r="AU50" i="4"/>
  <c r="AU51" i="4"/>
  <c r="AU52" i="4"/>
  <c r="AU53" i="4"/>
  <c r="AU54" i="4"/>
  <c r="AU55" i="4"/>
  <c r="AU56" i="4"/>
  <c r="AU57" i="4"/>
  <c r="AU58" i="4"/>
  <c r="AU59" i="4"/>
  <c r="AU60" i="4"/>
  <c r="AU61" i="4"/>
  <c r="AU62" i="4"/>
  <c r="AU63" i="4"/>
  <c r="AU64" i="4"/>
  <c r="AU65" i="4"/>
  <c r="AU66" i="4"/>
  <c r="AU67" i="4"/>
  <c r="AU68" i="4"/>
  <c r="AU69" i="4"/>
  <c r="AU70" i="4"/>
  <c r="AU71" i="4"/>
  <c r="AU72" i="4"/>
  <c r="AU73" i="4"/>
  <c r="AU74" i="4"/>
  <c r="AU75" i="4"/>
  <c r="AU76" i="4"/>
  <c r="AU77" i="4"/>
  <c r="AU78" i="4"/>
  <c r="AU79" i="4"/>
  <c r="AU80" i="4"/>
  <c r="AU81" i="4"/>
  <c r="AU82" i="4"/>
  <c r="AU83" i="4"/>
  <c r="AU84" i="4"/>
  <c r="AU85" i="4"/>
  <c r="AU86" i="4"/>
  <c r="AU87" i="4"/>
  <c r="AU88" i="4"/>
  <c r="AU89" i="4"/>
  <c r="AU90" i="4"/>
  <c r="AU91" i="4"/>
  <c r="AU92" i="4"/>
  <c r="AU93" i="4"/>
  <c r="AU94" i="4"/>
  <c r="AU95" i="4"/>
  <c r="AU96" i="4"/>
  <c r="AU97" i="4"/>
  <c r="AU98" i="4"/>
  <c r="AU99" i="4"/>
  <c r="AU100" i="4"/>
  <c r="AU101" i="4"/>
  <c r="AU102" i="4"/>
  <c r="AU103" i="4"/>
  <c r="AU104" i="4"/>
  <c r="AU105" i="4"/>
  <c r="AU106" i="4"/>
  <c r="AU107" i="4"/>
  <c r="AU108" i="4"/>
  <c r="AU109" i="4"/>
  <c r="AU110" i="4"/>
  <c r="AU111" i="4"/>
  <c r="AU112" i="4"/>
  <c r="AU113" i="4"/>
  <c r="AU114" i="4"/>
  <c r="AU115" i="4"/>
  <c r="AU116" i="4"/>
  <c r="AU117" i="4"/>
  <c r="AU118" i="4"/>
  <c r="AU119" i="4"/>
  <c r="AU120" i="4"/>
  <c r="AU121" i="4"/>
  <c r="AU122" i="4"/>
  <c r="AU123" i="4"/>
  <c r="AU124" i="4"/>
  <c r="AU125" i="4"/>
  <c r="AU126" i="4"/>
  <c r="AU127" i="4"/>
  <c r="AU128" i="4"/>
  <c r="AU129" i="4"/>
  <c r="AU130" i="4"/>
  <c r="AU131" i="4"/>
  <c r="AU132" i="4"/>
  <c r="AU133" i="4"/>
  <c r="AU134" i="4"/>
  <c r="AU135" i="4"/>
  <c r="AU136" i="4"/>
  <c r="AU137" i="4"/>
  <c r="AU138" i="4"/>
  <c r="AU139" i="4"/>
  <c r="AU140" i="4"/>
  <c r="AU141" i="4"/>
  <c r="AU142" i="4"/>
  <c r="AU143" i="4"/>
  <c r="AU144" i="4"/>
  <c r="AU145" i="4"/>
  <c r="AU146" i="4"/>
  <c r="AU147" i="4"/>
  <c r="AU148" i="4"/>
  <c r="AU149" i="4"/>
  <c r="AU150" i="4"/>
  <c r="AU151" i="4"/>
  <c r="AU152" i="4"/>
  <c r="AU153" i="4"/>
  <c r="AU154" i="4"/>
  <c r="AU155" i="4"/>
  <c r="AU156" i="4"/>
  <c r="AU157" i="4"/>
  <c r="AU158" i="4"/>
  <c r="AU159" i="4"/>
  <c r="AU160" i="4"/>
  <c r="AU161" i="4"/>
  <c r="AU162" i="4"/>
  <c r="AU163" i="4"/>
  <c r="AU164" i="4"/>
  <c r="AU165" i="4"/>
  <c r="AU166" i="4"/>
  <c r="AU167" i="4"/>
  <c r="AU168" i="4"/>
  <c r="AU169" i="4"/>
  <c r="AU170" i="4"/>
  <c r="AU171" i="4"/>
  <c r="AU172" i="4"/>
  <c r="AU173" i="4"/>
  <c r="AU174" i="4"/>
  <c r="AU175" i="4"/>
  <c r="AU176" i="4"/>
  <c r="AU177" i="4"/>
  <c r="AU178" i="4"/>
  <c r="AU179" i="4"/>
  <c r="AU180" i="4"/>
  <c r="AU181" i="4"/>
  <c r="AU182" i="4"/>
  <c r="AU183" i="4"/>
  <c r="AU184" i="4"/>
  <c r="AU185" i="4"/>
  <c r="AU186" i="4"/>
  <c r="AU187" i="4"/>
  <c r="AU188" i="4"/>
  <c r="AU189" i="4"/>
  <c r="AU190" i="4"/>
  <c r="AU191" i="4"/>
  <c r="AU192" i="4"/>
  <c r="AU193" i="4"/>
  <c r="AU194" i="4"/>
  <c r="AU195" i="4"/>
  <c r="AU196" i="4"/>
  <c r="AU197" i="4"/>
  <c r="AU198" i="4"/>
  <c r="AU199" i="4"/>
  <c r="AU200" i="4"/>
  <c r="AU201" i="4"/>
  <c r="AU202" i="4"/>
  <c r="AU203" i="4"/>
  <c r="AU204" i="4"/>
  <c r="AU205" i="4"/>
  <c r="AU206" i="4"/>
  <c r="AU207" i="4"/>
  <c r="AU208" i="4"/>
  <c r="AU209" i="4"/>
  <c r="AU210" i="4"/>
  <c r="AU211" i="4"/>
  <c r="AU212" i="4"/>
  <c r="AU213" i="4"/>
  <c r="AU214" i="4"/>
  <c r="AU215" i="4"/>
  <c r="AU216" i="4"/>
  <c r="AU217" i="4"/>
  <c r="AU218" i="4"/>
  <c r="AU219" i="4"/>
  <c r="AU220" i="4"/>
  <c r="AU221" i="4"/>
  <c r="AU222" i="4"/>
  <c r="AU223" i="4"/>
  <c r="AU224" i="4"/>
  <c r="AU225" i="4"/>
  <c r="AU226" i="4"/>
  <c r="AU227" i="4"/>
  <c r="AU228" i="4"/>
  <c r="AU229" i="4"/>
  <c r="AU230" i="4"/>
  <c r="BA4" i="4"/>
  <c r="BA5" i="4"/>
  <c r="BA6" i="4"/>
  <c r="BA7" i="4"/>
  <c r="BA8" i="4"/>
  <c r="BA9" i="4"/>
  <c r="BA10" i="4"/>
  <c r="BA11" i="4"/>
  <c r="BA12" i="4"/>
  <c r="BA13" i="4"/>
  <c r="BA14" i="4"/>
  <c r="BA15" i="4"/>
  <c r="BA16" i="4"/>
  <c r="BA17" i="4"/>
  <c r="BA18" i="4"/>
  <c r="BA19" i="4"/>
  <c r="BA20" i="4"/>
  <c r="BA21" i="4"/>
  <c r="BA22" i="4"/>
  <c r="BA23" i="4"/>
  <c r="BA24" i="4"/>
  <c r="BA25" i="4"/>
  <c r="BA26" i="4"/>
  <c r="BA27" i="4"/>
  <c r="BA28" i="4"/>
  <c r="BA29" i="4"/>
  <c r="BA30" i="4"/>
  <c r="BA31" i="4"/>
  <c r="BA32" i="4"/>
  <c r="BA33" i="4"/>
  <c r="BA34" i="4"/>
  <c r="BA35" i="4"/>
  <c r="BA36" i="4"/>
  <c r="BA37" i="4"/>
  <c r="BA38" i="4"/>
  <c r="BA39" i="4"/>
  <c r="BA40" i="4"/>
  <c r="BA41" i="4"/>
  <c r="BA42" i="4"/>
  <c r="BA43" i="4"/>
  <c r="BA44" i="4"/>
  <c r="BA45" i="4"/>
  <c r="BA46" i="4"/>
  <c r="BA47" i="4"/>
  <c r="BA48" i="4"/>
  <c r="BA49" i="4"/>
  <c r="BA50" i="4"/>
  <c r="BA51" i="4"/>
  <c r="BA52" i="4"/>
  <c r="BA53" i="4"/>
  <c r="BA54" i="4"/>
  <c r="BA55" i="4"/>
  <c r="BA56" i="4"/>
  <c r="BA57" i="4"/>
  <c r="BA58" i="4"/>
  <c r="BA59" i="4"/>
  <c r="BA60" i="4"/>
  <c r="BA61" i="4"/>
  <c r="BA62" i="4"/>
  <c r="BA63" i="4"/>
  <c r="BA64" i="4"/>
  <c r="BA65" i="4"/>
  <c r="BA66" i="4"/>
  <c r="BA67" i="4"/>
  <c r="BA68" i="4"/>
  <c r="BA69" i="4"/>
  <c r="BA70" i="4"/>
  <c r="BA71" i="4"/>
  <c r="BA72" i="4"/>
  <c r="BA73" i="4"/>
  <c r="BA74" i="4"/>
  <c r="BA75" i="4"/>
  <c r="BA76" i="4"/>
  <c r="BA77" i="4"/>
  <c r="BA78" i="4"/>
  <c r="BA79" i="4"/>
  <c r="BA80" i="4"/>
  <c r="BA81" i="4"/>
  <c r="BA82" i="4"/>
  <c r="BA83" i="4"/>
  <c r="BA84" i="4"/>
  <c r="BA85" i="4"/>
  <c r="BA86" i="4"/>
  <c r="BA87" i="4"/>
  <c r="BA88" i="4"/>
  <c r="BA89" i="4"/>
  <c r="BA90" i="4"/>
  <c r="BA91" i="4"/>
  <c r="BA92" i="4"/>
  <c r="BA93" i="4"/>
  <c r="BA94" i="4"/>
  <c r="BA95" i="4"/>
  <c r="BA96" i="4"/>
  <c r="BA97" i="4"/>
  <c r="BA98" i="4"/>
  <c r="BA99" i="4"/>
  <c r="BA100" i="4"/>
  <c r="BA101" i="4"/>
  <c r="BA102" i="4"/>
  <c r="BA103" i="4"/>
  <c r="BA104" i="4"/>
  <c r="BA105" i="4"/>
  <c r="BA106" i="4"/>
  <c r="BA107" i="4"/>
  <c r="BA108" i="4"/>
  <c r="BA109" i="4"/>
  <c r="BA110" i="4"/>
  <c r="BA111" i="4"/>
  <c r="BA112" i="4"/>
  <c r="BA113" i="4"/>
  <c r="BA114" i="4"/>
  <c r="BA115" i="4"/>
  <c r="BA116" i="4"/>
  <c r="BA117" i="4"/>
  <c r="BA118" i="4"/>
  <c r="BA119" i="4"/>
  <c r="BA120" i="4"/>
  <c r="BA121" i="4"/>
  <c r="BA122" i="4"/>
  <c r="BA123" i="4"/>
  <c r="BA124" i="4"/>
  <c r="BA125" i="4"/>
  <c r="BA126" i="4"/>
  <c r="BA127" i="4"/>
  <c r="BA128" i="4"/>
  <c r="BA129" i="4"/>
  <c r="BA130" i="4"/>
  <c r="BA131" i="4"/>
  <c r="BA132" i="4"/>
  <c r="BA133" i="4"/>
  <c r="BA134" i="4"/>
  <c r="BA135" i="4"/>
  <c r="BA136" i="4"/>
  <c r="BA137" i="4"/>
  <c r="BA138" i="4"/>
  <c r="BA139" i="4"/>
  <c r="BA140" i="4"/>
  <c r="BA141" i="4"/>
  <c r="BA142" i="4"/>
  <c r="BA143" i="4"/>
  <c r="BA144" i="4"/>
  <c r="BA145" i="4"/>
  <c r="BA146" i="4"/>
  <c r="BA147" i="4"/>
  <c r="BA148" i="4"/>
  <c r="BA149" i="4"/>
  <c r="BA150" i="4"/>
  <c r="BA151" i="4"/>
  <c r="BA152" i="4"/>
  <c r="BA153" i="4"/>
  <c r="BA154" i="4"/>
  <c r="BA155" i="4"/>
  <c r="BA156" i="4"/>
  <c r="BA157" i="4"/>
  <c r="BA158" i="4"/>
  <c r="BA159" i="4"/>
  <c r="BA160" i="4"/>
  <c r="BA161" i="4"/>
  <c r="BA162" i="4"/>
  <c r="BA163" i="4"/>
  <c r="BA164" i="4"/>
  <c r="BA165" i="4"/>
  <c r="BA166" i="4"/>
  <c r="BA167" i="4"/>
  <c r="BA168" i="4"/>
  <c r="BA169" i="4"/>
  <c r="BA170" i="4"/>
  <c r="BA171" i="4"/>
  <c r="BA172" i="4"/>
  <c r="BA173" i="4"/>
  <c r="BA174" i="4"/>
  <c r="BA175" i="4"/>
  <c r="BA176" i="4"/>
  <c r="BA177" i="4"/>
  <c r="BA178" i="4"/>
  <c r="BA179" i="4"/>
  <c r="BA180" i="4"/>
  <c r="BA181" i="4"/>
  <c r="BA182" i="4"/>
  <c r="BA183" i="4"/>
  <c r="BA184" i="4"/>
  <c r="BA185" i="4"/>
  <c r="BA186" i="4"/>
  <c r="BA187" i="4"/>
  <c r="BA188" i="4"/>
  <c r="BA189" i="4"/>
  <c r="BA190" i="4"/>
  <c r="BA191" i="4"/>
  <c r="BA192" i="4"/>
  <c r="BA193" i="4"/>
  <c r="BA194" i="4"/>
  <c r="BA195" i="4"/>
  <c r="BA196" i="4"/>
  <c r="BA197" i="4"/>
  <c r="BA198" i="4"/>
  <c r="BA199" i="4"/>
  <c r="BA200" i="4"/>
  <c r="BA201" i="4"/>
  <c r="BA202" i="4"/>
  <c r="BA203" i="4"/>
  <c r="BA204" i="4"/>
  <c r="BA205" i="4"/>
  <c r="BA206" i="4"/>
  <c r="BA207" i="4"/>
  <c r="BA208" i="4"/>
  <c r="BA209" i="4"/>
  <c r="BA210" i="4"/>
  <c r="BA211" i="4"/>
  <c r="BA212" i="4"/>
  <c r="BA213" i="4"/>
  <c r="BA214" i="4"/>
  <c r="BA215" i="4"/>
  <c r="BA216" i="4"/>
  <c r="BA217" i="4"/>
  <c r="BA218" i="4"/>
  <c r="BA219" i="4"/>
  <c r="BA220" i="4"/>
  <c r="BA221" i="4"/>
  <c r="BA222" i="4"/>
  <c r="BA223" i="4"/>
  <c r="BA224" i="4"/>
  <c r="BA225" i="4"/>
  <c r="BA226" i="4"/>
  <c r="BA227" i="4"/>
  <c r="BA228" i="4"/>
  <c r="BA229" i="4"/>
  <c r="BA230" i="4"/>
  <c r="BA3" i="4"/>
  <c r="AU3" i="4"/>
  <c r="AO3" i="4"/>
  <c r="AI3" i="4"/>
  <c r="AC3" i="4"/>
  <c r="K3" i="4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3" i="5"/>
  <c r="AC4" i="5"/>
  <c r="AC5" i="5"/>
  <c r="AC6" i="5"/>
  <c r="AC7" i="5"/>
  <c r="AC8" i="5"/>
  <c r="AC9" i="5"/>
  <c r="AC10" i="5"/>
  <c r="AC11" i="5"/>
  <c r="AC12" i="5"/>
  <c r="AC13" i="5"/>
  <c r="AC14" i="5"/>
  <c r="AC15" i="5"/>
  <c r="AC16" i="5"/>
  <c r="AC17" i="5"/>
  <c r="AC18" i="5"/>
  <c r="AC19" i="5"/>
  <c r="AC20" i="5"/>
  <c r="AC21" i="5"/>
  <c r="AC22" i="5"/>
  <c r="AC23" i="5"/>
  <c r="AC24" i="5"/>
  <c r="AC25" i="5"/>
  <c r="AC26" i="5"/>
  <c r="AC27" i="5"/>
  <c r="AC28" i="5"/>
  <c r="AC29" i="5"/>
  <c r="AC30" i="5"/>
  <c r="AC31" i="5"/>
  <c r="AC32" i="5"/>
  <c r="AC33" i="5"/>
  <c r="AC34" i="5"/>
  <c r="AC35" i="5"/>
  <c r="AC36" i="5"/>
  <c r="AC37" i="5"/>
  <c r="AC38" i="5"/>
  <c r="AC39" i="5"/>
  <c r="AC40" i="5"/>
  <c r="AC41" i="5"/>
  <c r="AC42" i="5"/>
  <c r="AC43" i="5"/>
  <c r="AC44" i="5"/>
  <c r="AC45" i="5"/>
  <c r="AC46" i="5"/>
  <c r="AC47" i="5"/>
  <c r="AC48" i="5"/>
  <c r="AC49" i="5"/>
  <c r="AC50" i="5"/>
  <c r="AC51" i="5"/>
  <c r="AC52" i="5"/>
  <c r="AC53" i="5"/>
  <c r="AC54" i="5"/>
  <c r="AC55" i="5"/>
  <c r="AC56" i="5"/>
  <c r="AC57" i="5"/>
  <c r="AC58" i="5"/>
  <c r="AC59" i="5"/>
  <c r="AC60" i="5"/>
  <c r="AC61" i="5"/>
  <c r="AC62" i="5"/>
  <c r="AC63" i="5"/>
  <c r="AC64" i="5"/>
  <c r="AC65" i="5"/>
  <c r="AC66" i="5"/>
  <c r="AC67" i="5"/>
  <c r="AC68" i="5"/>
  <c r="AC69" i="5"/>
  <c r="AC70" i="5"/>
  <c r="AC71" i="5"/>
  <c r="AC72" i="5"/>
  <c r="AC73" i="5"/>
  <c r="AC74" i="5"/>
  <c r="AC75" i="5"/>
  <c r="AC76" i="5"/>
  <c r="AC77" i="5"/>
  <c r="AC78" i="5"/>
  <c r="AC79" i="5"/>
  <c r="AC80" i="5"/>
  <c r="AC81" i="5"/>
  <c r="AC82" i="5"/>
  <c r="AC83" i="5"/>
  <c r="AC84" i="5"/>
  <c r="AC85" i="5"/>
  <c r="AC86" i="5"/>
  <c r="AC87" i="5"/>
  <c r="AC88" i="5"/>
  <c r="AC89" i="5"/>
  <c r="AC90" i="5"/>
  <c r="AC91" i="5"/>
  <c r="AC92" i="5"/>
  <c r="AC93" i="5"/>
  <c r="AC94" i="5"/>
  <c r="AC95" i="5"/>
  <c r="AC96" i="5"/>
  <c r="AC97" i="5"/>
  <c r="AC98" i="5"/>
  <c r="AC99" i="5"/>
  <c r="AC100" i="5"/>
  <c r="AC101" i="5"/>
  <c r="AC102" i="5"/>
  <c r="AC103" i="5"/>
  <c r="AC104" i="5"/>
  <c r="AC105" i="5"/>
  <c r="AC106" i="5"/>
  <c r="AC107" i="5"/>
  <c r="AC108" i="5"/>
  <c r="AC109" i="5"/>
  <c r="AC110" i="5"/>
  <c r="AC111" i="5"/>
  <c r="AC112" i="5"/>
  <c r="AC113" i="5"/>
  <c r="AC114" i="5"/>
  <c r="AC115" i="5"/>
  <c r="AC116" i="5"/>
  <c r="AC117" i="5"/>
  <c r="AC118" i="5"/>
  <c r="AC119" i="5"/>
  <c r="AC120" i="5"/>
  <c r="AC121" i="5"/>
  <c r="AC122" i="5"/>
  <c r="AC123" i="5"/>
  <c r="AC124" i="5"/>
  <c r="AC125" i="5"/>
  <c r="AC126" i="5"/>
  <c r="AC127" i="5"/>
  <c r="AC128" i="5"/>
  <c r="AC129" i="5"/>
  <c r="AC130" i="5"/>
  <c r="AC131" i="5"/>
  <c r="AC132" i="5"/>
  <c r="AC133" i="5"/>
  <c r="AC134" i="5"/>
  <c r="AC135" i="5"/>
  <c r="AC136" i="5"/>
  <c r="AC137" i="5"/>
  <c r="AC138" i="5"/>
  <c r="AC139" i="5"/>
  <c r="AC140" i="5"/>
  <c r="AC141" i="5"/>
  <c r="AC142" i="5"/>
  <c r="AC143" i="5"/>
  <c r="AC144" i="5"/>
  <c r="AC145" i="5"/>
  <c r="AC146" i="5"/>
  <c r="AC147" i="5"/>
  <c r="AC148" i="5"/>
  <c r="AC149" i="5"/>
  <c r="AC150" i="5"/>
  <c r="AC151" i="5"/>
  <c r="AC152" i="5"/>
  <c r="AC153" i="5"/>
  <c r="AC154" i="5"/>
  <c r="AC155" i="5"/>
  <c r="AC156" i="5"/>
  <c r="AC157" i="5"/>
  <c r="AC158" i="5"/>
  <c r="AC159" i="5"/>
  <c r="AC160" i="5"/>
  <c r="AC161" i="5"/>
  <c r="AC162" i="5"/>
  <c r="AC163" i="5"/>
  <c r="AC164" i="5"/>
  <c r="AC165" i="5"/>
  <c r="AC166" i="5"/>
  <c r="AC167" i="5"/>
  <c r="AC168" i="5"/>
  <c r="AC169" i="5"/>
  <c r="AC170" i="5"/>
  <c r="AC171" i="5"/>
  <c r="AC172" i="5"/>
  <c r="AC173" i="5"/>
  <c r="AC174" i="5"/>
  <c r="AC175" i="5"/>
  <c r="AC176" i="5"/>
  <c r="AC177" i="5"/>
  <c r="AC178" i="5"/>
  <c r="AC179" i="5"/>
  <c r="AC180" i="5"/>
  <c r="AC181" i="5"/>
  <c r="AC182" i="5"/>
  <c r="AC183" i="5"/>
  <c r="AC184" i="5"/>
  <c r="AC185" i="5"/>
  <c r="AC186" i="5"/>
  <c r="AC187" i="5"/>
  <c r="AC188" i="5"/>
  <c r="AC189" i="5"/>
  <c r="AC190" i="5"/>
  <c r="AC191" i="5"/>
  <c r="AC192" i="5"/>
  <c r="AC193" i="5"/>
  <c r="AC194" i="5"/>
  <c r="AC195" i="5"/>
  <c r="AC196" i="5"/>
  <c r="AC197" i="5"/>
  <c r="AC198" i="5"/>
  <c r="AC199" i="5"/>
  <c r="AC200" i="5"/>
  <c r="AC201" i="5"/>
  <c r="AC202" i="5"/>
  <c r="AC203" i="5"/>
  <c r="AC204" i="5"/>
  <c r="AC205" i="5"/>
  <c r="AC206" i="5"/>
  <c r="AC207" i="5"/>
  <c r="AC208" i="5"/>
  <c r="AC209" i="5"/>
  <c r="AC210" i="5"/>
  <c r="AC211" i="5"/>
  <c r="AC212" i="5"/>
  <c r="AC213" i="5"/>
  <c r="AC214" i="5"/>
  <c r="AC215" i="5"/>
  <c r="AC216" i="5"/>
  <c r="AC217" i="5"/>
  <c r="AC218" i="5"/>
  <c r="AC219" i="5"/>
  <c r="AC220" i="5"/>
  <c r="AC221" i="5"/>
  <c r="AC222" i="5"/>
  <c r="AC223" i="5"/>
  <c r="AC224" i="5"/>
  <c r="AC225" i="5"/>
  <c r="AC226" i="5"/>
  <c r="AC227" i="5"/>
  <c r="AC228" i="5"/>
  <c r="AC229" i="5"/>
  <c r="AC230" i="5"/>
  <c r="AC3" i="5"/>
  <c r="AU4" i="5"/>
  <c r="AU5" i="5"/>
  <c r="AU6" i="5"/>
  <c r="AU7" i="5"/>
  <c r="AU8" i="5"/>
  <c r="AU9" i="5"/>
  <c r="AU10" i="5"/>
  <c r="AU11" i="5"/>
  <c r="AU12" i="5"/>
  <c r="AU13" i="5"/>
  <c r="AU14" i="5"/>
  <c r="AU15" i="5"/>
  <c r="AU16" i="5"/>
  <c r="AU17" i="5"/>
  <c r="AU18" i="5"/>
  <c r="AU19" i="5"/>
  <c r="AU20" i="5"/>
  <c r="AU21" i="5"/>
  <c r="AU22" i="5"/>
  <c r="AU23" i="5"/>
  <c r="AU24" i="5"/>
  <c r="AU25" i="5"/>
  <c r="AU26" i="5"/>
  <c r="AU27" i="5"/>
  <c r="AU28" i="5"/>
  <c r="AU29" i="5"/>
  <c r="AU30" i="5"/>
  <c r="AU31" i="5"/>
  <c r="AU32" i="5"/>
  <c r="AU33" i="5"/>
  <c r="AU34" i="5"/>
  <c r="AU35" i="5"/>
  <c r="AU36" i="5"/>
  <c r="AU37" i="5"/>
  <c r="AU38" i="5"/>
  <c r="AU39" i="5"/>
  <c r="AU40" i="5"/>
  <c r="AU41" i="5"/>
  <c r="AU42" i="5"/>
  <c r="AU43" i="5"/>
  <c r="AU44" i="5"/>
  <c r="AU45" i="5"/>
  <c r="AU46" i="5"/>
  <c r="AU47" i="5"/>
  <c r="AU48" i="5"/>
  <c r="AU49" i="5"/>
  <c r="AU50" i="5"/>
  <c r="AU51" i="5"/>
  <c r="AU52" i="5"/>
  <c r="AU53" i="5"/>
  <c r="AU54" i="5"/>
  <c r="AU55" i="5"/>
  <c r="AU56" i="5"/>
  <c r="AU57" i="5"/>
  <c r="AU58" i="5"/>
  <c r="AU59" i="5"/>
  <c r="AU60" i="5"/>
  <c r="AU61" i="5"/>
  <c r="AU62" i="5"/>
  <c r="AU63" i="5"/>
  <c r="AU64" i="5"/>
  <c r="AU65" i="5"/>
  <c r="AU66" i="5"/>
  <c r="AU67" i="5"/>
  <c r="AU68" i="5"/>
  <c r="AU69" i="5"/>
  <c r="AU70" i="5"/>
  <c r="AU71" i="5"/>
  <c r="AU72" i="5"/>
  <c r="AU73" i="5"/>
  <c r="AU74" i="5"/>
  <c r="AU75" i="5"/>
  <c r="AU76" i="5"/>
  <c r="AU77" i="5"/>
  <c r="AU78" i="5"/>
  <c r="AU79" i="5"/>
  <c r="AU80" i="5"/>
  <c r="AU81" i="5"/>
  <c r="AU82" i="5"/>
  <c r="AU83" i="5"/>
  <c r="AU84" i="5"/>
  <c r="AU85" i="5"/>
  <c r="AU86" i="5"/>
  <c r="AU87" i="5"/>
  <c r="AU88" i="5"/>
  <c r="AU89" i="5"/>
  <c r="AU90" i="5"/>
  <c r="AU91" i="5"/>
  <c r="AU92" i="5"/>
  <c r="AU93" i="5"/>
  <c r="AU94" i="5"/>
  <c r="AU95" i="5"/>
  <c r="AU96" i="5"/>
  <c r="AU97" i="5"/>
  <c r="AU98" i="5"/>
  <c r="AU99" i="5"/>
  <c r="AU100" i="5"/>
  <c r="AU101" i="5"/>
  <c r="AU102" i="5"/>
  <c r="AU103" i="5"/>
  <c r="AU104" i="5"/>
  <c r="AU105" i="5"/>
  <c r="AU106" i="5"/>
  <c r="AU107" i="5"/>
  <c r="AU108" i="5"/>
  <c r="AU109" i="5"/>
  <c r="AU110" i="5"/>
  <c r="AU111" i="5"/>
  <c r="AU112" i="5"/>
  <c r="AU113" i="5"/>
  <c r="AU114" i="5"/>
  <c r="AU115" i="5"/>
  <c r="AU116" i="5"/>
  <c r="AU117" i="5"/>
  <c r="AU118" i="5"/>
  <c r="AU119" i="5"/>
  <c r="AU120" i="5"/>
  <c r="AU121" i="5"/>
  <c r="AU122" i="5"/>
  <c r="AU123" i="5"/>
  <c r="AU124" i="5"/>
  <c r="AU125" i="5"/>
  <c r="AU126" i="5"/>
  <c r="AU127" i="5"/>
  <c r="AU128" i="5"/>
  <c r="AU129" i="5"/>
  <c r="AU130" i="5"/>
  <c r="AU131" i="5"/>
  <c r="AU132" i="5"/>
  <c r="AU133" i="5"/>
  <c r="AU134" i="5"/>
  <c r="AU135" i="5"/>
  <c r="AU136" i="5"/>
  <c r="AU137" i="5"/>
  <c r="AU138" i="5"/>
  <c r="AU139" i="5"/>
  <c r="AU140" i="5"/>
  <c r="AU141" i="5"/>
  <c r="AU142" i="5"/>
  <c r="AU143" i="5"/>
  <c r="AU144" i="5"/>
  <c r="AU145" i="5"/>
  <c r="AU146" i="5"/>
  <c r="AU147" i="5"/>
  <c r="AU148" i="5"/>
  <c r="AU149" i="5"/>
  <c r="AU150" i="5"/>
  <c r="AU151" i="5"/>
  <c r="AU152" i="5"/>
  <c r="AU153" i="5"/>
  <c r="AU154" i="5"/>
  <c r="AU155" i="5"/>
  <c r="AU156" i="5"/>
  <c r="AU157" i="5"/>
  <c r="AU158" i="5"/>
  <c r="AU159" i="5"/>
  <c r="AU160" i="5"/>
  <c r="AU161" i="5"/>
  <c r="AU162" i="5"/>
  <c r="AU163" i="5"/>
  <c r="AU164" i="5"/>
  <c r="AU165" i="5"/>
  <c r="AU166" i="5"/>
  <c r="AU167" i="5"/>
  <c r="AU168" i="5"/>
  <c r="AU169" i="5"/>
  <c r="AU170" i="5"/>
  <c r="AU171" i="5"/>
  <c r="AU172" i="5"/>
  <c r="AU173" i="5"/>
  <c r="AU174" i="5"/>
  <c r="AU175" i="5"/>
  <c r="AU176" i="5"/>
  <c r="AU177" i="5"/>
  <c r="AU178" i="5"/>
  <c r="AU179" i="5"/>
  <c r="AU180" i="5"/>
  <c r="AU181" i="5"/>
  <c r="AU182" i="5"/>
  <c r="AU183" i="5"/>
  <c r="AU184" i="5"/>
  <c r="AU185" i="5"/>
  <c r="AU186" i="5"/>
  <c r="AU187" i="5"/>
  <c r="AU188" i="5"/>
  <c r="AU189" i="5"/>
  <c r="AU190" i="5"/>
  <c r="AU191" i="5"/>
  <c r="AU192" i="5"/>
  <c r="AU193" i="5"/>
  <c r="AU194" i="5"/>
  <c r="AU195" i="5"/>
  <c r="AU196" i="5"/>
  <c r="AU197" i="5"/>
  <c r="AU198" i="5"/>
  <c r="AU199" i="5"/>
  <c r="AU200" i="5"/>
  <c r="AU201" i="5"/>
  <c r="AU202" i="5"/>
  <c r="AU203" i="5"/>
  <c r="AU204" i="5"/>
  <c r="AU205" i="5"/>
  <c r="AU206" i="5"/>
  <c r="AU207" i="5"/>
  <c r="AU208" i="5"/>
  <c r="AU209" i="5"/>
  <c r="AU210" i="5"/>
  <c r="AU211" i="5"/>
  <c r="AU212" i="5"/>
  <c r="AU213" i="5"/>
  <c r="AU214" i="5"/>
  <c r="AU215" i="5"/>
  <c r="AU216" i="5"/>
  <c r="AU217" i="5"/>
  <c r="AU218" i="5"/>
  <c r="AU219" i="5"/>
  <c r="AU220" i="5"/>
  <c r="AU221" i="5"/>
  <c r="AU222" i="5"/>
  <c r="AU223" i="5"/>
  <c r="AU224" i="5"/>
  <c r="AU225" i="5"/>
  <c r="AU226" i="5"/>
  <c r="AU227" i="5"/>
  <c r="AU228" i="5"/>
  <c r="AU229" i="5"/>
  <c r="AU230" i="5"/>
  <c r="AU3" i="5"/>
  <c r="AU4" i="14"/>
  <c r="AU5" i="14"/>
  <c r="AU6" i="14"/>
  <c r="AU7" i="14"/>
  <c r="AU8" i="14"/>
  <c r="AU9" i="14"/>
  <c r="AU10" i="14"/>
  <c r="AU11" i="14"/>
  <c r="AU12" i="14"/>
  <c r="AU13" i="14"/>
  <c r="AU14" i="14"/>
  <c r="AU15" i="14"/>
  <c r="AU16" i="14"/>
  <c r="AU17" i="14"/>
  <c r="AU18" i="14"/>
  <c r="AU19" i="14"/>
  <c r="AU20" i="14"/>
  <c r="AU21" i="14"/>
  <c r="AU22" i="14"/>
  <c r="AU23" i="14"/>
  <c r="AU24" i="14"/>
  <c r="AU25" i="14"/>
  <c r="AU26" i="14"/>
  <c r="AU27" i="14"/>
  <c r="AU28" i="14"/>
  <c r="AU29" i="14"/>
  <c r="AU30" i="14"/>
  <c r="AU31" i="14"/>
  <c r="AU32" i="14"/>
  <c r="AU33" i="14"/>
  <c r="AU34" i="14"/>
  <c r="AU35" i="14"/>
  <c r="AU36" i="14"/>
  <c r="AU37" i="14"/>
  <c r="AU38" i="14"/>
  <c r="AU39" i="14"/>
  <c r="AU40" i="14"/>
  <c r="AU41" i="14"/>
  <c r="AU42" i="14"/>
  <c r="AU43" i="14"/>
  <c r="AU44" i="14"/>
  <c r="AU45" i="14"/>
  <c r="AU46" i="14"/>
  <c r="AU47" i="14"/>
  <c r="AU48" i="14"/>
  <c r="AU49" i="14"/>
  <c r="AU50" i="14"/>
  <c r="AU51" i="14"/>
  <c r="AU52" i="14"/>
  <c r="AU53" i="14"/>
  <c r="AU54" i="14"/>
  <c r="AU55" i="14"/>
  <c r="AU56" i="14"/>
  <c r="AU57" i="14"/>
  <c r="AU58" i="14"/>
  <c r="AU59" i="14"/>
  <c r="AU60" i="14"/>
  <c r="AU61" i="14"/>
  <c r="AU62" i="14"/>
  <c r="AU63" i="14"/>
  <c r="AU64" i="14"/>
  <c r="AU65" i="14"/>
  <c r="AU66" i="14"/>
  <c r="AU67" i="14"/>
  <c r="AU68" i="14"/>
  <c r="AU69" i="14"/>
  <c r="AU70" i="14"/>
  <c r="AU71" i="14"/>
  <c r="AU72" i="14"/>
  <c r="AU73" i="14"/>
  <c r="AU74" i="14"/>
  <c r="AU75" i="14"/>
  <c r="AU76" i="14"/>
  <c r="AU77" i="14"/>
  <c r="AU78" i="14"/>
  <c r="AU79" i="14"/>
  <c r="AU80" i="14"/>
  <c r="AU81" i="14"/>
  <c r="AU82" i="14"/>
  <c r="AU83" i="14"/>
  <c r="AU84" i="14"/>
  <c r="AU85" i="14"/>
  <c r="AU86" i="14"/>
  <c r="AU87" i="14"/>
  <c r="AU88" i="14"/>
  <c r="AU89" i="14"/>
  <c r="AU90" i="14"/>
  <c r="AU91" i="14"/>
  <c r="AU92" i="14"/>
  <c r="AU93" i="14"/>
  <c r="AU94" i="14"/>
  <c r="AU95" i="14"/>
  <c r="AU96" i="14"/>
  <c r="AU97" i="14"/>
  <c r="AU98" i="14"/>
  <c r="AU99" i="14"/>
  <c r="AU100" i="14"/>
  <c r="AU101" i="14"/>
  <c r="AU102" i="14"/>
  <c r="AU103" i="14"/>
  <c r="AU104" i="14"/>
  <c r="AU105" i="14"/>
  <c r="AU106" i="14"/>
  <c r="AU107" i="14"/>
  <c r="AU108" i="14"/>
  <c r="AU109" i="14"/>
  <c r="AU110" i="14"/>
  <c r="AU111" i="14"/>
  <c r="AU112" i="14"/>
  <c r="AU113" i="14"/>
  <c r="AU114" i="14"/>
  <c r="AU115" i="14"/>
  <c r="AU116" i="14"/>
  <c r="AU117" i="14"/>
  <c r="AU118" i="14"/>
  <c r="AU119" i="14"/>
  <c r="AU120" i="14"/>
  <c r="AU121" i="14"/>
  <c r="AU122" i="14"/>
  <c r="AU123" i="14"/>
  <c r="AU124" i="14"/>
  <c r="AU125" i="14"/>
  <c r="AU126" i="14"/>
  <c r="AU127" i="14"/>
  <c r="AU128" i="14"/>
  <c r="AU129" i="14"/>
  <c r="AU130" i="14"/>
  <c r="AU131" i="14"/>
  <c r="AU132" i="14"/>
  <c r="AU133" i="14"/>
  <c r="AU134" i="14"/>
  <c r="AU135" i="14"/>
  <c r="AU136" i="14"/>
  <c r="AU137" i="14"/>
  <c r="AU138" i="14"/>
  <c r="AU139" i="14"/>
  <c r="AU140" i="14"/>
  <c r="AU141" i="14"/>
  <c r="AU142" i="14"/>
  <c r="AU143" i="14"/>
  <c r="AU144" i="14"/>
  <c r="AU145" i="14"/>
  <c r="AU146" i="14"/>
  <c r="AU147" i="14"/>
  <c r="AU148" i="14"/>
  <c r="AU149" i="14"/>
  <c r="AU150" i="14"/>
  <c r="AU151" i="14"/>
  <c r="AU152" i="14"/>
  <c r="AU153" i="14"/>
  <c r="AU154" i="14"/>
  <c r="AU155" i="14"/>
  <c r="AU156" i="14"/>
  <c r="AU157" i="14"/>
  <c r="AU158" i="14"/>
  <c r="AU159" i="14"/>
  <c r="AU160" i="14"/>
  <c r="AU161" i="14"/>
  <c r="AU162" i="14"/>
  <c r="AU163" i="14"/>
  <c r="AU164" i="14"/>
  <c r="AU165" i="14"/>
  <c r="AU166" i="14"/>
  <c r="AU167" i="14"/>
  <c r="AU168" i="14"/>
  <c r="AU169" i="14"/>
  <c r="AU170" i="14"/>
  <c r="AU171" i="14"/>
  <c r="AU172" i="14"/>
  <c r="AU173" i="14"/>
  <c r="AU174" i="14"/>
  <c r="AU175" i="14"/>
  <c r="AU176" i="14"/>
  <c r="AU177" i="14"/>
  <c r="AU178" i="14"/>
  <c r="AU179" i="14"/>
  <c r="AU180" i="14"/>
  <c r="AU181" i="14"/>
  <c r="AU182" i="14"/>
  <c r="AU183" i="14"/>
  <c r="AU184" i="14"/>
  <c r="AU185" i="14"/>
  <c r="AU186" i="14"/>
  <c r="AU187" i="14"/>
  <c r="AU188" i="14"/>
  <c r="AU189" i="14"/>
  <c r="AU190" i="14"/>
  <c r="AU191" i="14"/>
  <c r="AU192" i="14"/>
  <c r="AU193" i="14"/>
  <c r="AU194" i="14"/>
  <c r="AU195" i="14"/>
  <c r="AU196" i="14"/>
  <c r="AU197" i="14"/>
  <c r="AU198" i="14"/>
  <c r="AU199" i="14"/>
  <c r="AU200" i="14"/>
  <c r="AU201" i="14"/>
  <c r="AU202" i="14"/>
  <c r="AU203" i="14"/>
  <c r="AU204" i="14"/>
  <c r="AU205" i="14"/>
  <c r="AU206" i="14"/>
  <c r="AU207" i="14"/>
  <c r="AU208" i="14"/>
  <c r="AU209" i="14"/>
  <c r="AU210" i="14"/>
  <c r="AU211" i="14"/>
  <c r="AU212" i="14"/>
  <c r="AU213" i="14"/>
  <c r="AU214" i="14"/>
  <c r="AU215" i="14"/>
  <c r="AU216" i="14"/>
  <c r="AU217" i="14"/>
  <c r="AU218" i="14"/>
  <c r="AU219" i="14"/>
  <c r="AU220" i="14"/>
  <c r="AU221" i="14"/>
  <c r="AU222" i="14"/>
  <c r="AU223" i="14"/>
  <c r="AU224" i="14"/>
  <c r="AU225" i="14"/>
  <c r="AU226" i="14"/>
  <c r="AU227" i="14"/>
  <c r="AU228" i="14"/>
  <c r="AU229" i="14"/>
  <c r="AU230" i="14"/>
  <c r="AU3" i="14"/>
  <c r="W4" i="14"/>
  <c r="W5" i="14"/>
  <c r="W6" i="14"/>
  <c r="W7" i="14"/>
  <c r="W8" i="14"/>
  <c r="W9" i="14"/>
  <c r="W10" i="14"/>
  <c r="W11" i="14"/>
  <c r="W12" i="14"/>
  <c r="W13" i="14"/>
  <c r="W14" i="14"/>
  <c r="W15" i="14"/>
  <c r="W16" i="14"/>
  <c r="W17" i="14"/>
  <c r="W18" i="14"/>
  <c r="W19" i="14"/>
  <c r="W20" i="14"/>
  <c r="W21" i="14"/>
  <c r="W22" i="14"/>
  <c r="W23" i="14"/>
  <c r="W24" i="14"/>
  <c r="W25" i="14"/>
  <c r="W26" i="14"/>
  <c r="W27" i="14"/>
  <c r="W28" i="14"/>
  <c r="W29" i="14"/>
  <c r="W30" i="14"/>
  <c r="W31" i="14"/>
  <c r="W32" i="14"/>
  <c r="W33" i="14"/>
  <c r="W34" i="14"/>
  <c r="W35" i="14"/>
  <c r="W36" i="14"/>
  <c r="W37" i="14"/>
  <c r="W38" i="14"/>
  <c r="W39" i="14"/>
  <c r="W40" i="14"/>
  <c r="W41" i="14"/>
  <c r="W42" i="14"/>
  <c r="W43" i="14"/>
  <c r="W44" i="14"/>
  <c r="W45" i="14"/>
  <c r="W46" i="14"/>
  <c r="W47" i="14"/>
  <c r="W48" i="14"/>
  <c r="W49" i="14"/>
  <c r="W50" i="14"/>
  <c r="W51" i="14"/>
  <c r="W52" i="14"/>
  <c r="W53" i="14"/>
  <c r="W54" i="14"/>
  <c r="W55" i="14"/>
  <c r="W56" i="14"/>
  <c r="W57" i="14"/>
  <c r="W58" i="14"/>
  <c r="W59" i="14"/>
  <c r="W60" i="14"/>
  <c r="W61" i="14"/>
  <c r="W62" i="14"/>
  <c r="W63" i="14"/>
  <c r="W64" i="14"/>
  <c r="W65" i="14"/>
  <c r="W66" i="14"/>
  <c r="W67" i="14"/>
  <c r="W68" i="14"/>
  <c r="W69" i="14"/>
  <c r="W70" i="14"/>
  <c r="W71" i="14"/>
  <c r="W72" i="14"/>
  <c r="W73" i="14"/>
  <c r="W74" i="14"/>
  <c r="W75" i="14"/>
  <c r="W76" i="14"/>
  <c r="W77" i="14"/>
  <c r="W78" i="14"/>
  <c r="W79" i="14"/>
  <c r="W80" i="14"/>
  <c r="W81" i="14"/>
  <c r="W82" i="14"/>
  <c r="W83" i="14"/>
  <c r="W84" i="14"/>
  <c r="W85" i="14"/>
  <c r="W86" i="14"/>
  <c r="W87" i="14"/>
  <c r="W88" i="14"/>
  <c r="W89" i="14"/>
  <c r="W90" i="14"/>
  <c r="W91" i="14"/>
  <c r="W92" i="14"/>
  <c r="W93" i="14"/>
  <c r="W94" i="14"/>
  <c r="W95" i="14"/>
  <c r="W96" i="14"/>
  <c r="W97" i="14"/>
  <c r="W98" i="14"/>
  <c r="W99" i="14"/>
  <c r="W100" i="14"/>
  <c r="W101" i="14"/>
  <c r="W102" i="14"/>
  <c r="W103" i="14"/>
  <c r="W104" i="14"/>
  <c r="W105" i="14"/>
  <c r="W106" i="14"/>
  <c r="W107" i="14"/>
  <c r="W108" i="14"/>
  <c r="W109" i="14"/>
  <c r="W110" i="14"/>
  <c r="W111" i="14"/>
  <c r="W112" i="14"/>
  <c r="W113" i="14"/>
  <c r="W114" i="14"/>
  <c r="W115" i="14"/>
  <c r="W116" i="14"/>
  <c r="W117" i="14"/>
  <c r="W118" i="14"/>
  <c r="W119" i="14"/>
  <c r="W120" i="14"/>
  <c r="W121" i="14"/>
  <c r="W122" i="14"/>
  <c r="W123" i="14"/>
  <c r="W124" i="14"/>
  <c r="W125" i="14"/>
  <c r="W126" i="14"/>
  <c r="W127" i="14"/>
  <c r="W128" i="14"/>
  <c r="W129" i="14"/>
  <c r="W130" i="14"/>
  <c r="W131" i="14"/>
  <c r="W132" i="14"/>
  <c r="W133" i="14"/>
  <c r="W134" i="14"/>
  <c r="W135" i="14"/>
  <c r="W136" i="14"/>
  <c r="W137" i="14"/>
  <c r="W138" i="14"/>
  <c r="W139" i="14"/>
  <c r="W140" i="14"/>
  <c r="W141" i="14"/>
  <c r="W142" i="14"/>
  <c r="W143" i="14"/>
  <c r="W144" i="14"/>
  <c r="W145" i="14"/>
  <c r="W146" i="14"/>
  <c r="W147" i="14"/>
  <c r="W148" i="14"/>
  <c r="W149" i="14"/>
  <c r="W150" i="14"/>
  <c r="W151" i="14"/>
  <c r="W152" i="14"/>
  <c r="W153" i="14"/>
  <c r="W154" i="14"/>
  <c r="W155" i="14"/>
  <c r="W156" i="14"/>
  <c r="W157" i="14"/>
  <c r="W158" i="14"/>
  <c r="W159" i="14"/>
  <c r="W160" i="14"/>
  <c r="W161" i="14"/>
  <c r="W162" i="14"/>
  <c r="W163" i="14"/>
  <c r="W164" i="14"/>
  <c r="W165" i="14"/>
  <c r="W166" i="14"/>
  <c r="W167" i="14"/>
  <c r="W168" i="14"/>
  <c r="W169" i="14"/>
  <c r="W170" i="14"/>
  <c r="W171" i="14"/>
  <c r="W172" i="14"/>
  <c r="W173" i="14"/>
  <c r="W174" i="14"/>
  <c r="W175" i="14"/>
  <c r="W176" i="14"/>
  <c r="W177" i="14"/>
  <c r="W178" i="14"/>
  <c r="W179" i="14"/>
  <c r="W180" i="14"/>
  <c r="W181" i="14"/>
  <c r="W182" i="14"/>
  <c r="W183" i="14"/>
  <c r="W184" i="14"/>
  <c r="W185" i="14"/>
  <c r="W186" i="14"/>
  <c r="W187" i="14"/>
  <c r="W188" i="14"/>
  <c r="W189" i="14"/>
  <c r="W190" i="14"/>
  <c r="W191" i="14"/>
  <c r="W192" i="14"/>
  <c r="W193" i="14"/>
  <c r="W194" i="14"/>
  <c r="W195" i="14"/>
  <c r="W196" i="14"/>
  <c r="W197" i="14"/>
  <c r="W198" i="14"/>
  <c r="W199" i="14"/>
  <c r="W200" i="14"/>
  <c r="W201" i="14"/>
  <c r="W202" i="14"/>
  <c r="W203" i="14"/>
  <c r="W204" i="14"/>
  <c r="W205" i="14"/>
  <c r="W206" i="14"/>
  <c r="W207" i="14"/>
  <c r="W208" i="14"/>
  <c r="W209" i="14"/>
  <c r="W210" i="14"/>
  <c r="W211" i="14"/>
  <c r="W212" i="14"/>
  <c r="W213" i="14"/>
  <c r="W214" i="14"/>
  <c r="W215" i="14"/>
  <c r="W216" i="14"/>
  <c r="W217" i="14"/>
  <c r="W218" i="14"/>
  <c r="W219" i="14"/>
  <c r="W220" i="14"/>
  <c r="W221" i="14"/>
  <c r="W222" i="14"/>
  <c r="W223" i="14"/>
  <c r="W224" i="14"/>
  <c r="W225" i="14"/>
  <c r="W226" i="14"/>
  <c r="W227" i="14"/>
  <c r="W228" i="14"/>
  <c r="W229" i="14"/>
  <c r="W230" i="14"/>
  <c r="W3" i="14"/>
  <c r="K3" i="16" l="1"/>
  <c r="AO3" i="6"/>
  <c r="Q3" i="6"/>
  <c r="X3" i="15"/>
  <c r="X4" i="15"/>
  <c r="X5" i="15"/>
  <c r="X6" i="15"/>
  <c r="X7" i="15"/>
  <c r="X8" i="15"/>
  <c r="X9" i="15"/>
  <c r="X10" i="15"/>
  <c r="X11" i="15"/>
  <c r="X12" i="15"/>
  <c r="X13" i="15"/>
  <c r="X14" i="15"/>
  <c r="X15" i="15"/>
  <c r="X16" i="15"/>
  <c r="X17" i="15"/>
  <c r="X18" i="15"/>
  <c r="X19" i="15"/>
  <c r="X20" i="15"/>
  <c r="X21" i="15"/>
  <c r="X22" i="15"/>
  <c r="X23" i="15"/>
  <c r="X24" i="15"/>
  <c r="X25" i="15"/>
  <c r="X26" i="15"/>
  <c r="X27" i="15"/>
  <c r="X28" i="15"/>
  <c r="X29" i="15"/>
  <c r="X30" i="15"/>
  <c r="X31" i="15"/>
  <c r="X32" i="15"/>
  <c r="X33" i="15"/>
  <c r="X34" i="15"/>
  <c r="X35" i="15"/>
  <c r="X36" i="15"/>
  <c r="X37" i="15"/>
  <c r="X38" i="15"/>
  <c r="X39" i="15"/>
  <c r="X40" i="15"/>
  <c r="X41" i="15"/>
  <c r="X42" i="15"/>
  <c r="X43" i="15"/>
  <c r="X44" i="15"/>
  <c r="X45" i="15"/>
  <c r="X46" i="15"/>
  <c r="X47" i="15"/>
  <c r="X48" i="15"/>
  <c r="X49" i="15"/>
  <c r="X50" i="15"/>
  <c r="X51" i="15"/>
  <c r="X52" i="15"/>
  <c r="X53" i="15"/>
  <c r="X54" i="15"/>
  <c r="X55" i="15"/>
  <c r="X56" i="15"/>
  <c r="X57" i="15"/>
  <c r="X58" i="15"/>
  <c r="X59" i="15"/>
  <c r="X60" i="15"/>
  <c r="X61" i="15"/>
  <c r="X62" i="15"/>
  <c r="X63" i="15"/>
  <c r="X64" i="15"/>
  <c r="X65" i="15"/>
  <c r="X66" i="15"/>
  <c r="X67" i="15"/>
  <c r="X68" i="15"/>
  <c r="X69" i="15"/>
  <c r="X70" i="15"/>
  <c r="X71" i="15"/>
  <c r="X72" i="15"/>
  <c r="X73" i="15"/>
  <c r="X74" i="15"/>
  <c r="X75" i="15"/>
  <c r="X76" i="15"/>
  <c r="X77" i="15"/>
  <c r="X78" i="15"/>
  <c r="X79" i="15"/>
  <c r="X80" i="15"/>
  <c r="X81" i="15"/>
  <c r="X82" i="15"/>
  <c r="X83" i="15"/>
  <c r="X84" i="15"/>
  <c r="X85" i="15"/>
  <c r="X86" i="15"/>
  <c r="X87" i="15"/>
  <c r="X88" i="15"/>
  <c r="X89" i="15"/>
  <c r="X90" i="15"/>
  <c r="X91" i="15"/>
  <c r="X92" i="15"/>
  <c r="X93" i="15"/>
  <c r="X94" i="15"/>
  <c r="X95" i="15"/>
  <c r="X96" i="15"/>
  <c r="X97" i="15"/>
  <c r="X98" i="15"/>
  <c r="X99" i="15"/>
  <c r="X100" i="15"/>
  <c r="X101" i="15"/>
  <c r="X102" i="15"/>
  <c r="X103" i="15"/>
  <c r="X104" i="15"/>
  <c r="X105" i="15"/>
  <c r="X106" i="15"/>
  <c r="X107" i="15"/>
  <c r="X108" i="15"/>
  <c r="X109" i="15"/>
  <c r="X110" i="15"/>
  <c r="X111" i="15"/>
  <c r="X112" i="15"/>
  <c r="X113" i="15"/>
  <c r="X114" i="15"/>
  <c r="X115" i="15"/>
  <c r="X116" i="15"/>
  <c r="X117" i="15"/>
  <c r="X118" i="15"/>
  <c r="X119" i="15"/>
  <c r="X120" i="15"/>
  <c r="X121" i="15"/>
  <c r="X122" i="15"/>
  <c r="X123" i="15"/>
  <c r="X124" i="15"/>
  <c r="X125" i="15"/>
  <c r="X126" i="15"/>
  <c r="X127" i="15"/>
  <c r="X128" i="15"/>
  <c r="X129" i="15"/>
  <c r="X130" i="15"/>
  <c r="X131" i="15"/>
  <c r="X132" i="15"/>
  <c r="X133" i="15"/>
  <c r="X134" i="15"/>
  <c r="X135" i="15"/>
  <c r="X136" i="15"/>
  <c r="X137" i="15"/>
  <c r="X138" i="15"/>
  <c r="X139" i="15"/>
  <c r="X140" i="15"/>
  <c r="X141" i="15"/>
  <c r="X142" i="15"/>
  <c r="X143" i="15"/>
  <c r="X144" i="15"/>
  <c r="X145" i="15"/>
  <c r="X146" i="15"/>
  <c r="X147" i="15"/>
  <c r="X148" i="15"/>
  <c r="X149" i="15"/>
  <c r="X150" i="15"/>
  <c r="X151" i="15"/>
  <c r="X152" i="15"/>
  <c r="X153" i="15"/>
  <c r="X154" i="15"/>
  <c r="X155" i="15"/>
  <c r="X156" i="15"/>
  <c r="X157" i="15"/>
  <c r="X158" i="15"/>
  <c r="X159" i="15"/>
  <c r="X160" i="15"/>
  <c r="X161" i="15"/>
  <c r="X162" i="15"/>
  <c r="X163" i="15"/>
  <c r="X164" i="15"/>
  <c r="X165" i="15"/>
  <c r="X166" i="15"/>
  <c r="X167" i="15"/>
  <c r="X168" i="15"/>
  <c r="X169" i="15"/>
  <c r="X170" i="15"/>
  <c r="X171" i="15"/>
  <c r="X172" i="15"/>
  <c r="X173" i="15"/>
  <c r="X174" i="15"/>
  <c r="X175" i="15"/>
  <c r="X176" i="15"/>
  <c r="X177" i="15"/>
  <c r="X178" i="15"/>
  <c r="X179" i="15"/>
  <c r="X180" i="15"/>
  <c r="X181" i="15"/>
  <c r="X182" i="15"/>
  <c r="X183" i="15"/>
  <c r="X184" i="15"/>
  <c r="X185" i="15"/>
  <c r="X186" i="15"/>
  <c r="X187" i="15"/>
  <c r="X188" i="15"/>
  <c r="X189" i="15"/>
  <c r="X190" i="15"/>
  <c r="X191" i="15"/>
  <c r="X192" i="15"/>
  <c r="X193" i="15"/>
  <c r="X194" i="15"/>
  <c r="X195" i="15"/>
  <c r="X196" i="15"/>
  <c r="X197" i="15"/>
  <c r="X198" i="15"/>
  <c r="X199" i="15"/>
  <c r="X200" i="15"/>
  <c r="X201" i="15"/>
  <c r="X202" i="15"/>
  <c r="X203" i="15"/>
  <c r="X204" i="15"/>
  <c r="X205" i="15"/>
  <c r="X206" i="15"/>
  <c r="X207" i="15"/>
  <c r="X208" i="15"/>
  <c r="X209" i="15"/>
  <c r="X210" i="15"/>
  <c r="X211" i="15"/>
  <c r="X212" i="15"/>
  <c r="X213" i="15"/>
  <c r="X214" i="15"/>
  <c r="X215" i="15"/>
  <c r="X216" i="15"/>
  <c r="X217" i="15"/>
  <c r="X218" i="15"/>
  <c r="X219" i="15"/>
  <c r="X220" i="15"/>
  <c r="X221" i="15"/>
  <c r="X222" i="15"/>
  <c r="X223" i="15"/>
  <c r="X224" i="15"/>
  <c r="X225" i="15"/>
  <c r="X226" i="15"/>
  <c r="X227" i="15"/>
  <c r="X228" i="15"/>
  <c r="X229" i="15"/>
  <c r="X230" i="15"/>
  <c r="W3" i="15"/>
  <c r="W4" i="15"/>
  <c r="W5" i="15"/>
  <c r="W6" i="15"/>
  <c r="W7" i="15"/>
  <c r="W8" i="15"/>
  <c r="W9" i="15"/>
  <c r="W10" i="15"/>
  <c r="W11" i="15"/>
  <c r="W12" i="15"/>
  <c r="W13" i="15"/>
  <c r="W14" i="15"/>
  <c r="W15" i="15"/>
  <c r="W16" i="15"/>
  <c r="W17" i="15"/>
  <c r="W18" i="15"/>
  <c r="W19" i="15"/>
  <c r="W20" i="15"/>
  <c r="W21" i="15"/>
  <c r="W22" i="15"/>
  <c r="W23" i="15"/>
  <c r="W24" i="15"/>
  <c r="W25" i="15"/>
  <c r="W26" i="15"/>
  <c r="W27" i="15"/>
  <c r="W28" i="15"/>
  <c r="W29" i="15"/>
  <c r="W30" i="15"/>
  <c r="W31" i="15"/>
  <c r="W32" i="15"/>
  <c r="W33" i="15"/>
  <c r="W34" i="15"/>
  <c r="W35" i="15"/>
  <c r="W36" i="15"/>
  <c r="W37" i="15"/>
  <c r="W38" i="15"/>
  <c r="W39" i="15"/>
  <c r="W40" i="15"/>
  <c r="W41" i="15"/>
  <c r="W42" i="15"/>
  <c r="W43" i="15"/>
  <c r="W44" i="15"/>
  <c r="W45" i="15"/>
  <c r="W46" i="15"/>
  <c r="W47" i="15"/>
  <c r="W48" i="15"/>
  <c r="W49" i="15"/>
  <c r="W50" i="15"/>
  <c r="W51" i="15"/>
  <c r="W52" i="15"/>
  <c r="W53" i="15"/>
  <c r="W54" i="15"/>
  <c r="W55" i="15"/>
  <c r="W56" i="15"/>
  <c r="W57" i="15"/>
  <c r="W58" i="15"/>
  <c r="W59" i="15"/>
  <c r="W60" i="15"/>
  <c r="W61" i="15"/>
  <c r="W62" i="15"/>
  <c r="W63" i="15"/>
  <c r="W64" i="15"/>
  <c r="W65" i="15"/>
  <c r="W66" i="15"/>
  <c r="W67" i="15"/>
  <c r="W68" i="15"/>
  <c r="W69" i="15"/>
  <c r="W70" i="15"/>
  <c r="W71" i="15"/>
  <c r="W72" i="15"/>
  <c r="W73" i="15"/>
  <c r="W74" i="15"/>
  <c r="W75" i="15"/>
  <c r="W76" i="15"/>
  <c r="W77" i="15"/>
  <c r="W78" i="15"/>
  <c r="W79" i="15"/>
  <c r="W80" i="15"/>
  <c r="W81" i="15"/>
  <c r="W82" i="15"/>
  <c r="W83" i="15"/>
  <c r="W84" i="15"/>
  <c r="W85" i="15"/>
  <c r="W86" i="15"/>
  <c r="W87" i="15"/>
  <c r="W88" i="15"/>
  <c r="W89" i="15"/>
  <c r="W90" i="15"/>
  <c r="W91" i="15"/>
  <c r="W92" i="15"/>
  <c r="W93" i="15"/>
  <c r="W94" i="15"/>
  <c r="W95" i="15"/>
  <c r="W96" i="15"/>
  <c r="W97" i="15"/>
  <c r="W98" i="15"/>
  <c r="W99" i="15"/>
  <c r="W100" i="15"/>
  <c r="W101" i="15"/>
  <c r="W102" i="15"/>
  <c r="W103" i="15"/>
  <c r="W104" i="15"/>
  <c r="W105" i="15"/>
  <c r="W106" i="15"/>
  <c r="W107" i="15"/>
  <c r="W108" i="15"/>
  <c r="W109" i="15"/>
  <c r="W110" i="15"/>
  <c r="W111" i="15"/>
  <c r="W112" i="15"/>
  <c r="W113" i="15"/>
  <c r="W114" i="15"/>
  <c r="W115" i="15"/>
  <c r="W116" i="15"/>
  <c r="W117" i="15"/>
  <c r="W118" i="15"/>
  <c r="W119" i="15"/>
  <c r="W120" i="15"/>
  <c r="W121" i="15"/>
  <c r="W122" i="15"/>
  <c r="W123" i="15"/>
  <c r="W124" i="15"/>
  <c r="W125" i="15"/>
  <c r="W126" i="15"/>
  <c r="W127" i="15"/>
  <c r="W128" i="15"/>
  <c r="W129" i="15"/>
  <c r="W130" i="15"/>
  <c r="W131" i="15"/>
  <c r="W132" i="15"/>
  <c r="W133" i="15"/>
  <c r="W134" i="15"/>
  <c r="W135" i="15"/>
  <c r="W136" i="15"/>
  <c r="W137" i="15"/>
  <c r="W138" i="15"/>
  <c r="W139" i="15"/>
  <c r="W140" i="15"/>
  <c r="W141" i="15"/>
  <c r="W142" i="15"/>
  <c r="W143" i="15"/>
  <c r="W144" i="15"/>
  <c r="W145" i="15"/>
  <c r="W146" i="15"/>
  <c r="W147" i="15"/>
  <c r="W148" i="15"/>
  <c r="W149" i="15"/>
  <c r="W150" i="15"/>
  <c r="W151" i="15"/>
  <c r="W152" i="15"/>
  <c r="W153" i="15"/>
  <c r="W154" i="15"/>
  <c r="W155" i="15"/>
  <c r="W156" i="15"/>
  <c r="W157" i="15"/>
  <c r="W158" i="15"/>
  <c r="W159" i="15"/>
  <c r="W160" i="15"/>
  <c r="W161" i="15"/>
  <c r="W162" i="15"/>
  <c r="W163" i="15"/>
  <c r="W164" i="15"/>
  <c r="W165" i="15"/>
  <c r="W166" i="15"/>
  <c r="W167" i="15"/>
  <c r="W168" i="15"/>
  <c r="W169" i="15"/>
  <c r="W170" i="15"/>
  <c r="W171" i="15"/>
  <c r="W172" i="15"/>
  <c r="W173" i="15"/>
  <c r="W174" i="15"/>
  <c r="W175" i="15"/>
  <c r="W176" i="15"/>
  <c r="W177" i="15"/>
  <c r="W178" i="15"/>
  <c r="W179" i="15"/>
  <c r="W180" i="15"/>
  <c r="W181" i="15"/>
  <c r="W182" i="15"/>
  <c r="W183" i="15"/>
  <c r="W184" i="15"/>
  <c r="W185" i="15"/>
  <c r="W186" i="15"/>
  <c r="W187" i="15"/>
  <c r="W188" i="15"/>
  <c r="W189" i="15"/>
  <c r="W190" i="15"/>
  <c r="W191" i="15"/>
  <c r="W192" i="15"/>
  <c r="W193" i="15"/>
  <c r="W194" i="15"/>
  <c r="W195" i="15"/>
  <c r="W196" i="15"/>
  <c r="W197" i="15"/>
  <c r="W198" i="15"/>
  <c r="W199" i="15"/>
  <c r="W200" i="15"/>
  <c r="W201" i="15"/>
  <c r="W202" i="15"/>
  <c r="W203" i="15"/>
  <c r="W204" i="15"/>
  <c r="W205" i="15"/>
  <c r="W206" i="15"/>
  <c r="W207" i="15"/>
  <c r="W208" i="15"/>
  <c r="W209" i="15"/>
  <c r="W210" i="15"/>
  <c r="W211" i="15"/>
  <c r="W212" i="15"/>
  <c r="W213" i="15"/>
  <c r="W214" i="15"/>
  <c r="W215" i="15"/>
  <c r="W216" i="15"/>
  <c r="W217" i="15"/>
  <c r="W218" i="15"/>
  <c r="W219" i="15"/>
  <c r="W220" i="15"/>
  <c r="W221" i="15"/>
  <c r="W222" i="15"/>
  <c r="W223" i="15"/>
  <c r="W224" i="15"/>
  <c r="W225" i="15"/>
  <c r="W226" i="15"/>
  <c r="W227" i="15"/>
  <c r="W228" i="15"/>
  <c r="W229" i="15"/>
  <c r="W230" i="15"/>
  <c r="AE5" i="15" l="1"/>
  <c r="AE6" i="15"/>
  <c r="AE8" i="15"/>
  <c r="AE10" i="15"/>
  <c r="AE11" i="15"/>
  <c r="AE13" i="15"/>
  <c r="AE14" i="15"/>
  <c r="AE16" i="15"/>
  <c r="AE18" i="15"/>
  <c r="AE19" i="15"/>
  <c r="AE21" i="15"/>
  <c r="AE22" i="15"/>
  <c r="AE26" i="15"/>
  <c r="AE27" i="15"/>
  <c r="AE29" i="15"/>
  <c r="AE30" i="15"/>
  <c r="AE32" i="15"/>
  <c r="AE34" i="15"/>
  <c r="AE35" i="15"/>
  <c r="AE40" i="15"/>
  <c r="AE42" i="15"/>
  <c r="AE43" i="15"/>
  <c r="AE45" i="15"/>
  <c r="AE48" i="15"/>
  <c r="AE50" i="15"/>
  <c r="AE51" i="15"/>
  <c r="AE53" i="15"/>
  <c r="AE54" i="15"/>
  <c r="AE56" i="15"/>
  <c r="AE58" i="15"/>
  <c r="AE59" i="15"/>
  <c r="AE61" i="15"/>
  <c r="AE62" i="15"/>
  <c r="AE64" i="15"/>
  <c r="AE66" i="15"/>
  <c r="AE67" i="15"/>
  <c r="AE70" i="15"/>
  <c r="AE72" i="15"/>
  <c r="AE74" i="15"/>
  <c r="AE75" i="15"/>
  <c r="AE77" i="15"/>
  <c r="AE78" i="15"/>
  <c r="AE80" i="15"/>
  <c r="AE82" i="15"/>
  <c r="AE83" i="15"/>
  <c r="AE85" i="15"/>
  <c r="AE86" i="15"/>
  <c r="AE88" i="15"/>
  <c r="AE90" i="15"/>
  <c r="AE91" i="15"/>
  <c r="AE93" i="15"/>
  <c r="AE94" i="15"/>
  <c r="AE96" i="15"/>
  <c r="AE98" i="15"/>
  <c r="AE99" i="15"/>
  <c r="AE104" i="15"/>
  <c r="AE106" i="15"/>
  <c r="AE107" i="15"/>
  <c r="AE109" i="15"/>
  <c r="AE112" i="15"/>
  <c r="AE114" i="15"/>
  <c r="AE115" i="15"/>
  <c r="AE117" i="15"/>
  <c r="AE118" i="15"/>
  <c r="AE120" i="15"/>
  <c r="AE122" i="15"/>
  <c r="AE123" i="15"/>
  <c r="AE125" i="15"/>
  <c r="AE126" i="15"/>
  <c r="AE128" i="15"/>
  <c r="AE130" i="15"/>
  <c r="AE131" i="15"/>
  <c r="AE134" i="15"/>
  <c r="AE136" i="15"/>
  <c r="AE138" i="15"/>
  <c r="AE141" i="15"/>
  <c r="AE142" i="15"/>
  <c r="AE144" i="15"/>
  <c r="AE146" i="15"/>
  <c r="AE147" i="15"/>
  <c r="AE149" i="15"/>
  <c r="AE150" i="15"/>
  <c r="AE152" i="15"/>
  <c r="AE154" i="15"/>
  <c r="AE155" i="15"/>
  <c r="AE157" i="15"/>
  <c r="AE158" i="15"/>
  <c r="AE160" i="15"/>
  <c r="AE162" i="15"/>
  <c r="AE163" i="15"/>
  <c r="AE166" i="15"/>
  <c r="AE168" i="15"/>
  <c r="AE170" i="15"/>
  <c r="AE171" i="15"/>
  <c r="AE173" i="15"/>
  <c r="AE174" i="15"/>
  <c r="AE176" i="15"/>
  <c r="AE178" i="15"/>
  <c r="AE179" i="15"/>
  <c r="AE181" i="15"/>
  <c r="AE182" i="15"/>
  <c r="AE184" i="15"/>
  <c r="AE186" i="15"/>
  <c r="AE187" i="15"/>
  <c r="AE189" i="15"/>
  <c r="AE190" i="15"/>
  <c r="AE194" i="15"/>
  <c r="AE195" i="15"/>
  <c r="AE198" i="15"/>
  <c r="AE200" i="15"/>
  <c r="AE202" i="15"/>
  <c r="AE203" i="15"/>
  <c r="AE205" i="15"/>
  <c r="AE206" i="15"/>
  <c r="AE208" i="15"/>
  <c r="AE210" i="15"/>
  <c r="AE211" i="15"/>
  <c r="AE213" i="15"/>
  <c r="AE216" i="15"/>
  <c r="AE218" i="15"/>
  <c r="AE219" i="15"/>
  <c r="AE221" i="15"/>
  <c r="AE223" i="15"/>
  <c r="AE224" i="15"/>
  <c r="AE225" i="15"/>
  <c r="AE226" i="15"/>
  <c r="AE227" i="15"/>
  <c r="AE228" i="15"/>
  <c r="AF7" i="15"/>
  <c r="AF11" i="15"/>
  <c r="AF15" i="15"/>
  <c r="AF23" i="15"/>
  <c r="AF27" i="15"/>
  <c r="AF31" i="15"/>
  <c r="AF35" i="15"/>
  <c r="AF39" i="15"/>
  <c r="AF43" i="15"/>
  <c r="AF51" i="15"/>
  <c r="AF55" i="15"/>
  <c r="AF59" i="15"/>
  <c r="AF63" i="15"/>
  <c r="AF67" i="15"/>
  <c r="AF71" i="15"/>
  <c r="AF75" i="15"/>
  <c r="AF79" i="15"/>
  <c r="AF83" i="15"/>
  <c r="AF87" i="15"/>
  <c r="AF95" i="15"/>
  <c r="AF99" i="15"/>
  <c r="AF103" i="15"/>
  <c r="AF107" i="15"/>
  <c r="AF111" i="15"/>
  <c r="AF115" i="15"/>
  <c r="AF119" i="15"/>
  <c r="AF123" i="15"/>
  <c r="AF127" i="15"/>
  <c r="AF131" i="15"/>
  <c r="AF135" i="15"/>
  <c r="AF139" i="15"/>
  <c r="AF143" i="15"/>
  <c r="AF147" i="15"/>
  <c r="AF151" i="15"/>
  <c r="AF155" i="15"/>
  <c r="AF159" i="15"/>
  <c r="AF167" i="15"/>
  <c r="AF171" i="15"/>
  <c r="AF175" i="15"/>
  <c r="AF179" i="15"/>
  <c r="AF183" i="15"/>
  <c r="AF187" i="15"/>
  <c r="AF191" i="15"/>
  <c r="AF195" i="15"/>
  <c r="AF199" i="15"/>
  <c r="AF203" i="15"/>
  <c r="AF207" i="15"/>
  <c r="AF211" i="15"/>
  <c r="AF215" i="15"/>
  <c r="AF218" i="15"/>
  <c r="AF219" i="15"/>
  <c r="AF223" i="15"/>
  <c r="AF226" i="15"/>
  <c r="AF19" i="15"/>
  <c r="AF91" i="15"/>
  <c r="AF106" i="15"/>
  <c r="AF114" i="15"/>
  <c r="AF122" i="15"/>
  <c r="AF130" i="15"/>
  <c r="AF138" i="15"/>
  <c r="AF154" i="15"/>
  <c r="AF162" i="15"/>
  <c r="AF163" i="15"/>
  <c r="AF178" i="15"/>
  <c r="AF186" i="15"/>
  <c r="AF194" i="15"/>
  <c r="AF210" i="15"/>
  <c r="AJ6" i="15"/>
  <c r="AJ9" i="15"/>
  <c r="AJ11" i="15"/>
  <c r="AJ14" i="15"/>
  <c r="AJ17" i="15"/>
  <c r="AJ22" i="15"/>
  <c r="AJ25" i="15"/>
  <c r="AJ27" i="15"/>
  <c r="AJ30" i="15"/>
  <c r="AJ35" i="15"/>
  <c r="AJ38" i="15"/>
  <c r="AJ41" i="15"/>
  <c r="AJ43" i="15"/>
  <c r="AJ49" i="15"/>
  <c r="AJ51" i="15"/>
  <c r="AJ54" i="15"/>
  <c r="AJ57" i="15"/>
  <c r="AJ62" i="15"/>
  <c r="AJ65" i="15"/>
  <c r="AJ67" i="15"/>
  <c r="AJ70" i="15"/>
  <c r="AJ75" i="15"/>
  <c r="AJ78" i="15"/>
  <c r="AJ81" i="15"/>
  <c r="AJ83" i="15"/>
  <c r="AJ89" i="15"/>
  <c r="AJ91" i="15"/>
  <c r="AJ94" i="15"/>
  <c r="AJ97" i="15"/>
  <c r="AJ99" i="15"/>
  <c r="AJ102" i="15"/>
  <c r="AJ105" i="15"/>
  <c r="AJ107" i="15"/>
  <c r="AJ110" i="15"/>
  <c r="AJ115" i="15"/>
  <c r="AJ118" i="15"/>
  <c r="AJ121" i="15"/>
  <c r="AJ123" i="15"/>
  <c r="AJ126" i="15"/>
  <c r="AJ129" i="15"/>
  <c r="AJ131" i="15"/>
  <c r="AJ134" i="15"/>
  <c r="AJ137" i="15"/>
  <c r="AJ139" i="15"/>
  <c r="AJ142" i="15"/>
  <c r="AJ145" i="15"/>
  <c r="AJ147" i="15"/>
  <c r="AJ150" i="15"/>
  <c r="AJ155" i="15"/>
  <c r="AJ158" i="15"/>
  <c r="AJ161" i="15"/>
  <c r="AJ163" i="15"/>
  <c r="AJ166" i="15"/>
  <c r="AJ169" i="15"/>
  <c r="AJ171" i="15"/>
  <c r="AJ174" i="15"/>
  <c r="AJ177" i="15"/>
  <c r="AJ179" i="15"/>
  <c r="AJ182" i="15"/>
  <c r="AJ185" i="15"/>
  <c r="AJ187" i="15"/>
  <c r="AJ190" i="15"/>
  <c r="AJ193" i="15"/>
  <c r="AJ198" i="15"/>
  <c r="AJ201" i="15"/>
  <c r="AJ203" i="15"/>
  <c r="AJ206" i="15"/>
  <c r="AJ209" i="15"/>
  <c r="AJ211" i="15"/>
  <c r="AJ214" i="15"/>
  <c r="AJ217" i="15"/>
  <c r="AJ219" i="15"/>
  <c r="AJ225" i="15"/>
  <c r="AJ227" i="15"/>
  <c r="AJ228" i="15"/>
  <c r="AJ230" i="15"/>
  <c r="AE37" i="15"/>
  <c r="AE69" i="15"/>
  <c r="AE101" i="15"/>
  <c r="AE133" i="15"/>
  <c r="AE165" i="15"/>
  <c r="AE197" i="15"/>
  <c r="AE229" i="15"/>
  <c r="AE230" i="15"/>
  <c r="AF227" i="15"/>
  <c r="AF224" i="15"/>
  <c r="AF222" i="15"/>
  <c r="AE222" i="15"/>
  <c r="AJ221" i="15"/>
  <c r="AF221" i="15"/>
  <c r="AF220" i="15"/>
  <c r="AF217" i="15"/>
  <c r="AE217" i="15"/>
  <c r="AJ216" i="15"/>
  <c r="AF216" i="15"/>
  <c r="AJ215" i="15"/>
  <c r="AE215" i="15"/>
  <c r="AF214" i="15"/>
  <c r="AE214" i="15"/>
  <c r="AF213" i="15"/>
  <c r="AE209" i="15"/>
  <c r="AJ208" i="15"/>
  <c r="AJ207" i="15"/>
  <c r="AE207" i="15"/>
  <c r="AF206" i="15"/>
  <c r="AF205" i="15"/>
  <c r="AE204" i="15"/>
  <c r="AF202" i="15"/>
  <c r="AF201" i="15"/>
  <c r="AE201" i="15"/>
  <c r="AJ200" i="15"/>
  <c r="AJ199" i="15"/>
  <c r="AE199" i="15"/>
  <c r="AE196" i="15"/>
  <c r="AJ195" i="15"/>
  <c r="AJ194" i="15"/>
  <c r="AE193" i="15"/>
  <c r="AE192" i="15"/>
  <c r="AE191" i="15"/>
  <c r="AF190" i="15"/>
  <c r="AJ189" i="15"/>
  <c r="AF189" i="15"/>
  <c r="AF188" i="15"/>
  <c r="AF185" i="15"/>
  <c r="AE185" i="15"/>
  <c r="AF184" i="15"/>
  <c r="AE183" i="15"/>
  <c r="AJ180" i="15"/>
  <c r="AF180" i="15"/>
  <c r="AE177" i="15"/>
  <c r="AF176" i="15"/>
  <c r="AE175" i="15"/>
  <c r="AF174" i="15"/>
  <c r="AJ173" i="15"/>
  <c r="AF173" i="15"/>
  <c r="AJ172" i="15"/>
  <c r="AF172" i="15"/>
  <c r="AF170" i="15"/>
  <c r="AF169" i="15"/>
  <c r="AE169" i="15"/>
  <c r="AJ168" i="15"/>
  <c r="AF168" i="15"/>
  <c r="AJ167" i="15"/>
  <c r="AE167" i="15"/>
  <c r="AF166" i="15"/>
  <c r="AJ165" i="15"/>
  <c r="AF165" i="15"/>
  <c r="AF164" i="15"/>
  <c r="AE164" i="15"/>
  <c r="AF161" i="15"/>
  <c r="AE161" i="15"/>
  <c r="AF160" i="15"/>
  <c r="AE159" i="15"/>
  <c r="AF158" i="15"/>
  <c r="AJ157" i="15"/>
  <c r="AF157" i="15"/>
  <c r="AJ156" i="15"/>
  <c r="AF156" i="15"/>
  <c r="AJ153" i="15"/>
  <c r="AF153" i="15"/>
  <c r="AE153" i="15"/>
  <c r="AE151" i="15"/>
  <c r="AF148" i="15"/>
  <c r="AJ146" i="15"/>
  <c r="AF146" i="15"/>
  <c r="AF145" i="15"/>
  <c r="AE145" i="15"/>
  <c r="AE143" i="15"/>
  <c r="AF141" i="15"/>
  <c r="AJ140" i="15"/>
  <c r="AF140" i="15"/>
  <c r="AE140" i="15"/>
  <c r="AE139" i="15"/>
  <c r="AJ138" i="15"/>
  <c r="AF137" i="15"/>
  <c r="AE137" i="15"/>
  <c r="AF136" i="15"/>
  <c r="AE135" i="15"/>
  <c r="AF134" i="15"/>
  <c r="AF133" i="15"/>
  <c r="AF132" i="15"/>
  <c r="AJ130" i="15"/>
  <c r="AF129" i="15"/>
  <c r="AE129" i="15"/>
  <c r="AJ128" i="15"/>
  <c r="AF128" i="15"/>
  <c r="AJ127" i="15"/>
  <c r="AE127" i="15"/>
  <c r="AF124" i="15"/>
  <c r="AE124" i="15"/>
  <c r="AJ122" i="15"/>
  <c r="AF121" i="15"/>
  <c r="AE121" i="15"/>
  <c r="AF120" i="15"/>
  <c r="AE119" i="15"/>
  <c r="AF117" i="15"/>
  <c r="AE116" i="15"/>
  <c r="AJ114" i="15"/>
  <c r="AJ113" i="15"/>
  <c r="AE113" i="15"/>
  <c r="AE111" i="15"/>
  <c r="AF110" i="15"/>
  <c r="AE110" i="15"/>
  <c r="AF109" i="15"/>
  <c r="AF108" i="15"/>
  <c r="AE108" i="15"/>
  <c r="AF105" i="15"/>
  <c r="AE105" i="15"/>
  <c r="AE103" i="15"/>
  <c r="AE102" i="15"/>
  <c r="AJ100" i="15"/>
  <c r="AF97" i="15"/>
  <c r="AE97" i="15"/>
  <c r="AF96" i="15"/>
  <c r="AE95" i="15"/>
  <c r="AF92" i="15"/>
  <c r="AE92" i="15"/>
  <c r="AF90" i="15"/>
  <c r="AF89" i="15"/>
  <c r="AE89" i="15"/>
  <c r="AJ88" i="15"/>
  <c r="AJ87" i="15"/>
  <c r="AE87" i="15"/>
  <c r="AJ85" i="15"/>
  <c r="AF84" i="15"/>
  <c r="AE84" i="15"/>
  <c r="AF81" i="15"/>
  <c r="AE81" i="15"/>
  <c r="AJ79" i="15"/>
  <c r="AE79" i="15"/>
  <c r="AF76" i="15"/>
  <c r="AE76" i="15"/>
  <c r="AF74" i="15"/>
  <c r="AJ73" i="15"/>
  <c r="AF73" i="15"/>
  <c r="AE73" i="15"/>
  <c r="AF72" i="15"/>
  <c r="AE71" i="15"/>
  <c r="AJ69" i="15"/>
  <c r="AF68" i="15"/>
  <c r="AF66" i="15"/>
  <c r="AE65" i="15"/>
  <c r="AE63" i="15"/>
  <c r="AJ61" i="15"/>
  <c r="AJ60" i="15"/>
  <c r="AF60" i="15"/>
  <c r="AE60" i="15"/>
  <c r="AJ59" i="15"/>
  <c r="AJ58" i="15"/>
  <c r="AF58" i="15"/>
  <c r="AF57" i="15"/>
  <c r="AE57" i="15"/>
  <c r="AE55" i="15"/>
  <c r="AF54" i="15"/>
  <c r="AF53" i="15"/>
  <c r="AF52" i="15"/>
  <c r="AE52" i="15"/>
  <c r="AF49" i="15"/>
  <c r="AE49" i="15"/>
  <c r="AF48" i="15"/>
  <c r="AF47" i="15"/>
  <c r="AE47" i="15"/>
  <c r="AF46" i="15"/>
  <c r="AE46" i="15"/>
  <c r="AJ45" i="15"/>
  <c r="AF45" i="15"/>
  <c r="AF44" i="15"/>
  <c r="AE44" i="15"/>
  <c r="AJ42" i="15"/>
  <c r="AF42" i="15"/>
  <c r="AF41" i="15"/>
  <c r="AE41" i="15"/>
  <c r="AE39" i="15"/>
  <c r="AE38" i="15"/>
  <c r="AF36" i="15"/>
  <c r="AE36" i="15"/>
  <c r="AJ34" i="15"/>
  <c r="AJ33" i="15"/>
  <c r="AE33" i="15"/>
  <c r="AF32" i="15"/>
  <c r="AE31" i="15"/>
  <c r="AE28" i="15"/>
  <c r="AF26" i="15"/>
  <c r="AE25" i="15"/>
  <c r="AF24" i="15"/>
  <c r="AE24" i="15"/>
  <c r="AE23" i="15"/>
  <c r="AF22" i="15"/>
  <c r="AF21" i="15"/>
  <c r="AF20" i="15"/>
  <c r="AE20" i="15"/>
  <c r="AJ19" i="15"/>
  <c r="AJ18" i="15"/>
  <c r="AF17" i="15"/>
  <c r="AE17" i="15"/>
  <c r="AJ16" i="15"/>
  <c r="AJ15" i="15"/>
  <c r="AE15" i="15"/>
  <c r="AF14" i="15"/>
  <c r="AF13" i="15"/>
  <c r="AE12" i="15"/>
  <c r="AF10" i="15"/>
  <c r="AE9" i="15"/>
  <c r="AJ8" i="15"/>
  <c r="AF8" i="15"/>
  <c r="AJ7" i="15"/>
  <c r="AE7" i="15"/>
  <c r="AF6" i="15"/>
  <c r="AF5" i="15"/>
  <c r="AF4" i="15"/>
  <c r="AJ3" i="15"/>
  <c r="AE3" i="15"/>
  <c r="G4" i="15"/>
  <c r="G10" i="15"/>
  <c r="G12" i="15"/>
  <c r="G17" i="15"/>
  <c r="G18" i="15"/>
  <c r="G20" i="15"/>
  <c r="G25" i="15"/>
  <c r="G26" i="15"/>
  <c r="G28" i="15"/>
  <c r="G33" i="15"/>
  <c r="G34" i="15"/>
  <c r="G36" i="15"/>
  <c r="G41" i="15"/>
  <c r="G42" i="15"/>
  <c r="G44" i="15"/>
  <c r="G49" i="15"/>
  <c r="G50" i="15"/>
  <c r="G52" i="15"/>
  <c r="G57" i="15"/>
  <c r="G58" i="15"/>
  <c r="G60" i="15"/>
  <c r="G65" i="15"/>
  <c r="G66" i="15"/>
  <c r="G68" i="15"/>
  <c r="G73" i="15"/>
  <c r="G74" i="15"/>
  <c r="G76" i="15"/>
  <c r="G82" i="15"/>
  <c r="G84" i="15"/>
  <c r="G89" i="15"/>
  <c r="G90" i="15"/>
  <c r="G92" i="15"/>
  <c r="G97" i="15"/>
  <c r="G98" i="15"/>
  <c r="G99" i="15"/>
  <c r="G106" i="15"/>
  <c r="G108" i="15"/>
  <c r="G113" i="15"/>
  <c r="G116" i="15"/>
  <c r="G121" i="15"/>
  <c r="G122" i="15"/>
  <c r="G124" i="15"/>
  <c r="G129" i="15"/>
  <c r="G130" i="15"/>
  <c r="G132" i="15"/>
  <c r="G138" i="15"/>
  <c r="G145" i="15"/>
  <c r="G146" i="15"/>
  <c r="G148" i="15"/>
  <c r="G153" i="15"/>
  <c r="G154" i="15"/>
  <c r="G156" i="15"/>
  <c r="G162" i="15"/>
  <c r="G163" i="15"/>
  <c r="G164" i="15"/>
  <c r="G169" i="15"/>
  <c r="G170" i="15"/>
  <c r="G172" i="15"/>
  <c r="G177" i="15"/>
  <c r="G178" i="15"/>
  <c r="G186" i="15"/>
  <c r="G188" i="15"/>
  <c r="G193" i="15"/>
  <c r="G194" i="15"/>
  <c r="G201" i="15"/>
  <c r="G202" i="15"/>
  <c r="G204" i="15"/>
  <c r="G209" i="15"/>
  <c r="G210" i="15"/>
  <c r="G212" i="15"/>
  <c r="G217" i="15"/>
  <c r="G218" i="15"/>
  <c r="G220" i="15"/>
  <c r="G225" i="15"/>
  <c r="G226" i="15"/>
  <c r="G228" i="15"/>
  <c r="G3" i="15"/>
  <c r="O4" i="15"/>
  <c r="O5" i="15"/>
  <c r="O6" i="15"/>
  <c r="O10" i="15"/>
  <c r="O11" i="15"/>
  <c r="O12" i="15"/>
  <c r="O13" i="15"/>
  <c r="O14" i="15"/>
  <c r="O19" i="15"/>
  <c r="O21" i="15"/>
  <c r="O22" i="15"/>
  <c r="O27" i="15"/>
  <c r="O29" i="15"/>
  <c r="O34" i="15"/>
  <c r="O35" i="15"/>
  <c r="O36" i="15"/>
  <c r="O37" i="15"/>
  <c r="O38" i="15"/>
  <c r="O43" i="15"/>
  <c r="O44" i="15"/>
  <c r="O45" i="15"/>
  <c r="O46" i="15"/>
  <c r="O50" i="15"/>
  <c r="O51" i="15"/>
  <c r="O52" i="15"/>
  <c r="O53" i="15"/>
  <c r="O54" i="15"/>
  <c r="O59" i="15"/>
  <c r="O61" i="15"/>
  <c r="O62" i="15"/>
  <c r="O66" i="15"/>
  <c r="O67" i="15"/>
  <c r="O68" i="15"/>
  <c r="O69" i="15"/>
  <c r="O70" i="15"/>
  <c r="O74" i="15"/>
  <c r="O75" i="15"/>
  <c r="O76" i="15"/>
  <c r="O77" i="15"/>
  <c r="O78" i="15"/>
  <c r="O83" i="15"/>
  <c r="O84" i="15"/>
  <c r="O85" i="15"/>
  <c r="O86" i="15"/>
  <c r="O88" i="15"/>
  <c r="O91" i="15"/>
  <c r="O92" i="15"/>
  <c r="O93" i="15"/>
  <c r="O94" i="15"/>
  <c r="O99" i="15"/>
  <c r="O101" i="15"/>
  <c r="O102" i="15"/>
  <c r="O106" i="15"/>
  <c r="O107" i="15"/>
  <c r="O108" i="15"/>
  <c r="O109" i="15"/>
  <c r="O110" i="15"/>
  <c r="O112" i="15"/>
  <c r="O114" i="15"/>
  <c r="O115" i="15"/>
  <c r="O116" i="15"/>
  <c r="O117" i="15"/>
  <c r="O118" i="15"/>
  <c r="O123" i="15"/>
  <c r="O124" i="15"/>
  <c r="O125" i="15"/>
  <c r="O126" i="15"/>
  <c r="O130" i="15"/>
  <c r="O131" i="15"/>
  <c r="O133" i="15"/>
  <c r="O134" i="15"/>
  <c r="O136" i="15"/>
  <c r="O139" i="15"/>
  <c r="O140" i="15"/>
  <c r="O141" i="15"/>
  <c r="O142" i="15"/>
  <c r="O146" i="15"/>
  <c r="O147" i="15"/>
  <c r="O149" i="15"/>
  <c r="O150" i="15"/>
  <c r="O152" i="15"/>
  <c r="O154" i="15"/>
  <c r="O155" i="15"/>
  <c r="O156" i="15"/>
  <c r="O157" i="15"/>
  <c r="O158" i="15"/>
  <c r="O162" i="15"/>
  <c r="O163" i="15"/>
  <c r="O164" i="15"/>
  <c r="O165" i="15"/>
  <c r="O166" i="15"/>
  <c r="O171" i="15"/>
  <c r="O172" i="15"/>
  <c r="O173" i="15"/>
  <c r="O174" i="15"/>
  <c r="O176" i="15"/>
  <c r="O179" i="15"/>
  <c r="O180" i="15"/>
  <c r="O181" i="15"/>
  <c r="O182" i="15"/>
  <c r="O187" i="15"/>
  <c r="O189" i="15"/>
  <c r="O190" i="15"/>
  <c r="O192" i="15"/>
  <c r="O195" i="15"/>
  <c r="O196" i="15"/>
  <c r="O197" i="15"/>
  <c r="O198" i="15"/>
  <c r="O202" i="15"/>
  <c r="O203" i="15"/>
  <c r="O205" i="15"/>
  <c r="O206" i="15"/>
  <c r="O208" i="15"/>
  <c r="O210" i="15"/>
  <c r="O211" i="15"/>
  <c r="O212" i="15"/>
  <c r="O213" i="15"/>
  <c r="O214" i="15"/>
  <c r="O216" i="15"/>
  <c r="O219" i="15"/>
  <c r="O221" i="15"/>
  <c r="O222" i="15"/>
  <c r="O226" i="15"/>
  <c r="O227" i="15"/>
  <c r="O229" i="15"/>
  <c r="O230" i="15"/>
  <c r="O3" i="15"/>
  <c r="W3" i="5"/>
  <c r="W4" i="5"/>
  <c r="W5" i="5"/>
  <c r="W6" i="5"/>
  <c r="W7" i="5"/>
  <c r="W8" i="5"/>
  <c r="W9" i="5"/>
  <c r="W10" i="5"/>
  <c r="W11" i="5"/>
  <c r="W12" i="5"/>
  <c r="W13" i="5"/>
  <c r="W14" i="5"/>
  <c r="W15" i="5"/>
  <c r="W16" i="5"/>
  <c r="W17" i="5"/>
  <c r="W18" i="5"/>
  <c r="W19" i="5"/>
  <c r="W20" i="5"/>
  <c r="W21" i="5"/>
  <c r="W22" i="5"/>
  <c r="W23" i="5"/>
  <c r="W24" i="5"/>
  <c r="W25" i="5"/>
  <c r="W26" i="5"/>
  <c r="W27" i="5"/>
  <c r="W28" i="5"/>
  <c r="W29" i="5"/>
  <c r="W30" i="5"/>
  <c r="W31" i="5"/>
  <c r="W32" i="5"/>
  <c r="W33" i="5"/>
  <c r="W34" i="5"/>
  <c r="W35" i="5"/>
  <c r="W36" i="5"/>
  <c r="W37" i="5"/>
  <c r="W38" i="5"/>
  <c r="W39" i="5"/>
  <c r="W40" i="5"/>
  <c r="W41" i="5"/>
  <c r="W42" i="5"/>
  <c r="W43" i="5"/>
  <c r="W44" i="5"/>
  <c r="W45" i="5"/>
  <c r="W46" i="5"/>
  <c r="W47" i="5"/>
  <c r="W48" i="5"/>
  <c r="W49" i="5"/>
  <c r="W50" i="5"/>
  <c r="W51" i="5"/>
  <c r="W52" i="5"/>
  <c r="W53" i="5"/>
  <c r="W54" i="5"/>
  <c r="W55" i="5"/>
  <c r="W56" i="5"/>
  <c r="W57" i="5"/>
  <c r="W58" i="5"/>
  <c r="W59" i="5"/>
  <c r="W60" i="5"/>
  <c r="W61" i="5"/>
  <c r="W62" i="5"/>
  <c r="W63" i="5"/>
  <c r="W64" i="5"/>
  <c r="W65" i="5"/>
  <c r="W66" i="5"/>
  <c r="W67" i="5"/>
  <c r="W68" i="5"/>
  <c r="W69" i="5"/>
  <c r="W70" i="5"/>
  <c r="W71" i="5"/>
  <c r="W72" i="5"/>
  <c r="W73" i="5"/>
  <c r="W74" i="5"/>
  <c r="W75" i="5"/>
  <c r="W76" i="5"/>
  <c r="W77" i="5"/>
  <c r="W78" i="5"/>
  <c r="W79" i="5"/>
  <c r="W80" i="5"/>
  <c r="W81" i="5"/>
  <c r="W82" i="5"/>
  <c r="W83" i="5"/>
  <c r="W84" i="5"/>
  <c r="W85" i="5"/>
  <c r="W86" i="5"/>
  <c r="W87" i="5"/>
  <c r="W88" i="5"/>
  <c r="W89" i="5"/>
  <c r="W90" i="5"/>
  <c r="W91" i="5"/>
  <c r="W92" i="5"/>
  <c r="W93" i="5"/>
  <c r="W94" i="5"/>
  <c r="W95" i="5"/>
  <c r="W96" i="5"/>
  <c r="W97" i="5"/>
  <c r="W98" i="5"/>
  <c r="W99" i="5"/>
  <c r="W100" i="5"/>
  <c r="W101" i="5"/>
  <c r="W102" i="5"/>
  <c r="W103" i="5"/>
  <c r="W104" i="5"/>
  <c r="W105" i="5"/>
  <c r="W106" i="5"/>
  <c r="W107" i="5"/>
  <c r="W108" i="5"/>
  <c r="W109" i="5"/>
  <c r="W110" i="5"/>
  <c r="W111" i="5"/>
  <c r="W112" i="5"/>
  <c r="W113" i="5"/>
  <c r="W114" i="5"/>
  <c r="W115" i="5"/>
  <c r="W116" i="5"/>
  <c r="W117" i="5"/>
  <c r="W118" i="5"/>
  <c r="W119" i="5"/>
  <c r="W120" i="5"/>
  <c r="W121" i="5"/>
  <c r="W122" i="5"/>
  <c r="W123" i="5"/>
  <c r="W124" i="5"/>
  <c r="W125" i="5"/>
  <c r="W126" i="5"/>
  <c r="W127" i="5"/>
  <c r="W128" i="5"/>
  <c r="W129" i="5"/>
  <c r="W130" i="5"/>
  <c r="W131" i="5"/>
  <c r="W132" i="5"/>
  <c r="W133" i="5"/>
  <c r="W134" i="5"/>
  <c r="W135" i="5"/>
  <c r="W136" i="5"/>
  <c r="W137" i="5"/>
  <c r="W138" i="5"/>
  <c r="W139" i="5"/>
  <c r="W140" i="5"/>
  <c r="W141" i="5"/>
  <c r="W142" i="5"/>
  <c r="W143" i="5"/>
  <c r="W144" i="5"/>
  <c r="W145" i="5"/>
  <c r="W146" i="5"/>
  <c r="W147" i="5"/>
  <c r="W148" i="5"/>
  <c r="W149" i="5"/>
  <c r="W150" i="5"/>
  <c r="W151" i="5"/>
  <c r="W152" i="5"/>
  <c r="W153" i="5"/>
  <c r="W154" i="5"/>
  <c r="W155" i="5"/>
  <c r="W156" i="5"/>
  <c r="W157" i="5"/>
  <c r="W158" i="5"/>
  <c r="W159" i="5"/>
  <c r="W160" i="5"/>
  <c r="W161" i="5"/>
  <c r="W162" i="5"/>
  <c r="W163" i="5"/>
  <c r="W164" i="5"/>
  <c r="W165" i="5"/>
  <c r="W166" i="5"/>
  <c r="W167" i="5"/>
  <c r="W168" i="5"/>
  <c r="W169" i="5"/>
  <c r="W170" i="5"/>
  <c r="W171" i="5"/>
  <c r="W172" i="5"/>
  <c r="W173" i="5"/>
  <c r="W174" i="5"/>
  <c r="W175" i="5"/>
  <c r="W176" i="5"/>
  <c r="W177" i="5"/>
  <c r="W178" i="5"/>
  <c r="W179" i="5"/>
  <c r="W180" i="5"/>
  <c r="W181" i="5"/>
  <c r="W182" i="5"/>
  <c r="W183" i="5"/>
  <c r="W184" i="5"/>
  <c r="W185" i="5"/>
  <c r="W186" i="5"/>
  <c r="W187" i="5"/>
  <c r="W188" i="5"/>
  <c r="W189" i="5"/>
  <c r="W190" i="5"/>
  <c r="W191" i="5"/>
  <c r="W192" i="5"/>
  <c r="W193" i="5"/>
  <c r="W194" i="5"/>
  <c r="W195" i="5"/>
  <c r="W196" i="5"/>
  <c r="W197" i="5"/>
  <c r="W198" i="5"/>
  <c r="W199" i="5"/>
  <c r="W200" i="5"/>
  <c r="W201" i="5"/>
  <c r="W202" i="5"/>
  <c r="W203" i="5"/>
  <c r="W204" i="5"/>
  <c r="W205" i="5"/>
  <c r="W206" i="5"/>
  <c r="W207" i="5"/>
  <c r="W208" i="5"/>
  <c r="W209" i="5"/>
  <c r="W210" i="5"/>
  <c r="W211" i="5"/>
  <c r="W212" i="5"/>
  <c r="W213" i="5"/>
  <c r="W214" i="5"/>
  <c r="W215" i="5"/>
  <c r="W216" i="5"/>
  <c r="W217" i="5"/>
  <c r="W218" i="5"/>
  <c r="W219" i="5"/>
  <c r="W220" i="5"/>
  <c r="W221" i="5"/>
  <c r="W222" i="5"/>
  <c r="W223" i="5"/>
  <c r="W224" i="5"/>
  <c r="W225" i="5"/>
  <c r="W226" i="5"/>
  <c r="W227" i="5"/>
  <c r="W228" i="5"/>
  <c r="W229" i="5"/>
  <c r="W230" i="5"/>
  <c r="H4" i="15"/>
  <c r="H8" i="15"/>
  <c r="H10" i="15"/>
  <c r="H11" i="15"/>
  <c r="H12" i="15"/>
  <c r="H14" i="15"/>
  <c r="H16" i="15"/>
  <c r="H18" i="15"/>
  <c r="H19" i="15"/>
  <c r="H20" i="15"/>
  <c r="H22" i="15"/>
  <c r="H24" i="15"/>
  <c r="H26" i="15"/>
  <c r="H27" i="15"/>
  <c r="H28" i="15"/>
  <c r="H30" i="15"/>
  <c r="H32" i="15"/>
  <c r="H34" i="15"/>
  <c r="H35" i="15"/>
  <c r="H36" i="15"/>
  <c r="H38" i="15"/>
  <c r="H40" i="15"/>
  <c r="H42" i="15"/>
  <c r="H43" i="15"/>
  <c r="H44" i="15"/>
  <c r="H46" i="15"/>
  <c r="H48" i="15"/>
  <c r="H50" i="15"/>
  <c r="H51" i="15"/>
  <c r="H52" i="15"/>
  <c r="H56" i="15"/>
  <c r="H58" i="15"/>
  <c r="H59" i="15"/>
  <c r="H60" i="15"/>
  <c r="H62" i="15"/>
  <c r="H64" i="15"/>
  <c r="H66" i="15"/>
  <c r="H67" i="15"/>
  <c r="H68" i="15"/>
  <c r="H70" i="15"/>
  <c r="H72" i="15"/>
  <c r="H74" i="15"/>
  <c r="H75" i="15"/>
  <c r="H76" i="15"/>
  <c r="H78" i="15"/>
  <c r="H80" i="15"/>
  <c r="H82" i="15"/>
  <c r="H83" i="15"/>
  <c r="H84" i="15"/>
  <c r="H86" i="15"/>
  <c r="H88" i="15"/>
  <c r="H90" i="15"/>
  <c r="H91" i="15"/>
  <c r="H92" i="15"/>
  <c r="H94" i="15"/>
  <c r="H96" i="15"/>
  <c r="H98" i="15"/>
  <c r="H99" i="15"/>
  <c r="H100" i="15"/>
  <c r="H102" i="15"/>
  <c r="H104" i="15"/>
  <c r="H106" i="15"/>
  <c r="H107" i="15"/>
  <c r="H108" i="15"/>
  <c r="H112" i="15"/>
  <c r="H114" i="15"/>
  <c r="H115" i="15"/>
  <c r="H118" i="15"/>
  <c r="H120" i="15"/>
  <c r="H122" i="15"/>
  <c r="H123" i="15"/>
  <c r="H124" i="15"/>
  <c r="H126" i="15"/>
  <c r="H130" i="15"/>
  <c r="H131" i="15"/>
  <c r="H132" i="15"/>
  <c r="H138" i="15"/>
  <c r="H139" i="15"/>
  <c r="H140" i="15"/>
  <c r="H144" i="15"/>
  <c r="H146" i="15"/>
  <c r="H147" i="15"/>
  <c r="H148" i="15"/>
  <c r="H150" i="15"/>
  <c r="H152" i="15"/>
  <c r="H154" i="15"/>
  <c r="H155" i="15"/>
  <c r="H156" i="15"/>
  <c r="H158" i="15"/>
  <c r="H160" i="15"/>
  <c r="H162" i="15"/>
  <c r="H163" i="15"/>
  <c r="H164" i="15"/>
  <c r="H166" i="15"/>
  <c r="H168" i="15"/>
  <c r="H170" i="15"/>
  <c r="H171" i="15"/>
  <c r="H172" i="15"/>
  <c r="H174" i="15"/>
  <c r="H176" i="15"/>
  <c r="H178" i="15"/>
  <c r="H179" i="15"/>
  <c r="H180" i="15"/>
  <c r="H182" i="15"/>
  <c r="H184" i="15"/>
  <c r="H186" i="15"/>
  <c r="H187" i="15"/>
  <c r="H188" i="15"/>
  <c r="H190" i="15"/>
  <c r="H192" i="15"/>
  <c r="H194" i="15"/>
  <c r="H195" i="15"/>
  <c r="H196" i="15"/>
  <c r="H198" i="15"/>
  <c r="H200" i="15"/>
  <c r="H202" i="15"/>
  <c r="H203" i="15"/>
  <c r="H204" i="15"/>
  <c r="H206" i="15"/>
  <c r="H208" i="15"/>
  <c r="H210" i="15"/>
  <c r="H211" i="15"/>
  <c r="H212" i="15"/>
  <c r="H214" i="15"/>
  <c r="H216" i="15"/>
  <c r="H218" i="15"/>
  <c r="H219" i="15"/>
  <c r="H220" i="15"/>
  <c r="H224" i="15"/>
  <c r="H226" i="15"/>
  <c r="H227" i="15"/>
  <c r="H228" i="15"/>
  <c r="H3" i="15"/>
  <c r="AC4" i="14"/>
  <c r="AC5" i="14"/>
  <c r="AC6" i="14"/>
  <c r="AC7" i="14"/>
  <c r="AC8" i="14"/>
  <c r="AC9" i="14"/>
  <c r="AC10" i="14"/>
  <c r="AC11" i="14"/>
  <c r="AC12" i="14"/>
  <c r="AC13" i="14"/>
  <c r="AC14" i="14"/>
  <c r="AC15" i="14"/>
  <c r="AC16" i="14"/>
  <c r="AC17" i="14"/>
  <c r="AC18" i="14"/>
  <c r="AC19" i="14"/>
  <c r="AC20" i="14"/>
  <c r="AC21" i="14"/>
  <c r="AC22" i="14"/>
  <c r="AC23" i="14"/>
  <c r="AC24" i="14"/>
  <c r="AC25" i="14"/>
  <c r="AC26" i="14"/>
  <c r="AC27" i="14"/>
  <c r="AC28" i="14"/>
  <c r="AC29" i="14"/>
  <c r="AC30" i="14"/>
  <c r="AC31" i="14"/>
  <c r="AC32" i="14"/>
  <c r="AC33" i="14"/>
  <c r="AC34" i="14"/>
  <c r="AC35" i="14"/>
  <c r="AC36" i="14"/>
  <c r="AC37" i="14"/>
  <c r="AC38" i="14"/>
  <c r="AC39" i="14"/>
  <c r="AC40" i="14"/>
  <c r="AC41" i="14"/>
  <c r="AC42" i="14"/>
  <c r="AC43" i="14"/>
  <c r="AC44" i="14"/>
  <c r="AC45" i="14"/>
  <c r="AC46" i="14"/>
  <c r="AC47" i="14"/>
  <c r="AC48" i="14"/>
  <c r="AC49" i="14"/>
  <c r="AC50" i="14"/>
  <c r="AC51" i="14"/>
  <c r="AC52" i="14"/>
  <c r="AC53" i="14"/>
  <c r="AC54" i="14"/>
  <c r="AC55" i="14"/>
  <c r="AC56" i="14"/>
  <c r="AC57" i="14"/>
  <c r="AC58" i="14"/>
  <c r="AC59" i="14"/>
  <c r="AC60" i="14"/>
  <c r="AC61" i="14"/>
  <c r="AC62" i="14"/>
  <c r="AC63" i="14"/>
  <c r="AC64" i="14"/>
  <c r="AC65" i="14"/>
  <c r="AC66" i="14"/>
  <c r="AC67" i="14"/>
  <c r="AC68" i="14"/>
  <c r="AC69" i="14"/>
  <c r="AC70" i="14"/>
  <c r="AC71" i="14"/>
  <c r="AC72" i="14"/>
  <c r="AC73" i="14"/>
  <c r="AC74" i="14"/>
  <c r="AC75" i="14"/>
  <c r="AC76" i="14"/>
  <c r="AC77" i="14"/>
  <c r="AC78" i="14"/>
  <c r="AC79" i="14"/>
  <c r="AC80" i="14"/>
  <c r="AC81" i="14"/>
  <c r="AC82" i="14"/>
  <c r="AC83" i="14"/>
  <c r="AC84" i="14"/>
  <c r="AC85" i="14"/>
  <c r="AC86" i="14"/>
  <c r="AC87" i="14"/>
  <c r="AC88" i="14"/>
  <c r="AC89" i="14"/>
  <c r="AC90" i="14"/>
  <c r="AC91" i="14"/>
  <c r="AC92" i="14"/>
  <c r="AC93" i="14"/>
  <c r="AC94" i="14"/>
  <c r="AC95" i="14"/>
  <c r="AC96" i="14"/>
  <c r="AC97" i="14"/>
  <c r="AC98" i="14"/>
  <c r="AC99" i="14"/>
  <c r="AC100" i="14"/>
  <c r="AC101" i="14"/>
  <c r="AC102" i="14"/>
  <c r="AC103" i="14"/>
  <c r="AC104" i="14"/>
  <c r="AC105" i="14"/>
  <c r="AC106" i="14"/>
  <c r="AC107" i="14"/>
  <c r="AC108" i="14"/>
  <c r="AC109" i="14"/>
  <c r="AC110" i="14"/>
  <c r="AC111" i="14"/>
  <c r="AC112" i="14"/>
  <c r="AC113" i="14"/>
  <c r="AC114" i="14"/>
  <c r="AC115" i="14"/>
  <c r="AC116" i="14"/>
  <c r="AC117" i="14"/>
  <c r="AC118" i="14"/>
  <c r="AC119" i="14"/>
  <c r="AC120" i="14"/>
  <c r="AC121" i="14"/>
  <c r="AC122" i="14"/>
  <c r="AC123" i="14"/>
  <c r="AC124" i="14"/>
  <c r="AC125" i="14"/>
  <c r="AC126" i="14"/>
  <c r="AC127" i="14"/>
  <c r="AC128" i="14"/>
  <c r="AC129" i="14"/>
  <c r="AC130" i="14"/>
  <c r="AC131" i="14"/>
  <c r="AC132" i="14"/>
  <c r="AC133" i="14"/>
  <c r="AC134" i="14"/>
  <c r="AC135" i="14"/>
  <c r="AC136" i="14"/>
  <c r="AC137" i="14"/>
  <c r="AC138" i="14"/>
  <c r="AC139" i="14"/>
  <c r="AC140" i="14"/>
  <c r="AC141" i="14"/>
  <c r="AC142" i="14"/>
  <c r="AC143" i="14"/>
  <c r="AC144" i="14"/>
  <c r="AC145" i="14"/>
  <c r="AC146" i="14"/>
  <c r="AC147" i="14"/>
  <c r="AC148" i="14"/>
  <c r="AC149" i="14"/>
  <c r="AC150" i="14"/>
  <c r="AC151" i="14"/>
  <c r="AC152" i="14"/>
  <c r="AC153" i="14"/>
  <c r="AC154" i="14"/>
  <c r="AC155" i="14"/>
  <c r="AC156" i="14"/>
  <c r="AC157" i="14"/>
  <c r="AC158" i="14"/>
  <c r="AC159" i="14"/>
  <c r="AC160" i="14"/>
  <c r="AC161" i="14"/>
  <c r="AC162" i="14"/>
  <c r="AC163" i="14"/>
  <c r="AC164" i="14"/>
  <c r="AC165" i="14"/>
  <c r="AC166" i="14"/>
  <c r="AC167" i="14"/>
  <c r="AC168" i="14"/>
  <c r="AC169" i="14"/>
  <c r="AC170" i="14"/>
  <c r="AC171" i="14"/>
  <c r="AC172" i="14"/>
  <c r="AC173" i="14"/>
  <c r="AC174" i="14"/>
  <c r="AC175" i="14"/>
  <c r="AC176" i="14"/>
  <c r="AC177" i="14"/>
  <c r="AC178" i="14"/>
  <c r="AC179" i="14"/>
  <c r="AC180" i="14"/>
  <c r="AC181" i="14"/>
  <c r="AC182" i="14"/>
  <c r="AC183" i="14"/>
  <c r="AC184" i="14"/>
  <c r="AC185" i="14"/>
  <c r="AC186" i="14"/>
  <c r="AC187" i="14"/>
  <c r="AC188" i="14"/>
  <c r="AC189" i="14"/>
  <c r="AC190" i="14"/>
  <c r="AC191" i="14"/>
  <c r="AC192" i="14"/>
  <c r="AC193" i="14"/>
  <c r="AC194" i="14"/>
  <c r="AC195" i="14"/>
  <c r="AC196" i="14"/>
  <c r="AC197" i="14"/>
  <c r="AC198" i="14"/>
  <c r="AC199" i="14"/>
  <c r="AC200" i="14"/>
  <c r="AC201" i="14"/>
  <c r="AC202" i="14"/>
  <c r="AC203" i="14"/>
  <c r="AC204" i="14"/>
  <c r="AC205" i="14"/>
  <c r="AC206" i="14"/>
  <c r="AC207" i="14"/>
  <c r="AC208" i="14"/>
  <c r="AC209" i="14"/>
  <c r="AC210" i="14"/>
  <c r="AC211" i="14"/>
  <c r="AC212" i="14"/>
  <c r="AC213" i="14"/>
  <c r="AC214" i="14"/>
  <c r="AC215" i="14"/>
  <c r="AC216" i="14"/>
  <c r="AC217" i="14"/>
  <c r="AC218" i="14"/>
  <c r="AC219" i="14"/>
  <c r="AC220" i="14"/>
  <c r="AC221" i="14"/>
  <c r="AC222" i="14"/>
  <c r="AC223" i="14"/>
  <c r="AC224" i="14"/>
  <c r="AC225" i="14"/>
  <c r="AC226" i="14"/>
  <c r="AC227" i="14"/>
  <c r="AC228" i="14"/>
  <c r="AC229" i="14"/>
  <c r="AC230" i="14"/>
  <c r="AC3" i="14"/>
  <c r="Q4" i="15"/>
  <c r="Q5" i="15"/>
  <c r="Q6" i="15"/>
  <c r="Q7" i="15"/>
  <c r="Q8" i="15"/>
  <c r="Q9" i="15"/>
  <c r="Q10" i="15"/>
  <c r="Q11" i="15"/>
  <c r="Q12" i="15"/>
  <c r="Q13" i="15"/>
  <c r="Q14" i="15"/>
  <c r="Q15" i="15"/>
  <c r="Q16" i="15"/>
  <c r="Q17" i="15"/>
  <c r="Q18" i="15"/>
  <c r="Q19" i="15"/>
  <c r="Q20" i="15"/>
  <c r="Q21" i="15"/>
  <c r="Q22" i="15"/>
  <c r="Q23" i="15"/>
  <c r="Q24" i="15"/>
  <c r="Q25" i="15"/>
  <c r="Q26" i="15"/>
  <c r="Q27" i="15"/>
  <c r="Q28" i="15"/>
  <c r="Q29" i="15"/>
  <c r="Q30" i="15"/>
  <c r="Q31" i="15"/>
  <c r="Q32" i="15"/>
  <c r="Q33" i="15"/>
  <c r="Q34" i="15"/>
  <c r="Q35" i="15"/>
  <c r="Q36" i="15"/>
  <c r="Q37" i="15"/>
  <c r="Q38" i="15"/>
  <c r="Q39" i="15"/>
  <c r="Q40" i="15"/>
  <c r="Q41" i="15"/>
  <c r="Q42" i="15"/>
  <c r="Q43" i="15"/>
  <c r="Q44" i="15"/>
  <c r="Q45" i="15"/>
  <c r="Q46" i="15"/>
  <c r="Q47" i="15"/>
  <c r="Q48" i="15"/>
  <c r="Q49" i="15"/>
  <c r="Q50" i="15"/>
  <c r="Q51" i="15"/>
  <c r="Q52" i="15"/>
  <c r="Q53" i="15"/>
  <c r="Q54" i="15"/>
  <c r="Q55" i="15"/>
  <c r="Q56" i="15"/>
  <c r="Q57" i="15"/>
  <c r="Q58" i="15"/>
  <c r="Q59" i="15"/>
  <c r="Q60" i="15"/>
  <c r="Q61" i="15"/>
  <c r="Q62" i="15"/>
  <c r="Q63" i="15"/>
  <c r="Q64" i="15"/>
  <c r="Q65" i="15"/>
  <c r="Q66" i="15"/>
  <c r="Q67" i="15"/>
  <c r="Q68" i="15"/>
  <c r="Q69" i="15"/>
  <c r="Q70" i="15"/>
  <c r="Q71" i="15"/>
  <c r="Q72" i="15"/>
  <c r="Q73" i="15"/>
  <c r="Q74" i="15"/>
  <c r="Q75" i="15"/>
  <c r="Q76" i="15"/>
  <c r="Q77" i="15"/>
  <c r="Q78" i="15"/>
  <c r="Q79" i="15"/>
  <c r="Q80" i="15"/>
  <c r="Q81" i="15"/>
  <c r="Q82" i="15"/>
  <c r="Q83" i="15"/>
  <c r="Q84" i="15"/>
  <c r="Q85" i="15"/>
  <c r="Q86" i="15"/>
  <c r="Q87" i="15"/>
  <c r="Q88" i="15"/>
  <c r="Q89" i="15"/>
  <c r="Q90" i="15"/>
  <c r="Q91" i="15"/>
  <c r="Q92" i="15"/>
  <c r="Q93" i="15"/>
  <c r="Q94" i="15"/>
  <c r="Q95" i="15"/>
  <c r="Q96" i="15"/>
  <c r="Q97" i="15"/>
  <c r="Q98" i="15"/>
  <c r="Q99" i="15"/>
  <c r="Q100" i="15"/>
  <c r="Q101" i="15"/>
  <c r="Q102" i="15"/>
  <c r="Q103" i="15"/>
  <c r="Q104" i="15"/>
  <c r="Q105" i="15"/>
  <c r="Q106" i="15"/>
  <c r="Q107" i="15"/>
  <c r="Q108" i="15"/>
  <c r="Q109" i="15"/>
  <c r="Q110" i="15"/>
  <c r="Q111" i="15"/>
  <c r="Q112" i="15"/>
  <c r="Q113" i="15"/>
  <c r="Q114" i="15"/>
  <c r="Q115" i="15"/>
  <c r="Q116" i="15"/>
  <c r="Q117" i="15"/>
  <c r="Q118" i="15"/>
  <c r="Q119" i="15"/>
  <c r="Q120" i="15"/>
  <c r="Q121" i="15"/>
  <c r="Q122" i="15"/>
  <c r="Q123" i="15"/>
  <c r="Q124" i="15"/>
  <c r="Q125" i="15"/>
  <c r="Q126" i="15"/>
  <c r="Q127" i="15"/>
  <c r="Q128" i="15"/>
  <c r="Q129" i="15"/>
  <c r="Q130" i="15"/>
  <c r="Q131" i="15"/>
  <c r="Q132" i="15"/>
  <c r="Q133" i="15"/>
  <c r="Q134" i="15"/>
  <c r="Q135" i="15"/>
  <c r="Q136" i="15"/>
  <c r="Q137" i="15"/>
  <c r="Q138" i="15"/>
  <c r="Q139" i="15"/>
  <c r="Q140" i="15"/>
  <c r="Q141" i="15"/>
  <c r="Q142" i="15"/>
  <c r="Q143" i="15"/>
  <c r="Q144" i="15"/>
  <c r="Q145" i="15"/>
  <c r="Q146" i="15"/>
  <c r="Q147" i="15"/>
  <c r="Q148" i="15"/>
  <c r="Q149" i="15"/>
  <c r="Q150" i="15"/>
  <c r="Q151" i="15"/>
  <c r="Q152" i="15"/>
  <c r="Q153" i="15"/>
  <c r="Q154" i="15"/>
  <c r="Q155" i="15"/>
  <c r="Q156" i="15"/>
  <c r="Q157" i="15"/>
  <c r="Q158" i="15"/>
  <c r="Q159" i="15"/>
  <c r="Q160" i="15"/>
  <c r="Q161" i="15"/>
  <c r="Q162" i="15"/>
  <c r="Q163" i="15"/>
  <c r="Q164" i="15"/>
  <c r="Q165" i="15"/>
  <c r="Q166" i="15"/>
  <c r="Q167" i="15"/>
  <c r="Q168" i="15"/>
  <c r="Q169" i="15"/>
  <c r="Q170" i="15"/>
  <c r="Q171" i="15"/>
  <c r="Q172" i="15"/>
  <c r="Q173" i="15"/>
  <c r="Q174" i="15"/>
  <c r="Q175" i="15"/>
  <c r="Q176" i="15"/>
  <c r="Q177" i="15"/>
  <c r="Q178" i="15"/>
  <c r="Q179" i="15"/>
  <c r="Q180" i="15"/>
  <c r="Q181" i="15"/>
  <c r="Q182" i="15"/>
  <c r="Q183" i="15"/>
  <c r="Q184" i="15"/>
  <c r="Q185" i="15"/>
  <c r="Q186" i="15"/>
  <c r="Q187" i="15"/>
  <c r="Q188" i="15"/>
  <c r="Q189" i="15"/>
  <c r="Q190" i="15"/>
  <c r="Q191" i="15"/>
  <c r="Q192" i="15"/>
  <c r="Q193" i="15"/>
  <c r="Q194" i="15"/>
  <c r="Q195" i="15"/>
  <c r="Q196" i="15"/>
  <c r="Q197" i="15"/>
  <c r="Q198" i="15"/>
  <c r="Q199" i="15"/>
  <c r="Q200" i="15"/>
  <c r="Q201" i="15"/>
  <c r="Q202" i="15"/>
  <c r="Q203" i="15"/>
  <c r="Q204" i="15"/>
  <c r="Q205" i="15"/>
  <c r="Q206" i="15"/>
  <c r="Q207" i="15"/>
  <c r="Q208" i="15"/>
  <c r="Q209" i="15"/>
  <c r="Q210" i="15"/>
  <c r="Q211" i="15"/>
  <c r="Q212" i="15"/>
  <c r="Q213" i="15"/>
  <c r="Q214" i="15"/>
  <c r="Q215" i="15"/>
  <c r="Q216" i="15"/>
  <c r="Q217" i="15"/>
  <c r="Q218" i="15"/>
  <c r="Q219" i="15"/>
  <c r="Q220" i="15"/>
  <c r="Q221" i="15"/>
  <c r="Q222" i="15"/>
  <c r="Q223" i="15"/>
  <c r="Q224" i="15"/>
  <c r="Q225" i="15"/>
  <c r="Q226" i="15"/>
  <c r="Q227" i="15"/>
  <c r="Q228" i="15"/>
  <c r="Q229" i="15"/>
  <c r="Q230" i="15"/>
  <c r="Q3" i="15"/>
  <c r="AI4" i="5"/>
  <c r="AI5" i="5"/>
  <c r="AI6" i="5"/>
  <c r="AI7" i="5"/>
  <c r="AI8" i="5"/>
  <c r="AI9" i="5"/>
  <c r="AI10" i="5"/>
  <c r="AI11" i="5"/>
  <c r="AI12" i="5"/>
  <c r="AI13" i="5"/>
  <c r="AI14" i="5"/>
  <c r="AI15" i="5"/>
  <c r="AI16" i="5"/>
  <c r="AI17" i="5"/>
  <c r="AI18" i="5"/>
  <c r="AI19" i="5"/>
  <c r="AI20" i="5"/>
  <c r="AI21" i="5"/>
  <c r="AI22" i="5"/>
  <c r="AI23" i="5"/>
  <c r="AI24" i="5"/>
  <c r="AI25" i="5"/>
  <c r="AI26" i="5"/>
  <c r="AI27" i="5"/>
  <c r="AI28" i="5"/>
  <c r="AI29" i="5"/>
  <c r="AI30" i="5"/>
  <c r="AI31" i="5"/>
  <c r="AI32" i="5"/>
  <c r="AI33" i="5"/>
  <c r="AI34" i="5"/>
  <c r="AI35" i="5"/>
  <c r="AI36" i="5"/>
  <c r="AI37" i="5"/>
  <c r="AI38" i="5"/>
  <c r="AI39" i="5"/>
  <c r="AI40" i="5"/>
  <c r="AI41" i="5"/>
  <c r="AI42" i="5"/>
  <c r="AI43" i="5"/>
  <c r="AI44" i="5"/>
  <c r="AI45" i="5"/>
  <c r="AI46" i="5"/>
  <c r="AI47" i="5"/>
  <c r="AI48" i="5"/>
  <c r="AI49" i="5"/>
  <c r="AI50" i="5"/>
  <c r="AI51" i="5"/>
  <c r="AI52" i="5"/>
  <c r="AI53" i="5"/>
  <c r="AI54" i="5"/>
  <c r="AI55" i="5"/>
  <c r="AI56" i="5"/>
  <c r="AI57" i="5"/>
  <c r="AI58" i="5"/>
  <c r="AI59" i="5"/>
  <c r="AI60" i="5"/>
  <c r="AI61" i="5"/>
  <c r="AI62" i="5"/>
  <c r="AI63" i="5"/>
  <c r="AI64" i="5"/>
  <c r="AI65" i="5"/>
  <c r="AI66" i="5"/>
  <c r="AI67" i="5"/>
  <c r="AI68" i="5"/>
  <c r="AI69" i="5"/>
  <c r="AI70" i="5"/>
  <c r="AI71" i="5"/>
  <c r="AI72" i="5"/>
  <c r="AI73" i="5"/>
  <c r="AI74" i="5"/>
  <c r="AI75" i="5"/>
  <c r="AI76" i="5"/>
  <c r="AI77" i="5"/>
  <c r="AI78" i="5"/>
  <c r="AI79" i="5"/>
  <c r="AI80" i="5"/>
  <c r="AI81" i="5"/>
  <c r="AI82" i="5"/>
  <c r="AI83" i="5"/>
  <c r="AI84" i="5"/>
  <c r="AI85" i="5"/>
  <c r="AI86" i="5"/>
  <c r="AI87" i="5"/>
  <c r="AI88" i="5"/>
  <c r="AI89" i="5"/>
  <c r="AI90" i="5"/>
  <c r="AI91" i="5"/>
  <c r="AI92" i="5"/>
  <c r="AI93" i="5"/>
  <c r="AI94" i="5"/>
  <c r="AI95" i="5"/>
  <c r="AI96" i="5"/>
  <c r="AI97" i="5"/>
  <c r="AI98" i="5"/>
  <c r="AI99" i="5"/>
  <c r="AI100" i="5"/>
  <c r="AI101" i="5"/>
  <c r="AI102" i="5"/>
  <c r="AI103" i="5"/>
  <c r="AI104" i="5"/>
  <c r="AI105" i="5"/>
  <c r="AI106" i="5"/>
  <c r="AI107" i="5"/>
  <c r="AI108" i="5"/>
  <c r="AI109" i="5"/>
  <c r="AI110" i="5"/>
  <c r="AI111" i="5"/>
  <c r="AI112" i="5"/>
  <c r="AI113" i="5"/>
  <c r="AI114" i="5"/>
  <c r="AI115" i="5"/>
  <c r="AI116" i="5"/>
  <c r="AI117" i="5"/>
  <c r="AI118" i="5"/>
  <c r="AI119" i="5"/>
  <c r="AI120" i="5"/>
  <c r="AI121" i="5"/>
  <c r="AI122" i="5"/>
  <c r="AI123" i="5"/>
  <c r="AI124" i="5"/>
  <c r="AI125" i="5"/>
  <c r="AI126" i="5"/>
  <c r="AI127" i="5"/>
  <c r="AI128" i="5"/>
  <c r="AI129" i="5"/>
  <c r="AI130" i="5"/>
  <c r="AI131" i="5"/>
  <c r="AI132" i="5"/>
  <c r="AI133" i="5"/>
  <c r="AI134" i="5"/>
  <c r="AI135" i="5"/>
  <c r="AI136" i="5"/>
  <c r="AI137" i="5"/>
  <c r="AI138" i="5"/>
  <c r="AI139" i="5"/>
  <c r="AI140" i="5"/>
  <c r="AI141" i="5"/>
  <c r="AI142" i="5"/>
  <c r="AI143" i="5"/>
  <c r="AI144" i="5"/>
  <c r="AI145" i="5"/>
  <c r="AI146" i="5"/>
  <c r="AI147" i="5"/>
  <c r="AI148" i="5"/>
  <c r="AI149" i="5"/>
  <c r="AI150" i="5"/>
  <c r="AI151" i="5"/>
  <c r="AI152" i="5"/>
  <c r="AI153" i="5"/>
  <c r="AI154" i="5"/>
  <c r="AI155" i="5"/>
  <c r="AI156" i="5"/>
  <c r="AI157" i="5"/>
  <c r="AI158" i="5"/>
  <c r="AI159" i="5"/>
  <c r="AI160" i="5"/>
  <c r="AI161" i="5"/>
  <c r="AI162" i="5"/>
  <c r="AI163" i="5"/>
  <c r="AI164" i="5"/>
  <c r="AI165" i="5"/>
  <c r="AI166" i="5"/>
  <c r="AI167" i="5"/>
  <c r="AI168" i="5"/>
  <c r="AI169" i="5"/>
  <c r="AI170" i="5"/>
  <c r="AI171" i="5"/>
  <c r="AI172" i="5"/>
  <c r="AI173" i="5"/>
  <c r="AI174" i="5"/>
  <c r="AI175" i="5"/>
  <c r="AI176" i="5"/>
  <c r="AI177" i="5"/>
  <c r="AI178" i="5"/>
  <c r="AI179" i="5"/>
  <c r="AI180" i="5"/>
  <c r="AI181" i="5"/>
  <c r="AI182" i="5"/>
  <c r="AI183" i="5"/>
  <c r="AI184" i="5"/>
  <c r="AI185" i="5"/>
  <c r="AI186" i="5"/>
  <c r="AI187" i="5"/>
  <c r="AI188" i="5"/>
  <c r="AI189" i="5"/>
  <c r="AI190" i="5"/>
  <c r="AI191" i="5"/>
  <c r="AI192" i="5"/>
  <c r="AI193" i="5"/>
  <c r="AI194" i="5"/>
  <c r="AI195" i="5"/>
  <c r="AI196" i="5"/>
  <c r="AI197" i="5"/>
  <c r="AI198" i="5"/>
  <c r="AI199" i="5"/>
  <c r="AI200" i="5"/>
  <c r="AI201" i="5"/>
  <c r="AI202" i="5"/>
  <c r="AI203" i="5"/>
  <c r="AI204" i="5"/>
  <c r="AI205" i="5"/>
  <c r="AI206" i="5"/>
  <c r="AI207" i="5"/>
  <c r="AI208" i="5"/>
  <c r="AI209" i="5"/>
  <c r="AI210" i="5"/>
  <c r="AI211" i="5"/>
  <c r="AI212" i="5"/>
  <c r="AI213" i="5"/>
  <c r="AI214" i="5"/>
  <c r="AI215" i="5"/>
  <c r="AI216" i="5"/>
  <c r="AI217" i="5"/>
  <c r="AI218" i="5"/>
  <c r="AI219" i="5"/>
  <c r="AI220" i="5"/>
  <c r="AI221" i="5"/>
  <c r="AI222" i="5"/>
  <c r="AI223" i="5"/>
  <c r="AI224" i="5"/>
  <c r="AI225" i="5"/>
  <c r="AI226" i="5"/>
  <c r="AI227" i="5"/>
  <c r="AI228" i="5"/>
  <c r="AI229" i="5"/>
  <c r="AI230" i="5"/>
  <c r="AI3" i="5"/>
  <c r="AI4" i="14"/>
  <c r="AI5" i="14"/>
  <c r="AI6" i="14"/>
  <c r="AI7" i="14"/>
  <c r="AI8" i="14"/>
  <c r="AI9" i="14"/>
  <c r="AI10" i="14"/>
  <c r="AI11" i="14"/>
  <c r="AI12" i="14"/>
  <c r="AI13" i="14"/>
  <c r="AI14" i="14"/>
  <c r="AI15" i="14"/>
  <c r="AI16" i="14"/>
  <c r="AI17" i="14"/>
  <c r="AI18" i="14"/>
  <c r="AI19" i="14"/>
  <c r="AI20" i="14"/>
  <c r="AI21" i="14"/>
  <c r="AI22" i="14"/>
  <c r="AI23" i="14"/>
  <c r="AI24" i="14"/>
  <c r="AI25" i="14"/>
  <c r="AI26" i="14"/>
  <c r="AI27" i="14"/>
  <c r="AI28" i="14"/>
  <c r="AI29" i="14"/>
  <c r="AI30" i="14"/>
  <c r="AI31" i="14"/>
  <c r="AI32" i="14"/>
  <c r="AI33" i="14"/>
  <c r="AI34" i="14"/>
  <c r="AI35" i="14"/>
  <c r="AI36" i="14"/>
  <c r="AI37" i="14"/>
  <c r="AI38" i="14"/>
  <c r="AI39" i="14"/>
  <c r="AI40" i="14"/>
  <c r="AI41" i="14"/>
  <c r="AI42" i="14"/>
  <c r="AI43" i="14"/>
  <c r="AI44" i="14"/>
  <c r="AI45" i="14"/>
  <c r="AI46" i="14"/>
  <c r="AI47" i="14"/>
  <c r="AI48" i="14"/>
  <c r="AI49" i="14"/>
  <c r="AI50" i="14"/>
  <c r="AI51" i="14"/>
  <c r="AI52" i="14"/>
  <c r="AI53" i="14"/>
  <c r="AI54" i="14"/>
  <c r="AI55" i="14"/>
  <c r="AI56" i="14"/>
  <c r="AI57" i="14"/>
  <c r="AI58" i="14"/>
  <c r="AI59" i="14"/>
  <c r="AI60" i="14"/>
  <c r="AI61" i="14"/>
  <c r="AI62" i="14"/>
  <c r="AI63" i="14"/>
  <c r="AI64" i="14"/>
  <c r="AI65" i="14"/>
  <c r="AI66" i="14"/>
  <c r="AI67" i="14"/>
  <c r="AI68" i="14"/>
  <c r="AI69" i="14"/>
  <c r="AI70" i="14"/>
  <c r="AI71" i="14"/>
  <c r="AI72" i="14"/>
  <c r="AI73" i="14"/>
  <c r="AI74" i="14"/>
  <c r="AI75" i="14"/>
  <c r="AI76" i="14"/>
  <c r="AI77" i="14"/>
  <c r="AI78" i="14"/>
  <c r="AI79" i="14"/>
  <c r="AI80" i="14"/>
  <c r="AI81" i="14"/>
  <c r="AI82" i="14"/>
  <c r="AI83" i="14"/>
  <c r="AI84" i="14"/>
  <c r="AI85" i="14"/>
  <c r="AI86" i="14"/>
  <c r="AI87" i="14"/>
  <c r="AI88" i="14"/>
  <c r="AI89" i="14"/>
  <c r="AI90" i="14"/>
  <c r="AI91" i="14"/>
  <c r="AI92" i="14"/>
  <c r="AI93" i="14"/>
  <c r="AI94" i="14"/>
  <c r="AI95" i="14"/>
  <c r="AI96" i="14"/>
  <c r="AI97" i="14"/>
  <c r="AI98" i="14"/>
  <c r="AI99" i="14"/>
  <c r="AI100" i="14"/>
  <c r="AI101" i="14"/>
  <c r="AI102" i="14"/>
  <c r="AI103" i="14"/>
  <c r="AI104" i="14"/>
  <c r="AI105" i="14"/>
  <c r="AI106" i="14"/>
  <c r="AI107" i="14"/>
  <c r="AI108" i="14"/>
  <c r="AI109" i="14"/>
  <c r="AI110" i="14"/>
  <c r="AI111" i="14"/>
  <c r="AI112" i="14"/>
  <c r="AI113" i="14"/>
  <c r="AI114" i="14"/>
  <c r="AI115" i="14"/>
  <c r="AI116" i="14"/>
  <c r="AI117" i="14"/>
  <c r="AI118" i="14"/>
  <c r="AI119" i="14"/>
  <c r="AI120" i="14"/>
  <c r="AI121" i="14"/>
  <c r="AI122" i="14"/>
  <c r="AI123" i="14"/>
  <c r="AI124" i="14"/>
  <c r="AI125" i="14"/>
  <c r="AI126" i="14"/>
  <c r="AI127" i="14"/>
  <c r="AI128" i="14"/>
  <c r="AI129" i="14"/>
  <c r="AI130" i="14"/>
  <c r="AI131" i="14"/>
  <c r="AI132" i="14"/>
  <c r="AI133" i="14"/>
  <c r="AI134" i="14"/>
  <c r="AI135" i="14"/>
  <c r="AI136" i="14"/>
  <c r="AI137" i="14"/>
  <c r="AI138" i="14"/>
  <c r="AI139" i="14"/>
  <c r="AI140" i="14"/>
  <c r="AI141" i="14"/>
  <c r="AI142" i="14"/>
  <c r="AI143" i="14"/>
  <c r="AI144" i="14"/>
  <c r="AI145" i="14"/>
  <c r="AI146" i="14"/>
  <c r="AI147" i="14"/>
  <c r="AI148" i="14"/>
  <c r="AI149" i="14"/>
  <c r="AI150" i="14"/>
  <c r="AI151" i="14"/>
  <c r="AI152" i="14"/>
  <c r="AI153" i="14"/>
  <c r="AI154" i="14"/>
  <c r="AI155" i="14"/>
  <c r="AI156" i="14"/>
  <c r="AI157" i="14"/>
  <c r="AI158" i="14"/>
  <c r="AI159" i="14"/>
  <c r="AI160" i="14"/>
  <c r="AI161" i="14"/>
  <c r="AI162" i="14"/>
  <c r="AI163" i="14"/>
  <c r="AI164" i="14"/>
  <c r="AI165" i="14"/>
  <c r="AI166" i="14"/>
  <c r="AI167" i="14"/>
  <c r="AI168" i="14"/>
  <c r="AI169" i="14"/>
  <c r="AI170" i="14"/>
  <c r="AI171" i="14"/>
  <c r="AI172" i="14"/>
  <c r="AI173" i="14"/>
  <c r="AI174" i="14"/>
  <c r="AI175" i="14"/>
  <c r="AI176" i="14"/>
  <c r="AI177" i="14"/>
  <c r="AI178" i="14"/>
  <c r="AI179" i="14"/>
  <c r="AI180" i="14"/>
  <c r="AI181" i="14"/>
  <c r="AI182" i="14"/>
  <c r="AI183" i="14"/>
  <c r="AI184" i="14"/>
  <c r="AI185" i="14"/>
  <c r="AI186" i="14"/>
  <c r="AI187" i="14"/>
  <c r="AI188" i="14"/>
  <c r="AI189" i="14"/>
  <c r="AI190" i="14"/>
  <c r="AI191" i="14"/>
  <c r="AI192" i="14"/>
  <c r="AI193" i="14"/>
  <c r="AI194" i="14"/>
  <c r="AI195" i="14"/>
  <c r="AI196" i="14"/>
  <c r="AI197" i="14"/>
  <c r="AI198" i="14"/>
  <c r="AI199" i="14"/>
  <c r="AI200" i="14"/>
  <c r="AI201" i="14"/>
  <c r="AI202" i="14"/>
  <c r="AI203" i="14"/>
  <c r="AI204" i="14"/>
  <c r="AI205" i="14"/>
  <c r="AI206" i="14"/>
  <c r="AI207" i="14"/>
  <c r="AI208" i="14"/>
  <c r="AI209" i="14"/>
  <c r="AI210" i="14"/>
  <c r="AI211" i="14"/>
  <c r="AI212" i="14"/>
  <c r="AI213" i="14"/>
  <c r="AI214" i="14"/>
  <c r="AI215" i="14"/>
  <c r="AI216" i="14"/>
  <c r="AI217" i="14"/>
  <c r="AI218" i="14"/>
  <c r="AI219" i="14"/>
  <c r="AI220" i="14"/>
  <c r="AI221" i="14"/>
  <c r="AI222" i="14"/>
  <c r="AI223" i="14"/>
  <c r="AI224" i="14"/>
  <c r="AI225" i="14"/>
  <c r="AI226" i="14"/>
  <c r="AI227" i="14"/>
  <c r="AI228" i="14"/>
  <c r="AI229" i="14"/>
  <c r="AI230" i="14"/>
  <c r="AI3" i="14"/>
  <c r="L4" i="15"/>
  <c r="L5" i="15"/>
  <c r="L6" i="15"/>
  <c r="L7" i="15"/>
  <c r="L8" i="15"/>
  <c r="L9" i="15"/>
  <c r="L10" i="15"/>
  <c r="L11" i="15"/>
  <c r="L12" i="15"/>
  <c r="L13" i="15"/>
  <c r="L14" i="15"/>
  <c r="L15" i="15"/>
  <c r="L16" i="15"/>
  <c r="L17" i="15"/>
  <c r="L18" i="15"/>
  <c r="L19" i="15"/>
  <c r="L20" i="15"/>
  <c r="L21" i="15"/>
  <c r="L22" i="15"/>
  <c r="L23" i="15"/>
  <c r="L24" i="15"/>
  <c r="L25" i="15"/>
  <c r="L26" i="15"/>
  <c r="L27" i="15"/>
  <c r="L28" i="15"/>
  <c r="L29" i="15"/>
  <c r="L30" i="15"/>
  <c r="L31" i="15"/>
  <c r="L32" i="15"/>
  <c r="L33" i="15"/>
  <c r="L34" i="15"/>
  <c r="L35" i="15"/>
  <c r="L36" i="15"/>
  <c r="L37" i="15"/>
  <c r="L38" i="15"/>
  <c r="L39" i="15"/>
  <c r="L40" i="15"/>
  <c r="L41" i="15"/>
  <c r="L42" i="15"/>
  <c r="L43" i="15"/>
  <c r="L44" i="15"/>
  <c r="L45" i="15"/>
  <c r="L46" i="15"/>
  <c r="L47" i="15"/>
  <c r="L48" i="15"/>
  <c r="L49" i="15"/>
  <c r="L50" i="15"/>
  <c r="L51" i="15"/>
  <c r="L52" i="15"/>
  <c r="L53" i="15"/>
  <c r="L54" i="15"/>
  <c r="L55" i="15"/>
  <c r="L56" i="15"/>
  <c r="L57" i="15"/>
  <c r="L58" i="15"/>
  <c r="L59" i="15"/>
  <c r="L60" i="15"/>
  <c r="L61" i="15"/>
  <c r="L62" i="15"/>
  <c r="L63" i="15"/>
  <c r="L64" i="15"/>
  <c r="L65" i="15"/>
  <c r="L66" i="15"/>
  <c r="L67" i="15"/>
  <c r="L68" i="15"/>
  <c r="L69" i="15"/>
  <c r="L70" i="15"/>
  <c r="L71" i="15"/>
  <c r="L72" i="15"/>
  <c r="L73" i="15"/>
  <c r="L74" i="15"/>
  <c r="L75" i="15"/>
  <c r="L76" i="15"/>
  <c r="L77" i="15"/>
  <c r="L78" i="15"/>
  <c r="L79" i="15"/>
  <c r="L80" i="15"/>
  <c r="L81" i="15"/>
  <c r="L82" i="15"/>
  <c r="L83" i="15"/>
  <c r="L84" i="15"/>
  <c r="L85" i="15"/>
  <c r="L86" i="15"/>
  <c r="L87" i="15"/>
  <c r="L88" i="15"/>
  <c r="L89" i="15"/>
  <c r="L90" i="15"/>
  <c r="L91" i="15"/>
  <c r="L92" i="15"/>
  <c r="L93" i="15"/>
  <c r="L94" i="15"/>
  <c r="L95" i="15"/>
  <c r="L96" i="15"/>
  <c r="L97" i="15"/>
  <c r="L98" i="15"/>
  <c r="L99" i="15"/>
  <c r="L100" i="15"/>
  <c r="L101" i="15"/>
  <c r="L102" i="15"/>
  <c r="L103" i="15"/>
  <c r="L104" i="15"/>
  <c r="L105" i="15"/>
  <c r="L106" i="15"/>
  <c r="L107" i="15"/>
  <c r="L108" i="15"/>
  <c r="L109" i="15"/>
  <c r="L110" i="15"/>
  <c r="L111" i="15"/>
  <c r="L112" i="15"/>
  <c r="L113" i="15"/>
  <c r="L114" i="15"/>
  <c r="L115" i="15"/>
  <c r="L116" i="15"/>
  <c r="L117" i="15"/>
  <c r="L118" i="15"/>
  <c r="L119" i="15"/>
  <c r="L120" i="15"/>
  <c r="L121" i="15"/>
  <c r="L122" i="15"/>
  <c r="L123" i="15"/>
  <c r="L124" i="15"/>
  <c r="L125" i="15"/>
  <c r="L126" i="15"/>
  <c r="L127" i="15"/>
  <c r="L128" i="15"/>
  <c r="L129" i="15"/>
  <c r="L130" i="15"/>
  <c r="L131" i="15"/>
  <c r="L132" i="15"/>
  <c r="L133" i="15"/>
  <c r="L134" i="15"/>
  <c r="L135" i="15"/>
  <c r="L136" i="15"/>
  <c r="L137" i="15"/>
  <c r="L138" i="15"/>
  <c r="L139" i="15"/>
  <c r="L140" i="15"/>
  <c r="L141" i="15"/>
  <c r="L142" i="15"/>
  <c r="L143" i="15"/>
  <c r="L144" i="15"/>
  <c r="L145" i="15"/>
  <c r="L146" i="15"/>
  <c r="L147" i="15"/>
  <c r="L148" i="15"/>
  <c r="L149" i="15"/>
  <c r="L150" i="15"/>
  <c r="L151" i="15"/>
  <c r="L152" i="15"/>
  <c r="L153" i="15"/>
  <c r="L154" i="15"/>
  <c r="L155" i="15"/>
  <c r="L156" i="15"/>
  <c r="L157" i="15"/>
  <c r="L158" i="15"/>
  <c r="L159" i="15"/>
  <c r="L160" i="15"/>
  <c r="L161" i="15"/>
  <c r="L162" i="15"/>
  <c r="L163" i="15"/>
  <c r="L164" i="15"/>
  <c r="L165" i="15"/>
  <c r="L166" i="15"/>
  <c r="L167" i="15"/>
  <c r="L168" i="15"/>
  <c r="L169" i="15"/>
  <c r="L170" i="15"/>
  <c r="L171" i="15"/>
  <c r="L172" i="15"/>
  <c r="L173" i="15"/>
  <c r="L174" i="15"/>
  <c r="L175" i="15"/>
  <c r="L176" i="15"/>
  <c r="L177" i="15"/>
  <c r="L178" i="15"/>
  <c r="L179" i="15"/>
  <c r="L180" i="15"/>
  <c r="L181" i="15"/>
  <c r="L182" i="15"/>
  <c r="L183" i="15"/>
  <c r="L184" i="15"/>
  <c r="L185" i="15"/>
  <c r="L186" i="15"/>
  <c r="L187" i="15"/>
  <c r="L188" i="15"/>
  <c r="L189" i="15"/>
  <c r="L190" i="15"/>
  <c r="L191" i="15"/>
  <c r="L192" i="15"/>
  <c r="L193" i="15"/>
  <c r="L194" i="15"/>
  <c r="L195" i="15"/>
  <c r="L196" i="15"/>
  <c r="L197" i="15"/>
  <c r="L198" i="15"/>
  <c r="L199" i="15"/>
  <c r="L200" i="15"/>
  <c r="L201" i="15"/>
  <c r="L202" i="15"/>
  <c r="L203" i="15"/>
  <c r="L204" i="15"/>
  <c r="L205" i="15"/>
  <c r="L206" i="15"/>
  <c r="L207" i="15"/>
  <c r="L208" i="15"/>
  <c r="L209" i="15"/>
  <c r="L210" i="15"/>
  <c r="L211" i="15"/>
  <c r="L212" i="15"/>
  <c r="L213" i="15"/>
  <c r="L214" i="15"/>
  <c r="L215" i="15"/>
  <c r="L216" i="15"/>
  <c r="L217" i="15"/>
  <c r="L218" i="15"/>
  <c r="L219" i="15"/>
  <c r="L220" i="15"/>
  <c r="L221" i="15"/>
  <c r="L222" i="15"/>
  <c r="L223" i="15"/>
  <c r="L224" i="15"/>
  <c r="L225" i="15"/>
  <c r="L226" i="15"/>
  <c r="L227" i="15"/>
  <c r="L228" i="15"/>
  <c r="L229" i="15"/>
  <c r="L230" i="15"/>
  <c r="L3" i="15"/>
  <c r="T4" i="15"/>
  <c r="T6" i="15"/>
  <c r="T9" i="15"/>
  <c r="T10" i="15"/>
  <c r="T12" i="15"/>
  <c r="T14" i="15"/>
  <c r="T17" i="15"/>
  <c r="T18" i="15"/>
  <c r="T20" i="15"/>
  <c r="T22" i="15"/>
  <c r="T26" i="15"/>
  <c r="T28" i="15"/>
  <c r="T30" i="15"/>
  <c r="T33" i="15"/>
  <c r="T34" i="15"/>
  <c r="T35" i="15"/>
  <c r="T36" i="15"/>
  <c r="T41" i="15"/>
  <c r="T43" i="15"/>
  <c r="T44" i="15"/>
  <c r="T46" i="15"/>
  <c r="T49" i="15"/>
  <c r="T50" i="15"/>
  <c r="T52" i="15"/>
  <c r="T54" i="15"/>
  <c r="T57" i="15"/>
  <c r="T58" i="15"/>
  <c r="T60" i="15"/>
  <c r="T62" i="15"/>
  <c r="T65" i="15"/>
  <c r="T66" i="15"/>
  <c r="T68" i="15"/>
  <c r="T73" i="15"/>
  <c r="T74" i="15"/>
  <c r="T76" i="15"/>
  <c r="T78" i="15"/>
  <c r="T81" i="15"/>
  <c r="T82" i="15"/>
  <c r="T84" i="15"/>
  <c r="T86" i="15"/>
  <c r="T90" i="15"/>
  <c r="T92" i="15"/>
  <c r="T94" i="15"/>
  <c r="T97" i="15"/>
  <c r="T98" i="15"/>
  <c r="T100" i="15"/>
  <c r="T102" i="15"/>
  <c r="T105" i="15"/>
  <c r="T106" i="15"/>
  <c r="T108" i="15"/>
  <c r="T110" i="15"/>
  <c r="T113" i="15"/>
  <c r="T114" i="15"/>
  <c r="T115" i="15"/>
  <c r="T116" i="15"/>
  <c r="T118" i="15"/>
  <c r="T121" i="15"/>
  <c r="T122" i="15"/>
  <c r="T124" i="15"/>
  <c r="T126" i="15"/>
  <c r="T129" i="15"/>
  <c r="T130" i="15"/>
  <c r="T132" i="15"/>
  <c r="T134" i="15"/>
  <c r="T137" i="15"/>
  <c r="T138" i="15"/>
  <c r="T140" i="15"/>
  <c r="T142" i="15"/>
  <c r="T145" i="15"/>
  <c r="T146" i="15"/>
  <c r="T147" i="15"/>
  <c r="T148" i="15"/>
  <c r="T150" i="15"/>
  <c r="T153" i="15"/>
  <c r="T154" i="15"/>
  <c r="T156" i="15"/>
  <c r="T158" i="15"/>
  <c r="T162" i="15"/>
  <c r="T163" i="15"/>
  <c r="T164" i="15"/>
  <c r="T166" i="15"/>
  <c r="T169" i="15"/>
  <c r="T170" i="15"/>
  <c r="T172" i="15"/>
  <c r="T174" i="15"/>
  <c r="T177" i="15"/>
  <c r="T178" i="15"/>
  <c r="T179" i="15"/>
  <c r="T180" i="15"/>
  <c r="T182" i="15"/>
  <c r="T185" i="15"/>
  <c r="T186" i="15"/>
  <c r="T188" i="15"/>
  <c r="T190" i="15"/>
  <c r="T193" i="15"/>
  <c r="T194" i="15"/>
  <c r="T196" i="15"/>
  <c r="T198" i="15"/>
  <c r="T201" i="15"/>
  <c r="T202" i="15"/>
  <c r="T204" i="15"/>
  <c r="T206" i="15"/>
  <c r="T209" i="15"/>
  <c r="T210" i="15"/>
  <c r="T212" i="15"/>
  <c r="T214" i="15"/>
  <c r="T217" i="15"/>
  <c r="T218" i="15"/>
  <c r="T220" i="15"/>
  <c r="T222" i="15"/>
  <c r="T225" i="15"/>
  <c r="T226" i="15"/>
  <c r="T228" i="15"/>
  <c r="T230" i="15"/>
  <c r="T3" i="15"/>
  <c r="T25" i="15"/>
  <c r="T89" i="15"/>
  <c r="T161" i="15"/>
  <c r="T223" i="15"/>
  <c r="O8" i="15"/>
  <c r="O16" i="15"/>
  <c r="O18" i="15"/>
  <c r="O24" i="15"/>
  <c r="O26" i="15"/>
  <c r="O30" i="15"/>
  <c r="O32" i="15"/>
  <c r="O40" i="15"/>
  <c r="O42" i="15"/>
  <c r="O48" i="15"/>
  <c r="O56" i="15"/>
  <c r="O58" i="15"/>
  <c r="O72" i="15"/>
  <c r="O80" i="15"/>
  <c r="O82" i="15"/>
  <c r="O90" i="15"/>
  <c r="O98" i="15"/>
  <c r="O104" i="15"/>
  <c r="O120" i="15"/>
  <c r="O122" i="15"/>
  <c r="O128" i="15"/>
  <c r="O138" i="15"/>
  <c r="O144" i="15"/>
  <c r="O168" i="15"/>
  <c r="O170" i="15"/>
  <c r="O184" i="15"/>
  <c r="O186" i="15"/>
  <c r="O194" i="15"/>
  <c r="O200" i="15"/>
  <c r="O218" i="15"/>
  <c r="O224" i="15"/>
  <c r="O228" i="15"/>
  <c r="O220" i="15"/>
  <c r="O132" i="15"/>
  <c r="T229" i="15"/>
  <c r="T224" i="15"/>
  <c r="O223" i="15"/>
  <c r="T221" i="15"/>
  <c r="O217" i="15"/>
  <c r="T216" i="15"/>
  <c r="O215" i="15"/>
  <c r="T213" i="15"/>
  <c r="T208" i="15"/>
  <c r="O207" i="15"/>
  <c r="O204" i="15"/>
  <c r="T200" i="15"/>
  <c r="T199" i="15"/>
  <c r="O199" i="15"/>
  <c r="O193" i="15"/>
  <c r="T192" i="15"/>
  <c r="O191" i="15"/>
  <c r="T187" i="15"/>
  <c r="T184" i="15"/>
  <c r="O183" i="15"/>
  <c r="O178" i="15"/>
  <c r="T176" i="15"/>
  <c r="T175" i="15"/>
  <c r="O175" i="15"/>
  <c r="T168" i="15"/>
  <c r="O167" i="15"/>
  <c r="T160" i="15"/>
  <c r="O160" i="15"/>
  <c r="O159" i="15"/>
  <c r="T157" i="15"/>
  <c r="O153" i="15"/>
  <c r="T152" i="15"/>
  <c r="T151" i="15"/>
  <c r="O151" i="15"/>
  <c r="T144" i="15"/>
  <c r="O143" i="15"/>
  <c r="T136" i="15"/>
  <c r="O135" i="15"/>
  <c r="T133" i="15"/>
  <c r="O129" i="15"/>
  <c r="T128" i="15"/>
  <c r="T127" i="15"/>
  <c r="O127" i="15"/>
  <c r="O121" i="15"/>
  <c r="T120" i="15"/>
  <c r="O119" i="15"/>
  <c r="T112" i="15"/>
  <c r="O111" i="15"/>
  <c r="T104" i="15"/>
  <c r="T103" i="15"/>
  <c r="O103" i="15"/>
  <c r="T96" i="15"/>
  <c r="O96" i="15"/>
  <c r="O95" i="15"/>
  <c r="T91" i="15"/>
  <c r="O89" i="15"/>
  <c r="T88" i="15"/>
  <c r="O87" i="15"/>
  <c r="T85" i="15"/>
  <c r="T80" i="15"/>
  <c r="T79" i="15"/>
  <c r="O79" i="15"/>
  <c r="T75" i="15"/>
  <c r="T72" i="15"/>
  <c r="O71" i="15"/>
  <c r="T70" i="15"/>
  <c r="T69" i="15"/>
  <c r="T67" i="15"/>
  <c r="T64" i="15"/>
  <c r="O63" i="15"/>
  <c r="T61" i="15"/>
  <c r="O60" i="15"/>
  <c r="T56" i="15"/>
  <c r="T55" i="15"/>
  <c r="O55" i="15"/>
  <c r="T48" i="15"/>
  <c r="O47" i="15"/>
  <c r="T40" i="15"/>
  <c r="O39" i="15"/>
  <c r="T38" i="15"/>
  <c r="T32" i="15"/>
  <c r="O31" i="15"/>
  <c r="T29" i="15"/>
  <c r="T24" i="15"/>
  <c r="T23" i="15"/>
  <c r="O23" i="15"/>
  <c r="O20" i="15"/>
  <c r="O17" i="15"/>
  <c r="T16" i="15"/>
  <c r="O15" i="15"/>
  <c r="T11" i="15"/>
  <c r="T8" i="15"/>
  <c r="O7" i="15"/>
  <c r="G5" i="15"/>
  <c r="G6" i="15"/>
  <c r="G8" i="15"/>
  <c r="G13" i="15"/>
  <c r="G14" i="15"/>
  <c r="G16" i="15"/>
  <c r="G21" i="15"/>
  <c r="G22" i="15"/>
  <c r="G24" i="15"/>
  <c r="G29" i="15"/>
  <c r="G30" i="15"/>
  <c r="G32" i="15"/>
  <c r="G37" i="15"/>
  <c r="G40" i="15"/>
  <c r="G45" i="15"/>
  <c r="G46" i="15"/>
  <c r="G53" i="15"/>
  <c r="G54" i="15"/>
  <c r="G56" i="15"/>
  <c r="G61" i="15"/>
  <c r="G64" i="15"/>
  <c r="G70" i="15"/>
  <c r="G72" i="15"/>
  <c r="G77" i="15"/>
  <c r="G78" i="15"/>
  <c r="G85" i="15"/>
  <c r="G86" i="15"/>
  <c r="G88" i="15"/>
  <c r="G93" i="15"/>
  <c r="G94" i="15"/>
  <c r="G96" i="15"/>
  <c r="G102" i="15"/>
  <c r="G104" i="15"/>
  <c r="G109" i="15"/>
  <c r="G110" i="15"/>
  <c r="G112" i="15"/>
  <c r="G114" i="15"/>
  <c r="G117" i="15"/>
  <c r="G118" i="15"/>
  <c r="G120" i="15"/>
  <c r="G125" i="15"/>
  <c r="G128" i="15"/>
  <c r="G133" i="15"/>
  <c r="G134" i="15"/>
  <c r="G136" i="15"/>
  <c r="G141" i="15"/>
  <c r="G142" i="15"/>
  <c r="G144" i="15"/>
  <c r="G149" i="15"/>
  <c r="G150" i="15"/>
  <c r="G152" i="15"/>
  <c r="G157" i="15"/>
  <c r="G158" i="15"/>
  <c r="G160" i="15"/>
  <c r="G165" i="15"/>
  <c r="G166" i="15"/>
  <c r="G168" i="15"/>
  <c r="G174" i="15"/>
  <c r="G176" i="15"/>
  <c r="G181" i="15"/>
  <c r="G182" i="15"/>
  <c r="G189" i="15"/>
  <c r="G192" i="15"/>
  <c r="G197" i="15"/>
  <c r="G198" i="15"/>
  <c r="G200" i="15"/>
  <c r="G206" i="15"/>
  <c r="G208" i="15"/>
  <c r="G213" i="15"/>
  <c r="G214" i="15"/>
  <c r="G221" i="15"/>
  <c r="G222" i="15"/>
  <c r="G224" i="15"/>
  <c r="G229" i="15"/>
  <c r="G230" i="15"/>
  <c r="G35" i="15"/>
  <c r="G62" i="15"/>
  <c r="G126" i="15"/>
  <c r="G190" i="15"/>
  <c r="AJ4" i="15"/>
  <c r="AJ5" i="15"/>
  <c r="AJ10" i="15"/>
  <c r="AJ12" i="15"/>
  <c r="AJ13" i="15"/>
  <c r="AJ20" i="15"/>
  <c r="AJ21" i="15"/>
  <c r="AJ23" i="15"/>
  <c r="AJ24" i="15"/>
  <c r="AJ26" i="15"/>
  <c r="AJ28" i="15"/>
  <c r="AJ29" i="15"/>
  <c r="AJ31" i="15"/>
  <c r="AJ32" i="15"/>
  <c r="AJ36" i="15"/>
  <c r="AJ37" i="15"/>
  <c r="AJ39" i="15"/>
  <c r="AJ40" i="15"/>
  <c r="AJ44" i="15"/>
  <c r="AJ46" i="15"/>
  <c r="AJ47" i="15"/>
  <c r="AJ48" i="15"/>
  <c r="AJ50" i="15"/>
  <c r="AJ52" i="15"/>
  <c r="AJ53" i="15"/>
  <c r="AJ55" i="15"/>
  <c r="AJ56" i="15"/>
  <c r="AJ63" i="15"/>
  <c r="AJ64" i="15"/>
  <c r="AJ66" i="15"/>
  <c r="AJ68" i="15"/>
  <c r="AJ71" i="15"/>
  <c r="AJ72" i="15"/>
  <c r="AJ74" i="15"/>
  <c r="AJ76" i="15"/>
  <c r="AJ77" i="15"/>
  <c r="AJ80" i="15"/>
  <c r="AJ82" i="15"/>
  <c r="AJ84" i="15"/>
  <c r="AJ86" i="15"/>
  <c r="AJ90" i="15"/>
  <c r="AJ92" i="15"/>
  <c r="AJ93" i="15"/>
  <c r="AJ95" i="15"/>
  <c r="AJ96" i="15"/>
  <c r="AJ98" i="15"/>
  <c r="AJ101" i="15"/>
  <c r="AJ103" i="15"/>
  <c r="AJ104" i="15"/>
  <c r="AJ106" i="15"/>
  <c r="AJ108" i="15"/>
  <c r="AJ109" i="15"/>
  <c r="AJ111" i="15"/>
  <c r="AJ112" i="15"/>
  <c r="AJ116" i="15"/>
  <c r="AJ117" i="15"/>
  <c r="AJ119" i="15"/>
  <c r="AJ120" i="15"/>
  <c r="AJ124" i="15"/>
  <c r="AJ125" i="15"/>
  <c r="AJ132" i="15"/>
  <c r="AJ133" i="15"/>
  <c r="AJ135" i="15"/>
  <c r="AJ136" i="15"/>
  <c r="AJ141" i="15"/>
  <c r="AJ143" i="15"/>
  <c r="AJ144" i="15"/>
  <c r="AJ148" i="15"/>
  <c r="AJ149" i="15"/>
  <c r="AJ151" i="15"/>
  <c r="AJ152" i="15"/>
  <c r="AJ154" i="15"/>
  <c r="AJ159" i="15"/>
  <c r="AJ160" i="15"/>
  <c r="AJ162" i="15"/>
  <c r="AJ164" i="15"/>
  <c r="AJ170" i="15"/>
  <c r="AJ175" i="15"/>
  <c r="AJ176" i="15"/>
  <c r="AJ178" i="15"/>
  <c r="AJ181" i="15"/>
  <c r="AJ183" i="15"/>
  <c r="AJ184" i="15"/>
  <c r="AJ186" i="15"/>
  <c r="AJ188" i="15"/>
  <c r="AJ191" i="15"/>
  <c r="AJ192" i="15"/>
  <c r="AJ196" i="15"/>
  <c r="AJ197" i="15"/>
  <c r="AJ202" i="15"/>
  <c r="AJ204" i="15"/>
  <c r="AJ205" i="15"/>
  <c r="AJ210" i="15"/>
  <c r="AJ212" i="15"/>
  <c r="AJ213" i="15"/>
  <c r="AJ218" i="15"/>
  <c r="AJ220" i="15"/>
  <c r="AJ222" i="15"/>
  <c r="AJ223" i="15"/>
  <c r="AJ224" i="15"/>
  <c r="AJ226" i="15"/>
  <c r="AJ229" i="15"/>
  <c r="AF9" i="15"/>
  <c r="AF12" i="15"/>
  <c r="AF16" i="15"/>
  <c r="AF18" i="15"/>
  <c r="AF25" i="15"/>
  <c r="AF28" i="15"/>
  <c r="AF29" i="15"/>
  <c r="AF30" i="15"/>
  <c r="AF33" i="15"/>
  <c r="AF34" i="15"/>
  <c r="AF37" i="15"/>
  <c r="AF38" i="15"/>
  <c r="AF40" i="15"/>
  <c r="AF50" i="15"/>
  <c r="AF56" i="15"/>
  <c r="AF61" i="15"/>
  <c r="AF62" i="15"/>
  <c r="AF64" i="15"/>
  <c r="AF65" i="15"/>
  <c r="AF69" i="15"/>
  <c r="AF70" i="15"/>
  <c r="AF77" i="15"/>
  <c r="AF78" i="15"/>
  <c r="AF80" i="15"/>
  <c r="AF82" i="15"/>
  <c r="AF85" i="15"/>
  <c r="AF86" i="15"/>
  <c r="AF88" i="15"/>
  <c r="AF93" i="15"/>
  <c r="AF94" i="15"/>
  <c r="AF98" i="15"/>
  <c r="AF100" i="15"/>
  <c r="AF101" i="15"/>
  <c r="AF102" i="15"/>
  <c r="AF104" i="15"/>
  <c r="AF112" i="15"/>
  <c r="AF113" i="15"/>
  <c r="AF116" i="15"/>
  <c r="AF118" i="15"/>
  <c r="AF125" i="15"/>
  <c r="AF126" i="15"/>
  <c r="AF142" i="15"/>
  <c r="AF144" i="15"/>
  <c r="AF149" i="15"/>
  <c r="AF150" i="15"/>
  <c r="AF152" i="15"/>
  <c r="AF177" i="15"/>
  <c r="AF181" i="15"/>
  <c r="AF182" i="15"/>
  <c r="AF192" i="15"/>
  <c r="AF193" i="15"/>
  <c r="AF196" i="15"/>
  <c r="AF197" i="15"/>
  <c r="AF198" i="15"/>
  <c r="AF200" i="15"/>
  <c r="AF204" i="15"/>
  <c r="AF208" i="15"/>
  <c r="AF209" i="15"/>
  <c r="AF212" i="15"/>
  <c r="AF225" i="15"/>
  <c r="AF228" i="15"/>
  <c r="AF229" i="15"/>
  <c r="AF230" i="15"/>
  <c r="AE4" i="15"/>
  <c r="AE68" i="15"/>
  <c r="AE100" i="15"/>
  <c r="AE132" i="15"/>
  <c r="AE148" i="15"/>
  <c r="AE156" i="15"/>
  <c r="AE172" i="15"/>
  <c r="AE180" i="15"/>
  <c r="AE188" i="15"/>
  <c r="AE212" i="15"/>
  <c r="AE220" i="15"/>
  <c r="T5" i="15"/>
  <c r="T7" i="15"/>
  <c r="T13" i="15"/>
  <c r="T15" i="15"/>
  <c r="T19" i="15"/>
  <c r="T21" i="15"/>
  <c r="T27" i="15"/>
  <c r="T31" i="15"/>
  <c r="T37" i="15"/>
  <c r="T39" i="15"/>
  <c r="T42" i="15"/>
  <c r="T45" i="15"/>
  <c r="T47" i="15"/>
  <c r="T51" i="15"/>
  <c r="T53" i="15"/>
  <c r="T59" i="15"/>
  <c r="T63" i="15"/>
  <c r="T71" i="15"/>
  <c r="T77" i="15"/>
  <c r="T83" i="15"/>
  <c r="T87" i="15"/>
  <c r="T93" i="15"/>
  <c r="T95" i="15"/>
  <c r="T99" i="15"/>
  <c r="T101" i="15"/>
  <c r="T107" i="15"/>
  <c r="T109" i="15"/>
  <c r="T111" i="15"/>
  <c r="T117" i="15"/>
  <c r="T119" i="15"/>
  <c r="T123" i="15"/>
  <c r="T125" i="15"/>
  <c r="T131" i="15"/>
  <c r="T135" i="15"/>
  <c r="T139" i="15"/>
  <c r="T141" i="15"/>
  <c r="T143" i="15"/>
  <c r="T149" i="15"/>
  <c r="T155" i="15"/>
  <c r="T159" i="15"/>
  <c r="T165" i="15"/>
  <c r="T167" i="15"/>
  <c r="T171" i="15"/>
  <c r="T173" i="15"/>
  <c r="T181" i="15"/>
  <c r="T183" i="15"/>
  <c r="T189" i="15"/>
  <c r="T191" i="15"/>
  <c r="T195" i="15"/>
  <c r="T197" i="15"/>
  <c r="T203" i="15"/>
  <c r="T205" i="15"/>
  <c r="T207" i="15"/>
  <c r="T211" i="15"/>
  <c r="T215" i="15"/>
  <c r="T219" i="15"/>
  <c r="T227" i="15"/>
  <c r="O9" i="15"/>
  <c r="O25" i="15"/>
  <c r="O28" i="15"/>
  <c r="O33" i="15"/>
  <c r="O41" i="15"/>
  <c r="O49" i="15"/>
  <c r="O57" i="15"/>
  <c r="O64" i="15"/>
  <c r="O65" i="15"/>
  <c r="O73" i="15"/>
  <c r="O81" i="15"/>
  <c r="O97" i="15"/>
  <c r="O100" i="15"/>
  <c r="O105" i="15"/>
  <c r="O113" i="15"/>
  <c r="O137" i="15"/>
  <c r="O145" i="15"/>
  <c r="O148" i="15"/>
  <c r="O161" i="15"/>
  <c r="O169" i="15"/>
  <c r="O177" i="15"/>
  <c r="O185" i="15"/>
  <c r="O188" i="15"/>
  <c r="O201" i="15"/>
  <c r="O209" i="15"/>
  <c r="O225" i="15"/>
  <c r="H5" i="15"/>
  <c r="H6" i="15"/>
  <c r="H7" i="15"/>
  <c r="H9" i="15"/>
  <c r="H13" i="15"/>
  <c r="H15" i="15"/>
  <c r="H17" i="15"/>
  <c r="H21" i="15"/>
  <c r="H23" i="15"/>
  <c r="H25" i="15"/>
  <c r="H29" i="15"/>
  <c r="H31" i="15"/>
  <c r="H33" i="15"/>
  <c r="H37" i="15"/>
  <c r="H39" i="15"/>
  <c r="H41" i="15"/>
  <c r="H45" i="15"/>
  <c r="H47" i="15"/>
  <c r="H49" i="15"/>
  <c r="H53" i="15"/>
  <c r="H54" i="15"/>
  <c r="H55" i="15"/>
  <c r="H57" i="15"/>
  <c r="H61" i="15"/>
  <c r="H63" i="15"/>
  <c r="H65" i="15"/>
  <c r="H69" i="15"/>
  <c r="H71" i="15"/>
  <c r="H73" i="15"/>
  <c r="H77" i="15"/>
  <c r="H79" i="15"/>
  <c r="H81" i="15"/>
  <c r="H85" i="15"/>
  <c r="H87" i="15"/>
  <c r="H89" i="15"/>
  <c r="H93" i="15"/>
  <c r="H95" i="15"/>
  <c r="H97" i="15"/>
  <c r="H101" i="15"/>
  <c r="H103" i="15"/>
  <c r="H105" i="15"/>
  <c r="H109" i="15"/>
  <c r="H110" i="15"/>
  <c r="H111" i="15"/>
  <c r="H113" i="15"/>
  <c r="H116" i="15"/>
  <c r="H117" i="15"/>
  <c r="H119" i="15"/>
  <c r="H121" i="15"/>
  <c r="H125" i="15"/>
  <c r="H127" i="15"/>
  <c r="H128" i="15"/>
  <c r="H129" i="15"/>
  <c r="H133" i="15"/>
  <c r="H134" i="15"/>
  <c r="H135" i="15"/>
  <c r="H136" i="15"/>
  <c r="H137" i="15"/>
  <c r="H141" i="15"/>
  <c r="H142" i="15"/>
  <c r="H143" i="15"/>
  <c r="H145" i="15"/>
  <c r="H149" i="15"/>
  <c r="H151" i="15"/>
  <c r="H153" i="15"/>
  <c r="H157" i="15"/>
  <c r="H159" i="15"/>
  <c r="H161" i="15"/>
  <c r="H165" i="15"/>
  <c r="H167" i="15"/>
  <c r="H169" i="15"/>
  <c r="H173" i="15"/>
  <c r="H175" i="15"/>
  <c r="H177" i="15"/>
  <c r="H181" i="15"/>
  <c r="H183" i="15"/>
  <c r="H185" i="15"/>
  <c r="H189" i="15"/>
  <c r="H191" i="15"/>
  <c r="H193" i="15"/>
  <c r="H197" i="15"/>
  <c r="H199" i="15"/>
  <c r="H201" i="15"/>
  <c r="H205" i="15"/>
  <c r="H207" i="15"/>
  <c r="H209" i="15"/>
  <c r="H213" i="15"/>
  <c r="H215" i="15"/>
  <c r="H217" i="15"/>
  <c r="H221" i="15"/>
  <c r="H222" i="15"/>
  <c r="H223" i="15"/>
  <c r="H225" i="15"/>
  <c r="H229" i="15"/>
  <c r="H230" i="15"/>
  <c r="G7" i="15"/>
  <c r="G9" i="15"/>
  <c r="G15" i="15"/>
  <c r="G23" i="15"/>
  <c r="G31" i="15"/>
  <c r="G38" i="15"/>
  <c r="G39" i="15"/>
  <c r="G47" i="15"/>
  <c r="G48" i="15"/>
  <c r="G55" i="15"/>
  <c r="G63" i="15"/>
  <c r="G69" i="15"/>
  <c r="G71" i="15"/>
  <c r="G79" i="15"/>
  <c r="G80" i="15"/>
  <c r="G81" i="15"/>
  <c r="G87" i="15"/>
  <c r="G95" i="15"/>
  <c r="G100" i="15"/>
  <c r="G101" i="15"/>
  <c r="G103" i="15"/>
  <c r="G105" i="15"/>
  <c r="G111" i="15"/>
  <c r="G119" i="15"/>
  <c r="G127" i="15"/>
  <c r="G135" i="15"/>
  <c r="G137" i="15"/>
  <c r="G140" i="15"/>
  <c r="G143" i="15"/>
  <c r="G151" i="15"/>
  <c r="G159" i="15"/>
  <c r="G161" i="15"/>
  <c r="G167" i="15"/>
  <c r="G173" i="15"/>
  <c r="G175" i="15"/>
  <c r="G180" i="15"/>
  <c r="G183" i="15"/>
  <c r="G184" i="15"/>
  <c r="G185" i="15"/>
  <c r="G191" i="15"/>
  <c r="G196" i="15"/>
  <c r="G199" i="15"/>
  <c r="G205" i="15"/>
  <c r="G207" i="15"/>
  <c r="G215" i="15"/>
  <c r="G216" i="15"/>
  <c r="G223" i="15"/>
  <c r="G227" i="15" l="1"/>
  <c r="G219" i="15"/>
  <c r="G211" i="15"/>
  <c r="G203" i="15"/>
  <c r="G195" i="15"/>
  <c r="G187" i="15"/>
  <c r="G179" i="15"/>
  <c r="G171" i="15"/>
  <c r="G155" i="15"/>
  <c r="G147" i="15"/>
  <c r="G139" i="15"/>
  <c r="G131" i="15"/>
  <c r="G123" i="15"/>
  <c r="G115" i="15"/>
  <c r="G107" i="15"/>
  <c r="G91" i="15"/>
  <c r="G83" i="15"/>
  <c r="G75" i="15"/>
  <c r="G67" i="15"/>
  <c r="G59" i="15"/>
  <c r="G51" i="15"/>
  <c r="G43" i="15"/>
  <c r="G27" i="15"/>
  <c r="G19" i="15"/>
  <c r="G11" i="15"/>
  <c r="BB4" i="13"/>
  <c r="AP4" i="13"/>
  <c r="R4" i="13"/>
  <c r="L4" i="13"/>
  <c r="AF199" i="13"/>
  <c r="AI199" i="13"/>
  <c r="P9" i="13"/>
  <c r="BA220" i="13"/>
  <c r="BA228" i="13"/>
  <c r="BA229" i="13"/>
  <c r="BA177" i="13"/>
  <c r="P4" i="13"/>
  <c r="P5" i="13"/>
  <c r="P6" i="13"/>
  <c r="P7" i="13"/>
  <c r="P8" i="13"/>
  <c r="P10" i="13"/>
  <c r="P11" i="13"/>
  <c r="P12" i="13"/>
  <c r="P13" i="13"/>
  <c r="P14" i="13"/>
  <c r="P15" i="13"/>
  <c r="P16" i="13"/>
  <c r="P17" i="13"/>
  <c r="P18" i="13"/>
  <c r="P19" i="13"/>
  <c r="P20" i="13"/>
  <c r="P21" i="13"/>
  <c r="P22" i="13"/>
  <c r="P23" i="13"/>
  <c r="P24" i="13"/>
  <c r="P25" i="13"/>
  <c r="P26" i="13"/>
  <c r="P27" i="13"/>
  <c r="P28" i="13"/>
  <c r="P29" i="13"/>
  <c r="P30" i="13"/>
  <c r="P31" i="13"/>
  <c r="P32" i="13"/>
  <c r="P33" i="13"/>
  <c r="P34" i="13"/>
  <c r="P35" i="13"/>
  <c r="P36" i="13"/>
  <c r="P37" i="13"/>
  <c r="P38" i="13"/>
  <c r="P39" i="13"/>
  <c r="P40" i="13"/>
  <c r="P41" i="13"/>
  <c r="P42" i="13"/>
  <c r="P43" i="13"/>
  <c r="P44" i="13"/>
  <c r="P45" i="13"/>
  <c r="P46" i="13"/>
  <c r="P47" i="13"/>
  <c r="P48" i="13"/>
  <c r="P49" i="13"/>
  <c r="P50" i="13"/>
  <c r="P51" i="13"/>
  <c r="P52" i="13"/>
  <c r="P53" i="13"/>
  <c r="P54" i="13"/>
  <c r="P55" i="13"/>
  <c r="P56" i="13"/>
  <c r="P57" i="13"/>
  <c r="P58" i="13"/>
  <c r="P59" i="13"/>
  <c r="P60" i="13"/>
  <c r="P61" i="13"/>
  <c r="P62" i="13"/>
  <c r="P63" i="13"/>
  <c r="P64" i="13"/>
  <c r="P65" i="13"/>
  <c r="P66" i="13"/>
  <c r="P67" i="13"/>
  <c r="P68" i="13"/>
  <c r="P69" i="13"/>
  <c r="P70" i="13"/>
  <c r="P71" i="13"/>
  <c r="P72" i="13"/>
  <c r="P73" i="13"/>
  <c r="P74" i="13"/>
  <c r="P75" i="13"/>
  <c r="P76" i="13"/>
  <c r="P77" i="13"/>
  <c r="P78" i="13"/>
  <c r="P79" i="13"/>
  <c r="P80" i="13"/>
  <c r="P81" i="13"/>
  <c r="P82" i="13"/>
  <c r="P83" i="13"/>
  <c r="P84" i="13"/>
  <c r="P85" i="13"/>
  <c r="P86" i="13"/>
  <c r="P87" i="13"/>
  <c r="P88" i="13"/>
  <c r="P89" i="13"/>
  <c r="P90" i="13"/>
  <c r="P91" i="13"/>
  <c r="P92" i="13"/>
  <c r="P93" i="13"/>
  <c r="P94" i="13"/>
  <c r="P95" i="13"/>
  <c r="P96" i="13"/>
  <c r="P97" i="13"/>
  <c r="P98" i="13"/>
  <c r="P99" i="13"/>
  <c r="P100" i="13"/>
  <c r="P101" i="13"/>
  <c r="P102" i="13"/>
  <c r="P103" i="13"/>
  <c r="P104" i="13"/>
  <c r="P105" i="13"/>
  <c r="P106" i="13"/>
  <c r="P107" i="13"/>
  <c r="P108" i="13"/>
  <c r="P109" i="13"/>
  <c r="P110" i="13"/>
  <c r="P111" i="13"/>
  <c r="P112" i="13"/>
  <c r="P113" i="13"/>
  <c r="P114" i="13"/>
  <c r="P115" i="13"/>
  <c r="P116" i="13"/>
  <c r="P117" i="13"/>
  <c r="P118" i="13"/>
  <c r="P119" i="13"/>
  <c r="P120" i="13"/>
  <c r="P121" i="13"/>
  <c r="P122" i="13"/>
  <c r="P123" i="13"/>
  <c r="P124" i="13"/>
  <c r="P125" i="13"/>
  <c r="P126" i="13"/>
  <c r="P127" i="13"/>
  <c r="P128" i="13"/>
  <c r="P129" i="13"/>
  <c r="P130" i="13"/>
  <c r="P131" i="13"/>
  <c r="P132" i="13"/>
  <c r="P133" i="13"/>
  <c r="P134" i="13"/>
  <c r="P135" i="13"/>
  <c r="P136" i="13"/>
  <c r="P137" i="13"/>
  <c r="P138" i="13"/>
  <c r="P139" i="13"/>
  <c r="P140" i="13"/>
  <c r="P141" i="13"/>
  <c r="P142" i="13"/>
  <c r="P143" i="13"/>
  <c r="P144" i="13"/>
  <c r="P145" i="13"/>
  <c r="P146" i="13"/>
  <c r="P147" i="13"/>
  <c r="P148" i="13"/>
  <c r="P149" i="13"/>
  <c r="P150" i="13"/>
  <c r="P151" i="13"/>
  <c r="P152" i="13"/>
  <c r="P153" i="13"/>
  <c r="P154" i="13"/>
  <c r="P155" i="13"/>
  <c r="P156" i="13"/>
  <c r="P157" i="13"/>
  <c r="P158" i="13"/>
  <c r="P159" i="13"/>
  <c r="P160" i="13"/>
  <c r="P161" i="13"/>
  <c r="P162" i="13"/>
  <c r="P163" i="13"/>
  <c r="P164" i="13"/>
  <c r="P165" i="13"/>
  <c r="P166" i="13"/>
  <c r="P167" i="13"/>
  <c r="P168" i="13"/>
  <c r="P169" i="13"/>
  <c r="P170" i="13"/>
  <c r="P171" i="13"/>
  <c r="P172" i="13"/>
  <c r="P173" i="13"/>
  <c r="P174" i="13"/>
  <c r="P175" i="13"/>
  <c r="P176" i="13"/>
  <c r="P177" i="13"/>
  <c r="P178" i="13"/>
  <c r="P179" i="13"/>
  <c r="P180" i="13"/>
  <c r="P181" i="13"/>
  <c r="P182" i="13"/>
  <c r="P183" i="13"/>
  <c r="P184" i="13"/>
  <c r="P185" i="13"/>
  <c r="P186" i="13"/>
  <c r="P187" i="13"/>
  <c r="P188" i="13"/>
  <c r="P189" i="13"/>
  <c r="P190" i="13"/>
  <c r="P191" i="13"/>
  <c r="P192" i="13"/>
  <c r="P193" i="13"/>
  <c r="P194" i="13"/>
  <c r="P195" i="13"/>
  <c r="P196" i="13"/>
  <c r="P197" i="13"/>
  <c r="P198" i="13"/>
  <c r="P199" i="13"/>
  <c r="P200" i="13"/>
  <c r="P201" i="13"/>
  <c r="P202" i="13"/>
  <c r="P203" i="13"/>
  <c r="P204" i="13"/>
  <c r="P205" i="13"/>
  <c r="P206" i="13"/>
  <c r="P207" i="13"/>
  <c r="P208" i="13"/>
  <c r="P209" i="13"/>
  <c r="P210" i="13"/>
  <c r="P211" i="13"/>
  <c r="P212" i="13"/>
  <c r="P213" i="13"/>
  <c r="P214" i="13"/>
  <c r="P215" i="13"/>
  <c r="P216" i="13"/>
  <c r="P217" i="13"/>
  <c r="P218" i="13"/>
  <c r="P219" i="13"/>
  <c r="P220" i="13"/>
  <c r="P221" i="13"/>
  <c r="P222" i="13"/>
  <c r="P223" i="13"/>
  <c r="P224" i="13"/>
  <c r="P225" i="13"/>
  <c r="P226" i="13"/>
  <c r="P227" i="13"/>
  <c r="P228" i="13"/>
  <c r="P229" i="13"/>
  <c r="P230" i="13"/>
  <c r="P231" i="13"/>
  <c r="BA231" i="13"/>
  <c r="BA230" i="13"/>
  <c r="BA227" i="13"/>
  <c r="BA226" i="13"/>
  <c r="BA225" i="13"/>
  <c r="BA224" i="13"/>
  <c r="BA223" i="13"/>
  <c r="BA222" i="13"/>
  <c r="BA221" i="13"/>
  <c r="BA219" i="13"/>
  <c r="BA218" i="13"/>
  <c r="BA217" i="13"/>
  <c r="BA216" i="13"/>
  <c r="BA215" i="13"/>
  <c r="BA214" i="13"/>
  <c r="BA213" i="13"/>
  <c r="BA212" i="13"/>
  <c r="BA211" i="13"/>
  <c r="BA210" i="13"/>
  <c r="BA209" i="13"/>
  <c r="BA208" i="13"/>
  <c r="BA207" i="13"/>
  <c r="BA206" i="13"/>
  <c r="BA205" i="13"/>
  <c r="BA204" i="13"/>
  <c r="BA203" i="13"/>
  <c r="BA202" i="13"/>
  <c r="BA201" i="13"/>
  <c r="BA200" i="13"/>
  <c r="BA199" i="13"/>
  <c r="BA198" i="13"/>
  <c r="BA197" i="13"/>
  <c r="BA196" i="13"/>
  <c r="BA195" i="13"/>
  <c r="BA194" i="13"/>
  <c r="BA193" i="13"/>
  <c r="BA192" i="13"/>
  <c r="BA191" i="13"/>
  <c r="BA190" i="13"/>
  <c r="BA189" i="13"/>
  <c r="BA188" i="13"/>
  <c r="BA187" i="13"/>
  <c r="BA186" i="13"/>
  <c r="BA185" i="13"/>
  <c r="BA184" i="13"/>
  <c r="BA183" i="13"/>
  <c r="BA182" i="13"/>
  <c r="BA181" i="13"/>
  <c r="BA180" i="13"/>
  <c r="BA179" i="13"/>
  <c r="BA178" i="13"/>
  <c r="BA176" i="13"/>
  <c r="BA175" i="13"/>
  <c r="BA174" i="13"/>
  <c r="BA173" i="13"/>
  <c r="BA172" i="13"/>
  <c r="BA171" i="13"/>
  <c r="BA170" i="13"/>
  <c r="BA169" i="13"/>
  <c r="BA168" i="13"/>
  <c r="BA167" i="13"/>
  <c r="BA166" i="13"/>
  <c r="BA165" i="13"/>
  <c r="BA164" i="13"/>
  <c r="BA163" i="13"/>
  <c r="BA162" i="13"/>
  <c r="BA161" i="13"/>
  <c r="BA160" i="13"/>
  <c r="BA159" i="13"/>
  <c r="BA158" i="13"/>
  <c r="BA157" i="13"/>
  <c r="BA156" i="13"/>
  <c r="BA155" i="13"/>
  <c r="BA154" i="13"/>
  <c r="BA153" i="13"/>
  <c r="BA152" i="13"/>
  <c r="BA151" i="13"/>
  <c r="BA150" i="13"/>
  <c r="BA149" i="13"/>
  <c r="BA148" i="13"/>
  <c r="BA147" i="13"/>
  <c r="BA146" i="13"/>
  <c r="BA145" i="13"/>
  <c r="BA144" i="13"/>
  <c r="BA143" i="13"/>
  <c r="BA142" i="13"/>
  <c r="BA141" i="13"/>
  <c r="BA140" i="13"/>
  <c r="BA139" i="13"/>
  <c r="BA138" i="13"/>
  <c r="BA137" i="13"/>
  <c r="BA136" i="13"/>
  <c r="BA135" i="13"/>
  <c r="BA134" i="13"/>
  <c r="BA133" i="13"/>
  <c r="BA132" i="13"/>
  <c r="BA131" i="13"/>
  <c r="BA130" i="13"/>
  <c r="BA129" i="13"/>
  <c r="BA128" i="13"/>
  <c r="BA127" i="13"/>
  <c r="BA126" i="13"/>
  <c r="BA125" i="13"/>
  <c r="BA124" i="13"/>
  <c r="BA123" i="13"/>
  <c r="BA122" i="13"/>
  <c r="BA121" i="13"/>
  <c r="BA120" i="13"/>
  <c r="BA119" i="13"/>
  <c r="BA118" i="13"/>
  <c r="BA117" i="13"/>
  <c r="BA116" i="13"/>
  <c r="BA115" i="13"/>
  <c r="BA114" i="13"/>
  <c r="BA113" i="13"/>
  <c r="BA112" i="13"/>
  <c r="BA111" i="13"/>
  <c r="BA110" i="13"/>
  <c r="BA109" i="13"/>
  <c r="BA108" i="13"/>
  <c r="BA107" i="13"/>
  <c r="BA106" i="13"/>
  <c r="BA105" i="13"/>
  <c r="BA104" i="13"/>
  <c r="BA103" i="13"/>
  <c r="BA102" i="13"/>
  <c r="BA101" i="13"/>
  <c r="BA100" i="13"/>
  <c r="BA99" i="13"/>
  <c r="BA98" i="13"/>
  <c r="BA97" i="13"/>
  <c r="BA96" i="13"/>
  <c r="BA95" i="13"/>
  <c r="BA94" i="13"/>
  <c r="BA93" i="13"/>
  <c r="BA92" i="13"/>
  <c r="BA91" i="13"/>
  <c r="BA90" i="13"/>
  <c r="BA89" i="13"/>
  <c r="BA88" i="13"/>
  <c r="BA87" i="13"/>
  <c r="BA86" i="13"/>
  <c r="BA85" i="13"/>
  <c r="BA84" i="13"/>
  <c r="BA83" i="13"/>
  <c r="BA82" i="13"/>
  <c r="BA81" i="13"/>
  <c r="BA80" i="13"/>
  <c r="BA79" i="13"/>
  <c r="BA78" i="13"/>
  <c r="BA77" i="13"/>
  <c r="BA76" i="13"/>
  <c r="BA75" i="13"/>
  <c r="BA74" i="13"/>
  <c r="BA73" i="13"/>
  <c r="BA72" i="13"/>
  <c r="BA71" i="13"/>
  <c r="BA70" i="13"/>
  <c r="BA69" i="13"/>
  <c r="BA68" i="13"/>
  <c r="BA67" i="13"/>
  <c r="BA66" i="13"/>
  <c r="BA65" i="13"/>
  <c r="BA64" i="13"/>
  <c r="BA63" i="13"/>
  <c r="BA62" i="13"/>
  <c r="BA61" i="13"/>
  <c r="BA60" i="13"/>
  <c r="BA59" i="13"/>
  <c r="BA58" i="13"/>
  <c r="BA57" i="13"/>
  <c r="BA56" i="13"/>
  <c r="BA55" i="13"/>
  <c r="BA54" i="13"/>
  <c r="BA53" i="13"/>
  <c r="BA52" i="13"/>
  <c r="BA51" i="13"/>
  <c r="BA50" i="13"/>
  <c r="BA49" i="13"/>
  <c r="BA48" i="13"/>
  <c r="BA47" i="13"/>
  <c r="BA46" i="13"/>
  <c r="BA45" i="13"/>
  <c r="BA44" i="13"/>
  <c r="BA43" i="13"/>
  <c r="BA42" i="13"/>
  <c r="BA41" i="13"/>
  <c r="BA40" i="13"/>
  <c r="BA39" i="13"/>
  <c r="BA38" i="13"/>
  <c r="BA37" i="13"/>
  <c r="BA36" i="13"/>
  <c r="BA35" i="13"/>
  <c r="BA34" i="13"/>
  <c r="BA33" i="13"/>
  <c r="BA32" i="13"/>
  <c r="BA31" i="13"/>
  <c r="BA30" i="13"/>
  <c r="BA29" i="13"/>
  <c r="BA28" i="13"/>
  <c r="BA27" i="13"/>
  <c r="BA26" i="13"/>
  <c r="BA25" i="13"/>
  <c r="BA24" i="13"/>
  <c r="BA23" i="13"/>
  <c r="BA22" i="13"/>
  <c r="BA21" i="13"/>
  <c r="BA20" i="13"/>
  <c r="BA19" i="13"/>
  <c r="BA18" i="13"/>
  <c r="BA17" i="13"/>
  <c r="BA16" i="13"/>
  <c r="BA15" i="13"/>
  <c r="BA14" i="13"/>
  <c r="BA13" i="13"/>
  <c r="BA12" i="13"/>
  <c r="BA11" i="13"/>
  <c r="BA9" i="13"/>
  <c r="BA8" i="13"/>
  <c r="BA7" i="13"/>
  <c r="BA6" i="13"/>
  <c r="BA5" i="13"/>
  <c r="BA4" i="13"/>
  <c r="AZ231" i="13"/>
  <c r="AZ230" i="13"/>
  <c r="AZ229" i="13"/>
  <c r="AZ227" i="13"/>
  <c r="AZ226" i="13"/>
  <c r="AZ224" i="13"/>
  <c r="AZ223" i="13"/>
  <c r="AZ222" i="13"/>
  <c r="AZ221" i="13"/>
  <c r="AZ220" i="13"/>
  <c r="AZ219" i="13"/>
  <c r="AZ218" i="13"/>
  <c r="AZ217" i="13"/>
  <c r="AZ216" i="13"/>
  <c r="AZ215" i="13"/>
  <c r="AZ214" i="13"/>
  <c r="AZ213" i="13"/>
  <c r="AZ212" i="13"/>
  <c r="AZ211" i="13"/>
  <c r="AZ210" i="13"/>
  <c r="AZ209" i="13"/>
  <c r="AZ208" i="13"/>
  <c r="AZ207" i="13"/>
  <c r="AZ206" i="13"/>
  <c r="AZ205" i="13"/>
  <c r="AZ204" i="13"/>
  <c r="AZ203" i="13"/>
  <c r="AZ202" i="13"/>
  <c r="AZ201" i="13"/>
  <c r="AZ200" i="13"/>
  <c r="AZ199" i="13"/>
  <c r="AZ198" i="13"/>
  <c r="AZ197" i="13"/>
  <c r="AZ196" i="13"/>
  <c r="AZ195" i="13"/>
  <c r="AZ194" i="13"/>
  <c r="AZ193" i="13"/>
  <c r="AZ192" i="13"/>
  <c r="AZ191" i="13"/>
  <c r="AZ190" i="13"/>
  <c r="AZ189" i="13"/>
  <c r="AZ188" i="13"/>
  <c r="AZ187" i="13"/>
  <c r="AZ186" i="13"/>
  <c r="AZ185" i="13"/>
  <c r="AZ184" i="13"/>
  <c r="AZ183" i="13"/>
  <c r="AZ182" i="13"/>
  <c r="AZ181" i="13"/>
  <c r="AZ180" i="13"/>
  <c r="AZ179" i="13"/>
  <c r="AZ178" i="13"/>
  <c r="AZ177" i="13"/>
  <c r="AZ176" i="13"/>
  <c r="AZ175" i="13"/>
  <c r="AZ174" i="13"/>
  <c r="AZ173" i="13"/>
  <c r="AZ172" i="13"/>
  <c r="AZ171" i="13"/>
  <c r="AZ170" i="13"/>
  <c r="AZ169" i="13"/>
  <c r="AZ168" i="13"/>
  <c r="AZ167" i="13"/>
  <c r="AZ166" i="13"/>
  <c r="AZ165" i="13"/>
  <c r="AZ164" i="13"/>
  <c r="AZ163" i="13"/>
  <c r="AZ162" i="13"/>
  <c r="AZ161" i="13"/>
  <c r="AZ160" i="13"/>
  <c r="AZ159" i="13"/>
  <c r="AZ158" i="13"/>
  <c r="AZ157" i="13"/>
  <c r="AZ156" i="13"/>
  <c r="AZ155" i="13"/>
  <c r="AZ154" i="13"/>
  <c r="AZ153" i="13"/>
  <c r="AZ152" i="13"/>
  <c r="AZ151" i="13"/>
  <c r="AZ150" i="13"/>
  <c r="AZ149" i="13"/>
  <c r="AZ148" i="13"/>
  <c r="AZ147" i="13"/>
  <c r="AZ146" i="13"/>
  <c r="AZ145" i="13"/>
  <c r="AZ143" i="13"/>
  <c r="AZ142" i="13"/>
  <c r="AZ141" i="13"/>
  <c r="AZ140" i="13"/>
  <c r="AZ139" i="13"/>
  <c r="AZ138" i="13"/>
  <c r="AZ137" i="13"/>
  <c r="AZ136" i="13"/>
  <c r="AZ135" i="13"/>
  <c r="AZ134" i="13"/>
  <c r="AZ133" i="13"/>
  <c r="AZ132" i="13"/>
  <c r="AZ131" i="13"/>
  <c r="AZ130" i="13"/>
  <c r="AZ129" i="13"/>
  <c r="AZ128" i="13"/>
  <c r="AZ127" i="13"/>
  <c r="AZ126" i="13"/>
  <c r="AZ125" i="13"/>
  <c r="AZ124" i="13"/>
  <c r="AZ123" i="13"/>
  <c r="AZ122" i="13"/>
  <c r="AZ121" i="13"/>
  <c r="AZ120" i="13"/>
  <c r="AZ119" i="13"/>
  <c r="AZ118" i="13"/>
  <c r="AZ117" i="13"/>
  <c r="AZ116" i="13"/>
  <c r="AZ115" i="13"/>
  <c r="AZ114" i="13"/>
  <c r="AZ113" i="13"/>
  <c r="AZ112" i="13"/>
  <c r="AZ111" i="13"/>
  <c r="AZ110" i="13"/>
  <c r="AZ109" i="13"/>
  <c r="AZ108" i="13"/>
  <c r="AZ107" i="13"/>
  <c r="AZ106" i="13"/>
  <c r="AZ105" i="13"/>
  <c r="AZ104" i="13"/>
  <c r="AZ103" i="13"/>
  <c r="AZ102" i="13"/>
  <c r="AZ101" i="13"/>
  <c r="AZ100" i="13"/>
  <c r="AZ99" i="13"/>
  <c r="AZ98" i="13"/>
  <c r="AZ97" i="13"/>
  <c r="AZ96" i="13"/>
  <c r="AZ95" i="13"/>
  <c r="AZ94" i="13"/>
  <c r="AZ93" i="13"/>
  <c r="AZ91" i="13"/>
  <c r="AZ90" i="13"/>
  <c r="AZ89" i="13"/>
  <c r="AZ88" i="13"/>
  <c r="AZ87" i="13"/>
  <c r="AZ86" i="13"/>
  <c r="AZ85" i="13"/>
  <c r="AZ84" i="13"/>
  <c r="AZ83" i="13"/>
  <c r="AZ82" i="13"/>
  <c r="AZ81" i="13"/>
  <c r="AZ80" i="13"/>
  <c r="AZ79" i="13"/>
  <c r="AZ78" i="13"/>
  <c r="AZ77" i="13"/>
  <c r="AZ76" i="13"/>
  <c r="AZ75" i="13"/>
  <c r="AZ74" i="13"/>
  <c r="AZ73" i="13"/>
  <c r="AZ72" i="13"/>
  <c r="AZ71" i="13"/>
  <c r="AZ70" i="13"/>
  <c r="AZ69" i="13"/>
  <c r="AZ68" i="13"/>
  <c r="AZ67" i="13"/>
  <c r="AZ66" i="13"/>
  <c r="AZ65" i="13"/>
  <c r="AZ64" i="13"/>
  <c r="AZ63" i="13"/>
  <c r="AZ62" i="13"/>
  <c r="AZ61" i="13"/>
  <c r="AZ60" i="13"/>
  <c r="AZ59" i="13"/>
  <c r="AZ58" i="13"/>
  <c r="AZ57" i="13"/>
  <c r="AZ56" i="13"/>
  <c r="AZ55" i="13"/>
  <c r="AZ54" i="13"/>
  <c r="AZ53" i="13"/>
  <c r="AZ52" i="13"/>
  <c r="AZ51" i="13"/>
  <c r="AZ50" i="13"/>
  <c r="AZ49" i="13"/>
  <c r="AZ48" i="13"/>
  <c r="AZ47" i="13"/>
  <c r="AZ46" i="13"/>
  <c r="AZ45" i="13"/>
  <c r="AZ44" i="13"/>
  <c r="AZ43" i="13"/>
  <c r="AZ42" i="13"/>
  <c r="AZ41" i="13"/>
  <c r="AZ40" i="13"/>
  <c r="AZ39" i="13"/>
  <c r="AZ38" i="13"/>
  <c r="AZ37" i="13"/>
  <c r="AZ36" i="13"/>
  <c r="AZ35" i="13"/>
  <c r="AZ34" i="13"/>
  <c r="AZ33" i="13"/>
  <c r="AZ32" i="13"/>
  <c r="AZ31" i="13"/>
  <c r="AZ30" i="13"/>
  <c r="AZ29" i="13"/>
  <c r="AZ28" i="13"/>
  <c r="AZ27" i="13"/>
  <c r="AZ26" i="13"/>
  <c r="AZ25" i="13"/>
  <c r="AZ24" i="13"/>
  <c r="AZ23" i="13"/>
  <c r="AZ22" i="13"/>
  <c r="AZ21" i="13"/>
  <c r="AZ20" i="13"/>
  <c r="AZ19" i="13"/>
  <c r="AZ18" i="13"/>
  <c r="AZ17" i="13"/>
  <c r="AZ16" i="13"/>
  <c r="AZ14" i="13"/>
  <c r="AZ13" i="13"/>
  <c r="AZ12" i="13"/>
  <c r="AZ11" i="13"/>
  <c r="AZ10" i="13"/>
  <c r="AZ9" i="13"/>
  <c r="AZ8" i="13"/>
  <c r="AZ7" i="13"/>
  <c r="AZ6" i="13"/>
  <c r="AZ5" i="13"/>
  <c r="AZ4" i="13"/>
  <c r="K4" i="13"/>
  <c r="K5" i="13"/>
  <c r="K6" i="13"/>
  <c r="K7" i="13"/>
  <c r="K8" i="13"/>
  <c r="K9" i="13"/>
  <c r="K10" i="13"/>
  <c r="K11" i="13"/>
  <c r="K12" i="13"/>
  <c r="K13" i="13"/>
  <c r="K14" i="13"/>
  <c r="K15" i="13"/>
  <c r="K16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K31" i="13"/>
  <c r="K32" i="13"/>
  <c r="K33" i="13"/>
  <c r="K34" i="13"/>
  <c r="K35" i="13"/>
  <c r="K36" i="13"/>
  <c r="K37" i="13"/>
  <c r="K38" i="13"/>
  <c r="K39" i="13"/>
  <c r="K40" i="13"/>
  <c r="K41" i="13"/>
  <c r="K42" i="13"/>
  <c r="K43" i="13"/>
  <c r="K44" i="13"/>
  <c r="K45" i="13"/>
  <c r="K46" i="13"/>
  <c r="K47" i="13"/>
  <c r="K48" i="13"/>
  <c r="K49" i="13"/>
  <c r="K50" i="13"/>
  <c r="K51" i="13"/>
  <c r="K52" i="13"/>
  <c r="K53" i="13"/>
  <c r="K54" i="13"/>
  <c r="K55" i="13"/>
  <c r="K56" i="13"/>
  <c r="K57" i="13"/>
  <c r="K58" i="13"/>
  <c r="K59" i="13"/>
  <c r="K60" i="13"/>
  <c r="K61" i="13"/>
  <c r="K62" i="13"/>
  <c r="K63" i="13"/>
  <c r="K64" i="13"/>
  <c r="K65" i="13"/>
  <c r="K66" i="13"/>
  <c r="K67" i="13"/>
  <c r="K68" i="13"/>
  <c r="K69" i="13"/>
  <c r="K70" i="13"/>
  <c r="K71" i="13"/>
  <c r="K72" i="13"/>
  <c r="K73" i="13"/>
  <c r="K74" i="13"/>
  <c r="K75" i="13"/>
  <c r="K76" i="13"/>
  <c r="K77" i="13"/>
  <c r="K78" i="13"/>
  <c r="K79" i="13"/>
  <c r="K80" i="13"/>
  <c r="K81" i="13"/>
  <c r="K82" i="13"/>
  <c r="K83" i="13"/>
  <c r="K84" i="13"/>
  <c r="K85" i="13"/>
  <c r="K86" i="13"/>
  <c r="K87" i="13"/>
  <c r="K88" i="13"/>
  <c r="K89" i="13"/>
  <c r="K90" i="13"/>
  <c r="K91" i="13"/>
  <c r="K92" i="13"/>
  <c r="K93" i="13"/>
  <c r="K94" i="13"/>
  <c r="K95" i="13"/>
  <c r="K96" i="13"/>
  <c r="K97" i="13"/>
  <c r="K98" i="13"/>
  <c r="K99" i="13"/>
  <c r="K100" i="13"/>
  <c r="K101" i="13"/>
  <c r="K102" i="13"/>
  <c r="K103" i="13"/>
  <c r="K104" i="13"/>
  <c r="K105" i="13"/>
  <c r="K106" i="13"/>
  <c r="K107" i="13"/>
  <c r="K108" i="13"/>
  <c r="K109" i="13"/>
  <c r="K110" i="13"/>
  <c r="K111" i="13"/>
  <c r="K112" i="13"/>
  <c r="K113" i="13"/>
  <c r="K114" i="13"/>
  <c r="K115" i="13"/>
  <c r="K116" i="13"/>
  <c r="K117" i="13"/>
  <c r="K118" i="13"/>
  <c r="K119" i="13"/>
  <c r="K120" i="13"/>
  <c r="K121" i="13"/>
  <c r="K122" i="13"/>
  <c r="K123" i="13"/>
  <c r="K124" i="13"/>
  <c r="K125" i="13"/>
  <c r="K126" i="13"/>
  <c r="K127" i="13"/>
  <c r="K128" i="13"/>
  <c r="K129" i="13"/>
  <c r="K130" i="13"/>
  <c r="K131" i="13"/>
  <c r="K132" i="13"/>
  <c r="K133" i="13"/>
  <c r="K134" i="13"/>
  <c r="K135" i="13"/>
  <c r="K136" i="13"/>
  <c r="K137" i="13"/>
  <c r="K138" i="13"/>
  <c r="K139" i="13"/>
  <c r="K140" i="13"/>
  <c r="K141" i="13"/>
  <c r="K142" i="13"/>
  <c r="K143" i="13"/>
  <c r="K144" i="13"/>
  <c r="K145" i="13"/>
  <c r="K146" i="13"/>
  <c r="K147" i="13"/>
  <c r="K148" i="13"/>
  <c r="K149" i="13"/>
  <c r="K150" i="13"/>
  <c r="K151" i="13"/>
  <c r="K152" i="13"/>
  <c r="K153" i="13"/>
  <c r="K154" i="13"/>
  <c r="K155" i="13"/>
  <c r="K156" i="13"/>
  <c r="K157" i="13"/>
  <c r="K158" i="13"/>
  <c r="K159" i="13"/>
  <c r="K160" i="13"/>
  <c r="K161" i="13"/>
  <c r="K162" i="13"/>
  <c r="K163" i="13"/>
  <c r="K164" i="13"/>
  <c r="K165" i="13"/>
  <c r="K166" i="13"/>
  <c r="K167" i="13"/>
  <c r="K168" i="13"/>
  <c r="K169" i="13"/>
  <c r="K170" i="13"/>
  <c r="K171" i="13"/>
  <c r="K172" i="13"/>
  <c r="K173" i="13"/>
  <c r="K174" i="13"/>
  <c r="K175" i="13"/>
  <c r="K176" i="13"/>
  <c r="K177" i="13"/>
  <c r="K178" i="13"/>
  <c r="K179" i="13"/>
  <c r="K180" i="13"/>
  <c r="K181" i="13"/>
  <c r="K182" i="13"/>
  <c r="K183" i="13"/>
  <c r="K184" i="13"/>
  <c r="K185" i="13"/>
  <c r="K186" i="13"/>
  <c r="K187" i="13"/>
  <c r="K188" i="13"/>
  <c r="K189" i="13"/>
  <c r="K190" i="13"/>
  <c r="K191" i="13"/>
  <c r="K192" i="13"/>
  <c r="K193" i="13"/>
  <c r="K194" i="13"/>
  <c r="K195" i="13"/>
  <c r="K196" i="13"/>
  <c r="K197" i="13"/>
  <c r="K198" i="13"/>
  <c r="K199" i="13"/>
  <c r="K200" i="13"/>
  <c r="K201" i="13"/>
  <c r="K202" i="13"/>
  <c r="K203" i="13"/>
  <c r="K204" i="13"/>
  <c r="K205" i="13"/>
  <c r="K206" i="13"/>
  <c r="K207" i="13"/>
  <c r="K208" i="13"/>
  <c r="K209" i="13"/>
  <c r="K210" i="13"/>
  <c r="K211" i="13"/>
  <c r="K212" i="13"/>
  <c r="K213" i="13"/>
  <c r="K214" i="13"/>
  <c r="K215" i="13"/>
  <c r="K216" i="13"/>
  <c r="K217" i="13"/>
  <c r="K218" i="13"/>
  <c r="K219" i="13"/>
  <c r="K220" i="13"/>
  <c r="K221" i="13"/>
  <c r="K222" i="13"/>
  <c r="K223" i="13"/>
  <c r="K224" i="13"/>
  <c r="K225" i="13"/>
  <c r="K226" i="13"/>
  <c r="K227" i="13"/>
  <c r="K228" i="13"/>
  <c r="K229" i="13"/>
  <c r="K230" i="13"/>
  <c r="K231" i="13"/>
  <c r="T4" i="13"/>
  <c r="U4" i="13"/>
  <c r="V4" i="13"/>
  <c r="W4" i="13"/>
  <c r="T5" i="13"/>
  <c r="U5" i="13"/>
  <c r="V5" i="13"/>
  <c r="W5" i="13"/>
  <c r="T6" i="13"/>
  <c r="U6" i="13"/>
  <c r="V6" i="13"/>
  <c r="W6" i="13"/>
  <c r="T7" i="13"/>
  <c r="U7" i="13"/>
  <c r="V7" i="13"/>
  <c r="W7" i="13"/>
  <c r="T8" i="13"/>
  <c r="U8" i="13"/>
  <c r="V8" i="13"/>
  <c r="W8" i="13"/>
  <c r="T9" i="13"/>
  <c r="U9" i="13"/>
  <c r="V9" i="13"/>
  <c r="W9" i="13"/>
  <c r="T10" i="13"/>
  <c r="U10" i="13"/>
  <c r="V10" i="13"/>
  <c r="W10" i="13"/>
  <c r="T11" i="13"/>
  <c r="U11" i="13"/>
  <c r="V11" i="13"/>
  <c r="W11" i="13"/>
  <c r="T12" i="13"/>
  <c r="U12" i="13"/>
  <c r="V12" i="13"/>
  <c r="W12" i="13"/>
  <c r="T13" i="13"/>
  <c r="U13" i="13"/>
  <c r="V13" i="13"/>
  <c r="W13" i="13"/>
  <c r="T14" i="13"/>
  <c r="U14" i="13"/>
  <c r="V14" i="13"/>
  <c r="W14" i="13"/>
  <c r="T15" i="13"/>
  <c r="U15" i="13"/>
  <c r="V15" i="13"/>
  <c r="W15" i="13"/>
  <c r="T16" i="13"/>
  <c r="U16" i="13"/>
  <c r="V16" i="13"/>
  <c r="W16" i="13"/>
  <c r="T17" i="13"/>
  <c r="U17" i="13"/>
  <c r="V17" i="13"/>
  <c r="W17" i="13"/>
  <c r="T18" i="13"/>
  <c r="U18" i="13"/>
  <c r="V18" i="13"/>
  <c r="W18" i="13"/>
  <c r="T19" i="13"/>
  <c r="U19" i="13"/>
  <c r="V19" i="13"/>
  <c r="W19" i="13"/>
  <c r="T20" i="13"/>
  <c r="U20" i="13"/>
  <c r="V20" i="13"/>
  <c r="W20" i="13"/>
  <c r="T21" i="13"/>
  <c r="U21" i="13"/>
  <c r="V21" i="13"/>
  <c r="W21" i="13"/>
  <c r="T22" i="13"/>
  <c r="U22" i="13"/>
  <c r="V22" i="13"/>
  <c r="W22" i="13"/>
  <c r="T23" i="13"/>
  <c r="U23" i="13"/>
  <c r="V23" i="13"/>
  <c r="W23" i="13"/>
  <c r="T24" i="13"/>
  <c r="U24" i="13"/>
  <c r="V24" i="13"/>
  <c r="W24" i="13"/>
  <c r="T25" i="13"/>
  <c r="U25" i="13"/>
  <c r="V25" i="13"/>
  <c r="W25" i="13"/>
  <c r="T26" i="13"/>
  <c r="U26" i="13"/>
  <c r="V26" i="13"/>
  <c r="W26" i="13"/>
  <c r="T27" i="13"/>
  <c r="U27" i="13"/>
  <c r="V27" i="13"/>
  <c r="W27" i="13"/>
  <c r="T28" i="13"/>
  <c r="U28" i="13"/>
  <c r="V28" i="13"/>
  <c r="W28" i="13"/>
  <c r="T29" i="13"/>
  <c r="U29" i="13"/>
  <c r="V29" i="13"/>
  <c r="W29" i="13"/>
  <c r="T30" i="13"/>
  <c r="U30" i="13"/>
  <c r="V30" i="13"/>
  <c r="W30" i="13"/>
  <c r="T31" i="13"/>
  <c r="U31" i="13"/>
  <c r="V31" i="13"/>
  <c r="W31" i="13"/>
  <c r="T32" i="13"/>
  <c r="U32" i="13"/>
  <c r="V32" i="13"/>
  <c r="W32" i="13"/>
  <c r="T33" i="13"/>
  <c r="U33" i="13"/>
  <c r="V33" i="13"/>
  <c r="W33" i="13"/>
  <c r="T34" i="13"/>
  <c r="U34" i="13"/>
  <c r="V34" i="13"/>
  <c r="W34" i="13"/>
  <c r="T35" i="13"/>
  <c r="U35" i="13"/>
  <c r="V35" i="13"/>
  <c r="W35" i="13"/>
  <c r="T36" i="13"/>
  <c r="U36" i="13"/>
  <c r="V36" i="13"/>
  <c r="W36" i="13"/>
  <c r="T37" i="13"/>
  <c r="U37" i="13"/>
  <c r="V37" i="13"/>
  <c r="W37" i="13"/>
  <c r="T38" i="13"/>
  <c r="U38" i="13"/>
  <c r="V38" i="13"/>
  <c r="W38" i="13"/>
  <c r="T39" i="13"/>
  <c r="U39" i="13"/>
  <c r="V39" i="13"/>
  <c r="W39" i="13"/>
  <c r="T40" i="13"/>
  <c r="U40" i="13"/>
  <c r="V40" i="13"/>
  <c r="W40" i="13"/>
  <c r="T41" i="13"/>
  <c r="U41" i="13"/>
  <c r="V41" i="13"/>
  <c r="W41" i="13"/>
  <c r="T42" i="13"/>
  <c r="U42" i="13"/>
  <c r="V42" i="13"/>
  <c r="W42" i="13"/>
  <c r="T43" i="13"/>
  <c r="U43" i="13"/>
  <c r="V43" i="13"/>
  <c r="W43" i="13"/>
  <c r="T44" i="13"/>
  <c r="U44" i="13"/>
  <c r="V44" i="13"/>
  <c r="W44" i="13"/>
  <c r="T45" i="13"/>
  <c r="U45" i="13"/>
  <c r="V45" i="13"/>
  <c r="W45" i="13"/>
  <c r="T46" i="13"/>
  <c r="U46" i="13"/>
  <c r="V46" i="13"/>
  <c r="W46" i="13"/>
  <c r="T47" i="13"/>
  <c r="U47" i="13"/>
  <c r="V47" i="13"/>
  <c r="W47" i="13"/>
  <c r="T48" i="13"/>
  <c r="U48" i="13"/>
  <c r="V48" i="13"/>
  <c r="W48" i="13"/>
  <c r="T49" i="13"/>
  <c r="U49" i="13"/>
  <c r="V49" i="13"/>
  <c r="W49" i="13"/>
  <c r="T50" i="13"/>
  <c r="U50" i="13"/>
  <c r="V50" i="13"/>
  <c r="W50" i="13"/>
  <c r="T51" i="13"/>
  <c r="U51" i="13"/>
  <c r="V51" i="13"/>
  <c r="W51" i="13"/>
  <c r="T52" i="13"/>
  <c r="U52" i="13"/>
  <c r="V52" i="13"/>
  <c r="W52" i="13"/>
  <c r="T53" i="13"/>
  <c r="U53" i="13"/>
  <c r="V53" i="13"/>
  <c r="W53" i="13"/>
  <c r="T54" i="13"/>
  <c r="U54" i="13"/>
  <c r="V54" i="13"/>
  <c r="W54" i="13"/>
  <c r="T55" i="13"/>
  <c r="U55" i="13"/>
  <c r="V55" i="13"/>
  <c r="W55" i="13"/>
  <c r="T56" i="13"/>
  <c r="U56" i="13"/>
  <c r="V56" i="13"/>
  <c r="W56" i="13"/>
  <c r="T57" i="13"/>
  <c r="U57" i="13"/>
  <c r="V57" i="13"/>
  <c r="W57" i="13"/>
  <c r="T58" i="13"/>
  <c r="U58" i="13"/>
  <c r="V58" i="13"/>
  <c r="W58" i="13"/>
  <c r="T59" i="13"/>
  <c r="U59" i="13"/>
  <c r="V59" i="13"/>
  <c r="W59" i="13"/>
  <c r="T60" i="13"/>
  <c r="U60" i="13"/>
  <c r="V60" i="13"/>
  <c r="W60" i="13"/>
  <c r="T61" i="13"/>
  <c r="U61" i="13"/>
  <c r="V61" i="13"/>
  <c r="W61" i="13"/>
  <c r="T62" i="13"/>
  <c r="U62" i="13"/>
  <c r="V62" i="13"/>
  <c r="W62" i="13"/>
  <c r="T63" i="13"/>
  <c r="U63" i="13"/>
  <c r="V63" i="13"/>
  <c r="W63" i="13"/>
  <c r="T64" i="13"/>
  <c r="U64" i="13"/>
  <c r="V64" i="13"/>
  <c r="W64" i="13"/>
  <c r="T65" i="13"/>
  <c r="U65" i="13"/>
  <c r="V65" i="13"/>
  <c r="W65" i="13"/>
  <c r="T66" i="13"/>
  <c r="U66" i="13"/>
  <c r="V66" i="13"/>
  <c r="W66" i="13"/>
  <c r="T67" i="13"/>
  <c r="U67" i="13"/>
  <c r="V67" i="13"/>
  <c r="W67" i="13"/>
  <c r="T68" i="13"/>
  <c r="U68" i="13"/>
  <c r="V68" i="13"/>
  <c r="W68" i="13"/>
  <c r="T69" i="13"/>
  <c r="U69" i="13"/>
  <c r="V69" i="13"/>
  <c r="W69" i="13"/>
  <c r="T70" i="13"/>
  <c r="U70" i="13"/>
  <c r="V70" i="13"/>
  <c r="W70" i="13"/>
  <c r="T71" i="13"/>
  <c r="U71" i="13"/>
  <c r="V71" i="13"/>
  <c r="W71" i="13"/>
  <c r="T72" i="13"/>
  <c r="U72" i="13"/>
  <c r="V72" i="13"/>
  <c r="W72" i="13"/>
  <c r="T73" i="13"/>
  <c r="U73" i="13"/>
  <c r="V73" i="13"/>
  <c r="W73" i="13"/>
  <c r="T74" i="13"/>
  <c r="U74" i="13"/>
  <c r="V74" i="13"/>
  <c r="W74" i="13"/>
  <c r="T75" i="13"/>
  <c r="U75" i="13"/>
  <c r="V75" i="13"/>
  <c r="W75" i="13"/>
  <c r="T76" i="13"/>
  <c r="U76" i="13"/>
  <c r="V76" i="13"/>
  <c r="W76" i="13"/>
  <c r="T77" i="13"/>
  <c r="U77" i="13"/>
  <c r="V77" i="13"/>
  <c r="W77" i="13"/>
  <c r="T78" i="13"/>
  <c r="U78" i="13"/>
  <c r="V78" i="13"/>
  <c r="W78" i="13"/>
  <c r="T79" i="13"/>
  <c r="U79" i="13"/>
  <c r="V79" i="13"/>
  <c r="W79" i="13"/>
  <c r="T80" i="13"/>
  <c r="U80" i="13"/>
  <c r="V80" i="13"/>
  <c r="W80" i="13"/>
  <c r="T81" i="13"/>
  <c r="U81" i="13"/>
  <c r="V81" i="13"/>
  <c r="W81" i="13"/>
  <c r="T82" i="13"/>
  <c r="U82" i="13"/>
  <c r="V82" i="13"/>
  <c r="W82" i="13"/>
  <c r="T83" i="13"/>
  <c r="U83" i="13"/>
  <c r="V83" i="13"/>
  <c r="W83" i="13"/>
  <c r="T84" i="13"/>
  <c r="U84" i="13"/>
  <c r="V84" i="13"/>
  <c r="W84" i="13"/>
  <c r="T85" i="13"/>
  <c r="U85" i="13"/>
  <c r="V85" i="13"/>
  <c r="W85" i="13"/>
  <c r="T86" i="13"/>
  <c r="U86" i="13"/>
  <c r="V86" i="13"/>
  <c r="W86" i="13"/>
  <c r="T87" i="13"/>
  <c r="U87" i="13"/>
  <c r="V87" i="13"/>
  <c r="W87" i="13"/>
  <c r="T88" i="13"/>
  <c r="U88" i="13"/>
  <c r="V88" i="13"/>
  <c r="W88" i="13"/>
  <c r="T89" i="13"/>
  <c r="U89" i="13"/>
  <c r="V89" i="13"/>
  <c r="W89" i="13"/>
  <c r="T90" i="13"/>
  <c r="U90" i="13"/>
  <c r="V90" i="13"/>
  <c r="W90" i="13"/>
  <c r="T91" i="13"/>
  <c r="U91" i="13"/>
  <c r="V91" i="13"/>
  <c r="W91" i="13"/>
  <c r="T92" i="13"/>
  <c r="U92" i="13"/>
  <c r="V92" i="13"/>
  <c r="W92" i="13"/>
  <c r="T93" i="13"/>
  <c r="U93" i="13"/>
  <c r="V93" i="13"/>
  <c r="W93" i="13"/>
  <c r="T94" i="13"/>
  <c r="U94" i="13"/>
  <c r="V94" i="13"/>
  <c r="W94" i="13"/>
  <c r="T95" i="13"/>
  <c r="U95" i="13"/>
  <c r="V95" i="13"/>
  <c r="W95" i="13"/>
  <c r="T96" i="13"/>
  <c r="U96" i="13"/>
  <c r="V96" i="13"/>
  <c r="W96" i="13"/>
  <c r="T97" i="13"/>
  <c r="U97" i="13"/>
  <c r="V97" i="13"/>
  <c r="W97" i="13"/>
  <c r="T98" i="13"/>
  <c r="U98" i="13"/>
  <c r="V98" i="13"/>
  <c r="W98" i="13"/>
  <c r="T99" i="13"/>
  <c r="U99" i="13"/>
  <c r="V99" i="13"/>
  <c r="W99" i="13"/>
  <c r="T100" i="13"/>
  <c r="U100" i="13"/>
  <c r="V100" i="13"/>
  <c r="W100" i="13"/>
  <c r="T101" i="13"/>
  <c r="U101" i="13"/>
  <c r="V101" i="13"/>
  <c r="W101" i="13"/>
  <c r="T102" i="13"/>
  <c r="U102" i="13"/>
  <c r="V102" i="13"/>
  <c r="W102" i="13"/>
  <c r="T103" i="13"/>
  <c r="U103" i="13"/>
  <c r="V103" i="13"/>
  <c r="W103" i="13"/>
  <c r="T104" i="13"/>
  <c r="U104" i="13"/>
  <c r="V104" i="13"/>
  <c r="W104" i="13"/>
  <c r="T105" i="13"/>
  <c r="U105" i="13"/>
  <c r="V105" i="13"/>
  <c r="W105" i="13"/>
  <c r="T106" i="13"/>
  <c r="U106" i="13"/>
  <c r="V106" i="13"/>
  <c r="W106" i="13"/>
  <c r="T107" i="13"/>
  <c r="U107" i="13"/>
  <c r="V107" i="13"/>
  <c r="W107" i="13"/>
  <c r="T108" i="13"/>
  <c r="U108" i="13"/>
  <c r="V108" i="13"/>
  <c r="W108" i="13"/>
  <c r="T109" i="13"/>
  <c r="U109" i="13"/>
  <c r="V109" i="13"/>
  <c r="W109" i="13"/>
  <c r="T110" i="13"/>
  <c r="U110" i="13"/>
  <c r="V110" i="13"/>
  <c r="W110" i="13"/>
  <c r="T111" i="13"/>
  <c r="U111" i="13"/>
  <c r="V111" i="13"/>
  <c r="W111" i="13"/>
  <c r="T112" i="13"/>
  <c r="U112" i="13"/>
  <c r="V112" i="13"/>
  <c r="W112" i="13"/>
  <c r="T113" i="13"/>
  <c r="U113" i="13"/>
  <c r="V113" i="13"/>
  <c r="W113" i="13"/>
  <c r="T114" i="13"/>
  <c r="U114" i="13"/>
  <c r="V114" i="13"/>
  <c r="W114" i="13"/>
  <c r="T115" i="13"/>
  <c r="U115" i="13"/>
  <c r="V115" i="13"/>
  <c r="W115" i="13"/>
  <c r="T116" i="13"/>
  <c r="U116" i="13"/>
  <c r="V116" i="13"/>
  <c r="W116" i="13"/>
  <c r="T117" i="13"/>
  <c r="U117" i="13"/>
  <c r="V117" i="13"/>
  <c r="W117" i="13"/>
  <c r="T118" i="13"/>
  <c r="U118" i="13"/>
  <c r="V118" i="13"/>
  <c r="W118" i="13"/>
  <c r="T119" i="13"/>
  <c r="U119" i="13"/>
  <c r="V119" i="13"/>
  <c r="W119" i="13"/>
  <c r="T120" i="13"/>
  <c r="U120" i="13"/>
  <c r="V120" i="13"/>
  <c r="W120" i="13"/>
  <c r="T121" i="13"/>
  <c r="U121" i="13"/>
  <c r="V121" i="13"/>
  <c r="W121" i="13"/>
  <c r="T122" i="13"/>
  <c r="U122" i="13"/>
  <c r="V122" i="13"/>
  <c r="W122" i="13"/>
  <c r="T123" i="13"/>
  <c r="U123" i="13"/>
  <c r="V123" i="13"/>
  <c r="W123" i="13"/>
  <c r="T124" i="13"/>
  <c r="U124" i="13"/>
  <c r="V124" i="13"/>
  <c r="W124" i="13"/>
  <c r="T125" i="13"/>
  <c r="U125" i="13"/>
  <c r="V125" i="13"/>
  <c r="W125" i="13"/>
  <c r="T126" i="13"/>
  <c r="U126" i="13"/>
  <c r="V126" i="13"/>
  <c r="W126" i="13"/>
  <c r="T127" i="13"/>
  <c r="U127" i="13"/>
  <c r="V127" i="13"/>
  <c r="W127" i="13"/>
  <c r="T128" i="13"/>
  <c r="U128" i="13"/>
  <c r="V128" i="13"/>
  <c r="W128" i="13"/>
  <c r="T129" i="13"/>
  <c r="U129" i="13"/>
  <c r="V129" i="13"/>
  <c r="W129" i="13"/>
  <c r="T130" i="13"/>
  <c r="U130" i="13"/>
  <c r="V130" i="13"/>
  <c r="W130" i="13"/>
  <c r="T131" i="13"/>
  <c r="U131" i="13"/>
  <c r="V131" i="13"/>
  <c r="W131" i="13"/>
  <c r="T132" i="13"/>
  <c r="U132" i="13"/>
  <c r="V132" i="13"/>
  <c r="W132" i="13"/>
  <c r="T133" i="13"/>
  <c r="U133" i="13"/>
  <c r="V133" i="13"/>
  <c r="W133" i="13"/>
  <c r="T134" i="13"/>
  <c r="U134" i="13"/>
  <c r="V134" i="13"/>
  <c r="W134" i="13"/>
  <c r="T135" i="13"/>
  <c r="U135" i="13"/>
  <c r="V135" i="13"/>
  <c r="W135" i="13"/>
  <c r="T136" i="13"/>
  <c r="U136" i="13"/>
  <c r="V136" i="13"/>
  <c r="W136" i="13"/>
  <c r="T137" i="13"/>
  <c r="U137" i="13"/>
  <c r="V137" i="13"/>
  <c r="W137" i="13"/>
  <c r="T138" i="13"/>
  <c r="U138" i="13"/>
  <c r="V138" i="13"/>
  <c r="W138" i="13"/>
  <c r="T139" i="13"/>
  <c r="U139" i="13"/>
  <c r="V139" i="13"/>
  <c r="W139" i="13"/>
  <c r="T140" i="13"/>
  <c r="U140" i="13"/>
  <c r="V140" i="13"/>
  <c r="W140" i="13"/>
  <c r="T141" i="13"/>
  <c r="U141" i="13"/>
  <c r="V141" i="13"/>
  <c r="W141" i="13"/>
  <c r="T142" i="13"/>
  <c r="U142" i="13"/>
  <c r="V142" i="13"/>
  <c r="W142" i="13"/>
  <c r="T143" i="13"/>
  <c r="U143" i="13"/>
  <c r="V143" i="13"/>
  <c r="W143" i="13"/>
  <c r="T144" i="13"/>
  <c r="U144" i="13"/>
  <c r="V144" i="13"/>
  <c r="W144" i="13"/>
  <c r="T145" i="13"/>
  <c r="U145" i="13"/>
  <c r="V145" i="13"/>
  <c r="W145" i="13"/>
  <c r="T146" i="13"/>
  <c r="U146" i="13"/>
  <c r="V146" i="13"/>
  <c r="W146" i="13"/>
  <c r="T147" i="13"/>
  <c r="U147" i="13"/>
  <c r="V147" i="13"/>
  <c r="W147" i="13"/>
  <c r="T148" i="13"/>
  <c r="U148" i="13"/>
  <c r="V148" i="13"/>
  <c r="W148" i="13"/>
  <c r="T149" i="13"/>
  <c r="U149" i="13"/>
  <c r="V149" i="13"/>
  <c r="W149" i="13"/>
  <c r="T150" i="13"/>
  <c r="U150" i="13"/>
  <c r="V150" i="13"/>
  <c r="W150" i="13"/>
  <c r="T151" i="13"/>
  <c r="U151" i="13"/>
  <c r="V151" i="13"/>
  <c r="W151" i="13"/>
  <c r="T152" i="13"/>
  <c r="U152" i="13"/>
  <c r="V152" i="13"/>
  <c r="W152" i="13"/>
  <c r="T153" i="13"/>
  <c r="U153" i="13"/>
  <c r="V153" i="13"/>
  <c r="W153" i="13"/>
  <c r="T154" i="13"/>
  <c r="U154" i="13"/>
  <c r="V154" i="13"/>
  <c r="W154" i="13"/>
  <c r="T155" i="13"/>
  <c r="U155" i="13"/>
  <c r="V155" i="13"/>
  <c r="W155" i="13"/>
  <c r="T156" i="13"/>
  <c r="U156" i="13"/>
  <c r="V156" i="13"/>
  <c r="W156" i="13"/>
  <c r="T157" i="13"/>
  <c r="U157" i="13"/>
  <c r="V157" i="13"/>
  <c r="W157" i="13"/>
  <c r="T158" i="13"/>
  <c r="U158" i="13"/>
  <c r="V158" i="13"/>
  <c r="W158" i="13"/>
  <c r="T159" i="13"/>
  <c r="U159" i="13"/>
  <c r="V159" i="13"/>
  <c r="W159" i="13"/>
  <c r="T160" i="13"/>
  <c r="U160" i="13"/>
  <c r="V160" i="13"/>
  <c r="W160" i="13"/>
  <c r="T161" i="13"/>
  <c r="U161" i="13"/>
  <c r="V161" i="13"/>
  <c r="W161" i="13"/>
  <c r="T162" i="13"/>
  <c r="U162" i="13"/>
  <c r="V162" i="13"/>
  <c r="W162" i="13"/>
  <c r="T163" i="13"/>
  <c r="U163" i="13"/>
  <c r="V163" i="13"/>
  <c r="W163" i="13"/>
  <c r="T164" i="13"/>
  <c r="U164" i="13"/>
  <c r="V164" i="13"/>
  <c r="W164" i="13"/>
  <c r="T165" i="13"/>
  <c r="U165" i="13"/>
  <c r="V165" i="13"/>
  <c r="W165" i="13"/>
  <c r="T166" i="13"/>
  <c r="U166" i="13"/>
  <c r="V166" i="13"/>
  <c r="W166" i="13"/>
  <c r="T167" i="13"/>
  <c r="U167" i="13"/>
  <c r="V167" i="13"/>
  <c r="W167" i="13"/>
  <c r="T168" i="13"/>
  <c r="U168" i="13"/>
  <c r="V168" i="13"/>
  <c r="W168" i="13"/>
  <c r="T169" i="13"/>
  <c r="U169" i="13"/>
  <c r="V169" i="13"/>
  <c r="W169" i="13"/>
  <c r="T170" i="13"/>
  <c r="U170" i="13"/>
  <c r="V170" i="13"/>
  <c r="W170" i="13"/>
  <c r="T171" i="13"/>
  <c r="U171" i="13"/>
  <c r="V171" i="13"/>
  <c r="W171" i="13"/>
  <c r="T172" i="13"/>
  <c r="U172" i="13"/>
  <c r="V172" i="13"/>
  <c r="W172" i="13"/>
  <c r="T173" i="13"/>
  <c r="U173" i="13"/>
  <c r="V173" i="13"/>
  <c r="W173" i="13"/>
  <c r="T174" i="13"/>
  <c r="U174" i="13"/>
  <c r="V174" i="13"/>
  <c r="W174" i="13"/>
  <c r="T175" i="13"/>
  <c r="U175" i="13"/>
  <c r="V175" i="13"/>
  <c r="W175" i="13"/>
  <c r="T176" i="13"/>
  <c r="U176" i="13"/>
  <c r="V176" i="13"/>
  <c r="W176" i="13"/>
  <c r="T177" i="13"/>
  <c r="U177" i="13"/>
  <c r="V177" i="13"/>
  <c r="W177" i="13"/>
  <c r="T178" i="13"/>
  <c r="U178" i="13"/>
  <c r="V178" i="13"/>
  <c r="W178" i="13"/>
  <c r="T179" i="13"/>
  <c r="U179" i="13"/>
  <c r="V179" i="13"/>
  <c r="W179" i="13"/>
  <c r="T180" i="13"/>
  <c r="U180" i="13"/>
  <c r="V180" i="13"/>
  <c r="W180" i="13"/>
  <c r="T181" i="13"/>
  <c r="U181" i="13"/>
  <c r="V181" i="13"/>
  <c r="W181" i="13"/>
  <c r="T182" i="13"/>
  <c r="U182" i="13"/>
  <c r="V182" i="13"/>
  <c r="W182" i="13"/>
  <c r="T183" i="13"/>
  <c r="U183" i="13"/>
  <c r="V183" i="13"/>
  <c r="W183" i="13"/>
  <c r="T184" i="13"/>
  <c r="U184" i="13"/>
  <c r="V184" i="13"/>
  <c r="W184" i="13"/>
  <c r="T185" i="13"/>
  <c r="U185" i="13"/>
  <c r="V185" i="13"/>
  <c r="W185" i="13"/>
  <c r="T186" i="13"/>
  <c r="U186" i="13"/>
  <c r="V186" i="13"/>
  <c r="W186" i="13"/>
  <c r="T187" i="13"/>
  <c r="U187" i="13"/>
  <c r="V187" i="13"/>
  <c r="W187" i="13"/>
  <c r="T188" i="13"/>
  <c r="U188" i="13"/>
  <c r="V188" i="13"/>
  <c r="W188" i="13"/>
  <c r="T189" i="13"/>
  <c r="U189" i="13"/>
  <c r="V189" i="13"/>
  <c r="W189" i="13"/>
  <c r="T190" i="13"/>
  <c r="U190" i="13"/>
  <c r="V190" i="13"/>
  <c r="W190" i="13"/>
  <c r="T191" i="13"/>
  <c r="U191" i="13"/>
  <c r="V191" i="13"/>
  <c r="W191" i="13"/>
  <c r="T192" i="13"/>
  <c r="U192" i="13"/>
  <c r="V192" i="13"/>
  <c r="W192" i="13"/>
  <c r="T193" i="13"/>
  <c r="U193" i="13"/>
  <c r="V193" i="13"/>
  <c r="W193" i="13"/>
  <c r="T194" i="13"/>
  <c r="U194" i="13"/>
  <c r="V194" i="13"/>
  <c r="W194" i="13"/>
  <c r="T195" i="13"/>
  <c r="U195" i="13"/>
  <c r="V195" i="13"/>
  <c r="W195" i="13"/>
  <c r="T196" i="13"/>
  <c r="U196" i="13"/>
  <c r="V196" i="13"/>
  <c r="W196" i="13"/>
  <c r="T197" i="13"/>
  <c r="U197" i="13"/>
  <c r="V197" i="13"/>
  <c r="W197" i="13"/>
  <c r="T198" i="13"/>
  <c r="U198" i="13"/>
  <c r="V198" i="13"/>
  <c r="W198" i="13"/>
  <c r="T199" i="13"/>
  <c r="U199" i="13"/>
  <c r="V199" i="13"/>
  <c r="W199" i="13"/>
  <c r="T200" i="13"/>
  <c r="U200" i="13"/>
  <c r="V200" i="13"/>
  <c r="W200" i="13"/>
  <c r="T201" i="13"/>
  <c r="U201" i="13"/>
  <c r="V201" i="13"/>
  <c r="W201" i="13"/>
  <c r="T202" i="13"/>
  <c r="U202" i="13"/>
  <c r="V202" i="13"/>
  <c r="W202" i="13"/>
  <c r="T203" i="13"/>
  <c r="U203" i="13"/>
  <c r="V203" i="13"/>
  <c r="W203" i="13"/>
  <c r="T204" i="13"/>
  <c r="U204" i="13"/>
  <c r="V204" i="13"/>
  <c r="W204" i="13"/>
  <c r="T205" i="13"/>
  <c r="U205" i="13"/>
  <c r="V205" i="13"/>
  <c r="W205" i="13"/>
  <c r="T206" i="13"/>
  <c r="U206" i="13"/>
  <c r="V206" i="13"/>
  <c r="W206" i="13"/>
  <c r="T207" i="13"/>
  <c r="U207" i="13"/>
  <c r="V207" i="13"/>
  <c r="W207" i="13"/>
  <c r="T208" i="13"/>
  <c r="U208" i="13"/>
  <c r="V208" i="13"/>
  <c r="W208" i="13"/>
  <c r="T209" i="13"/>
  <c r="U209" i="13"/>
  <c r="V209" i="13"/>
  <c r="W209" i="13"/>
  <c r="T210" i="13"/>
  <c r="U210" i="13"/>
  <c r="V210" i="13"/>
  <c r="W210" i="13"/>
  <c r="T211" i="13"/>
  <c r="U211" i="13"/>
  <c r="V211" i="13"/>
  <c r="W211" i="13"/>
  <c r="T212" i="13"/>
  <c r="U212" i="13"/>
  <c r="V212" i="13"/>
  <c r="W212" i="13"/>
  <c r="T213" i="13"/>
  <c r="U213" i="13"/>
  <c r="V213" i="13"/>
  <c r="W213" i="13"/>
  <c r="T214" i="13"/>
  <c r="U214" i="13"/>
  <c r="V214" i="13"/>
  <c r="W214" i="13"/>
  <c r="T215" i="13"/>
  <c r="U215" i="13"/>
  <c r="V215" i="13"/>
  <c r="W215" i="13"/>
  <c r="T216" i="13"/>
  <c r="U216" i="13"/>
  <c r="V216" i="13"/>
  <c r="W216" i="13"/>
  <c r="T217" i="13"/>
  <c r="U217" i="13"/>
  <c r="V217" i="13"/>
  <c r="W217" i="13"/>
  <c r="T218" i="13"/>
  <c r="U218" i="13"/>
  <c r="V218" i="13"/>
  <c r="W218" i="13"/>
  <c r="T219" i="13"/>
  <c r="U219" i="13"/>
  <c r="V219" i="13"/>
  <c r="W219" i="13"/>
  <c r="T220" i="13"/>
  <c r="U220" i="13"/>
  <c r="V220" i="13"/>
  <c r="W220" i="13"/>
  <c r="T221" i="13"/>
  <c r="U221" i="13"/>
  <c r="V221" i="13"/>
  <c r="W221" i="13"/>
  <c r="T222" i="13"/>
  <c r="U222" i="13"/>
  <c r="V222" i="13"/>
  <c r="W222" i="13"/>
  <c r="T223" i="13"/>
  <c r="U223" i="13"/>
  <c r="V223" i="13"/>
  <c r="W223" i="13"/>
  <c r="T224" i="13"/>
  <c r="U224" i="13"/>
  <c r="V224" i="13"/>
  <c r="W224" i="13"/>
  <c r="T225" i="13"/>
  <c r="U225" i="13"/>
  <c r="V225" i="13"/>
  <c r="W225" i="13"/>
  <c r="T226" i="13"/>
  <c r="U226" i="13"/>
  <c r="V226" i="13"/>
  <c r="W226" i="13"/>
  <c r="T227" i="13"/>
  <c r="U227" i="13"/>
  <c r="V227" i="13"/>
  <c r="W227" i="13"/>
  <c r="T228" i="13"/>
  <c r="U228" i="13"/>
  <c r="V228" i="13"/>
  <c r="W228" i="13"/>
  <c r="T229" i="13"/>
  <c r="U229" i="13"/>
  <c r="V229" i="13"/>
  <c r="W229" i="13"/>
  <c r="T230" i="13"/>
  <c r="U230" i="13"/>
  <c r="V230" i="13"/>
  <c r="W230" i="13"/>
  <c r="T231" i="13"/>
  <c r="U231" i="13"/>
  <c r="V231" i="13"/>
  <c r="W231" i="13"/>
  <c r="Y4" i="13"/>
  <c r="AD4" i="13" s="1"/>
  <c r="Z4" i="13"/>
  <c r="AA4" i="13"/>
  <c r="AB4" i="13"/>
  <c r="AC4" i="13"/>
  <c r="Y5" i="13"/>
  <c r="AD5" i="13" s="1"/>
  <c r="Z5" i="13"/>
  <c r="AA5" i="13"/>
  <c r="AB5" i="13"/>
  <c r="AC5" i="13"/>
  <c r="Y6" i="13"/>
  <c r="AD6" i="13" s="1"/>
  <c r="Z6" i="13"/>
  <c r="AA6" i="13"/>
  <c r="AB6" i="13"/>
  <c r="AC6" i="13"/>
  <c r="Y7" i="13"/>
  <c r="AD7" i="13" s="1"/>
  <c r="Z7" i="13"/>
  <c r="AA7" i="13"/>
  <c r="AB7" i="13"/>
  <c r="AC7" i="13"/>
  <c r="Y8" i="13"/>
  <c r="AD8" i="13" s="1"/>
  <c r="Z8" i="13"/>
  <c r="AA8" i="13"/>
  <c r="AB8" i="13"/>
  <c r="AC8" i="13"/>
  <c r="Y9" i="13"/>
  <c r="AD9" i="13" s="1"/>
  <c r="Z9" i="13"/>
  <c r="AA9" i="13"/>
  <c r="AB9" i="13"/>
  <c r="AC9" i="13"/>
  <c r="Y10" i="13"/>
  <c r="AD10" i="13" s="1"/>
  <c r="Z10" i="13"/>
  <c r="AA10" i="13"/>
  <c r="AB10" i="13"/>
  <c r="AC10" i="13"/>
  <c r="Y11" i="13"/>
  <c r="AD11" i="13" s="1"/>
  <c r="Z11" i="13"/>
  <c r="AA11" i="13"/>
  <c r="AB11" i="13"/>
  <c r="AC11" i="13"/>
  <c r="Y12" i="13"/>
  <c r="AD12" i="13" s="1"/>
  <c r="Z12" i="13"/>
  <c r="AA12" i="13"/>
  <c r="AB12" i="13"/>
  <c r="AC12" i="13"/>
  <c r="Y13" i="13"/>
  <c r="AD13" i="13" s="1"/>
  <c r="Z13" i="13"/>
  <c r="AA13" i="13"/>
  <c r="AB13" i="13"/>
  <c r="AC13" i="13"/>
  <c r="Y14" i="13"/>
  <c r="AD14" i="13" s="1"/>
  <c r="Z14" i="13"/>
  <c r="AA14" i="13"/>
  <c r="AB14" i="13"/>
  <c r="AC14" i="13"/>
  <c r="Y15" i="13"/>
  <c r="AD15" i="13" s="1"/>
  <c r="Z15" i="13"/>
  <c r="AA15" i="13"/>
  <c r="AB15" i="13"/>
  <c r="AC15" i="13"/>
  <c r="Y16" i="13"/>
  <c r="AD16" i="13" s="1"/>
  <c r="Z16" i="13"/>
  <c r="AA16" i="13"/>
  <c r="AB16" i="13"/>
  <c r="AC16" i="13"/>
  <c r="Y17" i="13"/>
  <c r="AD17" i="13" s="1"/>
  <c r="Z17" i="13"/>
  <c r="AA17" i="13"/>
  <c r="AB17" i="13"/>
  <c r="AC17" i="13"/>
  <c r="Y18" i="13"/>
  <c r="AD18" i="13" s="1"/>
  <c r="Z18" i="13"/>
  <c r="AA18" i="13"/>
  <c r="AB18" i="13"/>
  <c r="AC18" i="13"/>
  <c r="Y19" i="13"/>
  <c r="AD19" i="13" s="1"/>
  <c r="Z19" i="13"/>
  <c r="AA19" i="13"/>
  <c r="AB19" i="13"/>
  <c r="AC19" i="13"/>
  <c r="Y20" i="13"/>
  <c r="AD20" i="13" s="1"/>
  <c r="Z20" i="13"/>
  <c r="AA20" i="13"/>
  <c r="AB20" i="13"/>
  <c r="AC20" i="13"/>
  <c r="Y21" i="13"/>
  <c r="AD21" i="13" s="1"/>
  <c r="Z21" i="13"/>
  <c r="AA21" i="13"/>
  <c r="AB21" i="13"/>
  <c r="AC21" i="13"/>
  <c r="Y22" i="13"/>
  <c r="AD22" i="13" s="1"/>
  <c r="Z22" i="13"/>
  <c r="AA22" i="13"/>
  <c r="AB22" i="13"/>
  <c r="AC22" i="13"/>
  <c r="Y23" i="13"/>
  <c r="AD23" i="13" s="1"/>
  <c r="Z23" i="13"/>
  <c r="AA23" i="13"/>
  <c r="AB23" i="13"/>
  <c r="AC23" i="13"/>
  <c r="Y24" i="13"/>
  <c r="AD24" i="13" s="1"/>
  <c r="Z24" i="13"/>
  <c r="AA24" i="13"/>
  <c r="AB24" i="13"/>
  <c r="AC24" i="13"/>
  <c r="Y25" i="13"/>
  <c r="AD25" i="13" s="1"/>
  <c r="Z25" i="13"/>
  <c r="AA25" i="13"/>
  <c r="AB25" i="13"/>
  <c r="AC25" i="13"/>
  <c r="Y26" i="13"/>
  <c r="AD26" i="13" s="1"/>
  <c r="Z26" i="13"/>
  <c r="AA26" i="13"/>
  <c r="AB26" i="13"/>
  <c r="AC26" i="13"/>
  <c r="Y27" i="13"/>
  <c r="AD27" i="13" s="1"/>
  <c r="Z27" i="13"/>
  <c r="AA27" i="13"/>
  <c r="AB27" i="13"/>
  <c r="AC27" i="13"/>
  <c r="Y28" i="13"/>
  <c r="AD28" i="13" s="1"/>
  <c r="Z28" i="13"/>
  <c r="AA28" i="13"/>
  <c r="AB28" i="13"/>
  <c r="AC28" i="13"/>
  <c r="Y29" i="13"/>
  <c r="AD29" i="13" s="1"/>
  <c r="Z29" i="13"/>
  <c r="AA29" i="13"/>
  <c r="AB29" i="13"/>
  <c r="AC29" i="13"/>
  <c r="Y30" i="13"/>
  <c r="AD30" i="13" s="1"/>
  <c r="Z30" i="13"/>
  <c r="AA30" i="13"/>
  <c r="AB30" i="13"/>
  <c r="AC30" i="13"/>
  <c r="Y31" i="13"/>
  <c r="AD31" i="13" s="1"/>
  <c r="Z31" i="13"/>
  <c r="AA31" i="13"/>
  <c r="AB31" i="13"/>
  <c r="AC31" i="13"/>
  <c r="Y32" i="13"/>
  <c r="AD32" i="13" s="1"/>
  <c r="Z32" i="13"/>
  <c r="AA32" i="13"/>
  <c r="AB32" i="13"/>
  <c r="AC32" i="13"/>
  <c r="Y33" i="13"/>
  <c r="AD33" i="13" s="1"/>
  <c r="Z33" i="13"/>
  <c r="AA33" i="13"/>
  <c r="AB33" i="13"/>
  <c r="AC33" i="13"/>
  <c r="Y34" i="13"/>
  <c r="AD34" i="13" s="1"/>
  <c r="Z34" i="13"/>
  <c r="AA34" i="13"/>
  <c r="AB34" i="13"/>
  <c r="AC34" i="13"/>
  <c r="Y35" i="13"/>
  <c r="AD35" i="13" s="1"/>
  <c r="Z35" i="13"/>
  <c r="AA35" i="13"/>
  <c r="AB35" i="13"/>
  <c r="AC35" i="13"/>
  <c r="Y36" i="13"/>
  <c r="AD36" i="13" s="1"/>
  <c r="Z36" i="13"/>
  <c r="AA36" i="13"/>
  <c r="AB36" i="13"/>
  <c r="AC36" i="13"/>
  <c r="Y37" i="13"/>
  <c r="AD37" i="13" s="1"/>
  <c r="Z37" i="13"/>
  <c r="AA37" i="13"/>
  <c r="AB37" i="13"/>
  <c r="AC37" i="13"/>
  <c r="Y38" i="13"/>
  <c r="AD38" i="13" s="1"/>
  <c r="Z38" i="13"/>
  <c r="AA38" i="13"/>
  <c r="AB38" i="13"/>
  <c r="AC38" i="13"/>
  <c r="Y39" i="13"/>
  <c r="AD39" i="13" s="1"/>
  <c r="Z39" i="13"/>
  <c r="AA39" i="13"/>
  <c r="AB39" i="13"/>
  <c r="AC39" i="13"/>
  <c r="Y40" i="13"/>
  <c r="AD40" i="13" s="1"/>
  <c r="Z40" i="13"/>
  <c r="AA40" i="13"/>
  <c r="AB40" i="13"/>
  <c r="AC40" i="13"/>
  <c r="Y41" i="13"/>
  <c r="AD41" i="13" s="1"/>
  <c r="Z41" i="13"/>
  <c r="AA41" i="13"/>
  <c r="AB41" i="13"/>
  <c r="AC41" i="13"/>
  <c r="Y42" i="13"/>
  <c r="AD42" i="13" s="1"/>
  <c r="Z42" i="13"/>
  <c r="AA42" i="13"/>
  <c r="AB42" i="13"/>
  <c r="AC42" i="13"/>
  <c r="Y43" i="13"/>
  <c r="AD43" i="13" s="1"/>
  <c r="Z43" i="13"/>
  <c r="AA43" i="13"/>
  <c r="AB43" i="13"/>
  <c r="AC43" i="13"/>
  <c r="Y44" i="13"/>
  <c r="AD44" i="13" s="1"/>
  <c r="Z44" i="13"/>
  <c r="AA44" i="13"/>
  <c r="AB44" i="13"/>
  <c r="AC44" i="13"/>
  <c r="Y45" i="13"/>
  <c r="AD45" i="13" s="1"/>
  <c r="Z45" i="13"/>
  <c r="AA45" i="13"/>
  <c r="AB45" i="13"/>
  <c r="AC45" i="13"/>
  <c r="Y46" i="13"/>
  <c r="AD46" i="13" s="1"/>
  <c r="Z46" i="13"/>
  <c r="AA46" i="13"/>
  <c r="AB46" i="13"/>
  <c r="AC46" i="13"/>
  <c r="Y47" i="13"/>
  <c r="AD47" i="13" s="1"/>
  <c r="Z47" i="13"/>
  <c r="AA47" i="13"/>
  <c r="AB47" i="13"/>
  <c r="AC47" i="13"/>
  <c r="Y48" i="13"/>
  <c r="AD48" i="13" s="1"/>
  <c r="Z48" i="13"/>
  <c r="AA48" i="13"/>
  <c r="AB48" i="13"/>
  <c r="AC48" i="13"/>
  <c r="Y49" i="13"/>
  <c r="AD49" i="13" s="1"/>
  <c r="Z49" i="13"/>
  <c r="AA49" i="13"/>
  <c r="AB49" i="13"/>
  <c r="AC49" i="13"/>
  <c r="Y50" i="13"/>
  <c r="AD50" i="13" s="1"/>
  <c r="Z50" i="13"/>
  <c r="AA50" i="13"/>
  <c r="AB50" i="13"/>
  <c r="AC50" i="13"/>
  <c r="Y51" i="13"/>
  <c r="AD51" i="13" s="1"/>
  <c r="Z51" i="13"/>
  <c r="AA51" i="13"/>
  <c r="AB51" i="13"/>
  <c r="AC51" i="13"/>
  <c r="Y52" i="13"/>
  <c r="AD52" i="13" s="1"/>
  <c r="Z52" i="13"/>
  <c r="AA52" i="13"/>
  <c r="AB52" i="13"/>
  <c r="AC52" i="13"/>
  <c r="Y53" i="13"/>
  <c r="AD53" i="13" s="1"/>
  <c r="Z53" i="13"/>
  <c r="AA53" i="13"/>
  <c r="AB53" i="13"/>
  <c r="AC53" i="13"/>
  <c r="Y54" i="13"/>
  <c r="AD54" i="13" s="1"/>
  <c r="Z54" i="13"/>
  <c r="AA54" i="13"/>
  <c r="AB54" i="13"/>
  <c r="AC54" i="13"/>
  <c r="Y55" i="13"/>
  <c r="AD55" i="13" s="1"/>
  <c r="Z55" i="13"/>
  <c r="AA55" i="13"/>
  <c r="AB55" i="13"/>
  <c r="AC55" i="13"/>
  <c r="Y56" i="13"/>
  <c r="AD56" i="13" s="1"/>
  <c r="Z56" i="13"/>
  <c r="AA56" i="13"/>
  <c r="AB56" i="13"/>
  <c r="AC56" i="13"/>
  <c r="Y57" i="13"/>
  <c r="AD57" i="13" s="1"/>
  <c r="Z57" i="13"/>
  <c r="AA57" i="13"/>
  <c r="AB57" i="13"/>
  <c r="AC57" i="13"/>
  <c r="Y58" i="13"/>
  <c r="AD58" i="13" s="1"/>
  <c r="Z58" i="13"/>
  <c r="AA58" i="13"/>
  <c r="AB58" i="13"/>
  <c r="AC58" i="13"/>
  <c r="Y59" i="13"/>
  <c r="AD59" i="13" s="1"/>
  <c r="Z59" i="13"/>
  <c r="AA59" i="13"/>
  <c r="AB59" i="13"/>
  <c r="AC59" i="13"/>
  <c r="Y60" i="13"/>
  <c r="AD60" i="13" s="1"/>
  <c r="Z60" i="13"/>
  <c r="AA60" i="13"/>
  <c r="AB60" i="13"/>
  <c r="AC60" i="13"/>
  <c r="Y61" i="13"/>
  <c r="AD61" i="13" s="1"/>
  <c r="Z61" i="13"/>
  <c r="AA61" i="13"/>
  <c r="AB61" i="13"/>
  <c r="AC61" i="13"/>
  <c r="Y62" i="13"/>
  <c r="AD62" i="13" s="1"/>
  <c r="Z62" i="13"/>
  <c r="AA62" i="13"/>
  <c r="AB62" i="13"/>
  <c r="AC62" i="13"/>
  <c r="Y63" i="13"/>
  <c r="AD63" i="13" s="1"/>
  <c r="Z63" i="13"/>
  <c r="AA63" i="13"/>
  <c r="AB63" i="13"/>
  <c r="AC63" i="13"/>
  <c r="Y64" i="13"/>
  <c r="AD64" i="13" s="1"/>
  <c r="Z64" i="13"/>
  <c r="AA64" i="13"/>
  <c r="AB64" i="13"/>
  <c r="AC64" i="13"/>
  <c r="Y65" i="13"/>
  <c r="AD65" i="13" s="1"/>
  <c r="Z65" i="13"/>
  <c r="AA65" i="13"/>
  <c r="AB65" i="13"/>
  <c r="AC65" i="13"/>
  <c r="Y66" i="13"/>
  <c r="AD66" i="13" s="1"/>
  <c r="Z66" i="13"/>
  <c r="AA66" i="13"/>
  <c r="AB66" i="13"/>
  <c r="AC66" i="13"/>
  <c r="Y67" i="13"/>
  <c r="AD67" i="13" s="1"/>
  <c r="Z67" i="13"/>
  <c r="AA67" i="13"/>
  <c r="AB67" i="13"/>
  <c r="AC67" i="13"/>
  <c r="Y68" i="13"/>
  <c r="AD68" i="13" s="1"/>
  <c r="Z68" i="13"/>
  <c r="AA68" i="13"/>
  <c r="AB68" i="13"/>
  <c r="AC68" i="13"/>
  <c r="Y69" i="13"/>
  <c r="AD69" i="13" s="1"/>
  <c r="Z69" i="13"/>
  <c r="AA69" i="13"/>
  <c r="AB69" i="13"/>
  <c r="AC69" i="13"/>
  <c r="Y70" i="13"/>
  <c r="AD70" i="13" s="1"/>
  <c r="Z70" i="13"/>
  <c r="AA70" i="13"/>
  <c r="AB70" i="13"/>
  <c r="AC70" i="13"/>
  <c r="Y71" i="13"/>
  <c r="AD71" i="13" s="1"/>
  <c r="Z71" i="13"/>
  <c r="AA71" i="13"/>
  <c r="AB71" i="13"/>
  <c r="AC71" i="13"/>
  <c r="Y72" i="13"/>
  <c r="AD72" i="13" s="1"/>
  <c r="Z72" i="13"/>
  <c r="AA72" i="13"/>
  <c r="AB72" i="13"/>
  <c r="AC72" i="13"/>
  <c r="Y73" i="13"/>
  <c r="AD73" i="13" s="1"/>
  <c r="Z73" i="13"/>
  <c r="AA73" i="13"/>
  <c r="AB73" i="13"/>
  <c r="AC73" i="13"/>
  <c r="Y74" i="13"/>
  <c r="AD74" i="13" s="1"/>
  <c r="Z74" i="13"/>
  <c r="AA74" i="13"/>
  <c r="AB74" i="13"/>
  <c r="AC74" i="13"/>
  <c r="Y75" i="13"/>
  <c r="AD75" i="13" s="1"/>
  <c r="Z75" i="13"/>
  <c r="AA75" i="13"/>
  <c r="AB75" i="13"/>
  <c r="AC75" i="13"/>
  <c r="Y76" i="13"/>
  <c r="AD76" i="13" s="1"/>
  <c r="Z76" i="13"/>
  <c r="AA76" i="13"/>
  <c r="AB76" i="13"/>
  <c r="AC76" i="13"/>
  <c r="Y77" i="13"/>
  <c r="AD77" i="13" s="1"/>
  <c r="Z77" i="13"/>
  <c r="AA77" i="13"/>
  <c r="AB77" i="13"/>
  <c r="AC77" i="13"/>
  <c r="Y78" i="13"/>
  <c r="AD78" i="13" s="1"/>
  <c r="Z78" i="13"/>
  <c r="AA78" i="13"/>
  <c r="AB78" i="13"/>
  <c r="AC78" i="13"/>
  <c r="Y79" i="13"/>
  <c r="AD79" i="13" s="1"/>
  <c r="Z79" i="13"/>
  <c r="AA79" i="13"/>
  <c r="AB79" i="13"/>
  <c r="AC79" i="13"/>
  <c r="Y80" i="13"/>
  <c r="AD80" i="13" s="1"/>
  <c r="Z80" i="13"/>
  <c r="AA80" i="13"/>
  <c r="AB80" i="13"/>
  <c r="AC80" i="13"/>
  <c r="Y81" i="13"/>
  <c r="AD81" i="13" s="1"/>
  <c r="Z81" i="13"/>
  <c r="AA81" i="13"/>
  <c r="AB81" i="13"/>
  <c r="AC81" i="13"/>
  <c r="Y82" i="13"/>
  <c r="AD82" i="13" s="1"/>
  <c r="Z82" i="13"/>
  <c r="AA82" i="13"/>
  <c r="AB82" i="13"/>
  <c r="AC82" i="13"/>
  <c r="Y83" i="13"/>
  <c r="AD83" i="13" s="1"/>
  <c r="Z83" i="13"/>
  <c r="AA83" i="13"/>
  <c r="AB83" i="13"/>
  <c r="AC83" i="13"/>
  <c r="Y84" i="13"/>
  <c r="AD84" i="13" s="1"/>
  <c r="Z84" i="13"/>
  <c r="AA84" i="13"/>
  <c r="AB84" i="13"/>
  <c r="AC84" i="13"/>
  <c r="Y85" i="13"/>
  <c r="AD85" i="13" s="1"/>
  <c r="Z85" i="13"/>
  <c r="AA85" i="13"/>
  <c r="AB85" i="13"/>
  <c r="AC85" i="13"/>
  <c r="Y86" i="13"/>
  <c r="AD86" i="13" s="1"/>
  <c r="Z86" i="13"/>
  <c r="AA86" i="13"/>
  <c r="AB86" i="13"/>
  <c r="AC86" i="13"/>
  <c r="Y87" i="13"/>
  <c r="AD87" i="13" s="1"/>
  <c r="Z87" i="13"/>
  <c r="AA87" i="13"/>
  <c r="AB87" i="13"/>
  <c r="AC87" i="13"/>
  <c r="Y88" i="13"/>
  <c r="AD88" i="13" s="1"/>
  <c r="Z88" i="13"/>
  <c r="AA88" i="13"/>
  <c r="AB88" i="13"/>
  <c r="AC88" i="13"/>
  <c r="Y89" i="13"/>
  <c r="AD89" i="13" s="1"/>
  <c r="Z89" i="13"/>
  <c r="AA89" i="13"/>
  <c r="AB89" i="13"/>
  <c r="AC89" i="13"/>
  <c r="Y90" i="13"/>
  <c r="AD90" i="13" s="1"/>
  <c r="Z90" i="13"/>
  <c r="AA90" i="13"/>
  <c r="AB90" i="13"/>
  <c r="AC90" i="13"/>
  <c r="Y91" i="13"/>
  <c r="AD91" i="13" s="1"/>
  <c r="Z91" i="13"/>
  <c r="AA91" i="13"/>
  <c r="AB91" i="13"/>
  <c r="AC91" i="13"/>
  <c r="Y92" i="13"/>
  <c r="AD92" i="13" s="1"/>
  <c r="Z92" i="13"/>
  <c r="AA92" i="13"/>
  <c r="AB92" i="13"/>
  <c r="AC92" i="13"/>
  <c r="Y93" i="13"/>
  <c r="AD93" i="13" s="1"/>
  <c r="Z93" i="13"/>
  <c r="AA93" i="13"/>
  <c r="AB93" i="13"/>
  <c r="AC93" i="13"/>
  <c r="Y94" i="13"/>
  <c r="AD94" i="13" s="1"/>
  <c r="Z94" i="13"/>
  <c r="AA94" i="13"/>
  <c r="AB94" i="13"/>
  <c r="AC94" i="13"/>
  <c r="Y95" i="13"/>
  <c r="AD95" i="13" s="1"/>
  <c r="Z95" i="13"/>
  <c r="AA95" i="13"/>
  <c r="AB95" i="13"/>
  <c r="AC95" i="13"/>
  <c r="Y96" i="13"/>
  <c r="AD96" i="13" s="1"/>
  <c r="Z96" i="13"/>
  <c r="AA96" i="13"/>
  <c r="AB96" i="13"/>
  <c r="AC96" i="13"/>
  <c r="Y97" i="13"/>
  <c r="AD97" i="13" s="1"/>
  <c r="Z97" i="13"/>
  <c r="AA97" i="13"/>
  <c r="AB97" i="13"/>
  <c r="AC97" i="13"/>
  <c r="Y98" i="13"/>
  <c r="AD98" i="13" s="1"/>
  <c r="Z98" i="13"/>
  <c r="AA98" i="13"/>
  <c r="AB98" i="13"/>
  <c r="AC98" i="13"/>
  <c r="Y99" i="13"/>
  <c r="AD99" i="13" s="1"/>
  <c r="Z99" i="13"/>
  <c r="AA99" i="13"/>
  <c r="AB99" i="13"/>
  <c r="AC99" i="13"/>
  <c r="Y100" i="13"/>
  <c r="AD100" i="13" s="1"/>
  <c r="Z100" i="13"/>
  <c r="AA100" i="13"/>
  <c r="AB100" i="13"/>
  <c r="AC100" i="13"/>
  <c r="Y101" i="13"/>
  <c r="AD101" i="13" s="1"/>
  <c r="Z101" i="13"/>
  <c r="AA101" i="13"/>
  <c r="AB101" i="13"/>
  <c r="AC101" i="13"/>
  <c r="Y102" i="13"/>
  <c r="AD102" i="13" s="1"/>
  <c r="Z102" i="13"/>
  <c r="AA102" i="13"/>
  <c r="AB102" i="13"/>
  <c r="AC102" i="13"/>
  <c r="Y103" i="13"/>
  <c r="AD103" i="13" s="1"/>
  <c r="Z103" i="13"/>
  <c r="AA103" i="13"/>
  <c r="AB103" i="13"/>
  <c r="AC103" i="13"/>
  <c r="Y104" i="13"/>
  <c r="AD104" i="13" s="1"/>
  <c r="Z104" i="13"/>
  <c r="AA104" i="13"/>
  <c r="AB104" i="13"/>
  <c r="AC104" i="13"/>
  <c r="Y105" i="13"/>
  <c r="AD105" i="13" s="1"/>
  <c r="Z105" i="13"/>
  <c r="AA105" i="13"/>
  <c r="AB105" i="13"/>
  <c r="AC105" i="13"/>
  <c r="Y106" i="13"/>
  <c r="AD106" i="13" s="1"/>
  <c r="Z106" i="13"/>
  <c r="AA106" i="13"/>
  <c r="AB106" i="13"/>
  <c r="AC106" i="13"/>
  <c r="Y107" i="13"/>
  <c r="AD107" i="13" s="1"/>
  <c r="Z107" i="13"/>
  <c r="AA107" i="13"/>
  <c r="AB107" i="13"/>
  <c r="AC107" i="13"/>
  <c r="Y108" i="13"/>
  <c r="AD108" i="13" s="1"/>
  <c r="Z108" i="13"/>
  <c r="AA108" i="13"/>
  <c r="AB108" i="13"/>
  <c r="AC108" i="13"/>
  <c r="Y109" i="13"/>
  <c r="AD109" i="13" s="1"/>
  <c r="Z109" i="13"/>
  <c r="AA109" i="13"/>
  <c r="AB109" i="13"/>
  <c r="AC109" i="13"/>
  <c r="Y110" i="13"/>
  <c r="AD110" i="13" s="1"/>
  <c r="Z110" i="13"/>
  <c r="AA110" i="13"/>
  <c r="AB110" i="13"/>
  <c r="AC110" i="13"/>
  <c r="Y111" i="13"/>
  <c r="AD111" i="13" s="1"/>
  <c r="Z111" i="13"/>
  <c r="AA111" i="13"/>
  <c r="AB111" i="13"/>
  <c r="AC111" i="13"/>
  <c r="Y112" i="13"/>
  <c r="AD112" i="13" s="1"/>
  <c r="Z112" i="13"/>
  <c r="AA112" i="13"/>
  <c r="AB112" i="13"/>
  <c r="AC112" i="13"/>
  <c r="Y113" i="13"/>
  <c r="AD113" i="13" s="1"/>
  <c r="Z113" i="13"/>
  <c r="AA113" i="13"/>
  <c r="AB113" i="13"/>
  <c r="AC113" i="13"/>
  <c r="Y114" i="13"/>
  <c r="AD114" i="13" s="1"/>
  <c r="Z114" i="13"/>
  <c r="AA114" i="13"/>
  <c r="AB114" i="13"/>
  <c r="AC114" i="13"/>
  <c r="Y115" i="13"/>
  <c r="AD115" i="13" s="1"/>
  <c r="Z115" i="13"/>
  <c r="AA115" i="13"/>
  <c r="AB115" i="13"/>
  <c r="AC115" i="13"/>
  <c r="Y116" i="13"/>
  <c r="AD116" i="13" s="1"/>
  <c r="Z116" i="13"/>
  <c r="AA116" i="13"/>
  <c r="AB116" i="13"/>
  <c r="AC116" i="13"/>
  <c r="Y117" i="13"/>
  <c r="AD117" i="13" s="1"/>
  <c r="Z117" i="13"/>
  <c r="AA117" i="13"/>
  <c r="AB117" i="13"/>
  <c r="AC117" i="13"/>
  <c r="Y118" i="13"/>
  <c r="AD118" i="13" s="1"/>
  <c r="Z118" i="13"/>
  <c r="AA118" i="13"/>
  <c r="AB118" i="13"/>
  <c r="AC118" i="13"/>
  <c r="Y119" i="13"/>
  <c r="AD119" i="13" s="1"/>
  <c r="Z119" i="13"/>
  <c r="AA119" i="13"/>
  <c r="AB119" i="13"/>
  <c r="AC119" i="13"/>
  <c r="Y120" i="13"/>
  <c r="AD120" i="13" s="1"/>
  <c r="Z120" i="13"/>
  <c r="AA120" i="13"/>
  <c r="AB120" i="13"/>
  <c r="AC120" i="13"/>
  <c r="Y121" i="13"/>
  <c r="AD121" i="13" s="1"/>
  <c r="Z121" i="13"/>
  <c r="AA121" i="13"/>
  <c r="AB121" i="13"/>
  <c r="AC121" i="13"/>
  <c r="Y122" i="13"/>
  <c r="AD122" i="13" s="1"/>
  <c r="Z122" i="13"/>
  <c r="AA122" i="13"/>
  <c r="AB122" i="13"/>
  <c r="AC122" i="13"/>
  <c r="Y123" i="13"/>
  <c r="AD123" i="13" s="1"/>
  <c r="Z123" i="13"/>
  <c r="AA123" i="13"/>
  <c r="AB123" i="13"/>
  <c r="AC123" i="13"/>
  <c r="Y124" i="13"/>
  <c r="AD124" i="13" s="1"/>
  <c r="Z124" i="13"/>
  <c r="AA124" i="13"/>
  <c r="AB124" i="13"/>
  <c r="AC124" i="13"/>
  <c r="Y125" i="13"/>
  <c r="AD125" i="13" s="1"/>
  <c r="Z125" i="13"/>
  <c r="AA125" i="13"/>
  <c r="AB125" i="13"/>
  <c r="AC125" i="13"/>
  <c r="Y126" i="13"/>
  <c r="AD126" i="13" s="1"/>
  <c r="Z126" i="13"/>
  <c r="AA126" i="13"/>
  <c r="AB126" i="13"/>
  <c r="AC126" i="13"/>
  <c r="Y127" i="13"/>
  <c r="AD127" i="13" s="1"/>
  <c r="Z127" i="13"/>
  <c r="AA127" i="13"/>
  <c r="AB127" i="13"/>
  <c r="AC127" i="13"/>
  <c r="Y128" i="13"/>
  <c r="AD128" i="13" s="1"/>
  <c r="Z128" i="13"/>
  <c r="AA128" i="13"/>
  <c r="AB128" i="13"/>
  <c r="AC128" i="13"/>
  <c r="Y129" i="13"/>
  <c r="AD129" i="13" s="1"/>
  <c r="Z129" i="13"/>
  <c r="AA129" i="13"/>
  <c r="AB129" i="13"/>
  <c r="AC129" i="13"/>
  <c r="Y130" i="13"/>
  <c r="AD130" i="13" s="1"/>
  <c r="Z130" i="13"/>
  <c r="AA130" i="13"/>
  <c r="AB130" i="13"/>
  <c r="AC130" i="13"/>
  <c r="Y131" i="13"/>
  <c r="AD131" i="13" s="1"/>
  <c r="Z131" i="13"/>
  <c r="AA131" i="13"/>
  <c r="AB131" i="13"/>
  <c r="AC131" i="13"/>
  <c r="Y132" i="13"/>
  <c r="AD132" i="13" s="1"/>
  <c r="Z132" i="13"/>
  <c r="AA132" i="13"/>
  <c r="AB132" i="13"/>
  <c r="AC132" i="13"/>
  <c r="Y133" i="13"/>
  <c r="AD133" i="13" s="1"/>
  <c r="Z133" i="13"/>
  <c r="AA133" i="13"/>
  <c r="AB133" i="13"/>
  <c r="AC133" i="13"/>
  <c r="Y134" i="13"/>
  <c r="AD134" i="13" s="1"/>
  <c r="Z134" i="13"/>
  <c r="AA134" i="13"/>
  <c r="AB134" i="13"/>
  <c r="AC134" i="13"/>
  <c r="Y135" i="13"/>
  <c r="AD135" i="13" s="1"/>
  <c r="Z135" i="13"/>
  <c r="AA135" i="13"/>
  <c r="AB135" i="13"/>
  <c r="AC135" i="13"/>
  <c r="Y136" i="13"/>
  <c r="AD136" i="13" s="1"/>
  <c r="Z136" i="13"/>
  <c r="AA136" i="13"/>
  <c r="AB136" i="13"/>
  <c r="AC136" i="13"/>
  <c r="Y137" i="13"/>
  <c r="AD137" i="13" s="1"/>
  <c r="Z137" i="13"/>
  <c r="AA137" i="13"/>
  <c r="AB137" i="13"/>
  <c r="AC137" i="13"/>
  <c r="Y138" i="13"/>
  <c r="AD138" i="13" s="1"/>
  <c r="Z138" i="13"/>
  <c r="AA138" i="13"/>
  <c r="AB138" i="13"/>
  <c r="AC138" i="13"/>
  <c r="Y139" i="13"/>
  <c r="AD139" i="13" s="1"/>
  <c r="Z139" i="13"/>
  <c r="AA139" i="13"/>
  <c r="AB139" i="13"/>
  <c r="AC139" i="13"/>
  <c r="Y140" i="13"/>
  <c r="AD140" i="13" s="1"/>
  <c r="Z140" i="13"/>
  <c r="AA140" i="13"/>
  <c r="AB140" i="13"/>
  <c r="AC140" i="13"/>
  <c r="Y141" i="13"/>
  <c r="AD141" i="13" s="1"/>
  <c r="Z141" i="13"/>
  <c r="AA141" i="13"/>
  <c r="AB141" i="13"/>
  <c r="AC141" i="13"/>
  <c r="Y142" i="13"/>
  <c r="AD142" i="13" s="1"/>
  <c r="Z142" i="13"/>
  <c r="AA142" i="13"/>
  <c r="AB142" i="13"/>
  <c r="AC142" i="13"/>
  <c r="Y143" i="13"/>
  <c r="AD143" i="13" s="1"/>
  <c r="Z143" i="13"/>
  <c r="AA143" i="13"/>
  <c r="AB143" i="13"/>
  <c r="AC143" i="13"/>
  <c r="Y144" i="13"/>
  <c r="AD144" i="13" s="1"/>
  <c r="Z144" i="13"/>
  <c r="AA144" i="13"/>
  <c r="AB144" i="13"/>
  <c r="AC144" i="13"/>
  <c r="Y145" i="13"/>
  <c r="AD145" i="13" s="1"/>
  <c r="Z145" i="13"/>
  <c r="AA145" i="13"/>
  <c r="AB145" i="13"/>
  <c r="AC145" i="13"/>
  <c r="Y146" i="13"/>
  <c r="AD146" i="13" s="1"/>
  <c r="Z146" i="13"/>
  <c r="AA146" i="13"/>
  <c r="AB146" i="13"/>
  <c r="AC146" i="13"/>
  <c r="Y147" i="13"/>
  <c r="AD147" i="13" s="1"/>
  <c r="Z147" i="13"/>
  <c r="AA147" i="13"/>
  <c r="AB147" i="13"/>
  <c r="AC147" i="13"/>
  <c r="Y148" i="13"/>
  <c r="AD148" i="13" s="1"/>
  <c r="Z148" i="13"/>
  <c r="AA148" i="13"/>
  <c r="AB148" i="13"/>
  <c r="AC148" i="13"/>
  <c r="Y149" i="13"/>
  <c r="AD149" i="13" s="1"/>
  <c r="Z149" i="13"/>
  <c r="AA149" i="13"/>
  <c r="AB149" i="13"/>
  <c r="AC149" i="13"/>
  <c r="Y150" i="13"/>
  <c r="AD150" i="13" s="1"/>
  <c r="Z150" i="13"/>
  <c r="AA150" i="13"/>
  <c r="AB150" i="13"/>
  <c r="AC150" i="13"/>
  <c r="Y151" i="13"/>
  <c r="AD151" i="13" s="1"/>
  <c r="Z151" i="13"/>
  <c r="AA151" i="13"/>
  <c r="AB151" i="13"/>
  <c r="AC151" i="13"/>
  <c r="Y152" i="13"/>
  <c r="AD152" i="13" s="1"/>
  <c r="Z152" i="13"/>
  <c r="AA152" i="13"/>
  <c r="AB152" i="13"/>
  <c r="AC152" i="13"/>
  <c r="Y153" i="13"/>
  <c r="AD153" i="13" s="1"/>
  <c r="Z153" i="13"/>
  <c r="AA153" i="13"/>
  <c r="AB153" i="13"/>
  <c r="AC153" i="13"/>
  <c r="Y154" i="13"/>
  <c r="AD154" i="13" s="1"/>
  <c r="Z154" i="13"/>
  <c r="AA154" i="13"/>
  <c r="AB154" i="13"/>
  <c r="AC154" i="13"/>
  <c r="Y155" i="13"/>
  <c r="AD155" i="13" s="1"/>
  <c r="Z155" i="13"/>
  <c r="AA155" i="13"/>
  <c r="AB155" i="13"/>
  <c r="AC155" i="13"/>
  <c r="Y156" i="13"/>
  <c r="AD156" i="13" s="1"/>
  <c r="Z156" i="13"/>
  <c r="AA156" i="13"/>
  <c r="AB156" i="13"/>
  <c r="AC156" i="13"/>
  <c r="Y157" i="13"/>
  <c r="AD157" i="13" s="1"/>
  <c r="Z157" i="13"/>
  <c r="AA157" i="13"/>
  <c r="AB157" i="13"/>
  <c r="AC157" i="13"/>
  <c r="Y158" i="13"/>
  <c r="AD158" i="13" s="1"/>
  <c r="Z158" i="13"/>
  <c r="AA158" i="13"/>
  <c r="AB158" i="13"/>
  <c r="AC158" i="13"/>
  <c r="Y159" i="13"/>
  <c r="AD159" i="13" s="1"/>
  <c r="Z159" i="13"/>
  <c r="AA159" i="13"/>
  <c r="AB159" i="13"/>
  <c r="AC159" i="13"/>
  <c r="Y160" i="13"/>
  <c r="AD160" i="13" s="1"/>
  <c r="Z160" i="13"/>
  <c r="AA160" i="13"/>
  <c r="AB160" i="13"/>
  <c r="AC160" i="13"/>
  <c r="Y161" i="13"/>
  <c r="AD161" i="13" s="1"/>
  <c r="Z161" i="13"/>
  <c r="AA161" i="13"/>
  <c r="AB161" i="13"/>
  <c r="AC161" i="13"/>
  <c r="Y162" i="13"/>
  <c r="AD162" i="13" s="1"/>
  <c r="Z162" i="13"/>
  <c r="AA162" i="13"/>
  <c r="AB162" i="13"/>
  <c r="AC162" i="13"/>
  <c r="Y163" i="13"/>
  <c r="AD163" i="13" s="1"/>
  <c r="Z163" i="13"/>
  <c r="AA163" i="13"/>
  <c r="AB163" i="13"/>
  <c r="AC163" i="13"/>
  <c r="Y164" i="13"/>
  <c r="AD164" i="13" s="1"/>
  <c r="Z164" i="13"/>
  <c r="AA164" i="13"/>
  <c r="AB164" i="13"/>
  <c r="AC164" i="13"/>
  <c r="Y165" i="13"/>
  <c r="AD165" i="13" s="1"/>
  <c r="Z165" i="13"/>
  <c r="AA165" i="13"/>
  <c r="AB165" i="13"/>
  <c r="AC165" i="13"/>
  <c r="Y166" i="13"/>
  <c r="AD166" i="13" s="1"/>
  <c r="Z166" i="13"/>
  <c r="AA166" i="13"/>
  <c r="AB166" i="13"/>
  <c r="AC166" i="13"/>
  <c r="Y167" i="13"/>
  <c r="AD167" i="13" s="1"/>
  <c r="Z167" i="13"/>
  <c r="AA167" i="13"/>
  <c r="AB167" i="13"/>
  <c r="AC167" i="13"/>
  <c r="Y168" i="13"/>
  <c r="AD168" i="13" s="1"/>
  <c r="Z168" i="13"/>
  <c r="AA168" i="13"/>
  <c r="AB168" i="13"/>
  <c r="AC168" i="13"/>
  <c r="Y169" i="13"/>
  <c r="AD169" i="13" s="1"/>
  <c r="Z169" i="13"/>
  <c r="AA169" i="13"/>
  <c r="AB169" i="13"/>
  <c r="AC169" i="13"/>
  <c r="Y170" i="13"/>
  <c r="AD170" i="13" s="1"/>
  <c r="Z170" i="13"/>
  <c r="AA170" i="13"/>
  <c r="AB170" i="13"/>
  <c r="AC170" i="13"/>
  <c r="Y171" i="13"/>
  <c r="AD171" i="13" s="1"/>
  <c r="Z171" i="13"/>
  <c r="AA171" i="13"/>
  <c r="AB171" i="13"/>
  <c r="AC171" i="13"/>
  <c r="Y172" i="13"/>
  <c r="AD172" i="13" s="1"/>
  <c r="Z172" i="13"/>
  <c r="AA172" i="13"/>
  <c r="AB172" i="13"/>
  <c r="AC172" i="13"/>
  <c r="Y173" i="13"/>
  <c r="AD173" i="13" s="1"/>
  <c r="Z173" i="13"/>
  <c r="AA173" i="13"/>
  <c r="AB173" i="13"/>
  <c r="AC173" i="13"/>
  <c r="Y174" i="13"/>
  <c r="AD174" i="13" s="1"/>
  <c r="Z174" i="13"/>
  <c r="AA174" i="13"/>
  <c r="AB174" i="13"/>
  <c r="AC174" i="13"/>
  <c r="Y175" i="13"/>
  <c r="AD175" i="13" s="1"/>
  <c r="Z175" i="13"/>
  <c r="AA175" i="13"/>
  <c r="AB175" i="13"/>
  <c r="AC175" i="13"/>
  <c r="Y176" i="13"/>
  <c r="AD176" i="13" s="1"/>
  <c r="Z176" i="13"/>
  <c r="AA176" i="13"/>
  <c r="AB176" i="13"/>
  <c r="AC176" i="13"/>
  <c r="Y177" i="13"/>
  <c r="AD177" i="13" s="1"/>
  <c r="Z177" i="13"/>
  <c r="AA177" i="13"/>
  <c r="AB177" i="13"/>
  <c r="AC177" i="13"/>
  <c r="Y178" i="13"/>
  <c r="AD178" i="13" s="1"/>
  <c r="Z178" i="13"/>
  <c r="AA178" i="13"/>
  <c r="AB178" i="13"/>
  <c r="AC178" i="13"/>
  <c r="Y179" i="13"/>
  <c r="AD179" i="13" s="1"/>
  <c r="Z179" i="13"/>
  <c r="AA179" i="13"/>
  <c r="AB179" i="13"/>
  <c r="AC179" i="13"/>
  <c r="Y180" i="13"/>
  <c r="AD180" i="13" s="1"/>
  <c r="Z180" i="13"/>
  <c r="AA180" i="13"/>
  <c r="AB180" i="13"/>
  <c r="AC180" i="13"/>
  <c r="Y181" i="13"/>
  <c r="AD181" i="13" s="1"/>
  <c r="Z181" i="13"/>
  <c r="AA181" i="13"/>
  <c r="AB181" i="13"/>
  <c r="AC181" i="13"/>
  <c r="Y182" i="13"/>
  <c r="AD182" i="13" s="1"/>
  <c r="Z182" i="13"/>
  <c r="AA182" i="13"/>
  <c r="AB182" i="13"/>
  <c r="AC182" i="13"/>
  <c r="Y183" i="13"/>
  <c r="AD183" i="13" s="1"/>
  <c r="Z183" i="13"/>
  <c r="AA183" i="13"/>
  <c r="AB183" i="13"/>
  <c r="AC183" i="13"/>
  <c r="Y184" i="13"/>
  <c r="AD184" i="13" s="1"/>
  <c r="Z184" i="13"/>
  <c r="AA184" i="13"/>
  <c r="AB184" i="13"/>
  <c r="AC184" i="13"/>
  <c r="Y185" i="13"/>
  <c r="AD185" i="13" s="1"/>
  <c r="Z185" i="13"/>
  <c r="AA185" i="13"/>
  <c r="AB185" i="13"/>
  <c r="AC185" i="13"/>
  <c r="Y186" i="13"/>
  <c r="AD186" i="13" s="1"/>
  <c r="Z186" i="13"/>
  <c r="AA186" i="13"/>
  <c r="AB186" i="13"/>
  <c r="AC186" i="13"/>
  <c r="Y187" i="13"/>
  <c r="AD187" i="13" s="1"/>
  <c r="Z187" i="13"/>
  <c r="AA187" i="13"/>
  <c r="AB187" i="13"/>
  <c r="AC187" i="13"/>
  <c r="Y188" i="13"/>
  <c r="AD188" i="13" s="1"/>
  <c r="Z188" i="13"/>
  <c r="AA188" i="13"/>
  <c r="AB188" i="13"/>
  <c r="AC188" i="13"/>
  <c r="Y189" i="13"/>
  <c r="AD189" i="13" s="1"/>
  <c r="Z189" i="13"/>
  <c r="AA189" i="13"/>
  <c r="AB189" i="13"/>
  <c r="AC189" i="13"/>
  <c r="Y190" i="13"/>
  <c r="AD190" i="13" s="1"/>
  <c r="Z190" i="13"/>
  <c r="AA190" i="13"/>
  <c r="AB190" i="13"/>
  <c r="AC190" i="13"/>
  <c r="Y191" i="13"/>
  <c r="AD191" i="13" s="1"/>
  <c r="Z191" i="13"/>
  <c r="AA191" i="13"/>
  <c r="AB191" i="13"/>
  <c r="AC191" i="13"/>
  <c r="Y192" i="13"/>
  <c r="AD192" i="13" s="1"/>
  <c r="Z192" i="13"/>
  <c r="AA192" i="13"/>
  <c r="AB192" i="13"/>
  <c r="AC192" i="13"/>
  <c r="Y193" i="13"/>
  <c r="AD193" i="13" s="1"/>
  <c r="Z193" i="13"/>
  <c r="AA193" i="13"/>
  <c r="AB193" i="13"/>
  <c r="AC193" i="13"/>
  <c r="Y194" i="13"/>
  <c r="AD194" i="13" s="1"/>
  <c r="Z194" i="13"/>
  <c r="AA194" i="13"/>
  <c r="AB194" i="13"/>
  <c r="AC194" i="13"/>
  <c r="Y195" i="13"/>
  <c r="AD195" i="13" s="1"/>
  <c r="Z195" i="13"/>
  <c r="AA195" i="13"/>
  <c r="AB195" i="13"/>
  <c r="AC195" i="13"/>
  <c r="Y196" i="13"/>
  <c r="AD196" i="13" s="1"/>
  <c r="Z196" i="13"/>
  <c r="AA196" i="13"/>
  <c r="AB196" i="13"/>
  <c r="AC196" i="13"/>
  <c r="Y197" i="13"/>
  <c r="AD197" i="13" s="1"/>
  <c r="Z197" i="13"/>
  <c r="AA197" i="13"/>
  <c r="AB197" i="13"/>
  <c r="AC197" i="13"/>
  <c r="Y198" i="13"/>
  <c r="AD198" i="13" s="1"/>
  <c r="Z198" i="13"/>
  <c r="AA198" i="13"/>
  <c r="AB198" i="13"/>
  <c r="AC198" i="13"/>
  <c r="Y199" i="13"/>
  <c r="AD199" i="13" s="1"/>
  <c r="Z199" i="13"/>
  <c r="AA199" i="13"/>
  <c r="AB199" i="13"/>
  <c r="AC199" i="13"/>
  <c r="Y200" i="13"/>
  <c r="AD200" i="13" s="1"/>
  <c r="Z200" i="13"/>
  <c r="AA200" i="13"/>
  <c r="AB200" i="13"/>
  <c r="AC200" i="13"/>
  <c r="Y201" i="13"/>
  <c r="AD201" i="13" s="1"/>
  <c r="Z201" i="13"/>
  <c r="AA201" i="13"/>
  <c r="AB201" i="13"/>
  <c r="AC201" i="13"/>
  <c r="Y202" i="13"/>
  <c r="AD202" i="13" s="1"/>
  <c r="Z202" i="13"/>
  <c r="AA202" i="13"/>
  <c r="AB202" i="13"/>
  <c r="AC202" i="13"/>
  <c r="Y203" i="13"/>
  <c r="AD203" i="13" s="1"/>
  <c r="Z203" i="13"/>
  <c r="AA203" i="13"/>
  <c r="AB203" i="13"/>
  <c r="AC203" i="13"/>
  <c r="Y204" i="13"/>
  <c r="AD204" i="13" s="1"/>
  <c r="Z204" i="13"/>
  <c r="AA204" i="13"/>
  <c r="AB204" i="13"/>
  <c r="AC204" i="13"/>
  <c r="Y205" i="13"/>
  <c r="AD205" i="13" s="1"/>
  <c r="Z205" i="13"/>
  <c r="AA205" i="13"/>
  <c r="AB205" i="13"/>
  <c r="AC205" i="13"/>
  <c r="Y206" i="13"/>
  <c r="AD206" i="13" s="1"/>
  <c r="Z206" i="13"/>
  <c r="AA206" i="13"/>
  <c r="AB206" i="13"/>
  <c r="AC206" i="13"/>
  <c r="Y207" i="13"/>
  <c r="AD207" i="13" s="1"/>
  <c r="Z207" i="13"/>
  <c r="AA207" i="13"/>
  <c r="AB207" i="13"/>
  <c r="AC207" i="13"/>
  <c r="Y208" i="13"/>
  <c r="AD208" i="13" s="1"/>
  <c r="Z208" i="13"/>
  <c r="AA208" i="13"/>
  <c r="AB208" i="13"/>
  <c r="AC208" i="13"/>
  <c r="Y209" i="13"/>
  <c r="AD209" i="13" s="1"/>
  <c r="Z209" i="13"/>
  <c r="AA209" i="13"/>
  <c r="AB209" i="13"/>
  <c r="AC209" i="13"/>
  <c r="Y210" i="13"/>
  <c r="AD210" i="13" s="1"/>
  <c r="Z210" i="13"/>
  <c r="AA210" i="13"/>
  <c r="AB210" i="13"/>
  <c r="AC210" i="13"/>
  <c r="Y211" i="13"/>
  <c r="AD211" i="13" s="1"/>
  <c r="Z211" i="13"/>
  <c r="AA211" i="13"/>
  <c r="AB211" i="13"/>
  <c r="AC211" i="13"/>
  <c r="Y212" i="13"/>
  <c r="AD212" i="13" s="1"/>
  <c r="Z212" i="13"/>
  <c r="AA212" i="13"/>
  <c r="AB212" i="13"/>
  <c r="AC212" i="13"/>
  <c r="Y213" i="13"/>
  <c r="AD213" i="13" s="1"/>
  <c r="Z213" i="13"/>
  <c r="AA213" i="13"/>
  <c r="AB213" i="13"/>
  <c r="AC213" i="13"/>
  <c r="Y214" i="13"/>
  <c r="AD214" i="13" s="1"/>
  <c r="Z214" i="13"/>
  <c r="AA214" i="13"/>
  <c r="AB214" i="13"/>
  <c r="AC214" i="13"/>
  <c r="Y215" i="13"/>
  <c r="AD215" i="13" s="1"/>
  <c r="Z215" i="13"/>
  <c r="AA215" i="13"/>
  <c r="AB215" i="13"/>
  <c r="AC215" i="13"/>
  <c r="Y216" i="13"/>
  <c r="AD216" i="13" s="1"/>
  <c r="Z216" i="13"/>
  <c r="AA216" i="13"/>
  <c r="AB216" i="13"/>
  <c r="AC216" i="13"/>
  <c r="Y217" i="13"/>
  <c r="AD217" i="13" s="1"/>
  <c r="Z217" i="13"/>
  <c r="AA217" i="13"/>
  <c r="AB217" i="13"/>
  <c r="AC217" i="13"/>
  <c r="Y218" i="13"/>
  <c r="AD218" i="13" s="1"/>
  <c r="Z218" i="13"/>
  <c r="AA218" i="13"/>
  <c r="AB218" i="13"/>
  <c r="AC218" i="13"/>
  <c r="Y219" i="13"/>
  <c r="AD219" i="13" s="1"/>
  <c r="Z219" i="13"/>
  <c r="AA219" i="13"/>
  <c r="AB219" i="13"/>
  <c r="AC219" i="13"/>
  <c r="Y220" i="13"/>
  <c r="AD220" i="13" s="1"/>
  <c r="Z220" i="13"/>
  <c r="AA220" i="13"/>
  <c r="AB220" i="13"/>
  <c r="AC220" i="13"/>
  <c r="Y221" i="13"/>
  <c r="AD221" i="13" s="1"/>
  <c r="Z221" i="13"/>
  <c r="AA221" i="13"/>
  <c r="AB221" i="13"/>
  <c r="AC221" i="13"/>
  <c r="Y222" i="13"/>
  <c r="AD222" i="13" s="1"/>
  <c r="Z222" i="13"/>
  <c r="AA222" i="13"/>
  <c r="AB222" i="13"/>
  <c r="AC222" i="13"/>
  <c r="Y223" i="13"/>
  <c r="AD223" i="13" s="1"/>
  <c r="Z223" i="13"/>
  <c r="AA223" i="13"/>
  <c r="AB223" i="13"/>
  <c r="AC223" i="13"/>
  <c r="Y224" i="13"/>
  <c r="AD224" i="13" s="1"/>
  <c r="Z224" i="13"/>
  <c r="AA224" i="13"/>
  <c r="AB224" i="13"/>
  <c r="AC224" i="13"/>
  <c r="Y225" i="13"/>
  <c r="AD225" i="13" s="1"/>
  <c r="Z225" i="13"/>
  <c r="AA225" i="13"/>
  <c r="AB225" i="13"/>
  <c r="AC225" i="13"/>
  <c r="Y226" i="13"/>
  <c r="AD226" i="13" s="1"/>
  <c r="Z226" i="13"/>
  <c r="AA226" i="13"/>
  <c r="AB226" i="13"/>
  <c r="AC226" i="13"/>
  <c r="Y227" i="13"/>
  <c r="AD227" i="13" s="1"/>
  <c r="Z227" i="13"/>
  <c r="AA227" i="13"/>
  <c r="AB227" i="13"/>
  <c r="AC227" i="13"/>
  <c r="Z228" i="13"/>
  <c r="AA228" i="13"/>
  <c r="AB228" i="13"/>
  <c r="AC228" i="13"/>
  <c r="Y229" i="13"/>
  <c r="AD229" i="13" s="1"/>
  <c r="Z229" i="13"/>
  <c r="AA229" i="13"/>
  <c r="AB229" i="13"/>
  <c r="AC229" i="13"/>
  <c r="Y230" i="13"/>
  <c r="AD230" i="13" s="1"/>
  <c r="Z230" i="13"/>
  <c r="AA230" i="13"/>
  <c r="AB230" i="13"/>
  <c r="AC230" i="13"/>
  <c r="Y231" i="13"/>
  <c r="AD231" i="13" s="1"/>
  <c r="Z231" i="13"/>
  <c r="AA231" i="13"/>
  <c r="AB231" i="13"/>
  <c r="AC231" i="13"/>
  <c r="AY4" i="13"/>
  <c r="AY5" i="13"/>
  <c r="AY6" i="13"/>
  <c r="AY7" i="13"/>
  <c r="AY8" i="13"/>
  <c r="AY9" i="13"/>
  <c r="AY10" i="13"/>
  <c r="AY11" i="13"/>
  <c r="AY12" i="13"/>
  <c r="AY13" i="13"/>
  <c r="AY14" i="13"/>
  <c r="AY15" i="13"/>
  <c r="AY16" i="13"/>
  <c r="AY17" i="13"/>
  <c r="AY18" i="13"/>
  <c r="AY19" i="13"/>
  <c r="AY20" i="13"/>
  <c r="AY21" i="13"/>
  <c r="AY22" i="13"/>
  <c r="AY23" i="13"/>
  <c r="AY24" i="13"/>
  <c r="AY25" i="13"/>
  <c r="AY26" i="13"/>
  <c r="AY27" i="13"/>
  <c r="AY28" i="13"/>
  <c r="AY29" i="13"/>
  <c r="AY30" i="13"/>
  <c r="AY31" i="13"/>
  <c r="AY32" i="13"/>
  <c r="AY33" i="13"/>
  <c r="AY34" i="13"/>
  <c r="AY35" i="13"/>
  <c r="AY36" i="13"/>
  <c r="AY37" i="13"/>
  <c r="AY38" i="13"/>
  <c r="AY39" i="13"/>
  <c r="AY40" i="13"/>
  <c r="AY41" i="13"/>
  <c r="AY42" i="13"/>
  <c r="AY43" i="13"/>
  <c r="AY44" i="13"/>
  <c r="AY45" i="13"/>
  <c r="AY46" i="13"/>
  <c r="AY47" i="13"/>
  <c r="AY48" i="13"/>
  <c r="AY49" i="13"/>
  <c r="AY50" i="13"/>
  <c r="AY51" i="13"/>
  <c r="AY52" i="13"/>
  <c r="AY53" i="13"/>
  <c r="AY54" i="13"/>
  <c r="AY55" i="13"/>
  <c r="AY56" i="13"/>
  <c r="AY57" i="13"/>
  <c r="AY58" i="13"/>
  <c r="AY59" i="13"/>
  <c r="AY60" i="13"/>
  <c r="AY61" i="13"/>
  <c r="AY62" i="13"/>
  <c r="AY63" i="13"/>
  <c r="AY64" i="13"/>
  <c r="AY65" i="13"/>
  <c r="AY66" i="13"/>
  <c r="AY67" i="13"/>
  <c r="AY68" i="13"/>
  <c r="AY69" i="13"/>
  <c r="AY70" i="13"/>
  <c r="AY71" i="13"/>
  <c r="AY72" i="13"/>
  <c r="AY73" i="13"/>
  <c r="AY74" i="13"/>
  <c r="AY75" i="13"/>
  <c r="AY76" i="13"/>
  <c r="AY77" i="13"/>
  <c r="AY78" i="13"/>
  <c r="AY79" i="13"/>
  <c r="AY80" i="13"/>
  <c r="AY81" i="13"/>
  <c r="AY82" i="13"/>
  <c r="AY83" i="13"/>
  <c r="AY84" i="13"/>
  <c r="AY85" i="13"/>
  <c r="AY86" i="13"/>
  <c r="AY87" i="13"/>
  <c r="AY88" i="13"/>
  <c r="AY89" i="13"/>
  <c r="AY90" i="13"/>
  <c r="AY91" i="13"/>
  <c r="AY92" i="13"/>
  <c r="AY93" i="13"/>
  <c r="AY94" i="13"/>
  <c r="AY95" i="13"/>
  <c r="AY96" i="13"/>
  <c r="AY97" i="13"/>
  <c r="AY98" i="13"/>
  <c r="AY99" i="13"/>
  <c r="AY100" i="13"/>
  <c r="AY101" i="13"/>
  <c r="AY102" i="13"/>
  <c r="AY103" i="13"/>
  <c r="AY104" i="13"/>
  <c r="AY105" i="13"/>
  <c r="AY106" i="13"/>
  <c r="AY107" i="13"/>
  <c r="AY108" i="13"/>
  <c r="AY109" i="13"/>
  <c r="AY110" i="13"/>
  <c r="AY111" i="13"/>
  <c r="AY112" i="13"/>
  <c r="AY113" i="13"/>
  <c r="AY114" i="13"/>
  <c r="AY115" i="13"/>
  <c r="AY116" i="13"/>
  <c r="AY117" i="13"/>
  <c r="AY118" i="13"/>
  <c r="AY119" i="13"/>
  <c r="AY120" i="13"/>
  <c r="AY121" i="13"/>
  <c r="AY122" i="13"/>
  <c r="AY123" i="13"/>
  <c r="AY124" i="13"/>
  <c r="AY125" i="13"/>
  <c r="AY126" i="13"/>
  <c r="AY127" i="13"/>
  <c r="AY128" i="13"/>
  <c r="AY129" i="13"/>
  <c r="AY130" i="13"/>
  <c r="AY131" i="13"/>
  <c r="AY132" i="13"/>
  <c r="AY133" i="13"/>
  <c r="AY134" i="13"/>
  <c r="AY135" i="13"/>
  <c r="AY136" i="13"/>
  <c r="AY137" i="13"/>
  <c r="AY138" i="13"/>
  <c r="AY139" i="13"/>
  <c r="AY140" i="13"/>
  <c r="AY141" i="13"/>
  <c r="AY142" i="13"/>
  <c r="AY143" i="13"/>
  <c r="AY144" i="13"/>
  <c r="AY145" i="13"/>
  <c r="AY146" i="13"/>
  <c r="AY147" i="13"/>
  <c r="AY148" i="13"/>
  <c r="AY149" i="13"/>
  <c r="AY150" i="13"/>
  <c r="AY151" i="13"/>
  <c r="AY152" i="13"/>
  <c r="AY153" i="13"/>
  <c r="AY154" i="13"/>
  <c r="AY155" i="13"/>
  <c r="AY156" i="13"/>
  <c r="AY157" i="13"/>
  <c r="AY158" i="13"/>
  <c r="AY159" i="13"/>
  <c r="AY160" i="13"/>
  <c r="AY161" i="13"/>
  <c r="AY162" i="13"/>
  <c r="AY163" i="13"/>
  <c r="AY164" i="13"/>
  <c r="AY165" i="13"/>
  <c r="AY166" i="13"/>
  <c r="AY167" i="13"/>
  <c r="AY168" i="13"/>
  <c r="AY169" i="13"/>
  <c r="AY170" i="13"/>
  <c r="AY171" i="13"/>
  <c r="AY172" i="13"/>
  <c r="AY173" i="13"/>
  <c r="AY174" i="13"/>
  <c r="AY175" i="13"/>
  <c r="AY176" i="13"/>
  <c r="AY177" i="13"/>
  <c r="AY178" i="13"/>
  <c r="AY179" i="13"/>
  <c r="AY180" i="13"/>
  <c r="AY181" i="13"/>
  <c r="AY182" i="13"/>
  <c r="AY183" i="13"/>
  <c r="AY184" i="13"/>
  <c r="AY185" i="13"/>
  <c r="AY186" i="13"/>
  <c r="AY187" i="13"/>
  <c r="AY188" i="13"/>
  <c r="AY189" i="13"/>
  <c r="AY190" i="13"/>
  <c r="AY191" i="13"/>
  <c r="AY192" i="13"/>
  <c r="AY193" i="13"/>
  <c r="AY194" i="13"/>
  <c r="AY195" i="13"/>
  <c r="AY196" i="13"/>
  <c r="AY197" i="13"/>
  <c r="AY198" i="13"/>
  <c r="AY199" i="13"/>
  <c r="AY200" i="13"/>
  <c r="AY201" i="13"/>
  <c r="AY202" i="13"/>
  <c r="AY203" i="13"/>
  <c r="AY204" i="13"/>
  <c r="AY205" i="13"/>
  <c r="AY206" i="13"/>
  <c r="AY207" i="13"/>
  <c r="AY208" i="13"/>
  <c r="AY209" i="13"/>
  <c r="AY210" i="13"/>
  <c r="AY211" i="13"/>
  <c r="AY212" i="13"/>
  <c r="AY213" i="13"/>
  <c r="AY214" i="13"/>
  <c r="AY215" i="13"/>
  <c r="AY216" i="13"/>
  <c r="AY217" i="13"/>
  <c r="AY218" i="13"/>
  <c r="AY219" i="13"/>
  <c r="AY220" i="13"/>
  <c r="AY221" i="13"/>
  <c r="AY222" i="13"/>
  <c r="AY223" i="13"/>
  <c r="AY224" i="13"/>
  <c r="AY225" i="13"/>
  <c r="AY226" i="13"/>
  <c r="AY227" i="13"/>
  <c r="AY228" i="13"/>
  <c r="AY229" i="13"/>
  <c r="AY230" i="13"/>
  <c r="AY231" i="13"/>
  <c r="AX4" i="13"/>
  <c r="AX5" i="13"/>
  <c r="AX6" i="13"/>
  <c r="AX7" i="13"/>
  <c r="AX8" i="13"/>
  <c r="AX9" i="13"/>
  <c r="AX10" i="13"/>
  <c r="AX11" i="13"/>
  <c r="AX12" i="13"/>
  <c r="AX13" i="13"/>
  <c r="AX14" i="13"/>
  <c r="AX15" i="13"/>
  <c r="AX16" i="13"/>
  <c r="AX17" i="13"/>
  <c r="AX18" i="13"/>
  <c r="AX19" i="13"/>
  <c r="AX20" i="13"/>
  <c r="AX21" i="13"/>
  <c r="AX22" i="13"/>
  <c r="AX23" i="13"/>
  <c r="AX24" i="13"/>
  <c r="AX25" i="13"/>
  <c r="AX26" i="13"/>
  <c r="AX27" i="13"/>
  <c r="AX28" i="13"/>
  <c r="AX29" i="13"/>
  <c r="AX30" i="13"/>
  <c r="AX31" i="13"/>
  <c r="AX32" i="13"/>
  <c r="AX33" i="13"/>
  <c r="AX34" i="13"/>
  <c r="AX35" i="13"/>
  <c r="AX36" i="13"/>
  <c r="AX37" i="13"/>
  <c r="AX38" i="13"/>
  <c r="AX39" i="13"/>
  <c r="AX40" i="13"/>
  <c r="AX41" i="13"/>
  <c r="AX42" i="13"/>
  <c r="AX43" i="13"/>
  <c r="AX44" i="13"/>
  <c r="AX45" i="13"/>
  <c r="AX46" i="13"/>
  <c r="AX47" i="13"/>
  <c r="AX48" i="13"/>
  <c r="AX49" i="13"/>
  <c r="AX50" i="13"/>
  <c r="AX51" i="13"/>
  <c r="AX52" i="13"/>
  <c r="AX53" i="13"/>
  <c r="AX54" i="13"/>
  <c r="AX55" i="13"/>
  <c r="AX56" i="13"/>
  <c r="AX57" i="13"/>
  <c r="AX58" i="13"/>
  <c r="AX59" i="13"/>
  <c r="AX60" i="13"/>
  <c r="AX61" i="13"/>
  <c r="AX62" i="13"/>
  <c r="AX63" i="13"/>
  <c r="AX64" i="13"/>
  <c r="AX65" i="13"/>
  <c r="AX66" i="13"/>
  <c r="AX67" i="13"/>
  <c r="AX68" i="13"/>
  <c r="AX69" i="13"/>
  <c r="AX70" i="13"/>
  <c r="AX71" i="13"/>
  <c r="AX72" i="13"/>
  <c r="AX73" i="13"/>
  <c r="AX74" i="13"/>
  <c r="AX75" i="13"/>
  <c r="AX76" i="13"/>
  <c r="AX77" i="13"/>
  <c r="AX78" i="13"/>
  <c r="AX79" i="13"/>
  <c r="AX80" i="13"/>
  <c r="AX81" i="13"/>
  <c r="AX82" i="13"/>
  <c r="AX83" i="13"/>
  <c r="AX84" i="13"/>
  <c r="AX85" i="13"/>
  <c r="AX86" i="13"/>
  <c r="AX87" i="13"/>
  <c r="AX88" i="13"/>
  <c r="AX89" i="13"/>
  <c r="AX90" i="13"/>
  <c r="AX91" i="13"/>
  <c r="AX92" i="13"/>
  <c r="AX93" i="13"/>
  <c r="AX94" i="13"/>
  <c r="AX95" i="13"/>
  <c r="AX96" i="13"/>
  <c r="AX97" i="13"/>
  <c r="AX98" i="13"/>
  <c r="AX99" i="13"/>
  <c r="AX100" i="13"/>
  <c r="AX101" i="13"/>
  <c r="AX102" i="13"/>
  <c r="AX103" i="13"/>
  <c r="AX104" i="13"/>
  <c r="AX105" i="13"/>
  <c r="AX106" i="13"/>
  <c r="AX107" i="13"/>
  <c r="AX108" i="13"/>
  <c r="AX109" i="13"/>
  <c r="AX110" i="13"/>
  <c r="AX111" i="13"/>
  <c r="AX112" i="13"/>
  <c r="AX113" i="13"/>
  <c r="AX114" i="13"/>
  <c r="AX115" i="13"/>
  <c r="AX116" i="13"/>
  <c r="AX117" i="13"/>
  <c r="AX118" i="13"/>
  <c r="AX119" i="13"/>
  <c r="AX120" i="13"/>
  <c r="AX121" i="13"/>
  <c r="AX122" i="13"/>
  <c r="AX123" i="13"/>
  <c r="AX124" i="13"/>
  <c r="AX125" i="13"/>
  <c r="AX126" i="13"/>
  <c r="AX127" i="13"/>
  <c r="AX128" i="13"/>
  <c r="AX129" i="13"/>
  <c r="AX130" i="13"/>
  <c r="AX131" i="13"/>
  <c r="AX132" i="13"/>
  <c r="AX133" i="13"/>
  <c r="AX134" i="13"/>
  <c r="AX135" i="13"/>
  <c r="AX136" i="13"/>
  <c r="AX137" i="13"/>
  <c r="AX138" i="13"/>
  <c r="AX139" i="13"/>
  <c r="AX140" i="13"/>
  <c r="AX141" i="13"/>
  <c r="AX142" i="13"/>
  <c r="AX143" i="13"/>
  <c r="AX144" i="13"/>
  <c r="AX145" i="13"/>
  <c r="AX146" i="13"/>
  <c r="AX147" i="13"/>
  <c r="AX148" i="13"/>
  <c r="AX149" i="13"/>
  <c r="AX150" i="13"/>
  <c r="AX151" i="13"/>
  <c r="AX152" i="13"/>
  <c r="AX153" i="13"/>
  <c r="AX154" i="13"/>
  <c r="AX155" i="13"/>
  <c r="AX156" i="13"/>
  <c r="AX157" i="13"/>
  <c r="AX158" i="13"/>
  <c r="AX159" i="13"/>
  <c r="AX160" i="13"/>
  <c r="AX161" i="13"/>
  <c r="AX162" i="13"/>
  <c r="AX163" i="13"/>
  <c r="AX164" i="13"/>
  <c r="AX165" i="13"/>
  <c r="AX166" i="13"/>
  <c r="AX167" i="13"/>
  <c r="AX168" i="13"/>
  <c r="AX169" i="13"/>
  <c r="AX170" i="13"/>
  <c r="AX171" i="13"/>
  <c r="AX172" i="13"/>
  <c r="AX173" i="13"/>
  <c r="AX174" i="13"/>
  <c r="AX175" i="13"/>
  <c r="AX176" i="13"/>
  <c r="AX177" i="13"/>
  <c r="AX178" i="13"/>
  <c r="AX179" i="13"/>
  <c r="AX180" i="13"/>
  <c r="AX181" i="13"/>
  <c r="AX182" i="13"/>
  <c r="AX183" i="13"/>
  <c r="AX184" i="13"/>
  <c r="AX185" i="13"/>
  <c r="AX186" i="13"/>
  <c r="AX187" i="13"/>
  <c r="AX188" i="13"/>
  <c r="AX189" i="13"/>
  <c r="AX190" i="13"/>
  <c r="AX191" i="13"/>
  <c r="AX192" i="13"/>
  <c r="AX193" i="13"/>
  <c r="AX194" i="13"/>
  <c r="AX195" i="13"/>
  <c r="AX196" i="13"/>
  <c r="AX197" i="13"/>
  <c r="AX198" i="13"/>
  <c r="AX199" i="13"/>
  <c r="AX200" i="13"/>
  <c r="AX201" i="13"/>
  <c r="AX202" i="13"/>
  <c r="AX203" i="13"/>
  <c r="AX204" i="13"/>
  <c r="AX205" i="13"/>
  <c r="AX206" i="13"/>
  <c r="AX207" i="13"/>
  <c r="AX208" i="13"/>
  <c r="AX209" i="13"/>
  <c r="AX210" i="13"/>
  <c r="AX211" i="13"/>
  <c r="AX212" i="13"/>
  <c r="AX213" i="13"/>
  <c r="AX214" i="13"/>
  <c r="AX215" i="13"/>
  <c r="AX216" i="13"/>
  <c r="AX217" i="13"/>
  <c r="AX218" i="13"/>
  <c r="AX219" i="13"/>
  <c r="AX220" i="13"/>
  <c r="AX221" i="13"/>
  <c r="AX222" i="13"/>
  <c r="AX223" i="13"/>
  <c r="AX224" i="13"/>
  <c r="AX225" i="13"/>
  <c r="AX226" i="13"/>
  <c r="AX227" i="13"/>
  <c r="AX228" i="13"/>
  <c r="AX229" i="13"/>
  <c r="AX230" i="13"/>
  <c r="AX231" i="13"/>
  <c r="AW4" i="13"/>
  <c r="AW5" i="13"/>
  <c r="AW6" i="13"/>
  <c r="AW7" i="13"/>
  <c r="AW8" i="13"/>
  <c r="AW9" i="13"/>
  <c r="AW10" i="13"/>
  <c r="AW11" i="13"/>
  <c r="AW12" i="13"/>
  <c r="AW13" i="13"/>
  <c r="AW14" i="13"/>
  <c r="AW15" i="13"/>
  <c r="AW16" i="13"/>
  <c r="AW17" i="13"/>
  <c r="AW18" i="13"/>
  <c r="AW19" i="13"/>
  <c r="AW20" i="13"/>
  <c r="AW21" i="13"/>
  <c r="AW22" i="13"/>
  <c r="AW23" i="13"/>
  <c r="AW24" i="13"/>
  <c r="AW25" i="13"/>
  <c r="AW26" i="13"/>
  <c r="AW27" i="13"/>
  <c r="AW28" i="13"/>
  <c r="AW29" i="13"/>
  <c r="AW30" i="13"/>
  <c r="AW31" i="13"/>
  <c r="AW32" i="13"/>
  <c r="AW33" i="13"/>
  <c r="AW34" i="13"/>
  <c r="AW35" i="13"/>
  <c r="AW36" i="13"/>
  <c r="AW37" i="13"/>
  <c r="AW38" i="13"/>
  <c r="AW39" i="13"/>
  <c r="AW40" i="13"/>
  <c r="AW41" i="13"/>
  <c r="AW42" i="13"/>
  <c r="AW43" i="13"/>
  <c r="AW44" i="13"/>
  <c r="AW45" i="13"/>
  <c r="AW46" i="13"/>
  <c r="AW47" i="13"/>
  <c r="AW48" i="13"/>
  <c r="AW49" i="13"/>
  <c r="AW50" i="13"/>
  <c r="AW51" i="13"/>
  <c r="AW52" i="13"/>
  <c r="AW53" i="13"/>
  <c r="AW54" i="13"/>
  <c r="AW55" i="13"/>
  <c r="AW56" i="13"/>
  <c r="AW57" i="13"/>
  <c r="AW58" i="13"/>
  <c r="AW59" i="13"/>
  <c r="AW60" i="13"/>
  <c r="AW61" i="13"/>
  <c r="AW62" i="13"/>
  <c r="AW63" i="13"/>
  <c r="AW64" i="13"/>
  <c r="AW65" i="13"/>
  <c r="AW66" i="13"/>
  <c r="AW67" i="13"/>
  <c r="AW68" i="13"/>
  <c r="AW69" i="13"/>
  <c r="AW70" i="13"/>
  <c r="AW71" i="13"/>
  <c r="AW72" i="13"/>
  <c r="AW73" i="13"/>
  <c r="AW74" i="13"/>
  <c r="AW75" i="13"/>
  <c r="AW76" i="13"/>
  <c r="AW77" i="13"/>
  <c r="AW78" i="13"/>
  <c r="AW79" i="13"/>
  <c r="AW80" i="13"/>
  <c r="AW81" i="13"/>
  <c r="AW82" i="13"/>
  <c r="AW83" i="13"/>
  <c r="AW84" i="13"/>
  <c r="AW85" i="13"/>
  <c r="AW86" i="13"/>
  <c r="AW87" i="13"/>
  <c r="AW88" i="13"/>
  <c r="AW89" i="13"/>
  <c r="AW90" i="13"/>
  <c r="AW91" i="13"/>
  <c r="AW92" i="13"/>
  <c r="AW93" i="13"/>
  <c r="AW94" i="13"/>
  <c r="AW95" i="13"/>
  <c r="AW96" i="13"/>
  <c r="AW97" i="13"/>
  <c r="AW98" i="13"/>
  <c r="AW99" i="13"/>
  <c r="AW100" i="13"/>
  <c r="AW101" i="13"/>
  <c r="AW102" i="13"/>
  <c r="AW103" i="13"/>
  <c r="AW104" i="13"/>
  <c r="AW105" i="13"/>
  <c r="AW106" i="13"/>
  <c r="AW107" i="13"/>
  <c r="AW108" i="13"/>
  <c r="AW109" i="13"/>
  <c r="AW110" i="13"/>
  <c r="AW111" i="13"/>
  <c r="AW112" i="13"/>
  <c r="AW113" i="13"/>
  <c r="AW114" i="13"/>
  <c r="AW115" i="13"/>
  <c r="AW116" i="13"/>
  <c r="AW117" i="13"/>
  <c r="AW118" i="13"/>
  <c r="AW119" i="13"/>
  <c r="AW120" i="13"/>
  <c r="AW121" i="13"/>
  <c r="AW122" i="13"/>
  <c r="AW123" i="13"/>
  <c r="AW124" i="13"/>
  <c r="AW125" i="13"/>
  <c r="AW126" i="13"/>
  <c r="AW127" i="13"/>
  <c r="AW128" i="13"/>
  <c r="AW129" i="13"/>
  <c r="AW130" i="13"/>
  <c r="AW131" i="13"/>
  <c r="AW132" i="13"/>
  <c r="AW133" i="13"/>
  <c r="AW134" i="13"/>
  <c r="AW135" i="13"/>
  <c r="AW136" i="13"/>
  <c r="AW137" i="13"/>
  <c r="AW138" i="13"/>
  <c r="AW139" i="13"/>
  <c r="AW140" i="13"/>
  <c r="AW141" i="13"/>
  <c r="AW142" i="13"/>
  <c r="AW143" i="13"/>
  <c r="AW144" i="13"/>
  <c r="AW145" i="13"/>
  <c r="AW146" i="13"/>
  <c r="AW147" i="13"/>
  <c r="AW148" i="13"/>
  <c r="AW149" i="13"/>
  <c r="AW150" i="13"/>
  <c r="AW151" i="13"/>
  <c r="AW152" i="13"/>
  <c r="AW153" i="13"/>
  <c r="AW154" i="13"/>
  <c r="AW155" i="13"/>
  <c r="AW156" i="13"/>
  <c r="AW157" i="13"/>
  <c r="AW158" i="13"/>
  <c r="AW159" i="13"/>
  <c r="AW160" i="13"/>
  <c r="AW161" i="13"/>
  <c r="AW162" i="13"/>
  <c r="AW163" i="13"/>
  <c r="AW164" i="13"/>
  <c r="AW165" i="13"/>
  <c r="AW166" i="13"/>
  <c r="AW167" i="13"/>
  <c r="AW168" i="13"/>
  <c r="AW169" i="13"/>
  <c r="AW170" i="13"/>
  <c r="AW171" i="13"/>
  <c r="AW172" i="13"/>
  <c r="AW173" i="13"/>
  <c r="AW174" i="13"/>
  <c r="AW175" i="13"/>
  <c r="AW176" i="13"/>
  <c r="AW177" i="13"/>
  <c r="AW178" i="13"/>
  <c r="AW179" i="13"/>
  <c r="AW180" i="13"/>
  <c r="AW181" i="13"/>
  <c r="AW182" i="13"/>
  <c r="AW183" i="13"/>
  <c r="AW184" i="13"/>
  <c r="AW185" i="13"/>
  <c r="AW186" i="13"/>
  <c r="AW187" i="13"/>
  <c r="AW188" i="13"/>
  <c r="AW189" i="13"/>
  <c r="AW190" i="13"/>
  <c r="AW191" i="13"/>
  <c r="AW192" i="13"/>
  <c r="AW193" i="13"/>
  <c r="AW194" i="13"/>
  <c r="AW195" i="13"/>
  <c r="AW196" i="13"/>
  <c r="AW197" i="13"/>
  <c r="AW198" i="13"/>
  <c r="AW199" i="13"/>
  <c r="AW200" i="13"/>
  <c r="AW201" i="13"/>
  <c r="AW202" i="13"/>
  <c r="AW203" i="13"/>
  <c r="AW204" i="13"/>
  <c r="AW205" i="13"/>
  <c r="AW206" i="13"/>
  <c r="AW207" i="13"/>
  <c r="AW208" i="13"/>
  <c r="AW209" i="13"/>
  <c r="AW210" i="13"/>
  <c r="AW211" i="13"/>
  <c r="AW212" i="13"/>
  <c r="AW213" i="13"/>
  <c r="AW214" i="13"/>
  <c r="AW215" i="13"/>
  <c r="AW216" i="13"/>
  <c r="AW217" i="13"/>
  <c r="AW218" i="13"/>
  <c r="AW219" i="13"/>
  <c r="AW220" i="13"/>
  <c r="AW221" i="13"/>
  <c r="AW222" i="13"/>
  <c r="AW223" i="13"/>
  <c r="AW224" i="13"/>
  <c r="AW225" i="13"/>
  <c r="AW226" i="13"/>
  <c r="AW227" i="13"/>
  <c r="AW228" i="13"/>
  <c r="AW229" i="13"/>
  <c r="AW230" i="13"/>
  <c r="AW231" i="13"/>
  <c r="AU4" i="13"/>
  <c r="AU5" i="13"/>
  <c r="AU6" i="13"/>
  <c r="AU7" i="13"/>
  <c r="AU8" i="13"/>
  <c r="AU9" i="13"/>
  <c r="AU10" i="13"/>
  <c r="AU11" i="13"/>
  <c r="AU12" i="13"/>
  <c r="AU13" i="13"/>
  <c r="AU14" i="13"/>
  <c r="AU15" i="13"/>
  <c r="AU16" i="13"/>
  <c r="AU17" i="13"/>
  <c r="AU18" i="13"/>
  <c r="AU19" i="13"/>
  <c r="AU20" i="13"/>
  <c r="AU21" i="13"/>
  <c r="AU22" i="13"/>
  <c r="AU23" i="13"/>
  <c r="AU24" i="13"/>
  <c r="AU25" i="13"/>
  <c r="AU26" i="13"/>
  <c r="AU27" i="13"/>
  <c r="AU28" i="13"/>
  <c r="AU29" i="13"/>
  <c r="AU30" i="13"/>
  <c r="AU31" i="13"/>
  <c r="AU32" i="13"/>
  <c r="AU33" i="13"/>
  <c r="AU34" i="13"/>
  <c r="AU35" i="13"/>
  <c r="AU36" i="13"/>
  <c r="AU37" i="13"/>
  <c r="AU38" i="13"/>
  <c r="AU39" i="13"/>
  <c r="AU40" i="13"/>
  <c r="AU41" i="13"/>
  <c r="AU42" i="13"/>
  <c r="AU43" i="13"/>
  <c r="AU44" i="13"/>
  <c r="AU45" i="13"/>
  <c r="AU46" i="13"/>
  <c r="AU47" i="13"/>
  <c r="AU48" i="13"/>
  <c r="AU49" i="13"/>
  <c r="AU50" i="13"/>
  <c r="AU51" i="13"/>
  <c r="AU52" i="13"/>
  <c r="AU53" i="13"/>
  <c r="AU54" i="13"/>
  <c r="AU55" i="13"/>
  <c r="AU56" i="13"/>
  <c r="AU57" i="13"/>
  <c r="AU58" i="13"/>
  <c r="AU59" i="13"/>
  <c r="AU60" i="13"/>
  <c r="AU61" i="13"/>
  <c r="AU62" i="13"/>
  <c r="AU63" i="13"/>
  <c r="AU64" i="13"/>
  <c r="AU65" i="13"/>
  <c r="AU66" i="13"/>
  <c r="AU67" i="13"/>
  <c r="AU68" i="13"/>
  <c r="AU69" i="13"/>
  <c r="AU70" i="13"/>
  <c r="AU71" i="13"/>
  <c r="AU72" i="13"/>
  <c r="AU73" i="13"/>
  <c r="AU74" i="13"/>
  <c r="AU75" i="13"/>
  <c r="AU76" i="13"/>
  <c r="AU77" i="13"/>
  <c r="AU78" i="13"/>
  <c r="AU79" i="13"/>
  <c r="AU80" i="13"/>
  <c r="AU81" i="13"/>
  <c r="AU82" i="13"/>
  <c r="AU83" i="13"/>
  <c r="AU84" i="13"/>
  <c r="AU85" i="13"/>
  <c r="AU86" i="13"/>
  <c r="AU87" i="13"/>
  <c r="AU88" i="13"/>
  <c r="AU89" i="13"/>
  <c r="AU90" i="13"/>
  <c r="AU91" i="13"/>
  <c r="AU92" i="13"/>
  <c r="AU93" i="13"/>
  <c r="AU94" i="13"/>
  <c r="AU95" i="13"/>
  <c r="AU96" i="13"/>
  <c r="AU97" i="13"/>
  <c r="AU98" i="13"/>
  <c r="AU99" i="13"/>
  <c r="AU100" i="13"/>
  <c r="AU101" i="13"/>
  <c r="AU102" i="13"/>
  <c r="AU103" i="13"/>
  <c r="AU104" i="13"/>
  <c r="AU105" i="13"/>
  <c r="AU106" i="13"/>
  <c r="AU107" i="13"/>
  <c r="AU108" i="13"/>
  <c r="AU109" i="13"/>
  <c r="AU110" i="13"/>
  <c r="AU111" i="13"/>
  <c r="AU112" i="13"/>
  <c r="AU113" i="13"/>
  <c r="AU114" i="13"/>
  <c r="AU115" i="13"/>
  <c r="AU116" i="13"/>
  <c r="AU117" i="13"/>
  <c r="AU118" i="13"/>
  <c r="AU119" i="13"/>
  <c r="AU120" i="13"/>
  <c r="AU121" i="13"/>
  <c r="AU122" i="13"/>
  <c r="AU123" i="13"/>
  <c r="AU124" i="13"/>
  <c r="AU125" i="13"/>
  <c r="AU126" i="13"/>
  <c r="AU127" i="13"/>
  <c r="AU128" i="13"/>
  <c r="AU129" i="13"/>
  <c r="AU130" i="13"/>
  <c r="AU131" i="13"/>
  <c r="AU132" i="13"/>
  <c r="AU133" i="13"/>
  <c r="AU134" i="13"/>
  <c r="AU135" i="13"/>
  <c r="AU136" i="13"/>
  <c r="AU137" i="13"/>
  <c r="AU138" i="13"/>
  <c r="AU139" i="13"/>
  <c r="AU140" i="13"/>
  <c r="AU141" i="13"/>
  <c r="AU142" i="13"/>
  <c r="AU143" i="13"/>
  <c r="AU144" i="13"/>
  <c r="AU145" i="13"/>
  <c r="AU146" i="13"/>
  <c r="AU147" i="13"/>
  <c r="AU148" i="13"/>
  <c r="AU149" i="13"/>
  <c r="AU150" i="13"/>
  <c r="AU151" i="13"/>
  <c r="AU152" i="13"/>
  <c r="AU153" i="13"/>
  <c r="AU154" i="13"/>
  <c r="AU155" i="13"/>
  <c r="AU156" i="13"/>
  <c r="AU157" i="13"/>
  <c r="AU158" i="13"/>
  <c r="AU159" i="13"/>
  <c r="AU160" i="13"/>
  <c r="AU161" i="13"/>
  <c r="AU162" i="13"/>
  <c r="AU163" i="13"/>
  <c r="AU164" i="13"/>
  <c r="AU165" i="13"/>
  <c r="AU166" i="13"/>
  <c r="AU167" i="13"/>
  <c r="AU168" i="13"/>
  <c r="AU169" i="13"/>
  <c r="AU170" i="13"/>
  <c r="AU171" i="13"/>
  <c r="AU172" i="13"/>
  <c r="AU173" i="13"/>
  <c r="AU174" i="13"/>
  <c r="AU175" i="13"/>
  <c r="AU176" i="13"/>
  <c r="AU177" i="13"/>
  <c r="AU178" i="13"/>
  <c r="AU179" i="13"/>
  <c r="AU180" i="13"/>
  <c r="AU181" i="13"/>
  <c r="AU182" i="13"/>
  <c r="AU183" i="13"/>
  <c r="AU184" i="13"/>
  <c r="AU185" i="13"/>
  <c r="AU186" i="13"/>
  <c r="AU187" i="13"/>
  <c r="AU188" i="13"/>
  <c r="AU189" i="13"/>
  <c r="AU190" i="13"/>
  <c r="AU191" i="13"/>
  <c r="AU192" i="13"/>
  <c r="AU193" i="13"/>
  <c r="AU194" i="13"/>
  <c r="AU195" i="13"/>
  <c r="AU196" i="13"/>
  <c r="AU197" i="13"/>
  <c r="AU198" i="13"/>
  <c r="AU199" i="13"/>
  <c r="AU200" i="13"/>
  <c r="AU201" i="13"/>
  <c r="AU202" i="13"/>
  <c r="AU203" i="13"/>
  <c r="AU204" i="13"/>
  <c r="AU205" i="13"/>
  <c r="AU206" i="13"/>
  <c r="AU207" i="13"/>
  <c r="AU208" i="13"/>
  <c r="AU209" i="13"/>
  <c r="AU210" i="13"/>
  <c r="AU211" i="13"/>
  <c r="AU212" i="13"/>
  <c r="AU213" i="13"/>
  <c r="AU214" i="13"/>
  <c r="AU215" i="13"/>
  <c r="AU216" i="13"/>
  <c r="AU217" i="13"/>
  <c r="AU218" i="13"/>
  <c r="AU219" i="13"/>
  <c r="AU220" i="13"/>
  <c r="AU221" i="13"/>
  <c r="AU222" i="13"/>
  <c r="AU223" i="13"/>
  <c r="AU224" i="13"/>
  <c r="AU225" i="13"/>
  <c r="AU226" i="13"/>
  <c r="AU227" i="13"/>
  <c r="AU228" i="13"/>
  <c r="AU229" i="13"/>
  <c r="AU230" i="13"/>
  <c r="AU231" i="13"/>
  <c r="AT4" i="13"/>
  <c r="AT5" i="13"/>
  <c r="AT6" i="13"/>
  <c r="AT7" i="13"/>
  <c r="AT8" i="13"/>
  <c r="AT9" i="13"/>
  <c r="AT10" i="13"/>
  <c r="AT11" i="13"/>
  <c r="AT12" i="13"/>
  <c r="AT13" i="13"/>
  <c r="AT14" i="13"/>
  <c r="AT15" i="13"/>
  <c r="AT16" i="13"/>
  <c r="AT17" i="13"/>
  <c r="AT18" i="13"/>
  <c r="AT19" i="13"/>
  <c r="AT20" i="13"/>
  <c r="AT21" i="13"/>
  <c r="AT22" i="13"/>
  <c r="AT23" i="13"/>
  <c r="AT24" i="13"/>
  <c r="AT25" i="13"/>
  <c r="AT26" i="13"/>
  <c r="AT27" i="13"/>
  <c r="AT28" i="13"/>
  <c r="AT29" i="13"/>
  <c r="AT30" i="13"/>
  <c r="AT31" i="13"/>
  <c r="AT32" i="13"/>
  <c r="AT33" i="13"/>
  <c r="AT34" i="13"/>
  <c r="AT35" i="13"/>
  <c r="AT36" i="13"/>
  <c r="AT37" i="13"/>
  <c r="AT38" i="13"/>
  <c r="AT39" i="13"/>
  <c r="AT40" i="13"/>
  <c r="AT41" i="13"/>
  <c r="AT42" i="13"/>
  <c r="AT43" i="13"/>
  <c r="AT44" i="13"/>
  <c r="AT45" i="13"/>
  <c r="AT46" i="13"/>
  <c r="AT47" i="13"/>
  <c r="AT48" i="13"/>
  <c r="AT49" i="13"/>
  <c r="AT50" i="13"/>
  <c r="AT51" i="13"/>
  <c r="AT52" i="13"/>
  <c r="AT53" i="13"/>
  <c r="AT54" i="13"/>
  <c r="AT55" i="13"/>
  <c r="AT56" i="13"/>
  <c r="AT57" i="13"/>
  <c r="AT58" i="13"/>
  <c r="AT59" i="13"/>
  <c r="AT60" i="13"/>
  <c r="AT61" i="13"/>
  <c r="AT62" i="13"/>
  <c r="AT63" i="13"/>
  <c r="AT64" i="13"/>
  <c r="AT65" i="13"/>
  <c r="AT66" i="13"/>
  <c r="AT67" i="13"/>
  <c r="AT68" i="13"/>
  <c r="AT69" i="13"/>
  <c r="AT70" i="13"/>
  <c r="AT71" i="13"/>
  <c r="AT72" i="13"/>
  <c r="AT73" i="13"/>
  <c r="AT74" i="13"/>
  <c r="AT75" i="13"/>
  <c r="AT76" i="13"/>
  <c r="AT77" i="13"/>
  <c r="AT78" i="13"/>
  <c r="AT79" i="13"/>
  <c r="AT80" i="13"/>
  <c r="AT81" i="13"/>
  <c r="AT82" i="13"/>
  <c r="AT83" i="13"/>
  <c r="AT84" i="13"/>
  <c r="AT85" i="13"/>
  <c r="AT86" i="13"/>
  <c r="AT87" i="13"/>
  <c r="AT88" i="13"/>
  <c r="AT89" i="13"/>
  <c r="AT90" i="13"/>
  <c r="AT91" i="13"/>
  <c r="AT92" i="13"/>
  <c r="AT93" i="13"/>
  <c r="AT94" i="13"/>
  <c r="AT95" i="13"/>
  <c r="AT96" i="13"/>
  <c r="AT97" i="13"/>
  <c r="AT98" i="13"/>
  <c r="AT99" i="13"/>
  <c r="AT100" i="13"/>
  <c r="AT101" i="13"/>
  <c r="AT102" i="13"/>
  <c r="AT103" i="13"/>
  <c r="AT104" i="13"/>
  <c r="AT105" i="13"/>
  <c r="AT106" i="13"/>
  <c r="AT107" i="13"/>
  <c r="AT108" i="13"/>
  <c r="AT109" i="13"/>
  <c r="AT110" i="13"/>
  <c r="AT111" i="13"/>
  <c r="AT112" i="13"/>
  <c r="AT113" i="13"/>
  <c r="AT114" i="13"/>
  <c r="AT115" i="13"/>
  <c r="AT116" i="13"/>
  <c r="AT117" i="13"/>
  <c r="AT118" i="13"/>
  <c r="AT119" i="13"/>
  <c r="AT120" i="13"/>
  <c r="AT121" i="13"/>
  <c r="AT122" i="13"/>
  <c r="AT123" i="13"/>
  <c r="AT124" i="13"/>
  <c r="AT125" i="13"/>
  <c r="AT126" i="13"/>
  <c r="AT127" i="13"/>
  <c r="AT128" i="13"/>
  <c r="AT129" i="13"/>
  <c r="AT130" i="13"/>
  <c r="AT131" i="13"/>
  <c r="AT132" i="13"/>
  <c r="AT133" i="13"/>
  <c r="AT134" i="13"/>
  <c r="AT135" i="13"/>
  <c r="AT136" i="13"/>
  <c r="AT137" i="13"/>
  <c r="AT138" i="13"/>
  <c r="AT139" i="13"/>
  <c r="AT140" i="13"/>
  <c r="AT141" i="13"/>
  <c r="AT142" i="13"/>
  <c r="AT143" i="13"/>
  <c r="AT144" i="13"/>
  <c r="AT145" i="13"/>
  <c r="AT146" i="13"/>
  <c r="AT147" i="13"/>
  <c r="AT148" i="13"/>
  <c r="AT149" i="13"/>
  <c r="AT150" i="13"/>
  <c r="AT151" i="13"/>
  <c r="AT152" i="13"/>
  <c r="AT153" i="13"/>
  <c r="AT154" i="13"/>
  <c r="AT155" i="13"/>
  <c r="AT156" i="13"/>
  <c r="AT157" i="13"/>
  <c r="AT158" i="13"/>
  <c r="AT159" i="13"/>
  <c r="AT160" i="13"/>
  <c r="AT161" i="13"/>
  <c r="AT162" i="13"/>
  <c r="AT163" i="13"/>
  <c r="AT164" i="13"/>
  <c r="AT165" i="13"/>
  <c r="AT166" i="13"/>
  <c r="AT167" i="13"/>
  <c r="AT168" i="13"/>
  <c r="AT169" i="13"/>
  <c r="AT170" i="13"/>
  <c r="AT171" i="13"/>
  <c r="AT172" i="13"/>
  <c r="AT173" i="13"/>
  <c r="AT174" i="13"/>
  <c r="AT175" i="13"/>
  <c r="AT176" i="13"/>
  <c r="AT177" i="13"/>
  <c r="AT178" i="13"/>
  <c r="AT179" i="13"/>
  <c r="AT180" i="13"/>
  <c r="AT181" i="13"/>
  <c r="AT182" i="13"/>
  <c r="AT183" i="13"/>
  <c r="AT184" i="13"/>
  <c r="AT185" i="13"/>
  <c r="AT186" i="13"/>
  <c r="AT187" i="13"/>
  <c r="AT188" i="13"/>
  <c r="AT189" i="13"/>
  <c r="AT190" i="13"/>
  <c r="AT191" i="13"/>
  <c r="AT192" i="13"/>
  <c r="AT193" i="13"/>
  <c r="AT194" i="13"/>
  <c r="AT195" i="13"/>
  <c r="AT196" i="13"/>
  <c r="AT197" i="13"/>
  <c r="AT198" i="13"/>
  <c r="AT199" i="13"/>
  <c r="AT200" i="13"/>
  <c r="AT201" i="13"/>
  <c r="AT202" i="13"/>
  <c r="AT203" i="13"/>
  <c r="AT204" i="13"/>
  <c r="AT205" i="13"/>
  <c r="AT206" i="13"/>
  <c r="AT207" i="13"/>
  <c r="AT208" i="13"/>
  <c r="AT209" i="13"/>
  <c r="AT210" i="13"/>
  <c r="AT211" i="13"/>
  <c r="AT212" i="13"/>
  <c r="AT213" i="13"/>
  <c r="AT214" i="13"/>
  <c r="AT215" i="13"/>
  <c r="AT216" i="13"/>
  <c r="AT217" i="13"/>
  <c r="AT218" i="13"/>
  <c r="AT219" i="13"/>
  <c r="AT220" i="13"/>
  <c r="AT221" i="13"/>
  <c r="AT222" i="13"/>
  <c r="AT223" i="13"/>
  <c r="AT224" i="13"/>
  <c r="AT225" i="13"/>
  <c r="AT226" i="13"/>
  <c r="AT227" i="13"/>
  <c r="AT228" i="13"/>
  <c r="AT229" i="13"/>
  <c r="AT230" i="13"/>
  <c r="AT231" i="13"/>
  <c r="AS4" i="13"/>
  <c r="AS5" i="13"/>
  <c r="AS6" i="13"/>
  <c r="AS7" i="13"/>
  <c r="AS8" i="13"/>
  <c r="AS9" i="13"/>
  <c r="AS10" i="13"/>
  <c r="AS11" i="13"/>
  <c r="AS12" i="13"/>
  <c r="AS13" i="13"/>
  <c r="AS14" i="13"/>
  <c r="AS15" i="13"/>
  <c r="AS16" i="13"/>
  <c r="AS17" i="13"/>
  <c r="AS18" i="13"/>
  <c r="AS19" i="13"/>
  <c r="AS20" i="13"/>
  <c r="AS21" i="13"/>
  <c r="AS22" i="13"/>
  <c r="AS23" i="13"/>
  <c r="AS24" i="13"/>
  <c r="AS25" i="13"/>
  <c r="AS26" i="13"/>
  <c r="AS27" i="13"/>
  <c r="AS28" i="13"/>
  <c r="AS29" i="13"/>
  <c r="AS30" i="13"/>
  <c r="AS31" i="13"/>
  <c r="AS32" i="13"/>
  <c r="AS33" i="13"/>
  <c r="AS34" i="13"/>
  <c r="AS35" i="13"/>
  <c r="AS36" i="13"/>
  <c r="AS37" i="13"/>
  <c r="AS38" i="13"/>
  <c r="AS39" i="13"/>
  <c r="AS40" i="13"/>
  <c r="AS41" i="13"/>
  <c r="AS42" i="13"/>
  <c r="AS43" i="13"/>
  <c r="AS44" i="13"/>
  <c r="AS45" i="13"/>
  <c r="AS46" i="13"/>
  <c r="AS47" i="13"/>
  <c r="AS48" i="13"/>
  <c r="AS49" i="13"/>
  <c r="AS50" i="13"/>
  <c r="AS51" i="13"/>
  <c r="AS52" i="13"/>
  <c r="AS53" i="13"/>
  <c r="AS54" i="13"/>
  <c r="AS55" i="13"/>
  <c r="AS56" i="13"/>
  <c r="AS57" i="13"/>
  <c r="AS58" i="13"/>
  <c r="AS59" i="13"/>
  <c r="AS60" i="13"/>
  <c r="AS61" i="13"/>
  <c r="AS62" i="13"/>
  <c r="AS63" i="13"/>
  <c r="AS64" i="13"/>
  <c r="AS65" i="13"/>
  <c r="AS66" i="13"/>
  <c r="AS67" i="13"/>
  <c r="AS68" i="13"/>
  <c r="AS69" i="13"/>
  <c r="AS70" i="13"/>
  <c r="AS71" i="13"/>
  <c r="AS72" i="13"/>
  <c r="AS73" i="13"/>
  <c r="AS74" i="13"/>
  <c r="AS75" i="13"/>
  <c r="AS76" i="13"/>
  <c r="AS77" i="13"/>
  <c r="AS78" i="13"/>
  <c r="AS79" i="13"/>
  <c r="AS80" i="13"/>
  <c r="AS81" i="13"/>
  <c r="AS82" i="13"/>
  <c r="AS83" i="13"/>
  <c r="AS84" i="13"/>
  <c r="AS85" i="13"/>
  <c r="AS86" i="13"/>
  <c r="AS87" i="13"/>
  <c r="AS88" i="13"/>
  <c r="AS89" i="13"/>
  <c r="AS90" i="13"/>
  <c r="AS91" i="13"/>
  <c r="AS92" i="13"/>
  <c r="AS93" i="13"/>
  <c r="AS94" i="13"/>
  <c r="AS95" i="13"/>
  <c r="AS96" i="13"/>
  <c r="AS97" i="13"/>
  <c r="AS98" i="13"/>
  <c r="AS99" i="13"/>
  <c r="AS100" i="13"/>
  <c r="AS101" i="13"/>
  <c r="AS102" i="13"/>
  <c r="AS103" i="13"/>
  <c r="AS104" i="13"/>
  <c r="AS105" i="13"/>
  <c r="AS106" i="13"/>
  <c r="AS107" i="13"/>
  <c r="AS108" i="13"/>
  <c r="AS109" i="13"/>
  <c r="AS110" i="13"/>
  <c r="AS111" i="13"/>
  <c r="AS112" i="13"/>
  <c r="AS113" i="13"/>
  <c r="AS114" i="13"/>
  <c r="AS115" i="13"/>
  <c r="AS116" i="13"/>
  <c r="AS117" i="13"/>
  <c r="AS118" i="13"/>
  <c r="AS119" i="13"/>
  <c r="AS120" i="13"/>
  <c r="AS121" i="13"/>
  <c r="AS122" i="13"/>
  <c r="AS123" i="13"/>
  <c r="AS124" i="13"/>
  <c r="AS125" i="13"/>
  <c r="AS126" i="13"/>
  <c r="AS127" i="13"/>
  <c r="AS128" i="13"/>
  <c r="AS129" i="13"/>
  <c r="AS130" i="13"/>
  <c r="AS131" i="13"/>
  <c r="AS132" i="13"/>
  <c r="AS133" i="13"/>
  <c r="AS134" i="13"/>
  <c r="AS135" i="13"/>
  <c r="AS136" i="13"/>
  <c r="AS137" i="13"/>
  <c r="AS138" i="13"/>
  <c r="AS139" i="13"/>
  <c r="AS140" i="13"/>
  <c r="AS141" i="13"/>
  <c r="AS142" i="13"/>
  <c r="AS143" i="13"/>
  <c r="AS144" i="13"/>
  <c r="AS145" i="13"/>
  <c r="AS146" i="13"/>
  <c r="AS147" i="13"/>
  <c r="AS148" i="13"/>
  <c r="AS149" i="13"/>
  <c r="AS150" i="13"/>
  <c r="AS151" i="13"/>
  <c r="AS152" i="13"/>
  <c r="AS153" i="13"/>
  <c r="AS154" i="13"/>
  <c r="AS155" i="13"/>
  <c r="AS156" i="13"/>
  <c r="AS157" i="13"/>
  <c r="AS158" i="13"/>
  <c r="AS159" i="13"/>
  <c r="AS160" i="13"/>
  <c r="AS161" i="13"/>
  <c r="AS162" i="13"/>
  <c r="AS163" i="13"/>
  <c r="AS164" i="13"/>
  <c r="AS165" i="13"/>
  <c r="AS166" i="13"/>
  <c r="AS167" i="13"/>
  <c r="AS168" i="13"/>
  <c r="AS169" i="13"/>
  <c r="AS170" i="13"/>
  <c r="AS171" i="13"/>
  <c r="AS172" i="13"/>
  <c r="AS173" i="13"/>
  <c r="AS174" i="13"/>
  <c r="AS175" i="13"/>
  <c r="AS176" i="13"/>
  <c r="AS177" i="13"/>
  <c r="AS178" i="13"/>
  <c r="AS179" i="13"/>
  <c r="AS180" i="13"/>
  <c r="AS181" i="13"/>
  <c r="AS182" i="13"/>
  <c r="AS183" i="13"/>
  <c r="AS184" i="13"/>
  <c r="AS185" i="13"/>
  <c r="AS186" i="13"/>
  <c r="AS187" i="13"/>
  <c r="AS188" i="13"/>
  <c r="AS189" i="13"/>
  <c r="AS190" i="13"/>
  <c r="AS191" i="13"/>
  <c r="AS192" i="13"/>
  <c r="AS193" i="13"/>
  <c r="AS194" i="13"/>
  <c r="AS195" i="13"/>
  <c r="AS196" i="13"/>
  <c r="AS197" i="13"/>
  <c r="AS198" i="13"/>
  <c r="AS199" i="13"/>
  <c r="AS200" i="13"/>
  <c r="AS201" i="13"/>
  <c r="AS202" i="13"/>
  <c r="AS203" i="13"/>
  <c r="AS204" i="13"/>
  <c r="AS205" i="13"/>
  <c r="AS206" i="13"/>
  <c r="AS207" i="13"/>
  <c r="AS208" i="13"/>
  <c r="AS209" i="13"/>
  <c r="AS210" i="13"/>
  <c r="AS211" i="13"/>
  <c r="AS212" i="13"/>
  <c r="AS213" i="13"/>
  <c r="AS214" i="13"/>
  <c r="AS215" i="13"/>
  <c r="AS216" i="13"/>
  <c r="AS217" i="13"/>
  <c r="AS218" i="13"/>
  <c r="AS219" i="13"/>
  <c r="AS220" i="13"/>
  <c r="AS221" i="13"/>
  <c r="AS222" i="13"/>
  <c r="AS223" i="13"/>
  <c r="AS224" i="13"/>
  <c r="AS225" i="13"/>
  <c r="AS226" i="13"/>
  <c r="AS227" i="13"/>
  <c r="AS228" i="13"/>
  <c r="AS229" i="13"/>
  <c r="AS230" i="13"/>
  <c r="AS231" i="13"/>
  <c r="AR4" i="13"/>
  <c r="AR5" i="13"/>
  <c r="AR6" i="13"/>
  <c r="AR7" i="13"/>
  <c r="AR8" i="13"/>
  <c r="AR9" i="13"/>
  <c r="AR10" i="13"/>
  <c r="AR11" i="13"/>
  <c r="AR12" i="13"/>
  <c r="AR13" i="13"/>
  <c r="AR14" i="13"/>
  <c r="AR15" i="13"/>
  <c r="AR16" i="13"/>
  <c r="AR17" i="13"/>
  <c r="AR18" i="13"/>
  <c r="AR19" i="13"/>
  <c r="AR20" i="13"/>
  <c r="AR21" i="13"/>
  <c r="AR22" i="13"/>
  <c r="AR23" i="13"/>
  <c r="AR24" i="13"/>
  <c r="AR25" i="13"/>
  <c r="AR26" i="13"/>
  <c r="AR27" i="13"/>
  <c r="AR28" i="13"/>
  <c r="AR29" i="13"/>
  <c r="AR30" i="13"/>
  <c r="AR31" i="13"/>
  <c r="AR32" i="13"/>
  <c r="AR33" i="13"/>
  <c r="AR34" i="13"/>
  <c r="AR35" i="13"/>
  <c r="AR36" i="13"/>
  <c r="AR37" i="13"/>
  <c r="AR38" i="13"/>
  <c r="AR39" i="13"/>
  <c r="AR40" i="13"/>
  <c r="AR41" i="13"/>
  <c r="AR42" i="13"/>
  <c r="AR43" i="13"/>
  <c r="AR44" i="13"/>
  <c r="AR45" i="13"/>
  <c r="AR46" i="13"/>
  <c r="AR47" i="13"/>
  <c r="AR48" i="13"/>
  <c r="AR49" i="13"/>
  <c r="AR50" i="13"/>
  <c r="AR51" i="13"/>
  <c r="AR52" i="13"/>
  <c r="AR53" i="13"/>
  <c r="AR54" i="13"/>
  <c r="AR55" i="13"/>
  <c r="AR56" i="13"/>
  <c r="AR57" i="13"/>
  <c r="AR58" i="13"/>
  <c r="AR59" i="13"/>
  <c r="AR60" i="13"/>
  <c r="AR61" i="13"/>
  <c r="AR62" i="13"/>
  <c r="AR63" i="13"/>
  <c r="AR64" i="13"/>
  <c r="AR65" i="13"/>
  <c r="AR66" i="13"/>
  <c r="AR67" i="13"/>
  <c r="AR68" i="13"/>
  <c r="AR69" i="13"/>
  <c r="AR70" i="13"/>
  <c r="AR71" i="13"/>
  <c r="AR72" i="13"/>
  <c r="AR73" i="13"/>
  <c r="AR74" i="13"/>
  <c r="AR75" i="13"/>
  <c r="AR76" i="13"/>
  <c r="AR77" i="13"/>
  <c r="AR78" i="13"/>
  <c r="AR79" i="13"/>
  <c r="AR80" i="13"/>
  <c r="AR81" i="13"/>
  <c r="AR82" i="13"/>
  <c r="AR83" i="13"/>
  <c r="AR84" i="13"/>
  <c r="AR85" i="13"/>
  <c r="AR86" i="13"/>
  <c r="AR87" i="13"/>
  <c r="AR88" i="13"/>
  <c r="AR89" i="13"/>
  <c r="AR90" i="13"/>
  <c r="AR91" i="13"/>
  <c r="AR92" i="13"/>
  <c r="AR93" i="13"/>
  <c r="AR94" i="13"/>
  <c r="AR95" i="13"/>
  <c r="AR96" i="13"/>
  <c r="AR97" i="13"/>
  <c r="AR98" i="13"/>
  <c r="AR99" i="13"/>
  <c r="AR100" i="13"/>
  <c r="AR101" i="13"/>
  <c r="AR102" i="13"/>
  <c r="AR103" i="13"/>
  <c r="AR104" i="13"/>
  <c r="AR105" i="13"/>
  <c r="AR106" i="13"/>
  <c r="AR107" i="13"/>
  <c r="AR108" i="13"/>
  <c r="AR109" i="13"/>
  <c r="AR110" i="13"/>
  <c r="AR111" i="13"/>
  <c r="AR112" i="13"/>
  <c r="AR113" i="13"/>
  <c r="AR114" i="13"/>
  <c r="AR115" i="13"/>
  <c r="AR116" i="13"/>
  <c r="AR117" i="13"/>
  <c r="AR118" i="13"/>
  <c r="AR119" i="13"/>
  <c r="AR120" i="13"/>
  <c r="AR121" i="13"/>
  <c r="AR122" i="13"/>
  <c r="AR123" i="13"/>
  <c r="AR124" i="13"/>
  <c r="AR125" i="13"/>
  <c r="AR126" i="13"/>
  <c r="AR127" i="13"/>
  <c r="AR128" i="13"/>
  <c r="AR129" i="13"/>
  <c r="AR130" i="13"/>
  <c r="AR131" i="13"/>
  <c r="AR132" i="13"/>
  <c r="AR133" i="13"/>
  <c r="AR134" i="13"/>
  <c r="AR135" i="13"/>
  <c r="AR136" i="13"/>
  <c r="AR137" i="13"/>
  <c r="AR138" i="13"/>
  <c r="AR139" i="13"/>
  <c r="AR140" i="13"/>
  <c r="AR141" i="13"/>
  <c r="AR142" i="13"/>
  <c r="AR143" i="13"/>
  <c r="AR144" i="13"/>
  <c r="AR145" i="13"/>
  <c r="AR146" i="13"/>
  <c r="AR147" i="13"/>
  <c r="AR148" i="13"/>
  <c r="AR149" i="13"/>
  <c r="AR150" i="13"/>
  <c r="AR151" i="13"/>
  <c r="AR152" i="13"/>
  <c r="AR153" i="13"/>
  <c r="AR154" i="13"/>
  <c r="AR155" i="13"/>
  <c r="AR156" i="13"/>
  <c r="AR157" i="13"/>
  <c r="AR158" i="13"/>
  <c r="AR159" i="13"/>
  <c r="AR160" i="13"/>
  <c r="AR161" i="13"/>
  <c r="AR162" i="13"/>
  <c r="AR163" i="13"/>
  <c r="AR164" i="13"/>
  <c r="AR165" i="13"/>
  <c r="AR166" i="13"/>
  <c r="AR167" i="13"/>
  <c r="AR168" i="13"/>
  <c r="AR169" i="13"/>
  <c r="AR170" i="13"/>
  <c r="AR171" i="13"/>
  <c r="AR172" i="13"/>
  <c r="AR173" i="13"/>
  <c r="AR174" i="13"/>
  <c r="AR175" i="13"/>
  <c r="AR176" i="13"/>
  <c r="AR177" i="13"/>
  <c r="AR178" i="13"/>
  <c r="AR179" i="13"/>
  <c r="AR180" i="13"/>
  <c r="AR181" i="13"/>
  <c r="AR182" i="13"/>
  <c r="AR183" i="13"/>
  <c r="AR184" i="13"/>
  <c r="AR185" i="13"/>
  <c r="AR186" i="13"/>
  <c r="AR187" i="13"/>
  <c r="AR188" i="13"/>
  <c r="AR189" i="13"/>
  <c r="AR190" i="13"/>
  <c r="AR191" i="13"/>
  <c r="AR192" i="13"/>
  <c r="AR193" i="13"/>
  <c r="AR194" i="13"/>
  <c r="AR195" i="13"/>
  <c r="AR196" i="13"/>
  <c r="AR197" i="13"/>
  <c r="AR198" i="13"/>
  <c r="AR199" i="13"/>
  <c r="AR200" i="13"/>
  <c r="AR201" i="13"/>
  <c r="AR202" i="13"/>
  <c r="AR203" i="13"/>
  <c r="AR204" i="13"/>
  <c r="AR205" i="13"/>
  <c r="AR206" i="13"/>
  <c r="AR207" i="13"/>
  <c r="AR208" i="13"/>
  <c r="AR209" i="13"/>
  <c r="AR210" i="13"/>
  <c r="AR211" i="13"/>
  <c r="AR212" i="13"/>
  <c r="AR213" i="13"/>
  <c r="AR214" i="13"/>
  <c r="AR215" i="13"/>
  <c r="AR216" i="13"/>
  <c r="AR217" i="13"/>
  <c r="AR218" i="13"/>
  <c r="AR219" i="13"/>
  <c r="AR220" i="13"/>
  <c r="AR221" i="13"/>
  <c r="AR222" i="13"/>
  <c r="AR223" i="13"/>
  <c r="AR224" i="13"/>
  <c r="AR225" i="13"/>
  <c r="AR226" i="13"/>
  <c r="AR227" i="13"/>
  <c r="AR228" i="13"/>
  <c r="AR229" i="13"/>
  <c r="AR230" i="13"/>
  <c r="AR231" i="13"/>
  <c r="AQ4" i="13"/>
  <c r="AV4" i="13" s="1"/>
  <c r="AQ5" i="13"/>
  <c r="AV5" i="13" s="1"/>
  <c r="AQ6" i="13"/>
  <c r="AV6" i="13" s="1"/>
  <c r="AQ7" i="13"/>
  <c r="AV7" i="13" s="1"/>
  <c r="AQ8" i="13"/>
  <c r="AV8" i="13" s="1"/>
  <c r="AQ9" i="13"/>
  <c r="AV9" i="13" s="1"/>
  <c r="AQ10" i="13"/>
  <c r="AV10" i="13" s="1"/>
  <c r="AQ11" i="13"/>
  <c r="AV11" i="13" s="1"/>
  <c r="AQ12" i="13"/>
  <c r="AV12" i="13" s="1"/>
  <c r="AQ13" i="13"/>
  <c r="AV13" i="13" s="1"/>
  <c r="AQ14" i="13"/>
  <c r="AV14" i="13" s="1"/>
  <c r="AQ15" i="13"/>
  <c r="AV15" i="13" s="1"/>
  <c r="AQ16" i="13"/>
  <c r="AV16" i="13" s="1"/>
  <c r="AQ17" i="13"/>
  <c r="AV17" i="13" s="1"/>
  <c r="AQ18" i="13"/>
  <c r="AV18" i="13" s="1"/>
  <c r="AQ19" i="13"/>
  <c r="AV19" i="13" s="1"/>
  <c r="AQ20" i="13"/>
  <c r="AV20" i="13" s="1"/>
  <c r="AQ21" i="13"/>
  <c r="AV21" i="13" s="1"/>
  <c r="AQ22" i="13"/>
  <c r="AV22" i="13" s="1"/>
  <c r="AQ23" i="13"/>
  <c r="AV23" i="13" s="1"/>
  <c r="AQ24" i="13"/>
  <c r="AV24" i="13" s="1"/>
  <c r="AQ25" i="13"/>
  <c r="AV25" i="13" s="1"/>
  <c r="AQ26" i="13"/>
  <c r="AV26" i="13" s="1"/>
  <c r="AQ27" i="13"/>
  <c r="AV27" i="13" s="1"/>
  <c r="AQ28" i="13"/>
  <c r="AV28" i="13" s="1"/>
  <c r="AQ29" i="13"/>
  <c r="AV29" i="13" s="1"/>
  <c r="AQ30" i="13"/>
  <c r="AV30" i="13" s="1"/>
  <c r="AQ31" i="13"/>
  <c r="AV31" i="13" s="1"/>
  <c r="AQ32" i="13"/>
  <c r="AV32" i="13" s="1"/>
  <c r="AQ33" i="13"/>
  <c r="AV33" i="13" s="1"/>
  <c r="AQ34" i="13"/>
  <c r="AV34" i="13" s="1"/>
  <c r="AQ35" i="13"/>
  <c r="AV35" i="13" s="1"/>
  <c r="AQ36" i="13"/>
  <c r="AV36" i="13" s="1"/>
  <c r="AQ37" i="13"/>
  <c r="AV37" i="13" s="1"/>
  <c r="AQ38" i="13"/>
  <c r="AV38" i="13" s="1"/>
  <c r="AQ39" i="13"/>
  <c r="AV39" i="13" s="1"/>
  <c r="AQ40" i="13"/>
  <c r="AV40" i="13" s="1"/>
  <c r="AQ41" i="13"/>
  <c r="AV41" i="13" s="1"/>
  <c r="AQ42" i="13"/>
  <c r="AV42" i="13" s="1"/>
  <c r="AQ43" i="13"/>
  <c r="AV43" i="13" s="1"/>
  <c r="AQ44" i="13"/>
  <c r="AV44" i="13" s="1"/>
  <c r="AQ45" i="13"/>
  <c r="AV45" i="13" s="1"/>
  <c r="AQ46" i="13"/>
  <c r="AV46" i="13" s="1"/>
  <c r="AQ47" i="13"/>
  <c r="AV47" i="13" s="1"/>
  <c r="AQ48" i="13"/>
  <c r="AV48" i="13" s="1"/>
  <c r="AQ49" i="13"/>
  <c r="AV49" i="13" s="1"/>
  <c r="AQ50" i="13"/>
  <c r="AV50" i="13" s="1"/>
  <c r="AQ51" i="13"/>
  <c r="AV51" i="13" s="1"/>
  <c r="AQ52" i="13"/>
  <c r="AV52" i="13" s="1"/>
  <c r="AQ53" i="13"/>
  <c r="AV53" i="13" s="1"/>
  <c r="AQ54" i="13"/>
  <c r="AV54" i="13" s="1"/>
  <c r="AQ55" i="13"/>
  <c r="AV55" i="13" s="1"/>
  <c r="AQ56" i="13"/>
  <c r="AV56" i="13" s="1"/>
  <c r="AQ57" i="13"/>
  <c r="AV57" i="13" s="1"/>
  <c r="AQ58" i="13"/>
  <c r="AV58" i="13" s="1"/>
  <c r="AQ59" i="13"/>
  <c r="AV59" i="13" s="1"/>
  <c r="AQ60" i="13"/>
  <c r="AV60" i="13" s="1"/>
  <c r="AQ61" i="13"/>
  <c r="AV61" i="13" s="1"/>
  <c r="AQ62" i="13"/>
  <c r="AV62" i="13" s="1"/>
  <c r="AQ63" i="13"/>
  <c r="AV63" i="13" s="1"/>
  <c r="AQ64" i="13"/>
  <c r="AV64" i="13" s="1"/>
  <c r="AQ65" i="13"/>
  <c r="AV65" i="13" s="1"/>
  <c r="AQ66" i="13"/>
  <c r="AV66" i="13" s="1"/>
  <c r="AQ67" i="13"/>
  <c r="AV67" i="13" s="1"/>
  <c r="AQ68" i="13"/>
  <c r="AV68" i="13" s="1"/>
  <c r="AQ69" i="13"/>
  <c r="AV69" i="13" s="1"/>
  <c r="AQ70" i="13"/>
  <c r="AV70" i="13" s="1"/>
  <c r="AQ71" i="13"/>
  <c r="AV71" i="13" s="1"/>
  <c r="AQ72" i="13"/>
  <c r="AV72" i="13" s="1"/>
  <c r="AQ73" i="13"/>
  <c r="AV73" i="13" s="1"/>
  <c r="AQ74" i="13"/>
  <c r="AV74" i="13" s="1"/>
  <c r="AQ75" i="13"/>
  <c r="AV75" i="13" s="1"/>
  <c r="AQ76" i="13"/>
  <c r="AV76" i="13" s="1"/>
  <c r="AQ77" i="13"/>
  <c r="AV77" i="13" s="1"/>
  <c r="AQ78" i="13"/>
  <c r="AV78" i="13" s="1"/>
  <c r="AQ79" i="13"/>
  <c r="AV79" i="13" s="1"/>
  <c r="AQ80" i="13"/>
  <c r="AV80" i="13" s="1"/>
  <c r="AQ81" i="13"/>
  <c r="AV81" i="13" s="1"/>
  <c r="AQ82" i="13"/>
  <c r="AV82" i="13" s="1"/>
  <c r="AQ83" i="13"/>
  <c r="AV83" i="13" s="1"/>
  <c r="AQ84" i="13"/>
  <c r="AV84" i="13" s="1"/>
  <c r="AQ85" i="13"/>
  <c r="AV85" i="13" s="1"/>
  <c r="AQ86" i="13"/>
  <c r="AV86" i="13" s="1"/>
  <c r="AQ87" i="13"/>
  <c r="AV87" i="13" s="1"/>
  <c r="AQ88" i="13"/>
  <c r="AV88" i="13" s="1"/>
  <c r="AQ89" i="13"/>
  <c r="AV89" i="13" s="1"/>
  <c r="AQ90" i="13"/>
  <c r="AV90" i="13" s="1"/>
  <c r="AQ91" i="13"/>
  <c r="AV91" i="13" s="1"/>
  <c r="AQ92" i="13"/>
  <c r="AV92" i="13" s="1"/>
  <c r="AQ93" i="13"/>
  <c r="AV93" i="13" s="1"/>
  <c r="AQ94" i="13"/>
  <c r="AV94" i="13" s="1"/>
  <c r="AQ95" i="13"/>
  <c r="AV95" i="13" s="1"/>
  <c r="AQ96" i="13"/>
  <c r="AV96" i="13" s="1"/>
  <c r="AQ97" i="13"/>
  <c r="AV97" i="13" s="1"/>
  <c r="AQ98" i="13"/>
  <c r="AV98" i="13" s="1"/>
  <c r="AQ99" i="13"/>
  <c r="AV99" i="13" s="1"/>
  <c r="AQ100" i="13"/>
  <c r="AV100" i="13" s="1"/>
  <c r="AQ101" i="13"/>
  <c r="AV101" i="13" s="1"/>
  <c r="AQ102" i="13"/>
  <c r="AV102" i="13" s="1"/>
  <c r="AQ103" i="13"/>
  <c r="AV103" i="13" s="1"/>
  <c r="AQ104" i="13"/>
  <c r="AV104" i="13" s="1"/>
  <c r="AQ105" i="13"/>
  <c r="AV105" i="13" s="1"/>
  <c r="AQ106" i="13"/>
  <c r="AV106" i="13" s="1"/>
  <c r="AQ107" i="13"/>
  <c r="AV107" i="13" s="1"/>
  <c r="AQ108" i="13"/>
  <c r="AV108" i="13" s="1"/>
  <c r="AQ109" i="13"/>
  <c r="AV109" i="13" s="1"/>
  <c r="AQ110" i="13"/>
  <c r="AV110" i="13" s="1"/>
  <c r="AQ111" i="13"/>
  <c r="AV111" i="13" s="1"/>
  <c r="AQ112" i="13"/>
  <c r="AV112" i="13" s="1"/>
  <c r="AQ113" i="13"/>
  <c r="AV113" i="13" s="1"/>
  <c r="AQ114" i="13"/>
  <c r="AV114" i="13" s="1"/>
  <c r="AQ115" i="13"/>
  <c r="AV115" i="13" s="1"/>
  <c r="AQ116" i="13"/>
  <c r="AV116" i="13" s="1"/>
  <c r="AQ117" i="13"/>
  <c r="AV117" i="13" s="1"/>
  <c r="AQ118" i="13"/>
  <c r="AV118" i="13" s="1"/>
  <c r="AQ119" i="13"/>
  <c r="AV119" i="13" s="1"/>
  <c r="AQ120" i="13"/>
  <c r="AV120" i="13" s="1"/>
  <c r="AQ121" i="13"/>
  <c r="AV121" i="13" s="1"/>
  <c r="AQ122" i="13"/>
  <c r="AV122" i="13" s="1"/>
  <c r="AQ123" i="13"/>
  <c r="AV123" i="13" s="1"/>
  <c r="AQ124" i="13"/>
  <c r="AV124" i="13" s="1"/>
  <c r="AQ125" i="13"/>
  <c r="AV125" i="13" s="1"/>
  <c r="AQ126" i="13"/>
  <c r="AV126" i="13" s="1"/>
  <c r="AQ127" i="13"/>
  <c r="AV127" i="13" s="1"/>
  <c r="AQ128" i="13"/>
  <c r="AV128" i="13" s="1"/>
  <c r="AQ129" i="13"/>
  <c r="AV129" i="13" s="1"/>
  <c r="AQ130" i="13"/>
  <c r="AV130" i="13" s="1"/>
  <c r="AQ131" i="13"/>
  <c r="AV131" i="13" s="1"/>
  <c r="AQ132" i="13"/>
  <c r="AV132" i="13" s="1"/>
  <c r="AQ133" i="13"/>
  <c r="AV133" i="13" s="1"/>
  <c r="AQ134" i="13"/>
  <c r="AV134" i="13" s="1"/>
  <c r="AQ135" i="13"/>
  <c r="AV135" i="13" s="1"/>
  <c r="AQ136" i="13"/>
  <c r="AV136" i="13" s="1"/>
  <c r="AQ137" i="13"/>
  <c r="AV137" i="13" s="1"/>
  <c r="AQ138" i="13"/>
  <c r="AV138" i="13" s="1"/>
  <c r="AQ139" i="13"/>
  <c r="AV139" i="13" s="1"/>
  <c r="AQ140" i="13"/>
  <c r="AV140" i="13" s="1"/>
  <c r="AQ141" i="13"/>
  <c r="AV141" i="13" s="1"/>
  <c r="AQ142" i="13"/>
  <c r="AV142" i="13" s="1"/>
  <c r="AQ143" i="13"/>
  <c r="AV143" i="13" s="1"/>
  <c r="AQ144" i="13"/>
  <c r="AV144" i="13" s="1"/>
  <c r="AQ145" i="13"/>
  <c r="AV145" i="13" s="1"/>
  <c r="AQ146" i="13"/>
  <c r="AV146" i="13" s="1"/>
  <c r="AQ147" i="13"/>
  <c r="AV147" i="13" s="1"/>
  <c r="AQ148" i="13"/>
  <c r="AV148" i="13" s="1"/>
  <c r="AQ149" i="13"/>
  <c r="AV149" i="13" s="1"/>
  <c r="AQ150" i="13"/>
  <c r="AV150" i="13" s="1"/>
  <c r="AQ151" i="13"/>
  <c r="AV151" i="13" s="1"/>
  <c r="AQ152" i="13"/>
  <c r="AV152" i="13" s="1"/>
  <c r="AQ153" i="13"/>
  <c r="AV153" i="13" s="1"/>
  <c r="AQ154" i="13"/>
  <c r="AV154" i="13" s="1"/>
  <c r="AQ155" i="13"/>
  <c r="AV155" i="13" s="1"/>
  <c r="AQ156" i="13"/>
  <c r="AV156" i="13" s="1"/>
  <c r="AQ157" i="13"/>
  <c r="AV157" i="13" s="1"/>
  <c r="AQ158" i="13"/>
  <c r="AV158" i="13" s="1"/>
  <c r="AQ159" i="13"/>
  <c r="AV159" i="13" s="1"/>
  <c r="AQ160" i="13"/>
  <c r="AV160" i="13" s="1"/>
  <c r="AQ161" i="13"/>
  <c r="AV161" i="13" s="1"/>
  <c r="AQ162" i="13"/>
  <c r="AV162" i="13" s="1"/>
  <c r="AQ163" i="13"/>
  <c r="AV163" i="13" s="1"/>
  <c r="AQ164" i="13"/>
  <c r="AV164" i="13" s="1"/>
  <c r="AQ165" i="13"/>
  <c r="AV165" i="13" s="1"/>
  <c r="AQ166" i="13"/>
  <c r="AV166" i="13" s="1"/>
  <c r="AQ167" i="13"/>
  <c r="AV167" i="13" s="1"/>
  <c r="AQ168" i="13"/>
  <c r="AV168" i="13" s="1"/>
  <c r="AQ169" i="13"/>
  <c r="AV169" i="13" s="1"/>
  <c r="AQ170" i="13"/>
  <c r="AV170" i="13" s="1"/>
  <c r="AQ171" i="13"/>
  <c r="AV171" i="13" s="1"/>
  <c r="AQ172" i="13"/>
  <c r="AV172" i="13" s="1"/>
  <c r="AQ173" i="13"/>
  <c r="AV173" i="13" s="1"/>
  <c r="AQ174" i="13"/>
  <c r="AV174" i="13" s="1"/>
  <c r="AQ175" i="13"/>
  <c r="AV175" i="13" s="1"/>
  <c r="AQ176" i="13"/>
  <c r="AV176" i="13" s="1"/>
  <c r="AQ177" i="13"/>
  <c r="AV177" i="13" s="1"/>
  <c r="AQ178" i="13"/>
  <c r="AV178" i="13" s="1"/>
  <c r="AQ179" i="13"/>
  <c r="AV179" i="13" s="1"/>
  <c r="AQ180" i="13"/>
  <c r="AV180" i="13" s="1"/>
  <c r="AQ181" i="13"/>
  <c r="AV181" i="13" s="1"/>
  <c r="AQ182" i="13"/>
  <c r="AV182" i="13" s="1"/>
  <c r="AQ183" i="13"/>
  <c r="AV183" i="13" s="1"/>
  <c r="AQ184" i="13"/>
  <c r="AV184" i="13" s="1"/>
  <c r="AQ185" i="13"/>
  <c r="AV185" i="13" s="1"/>
  <c r="AQ186" i="13"/>
  <c r="AV186" i="13" s="1"/>
  <c r="AQ187" i="13"/>
  <c r="AV187" i="13" s="1"/>
  <c r="AQ188" i="13"/>
  <c r="AV188" i="13" s="1"/>
  <c r="AQ189" i="13"/>
  <c r="AV189" i="13" s="1"/>
  <c r="AQ190" i="13"/>
  <c r="AV190" i="13" s="1"/>
  <c r="AQ191" i="13"/>
  <c r="AV191" i="13" s="1"/>
  <c r="AQ192" i="13"/>
  <c r="AV192" i="13" s="1"/>
  <c r="AQ193" i="13"/>
  <c r="AV193" i="13" s="1"/>
  <c r="AQ194" i="13"/>
  <c r="AV194" i="13" s="1"/>
  <c r="AQ195" i="13"/>
  <c r="AV195" i="13" s="1"/>
  <c r="AQ196" i="13"/>
  <c r="AV196" i="13" s="1"/>
  <c r="AQ197" i="13"/>
  <c r="AV197" i="13" s="1"/>
  <c r="AQ198" i="13"/>
  <c r="AV198" i="13" s="1"/>
  <c r="AQ199" i="13"/>
  <c r="AV199" i="13" s="1"/>
  <c r="AQ200" i="13"/>
  <c r="AV200" i="13" s="1"/>
  <c r="AQ201" i="13"/>
  <c r="AV201" i="13" s="1"/>
  <c r="AQ202" i="13"/>
  <c r="AV202" i="13" s="1"/>
  <c r="AQ203" i="13"/>
  <c r="AV203" i="13" s="1"/>
  <c r="AQ204" i="13"/>
  <c r="AV204" i="13" s="1"/>
  <c r="AQ205" i="13"/>
  <c r="AV205" i="13" s="1"/>
  <c r="AQ206" i="13"/>
  <c r="AV206" i="13" s="1"/>
  <c r="AQ207" i="13"/>
  <c r="AV207" i="13" s="1"/>
  <c r="AQ208" i="13"/>
  <c r="AV208" i="13" s="1"/>
  <c r="AQ209" i="13"/>
  <c r="AV209" i="13" s="1"/>
  <c r="AQ210" i="13"/>
  <c r="AV210" i="13" s="1"/>
  <c r="AQ211" i="13"/>
  <c r="AV211" i="13" s="1"/>
  <c r="AQ212" i="13"/>
  <c r="AV212" i="13" s="1"/>
  <c r="AQ213" i="13"/>
  <c r="AV213" i="13" s="1"/>
  <c r="AQ214" i="13"/>
  <c r="AV214" i="13" s="1"/>
  <c r="AQ215" i="13"/>
  <c r="AV215" i="13" s="1"/>
  <c r="AQ216" i="13"/>
  <c r="AV216" i="13" s="1"/>
  <c r="AQ217" i="13"/>
  <c r="AV217" i="13" s="1"/>
  <c r="AQ218" i="13"/>
  <c r="AV218" i="13" s="1"/>
  <c r="AQ219" i="13"/>
  <c r="AV219" i="13" s="1"/>
  <c r="AQ220" i="13"/>
  <c r="AV220" i="13" s="1"/>
  <c r="AQ221" i="13"/>
  <c r="AV221" i="13" s="1"/>
  <c r="AQ222" i="13"/>
  <c r="AV222" i="13" s="1"/>
  <c r="AQ223" i="13"/>
  <c r="AV223" i="13" s="1"/>
  <c r="AQ224" i="13"/>
  <c r="AV224" i="13" s="1"/>
  <c r="AQ225" i="13"/>
  <c r="AV225" i="13" s="1"/>
  <c r="AQ226" i="13"/>
  <c r="AV226" i="13" s="1"/>
  <c r="AQ227" i="13"/>
  <c r="AV227" i="13" s="1"/>
  <c r="AQ228" i="13"/>
  <c r="AV228" i="13" s="1"/>
  <c r="AQ229" i="13"/>
  <c r="AV229" i="13" s="1"/>
  <c r="AQ230" i="13"/>
  <c r="AV230" i="13" s="1"/>
  <c r="AQ231" i="13"/>
  <c r="AV231" i="13" s="1"/>
  <c r="AO4" i="13"/>
  <c r="AO5" i="13"/>
  <c r="AO6" i="13"/>
  <c r="AO7" i="13"/>
  <c r="AO8" i="13"/>
  <c r="AO9" i="13"/>
  <c r="AO10" i="13"/>
  <c r="AO11" i="13"/>
  <c r="AO12" i="13"/>
  <c r="AO13" i="13"/>
  <c r="AO14" i="13"/>
  <c r="AO15" i="13"/>
  <c r="AO16" i="13"/>
  <c r="AO17" i="13"/>
  <c r="AO18" i="13"/>
  <c r="AO19" i="13"/>
  <c r="AO20" i="13"/>
  <c r="AO21" i="13"/>
  <c r="AO22" i="13"/>
  <c r="AO23" i="13"/>
  <c r="AO24" i="13"/>
  <c r="AO25" i="13"/>
  <c r="AO26" i="13"/>
  <c r="AO27" i="13"/>
  <c r="AO28" i="13"/>
  <c r="AO29" i="13"/>
  <c r="AO30" i="13"/>
  <c r="AO31" i="13"/>
  <c r="AO32" i="13"/>
  <c r="AO33" i="13"/>
  <c r="AO34" i="13"/>
  <c r="AO35" i="13"/>
  <c r="AO36" i="13"/>
  <c r="AO37" i="13"/>
  <c r="AO38" i="13"/>
  <c r="AO39" i="13"/>
  <c r="AO40" i="13"/>
  <c r="AO41" i="13"/>
  <c r="AO42" i="13"/>
  <c r="AO43" i="13"/>
  <c r="AO44" i="13"/>
  <c r="AO45" i="13"/>
  <c r="AO46" i="13"/>
  <c r="AO47" i="13"/>
  <c r="AO48" i="13"/>
  <c r="AO49" i="13"/>
  <c r="AO50" i="13"/>
  <c r="AO51" i="13"/>
  <c r="AO52" i="13"/>
  <c r="AO53" i="13"/>
  <c r="AO54" i="13"/>
  <c r="AO55" i="13"/>
  <c r="AO56" i="13"/>
  <c r="AO57" i="13"/>
  <c r="AO58" i="13"/>
  <c r="AO59" i="13"/>
  <c r="AO60" i="13"/>
  <c r="AO61" i="13"/>
  <c r="AO62" i="13"/>
  <c r="AO63" i="13"/>
  <c r="AO64" i="13"/>
  <c r="AO65" i="13"/>
  <c r="AO66" i="13"/>
  <c r="AO67" i="13"/>
  <c r="AO68" i="13"/>
  <c r="AO69" i="13"/>
  <c r="AO70" i="13"/>
  <c r="AO71" i="13"/>
  <c r="AO72" i="13"/>
  <c r="AO73" i="13"/>
  <c r="AO74" i="13"/>
  <c r="AO75" i="13"/>
  <c r="AO76" i="13"/>
  <c r="AO77" i="13"/>
  <c r="AO78" i="13"/>
  <c r="AO79" i="13"/>
  <c r="AO80" i="13"/>
  <c r="AO81" i="13"/>
  <c r="AO82" i="13"/>
  <c r="AO83" i="13"/>
  <c r="AO84" i="13"/>
  <c r="AO85" i="13"/>
  <c r="AO86" i="13"/>
  <c r="AO87" i="13"/>
  <c r="AO88" i="13"/>
  <c r="AO89" i="13"/>
  <c r="AO90" i="13"/>
  <c r="AO91" i="13"/>
  <c r="AO92" i="13"/>
  <c r="AO93" i="13"/>
  <c r="AO94" i="13"/>
  <c r="AO95" i="13"/>
  <c r="AO96" i="13"/>
  <c r="AO97" i="13"/>
  <c r="AO98" i="13"/>
  <c r="AO99" i="13"/>
  <c r="AO100" i="13"/>
  <c r="AO101" i="13"/>
  <c r="AO102" i="13"/>
  <c r="AO103" i="13"/>
  <c r="AO104" i="13"/>
  <c r="AO105" i="13"/>
  <c r="AO106" i="13"/>
  <c r="AO107" i="13"/>
  <c r="AO108" i="13"/>
  <c r="AO109" i="13"/>
  <c r="AO110" i="13"/>
  <c r="AO111" i="13"/>
  <c r="AO112" i="13"/>
  <c r="AO113" i="13"/>
  <c r="AO114" i="13"/>
  <c r="AO115" i="13"/>
  <c r="AO116" i="13"/>
  <c r="AO117" i="13"/>
  <c r="AO118" i="13"/>
  <c r="AO119" i="13"/>
  <c r="AO120" i="13"/>
  <c r="AO121" i="13"/>
  <c r="AO122" i="13"/>
  <c r="AO123" i="13"/>
  <c r="AO124" i="13"/>
  <c r="AO125" i="13"/>
  <c r="AO126" i="13"/>
  <c r="AO127" i="13"/>
  <c r="AO128" i="13"/>
  <c r="AO129" i="13"/>
  <c r="AO130" i="13"/>
  <c r="AO131" i="13"/>
  <c r="AO132" i="13"/>
  <c r="AO133" i="13"/>
  <c r="AO134" i="13"/>
  <c r="AO135" i="13"/>
  <c r="AO136" i="13"/>
  <c r="AO137" i="13"/>
  <c r="AO138" i="13"/>
  <c r="AO139" i="13"/>
  <c r="AO140" i="13"/>
  <c r="AO141" i="13"/>
  <c r="AO142" i="13"/>
  <c r="AO143" i="13"/>
  <c r="AO144" i="13"/>
  <c r="AO145" i="13"/>
  <c r="AO146" i="13"/>
  <c r="AO147" i="13"/>
  <c r="AO148" i="13"/>
  <c r="AO149" i="13"/>
  <c r="AO150" i="13"/>
  <c r="AO151" i="13"/>
  <c r="AO152" i="13"/>
  <c r="AO153" i="13"/>
  <c r="AO154" i="13"/>
  <c r="AO155" i="13"/>
  <c r="AO156" i="13"/>
  <c r="AO157" i="13"/>
  <c r="AO158" i="13"/>
  <c r="AO159" i="13"/>
  <c r="AO160" i="13"/>
  <c r="AO161" i="13"/>
  <c r="AO162" i="13"/>
  <c r="AO163" i="13"/>
  <c r="AO164" i="13"/>
  <c r="AO165" i="13"/>
  <c r="AO166" i="13"/>
  <c r="AO167" i="13"/>
  <c r="AO168" i="13"/>
  <c r="AO169" i="13"/>
  <c r="AO170" i="13"/>
  <c r="AO171" i="13"/>
  <c r="AO172" i="13"/>
  <c r="AO173" i="13"/>
  <c r="AO174" i="13"/>
  <c r="AO175" i="13"/>
  <c r="AO176" i="13"/>
  <c r="AO177" i="13"/>
  <c r="AO178" i="13"/>
  <c r="AO179" i="13"/>
  <c r="AO180" i="13"/>
  <c r="AO181" i="13"/>
  <c r="AO182" i="13"/>
  <c r="AO183" i="13"/>
  <c r="AO184" i="13"/>
  <c r="AO185" i="13"/>
  <c r="AO186" i="13"/>
  <c r="AO187" i="13"/>
  <c r="AO188" i="13"/>
  <c r="AO189" i="13"/>
  <c r="AO190" i="13"/>
  <c r="AO191" i="13"/>
  <c r="AO192" i="13"/>
  <c r="AO193" i="13"/>
  <c r="AO194" i="13"/>
  <c r="AO195" i="13"/>
  <c r="AO196" i="13"/>
  <c r="AO197" i="13"/>
  <c r="AO198" i="13"/>
  <c r="AO199" i="13"/>
  <c r="AO200" i="13"/>
  <c r="AO201" i="13"/>
  <c r="AO202" i="13"/>
  <c r="AO203" i="13"/>
  <c r="AO204" i="13"/>
  <c r="AO205" i="13"/>
  <c r="AO206" i="13"/>
  <c r="AO207" i="13"/>
  <c r="AO208" i="13"/>
  <c r="AO209" i="13"/>
  <c r="AO210" i="13"/>
  <c r="AO211" i="13"/>
  <c r="AO212" i="13"/>
  <c r="AO213" i="13"/>
  <c r="AO214" i="13"/>
  <c r="AO215" i="13"/>
  <c r="AO216" i="13"/>
  <c r="AO217" i="13"/>
  <c r="AO218" i="13"/>
  <c r="AO219" i="13"/>
  <c r="AO220" i="13"/>
  <c r="AO221" i="13"/>
  <c r="AO222" i="13"/>
  <c r="AO223" i="13"/>
  <c r="AO224" i="13"/>
  <c r="AO225" i="13"/>
  <c r="AO226" i="13"/>
  <c r="AO227" i="13"/>
  <c r="AO228" i="13"/>
  <c r="AO229" i="13"/>
  <c r="AO230" i="13"/>
  <c r="AO231" i="13"/>
  <c r="AN4" i="13"/>
  <c r="AN5" i="13"/>
  <c r="AN6" i="13"/>
  <c r="AN7" i="13"/>
  <c r="AN8" i="13"/>
  <c r="AN9" i="13"/>
  <c r="AN10" i="13"/>
  <c r="AN11" i="13"/>
  <c r="AN12" i="13"/>
  <c r="AN13" i="13"/>
  <c r="AN14" i="13"/>
  <c r="AN15" i="13"/>
  <c r="AN16" i="13"/>
  <c r="AN17" i="13"/>
  <c r="AN18" i="13"/>
  <c r="AN19" i="13"/>
  <c r="AN20" i="13"/>
  <c r="AN21" i="13"/>
  <c r="AN22" i="13"/>
  <c r="AN23" i="13"/>
  <c r="AN24" i="13"/>
  <c r="AN25" i="13"/>
  <c r="AN26" i="13"/>
  <c r="AN27" i="13"/>
  <c r="AN28" i="13"/>
  <c r="AN29" i="13"/>
  <c r="AN30" i="13"/>
  <c r="AN31" i="13"/>
  <c r="AN32" i="13"/>
  <c r="AN33" i="13"/>
  <c r="AN34" i="13"/>
  <c r="AN35" i="13"/>
  <c r="AN36" i="13"/>
  <c r="AN37" i="13"/>
  <c r="AN38" i="13"/>
  <c r="AN39" i="13"/>
  <c r="AN40" i="13"/>
  <c r="AN41" i="13"/>
  <c r="AN42" i="13"/>
  <c r="AN43" i="13"/>
  <c r="AN44" i="13"/>
  <c r="AN45" i="13"/>
  <c r="AN46" i="13"/>
  <c r="AN47" i="13"/>
  <c r="AN48" i="13"/>
  <c r="AN49" i="13"/>
  <c r="AN50" i="13"/>
  <c r="AN51" i="13"/>
  <c r="AN52" i="13"/>
  <c r="AN53" i="13"/>
  <c r="AN54" i="13"/>
  <c r="AN55" i="13"/>
  <c r="AN56" i="13"/>
  <c r="AN57" i="13"/>
  <c r="AN58" i="13"/>
  <c r="AN59" i="13"/>
  <c r="AN60" i="13"/>
  <c r="AN61" i="13"/>
  <c r="AN62" i="13"/>
  <c r="AN63" i="13"/>
  <c r="AN64" i="13"/>
  <c r="AN65" i="13"/>
  <c r="AN66" i="13"/>
  <c r="AN67" i="13"/>
  <c r="AN68" i="13"/>
  <c r="AN69" i="13"/>
  <c r="AN70" i="13"/>
  <c r="AN71" i="13"/>
  <c r="AN72" i="13"/>
  <c r="AN73" i="13"/>
  <c r="AN74" i="13"/>
  <c r="AN75" i="13"/>
  <c r="AN76" i="13"/>
  <c r="AN77" i="13"/>
  <c r="AN78" i="13"/>
  <c r="AN79" i="13"/>
  <c r="AN80" i="13"/>
  <c r="AN81" i="13"/>
  <c r="AN82" i="13"/>
  <c r="AN83" i="13"/>
  <c r="AN84" i="13"/>
  <c r="AN85" i="13"/>
  <c r="AN86" i="13"/>
  <c r="AN87" i="13"/>
  <c r="AN88" i="13"/>
  <c r="AN89" i="13"/>
  <c r="AN90" i="13"/>
  <c r="AN91" i="13"/>
  <c r="AN92" i="13"/>
  <c r="AN93" i="13"/>
  <c r="AN94" i="13"/>
  <c r="AN95" i="13"/>
  <c r="AN96" i="13"/>
  <c r="AN97" i="13"/>
  <c r="AN98" i="13"/>
  <c r="AN99" i="13"/>
  <c r="AN100" i="13"/>
  <c r="AN101" i="13"/>
  <c r="AN102" i="13"/>
  <c r="AN103" i="13"/>
  <c r="AN104" i="13"/>
  <c r="AN105" i="13"/>
  <c r="AN106" i="13"/>
  <c r="AN107" i="13"/>
  <c r="AN108" i="13"/>
  <c r="AN109" i="13"/>
  <c r="AN110" i="13"/>
  <c r="AN111" i="13"/>
  <c r="AN112" i="13"/>
  <c r="AN113" i="13"/>
  <c r="AN114" i="13"/>
  <c r="AN115" i="13"/>
  <c r="AN116" i="13"/>
  <c r="AN117" i="13"/>
  <c r="AN118" i="13"/>
  <c r="AN119" i="13"/>
  <c r="AN120" i="13"/>
  <c r="AN121" i="13"/>
  <c r="AN122" i="13"/>
  <c r="AN123" i="13"/>
  <c r="AN124" i="13"/>
  <c r="AN125" i="13"/>
  <c r="AN126" i="13"/>
  <c r="AN127" i="13"/>
  <c r="AN128" i="13"/>
  <c r="AN129" i="13"/>
  <c r="AN130" i="13"/>
  <c r="AN131" i="13"/>
  <c r="AN132" i="13"/>
  <c r="AN133" i="13"/>
  <c r="AN134" i="13"/>
  <c r="AN135" i="13"/>
  <c r="AN136" i="13"/>
  <c r="AN137" i="13"/>
  <c r="AN138" i="13"/>
  <c r="AN139" i="13"/>
  <c r="AN140" i="13"/>
  <c r="AN141" i="13"/>
  <c r="AN142" i="13"/>
  <c r="AN143" i="13"/>
  <c r="AN144" i="13"/>
  <c r="AN145" i="13"/>
  <c r="AN146" i="13"/>
  <c r="AN147" i="13"/>
  <c r="AN148" i="13"/>
  <c r="AN149" i="13"/>
  <c r="AN150" i="13"/>
  <c r="AN151" i="13"/>
  <c r="AN152" i="13"/>
  <c r="AN153" i="13"/>
  <c r="AN154" i="13"/>
  <c r="AN155" i="13"/>
  <c r="AN156" i="13"/>
  <c r="AN157" i="13"/>
  <c r="AN158" i="13"/>
  <c r="AN159" i="13"/>
  <c r="AN160" i="13"/>
  <c r="AN161" i="13"/>
  <c r="AN162" i="13"/>
  <c r="AN163" i="13"/>
  <c r="AN164" i="13"/>
  <c r="AN165" i="13"/>
  <c r="AN166" i="13"/>
  <c r="AN167" i="13"/>
  <c r="AN168" i="13"/>
  <c r="AN169" i="13"/>
  <c r="AN170" i="13"/>
  <c r="AN171" i="13"/>
  <c r="AN172" i="13"/>
  <c r="AN173" i="13"/>
  <c r="AN174" i="13"/>
  <c r="AN175" i="13"/>
  <c r="AN176" i="13"/>
  <c r="AN177" i="13"/>
  <c r="AN178" i="13"/>
  <c r="AN179" i="13"/>
  <c r="AN180" i="13"/>
  <c r="AN181" i="13"/>
  <c r="AN182" i="13"/>
  <c r="AN183" i="13"/>
  <c r="AN184" i="13"/>
  <c r="AN185" i="13"/>
  <c r="AN186" i="13"/>
  <c r="AN187" i="13"/>
  <c r="AN188" i="13"/>
  <c r="AN189" i="13"/>
  <c r="AN190" i="13"/>
  <c r="AN191" i="13"/>
  <c r="AN192" i="13"/>
  <c r="AN193" i="13"/>
  <c r="AN194" i="13"/>
  <c r="AN195" i="13"/>
  <c r="AN196" i="13"/>
  <c r="AN197" i="13"/>
  <c r="AN198" i="13"/>
  <c r="AN199" i="13"/>
  <c r="AN200" i="13"/>
  <c r="AN201" i="13"/>
  <c r="AN202" i="13"/>
  <c r="AN203" i="13"/>
  <c r="AN204" i="13"/>
  <c r="AN205" i="13"/>
  <c r="AN206" i="13"/>
  <c r="AN207" i="13"/>
  <c r="AN208" i="13"/>
  <c r="AN209" i="13"/>
  <c r="AN210" i="13"/>
  <c r="AN211" i="13"/>
  <c r="AN212" i="13"/>
  <c r="AN213" i="13"/>
  <c r="AN214" i="13"/>
  <c r="AN215" i="13"/>
  <c r="AN216" i="13"/>
  <c r="AN217" i="13"/>
  <c r="AN218" i="13"/>
  <c r="AN219" i="13"/>
  <c r="AN220" i="13"/>
  <c r="AN221" i="13"/>
  <c r="AN222" i="13"/>
  <c r="AN223" i="13"/>
  <c r="AN224" i="13"/>
  <c r="AN225" i="13"/>
  <c r="AN226" i="13"/>
  <c r="AN227" i="13"/>
  <c r="AN228" i="13"/>
  <c r="AN229" i="13"/>
  <c r="AN230" i="13"/>
  <c r="AN231" i="13"/>
  <c r="AM4" i="13"/>
  <c r="AM5" i="13"/>
  <c r="AM6" i="13"/>
  <c r="AM7" i="13"/>
  <c r="AM8" i="13"/>
  <c r="AM9" i="13"/>
  <c r="AM10" i="13"/>
  <c r="AM11" i="13"/>
  <c r="AM12" i="13"/>
  <c r="AM13" i="13"/>
  <c r="AM14" i="13"/>
  <c r="AM15" i="13"/>
  <c r="AM16" i="13"/>
  <c r="AM17" i="13"/>
  <c r="AM18" i="13"/>
  <c r="AM19" i="13"/>
  <c r="AM20" i="13"/>
  <c r="AM21" i="13"/>
  <c r="AM22" i="13"/>
  <c r="AM23" i="13"/>
  <c r="AM24" i="13"/>
  <c r="AM25" i="13"/>
  <c r="AM26" i="13"/>
  <c r="AM27" i="13"/>
  <c r="AM28" i="13"/>
  <c r="AM29" i="13"/>
  <c r="AM30" i="13"/>
  <c r="AM31" i="13"/>
  <c r="AM32" i="13"/>
  <c r="AM33" i="13"/>
  <c r="AM34" i="13"/>
  <c r="AM35" i="13"/>
  <c r="AM36" i="13"/>
  <c r="AM37" i="13"/>
  <c r="AM38" i="13"/>
  <c r="AM39" i="13"/>
  <c r="AM40" i="13"/>
  <c r="AM41" i="13"/>
  <c r="AM42" i="13"/>
  <c r="AM43" i="13"/>
  <c r="AM44" i="13"/>
  <c r="AM45" i="13"/>
  <c r="AM46" i="13"/>
  <c r="AM47" i="13"/>
  <c r="AM48" i="13"/>
  <c r="AM49" i="13"/>
  <c r="AM50" i="13"/>
  <c r="AM51" i="13"/>
  <c r="AM52" i="13"/>
  <c r="AM53" i="13"/>
  <c r="AM54" i="13"/>
  <c r="AM55" i="13"/>
  <c r="AM56" i="13"/>
  <c r="AM57" i="13"/>
  <c r="AM58" i="13"/>
  <c r="AM59" i="13"/>
  <c r="AM60" i="13"/>
  <c r="AM61" i="13"/>
  <c r="AM62" i="13"/>
  <c r="AM63" i="13"/>
  <c r="AM64" i="13"/>
  <c r="AM65" i="13"/>
  <c r="AM66" i="13"/>
  <c r="AM67" i="13"/>
  <c r="AM68" i="13"/>
  <c r="AM69" i="13"/>
  <c r="AM70" i="13"/>
  <c r="AM71" i="13"/>
  <c r="AM72" i="13"/>
  <c r="AM73" i="13"/>
  <c r="AM74" i="13"/>
  <c r="AM75" i="13"/>
  <c r="AM76" i="13"/>
  <c r="AM77" i="13"/>
  <c r="AM78" i="13"/>
  <c r="AM79" i="13"/>
  <c r="AM80" i="13"/>
  <c r="AM81" i="13"/>
  <c r="AM82" i="13"/>
  <c r="AM83" i="13"/>
  <c r="AM84" i="13"/>
  <c r="AM85" i="13"/>
  <c r="AM86" i="13"/>
  <c r="AM87" i="13"/>
  <c r="AM88" i="13"/>
  <c r="AM89" i="13"/>
  <c r="AM90" i="13"/>
  <c r="AM91" i="13"/>
  <c r="AM92" i="13"/>
  <c r="AM93" i="13"/>
  <c r="AM94" i="13"/>
  <c r="AM95" i="13"/>
  <c r="AM96" i="13"/>
  <c r="AM97" i="13"/>
  <c r="AM98" i="13"/>
  <c r="AM99" i="13"/>
  <c r="AM100" i="13"/>
  <c r="AM101" i="13"/>
  <c r="AM102" i="13"/>
  <c r="AM103" i="13"/>
  <c r="AM104" i="13"/>
  <c r="AM105" i="13"/>
  <c r="AM106" i="13"/>
  <c r="AM107" i="13"/>
  <c r="AM108" i="13"/>
  <c r="AM109" i="13"/>
  <c r="AM110" i="13"/>
  <c r="AM111" i="13"/>
  <c r="AM112" i="13"/>
  <c r="AM113" i="13"/>
  <c r="AM114" i="13"/>
  <c r="AM115" i="13"/>
  <c r="AM116" i="13"/>
  <c r="AM117" i="13"/>
  <c r="AM118" i="13"/>
  <c r="AM119" i="13"/>
  <c r="AM120" i="13"/>
  <c r="AM121" i="13"/>
  <c r="AM122" i="13"/>
  <c r="AM123" i="13"/>
  <c r="AM124" i="13"/>
  <c r="AM125" i="13"/>
  <c r="AM126" i="13"/>
  <c r="AM127" i="13"/>
  <c r="AM128" i="13"/>
  <c r="AM129" i="13"/>
  <c r="AM130" i="13"/>
  <c r="AM131" i="13"/>
  <c r="AM132" i="13"/>
  <c r="AM133" i="13"/>
  <c r="AM134" i="13"/>
  <c r="AM135" i="13"/>
  <c r="AM136" i="13"/>
  <c r="AM137" i="13"/>
  <c r="AM138" i="13"/>
  <c r="AM139" i="13"/>
  <c r="AM140" i="13"/>
  <c r="AM141" i="13"/>
  <c r="AM142" i="13"/>
  <c r="AM143" i="13"/>
  <c r="AM144" i="13"/>
  <c r="AM145" i="13"/>
  <c r="AM146" i="13"/>
  <c r="AM147" i="13"/>
  <c r="AM148" i="13"/>
  <c r="AM149" i="13"/>
  <c r="AM150" i="13"/>
  <c r="AM151" i="13"/>
  <c r="AM152" i="13"/>
  <c r="AM153" i="13"/>
  <c r="AM154" i="13"/>
  <c r="AM155" i="13"/>
  <c r="AM156" i="13"/>
  <c r="AM157" i="13"/>
  <c r="AM158" i="13"/>
  <c r="AM159" i="13"/>
  <c r="AM160" i="13"/>
  <c r="AM161" i="13"/>
  <c r="AM162" i="13"/>
  <c r="AM163" i="13"/>
  <c r="AM164" i="13"/>
  <c r="AM165" i="13"/>
  <c r="AM166" i="13"/>
  <c r="AM167" i="13"/>
  <c r="AM168" i="13"/>
  <c r="AM169" i="13"/>
  <c r="AM170" i="13"/>
  <c r="AM171" i="13"/>
  <c r="AM172" i="13"/>
  <c r="AM173" i="13"/>
  <c r="AM174" i="13"/>
  <c r="AM175" i="13"/>
  <c r="AM176" i="13"/>
  <c r="AM177" i="13"/>
  <c r="AM178" i="13"/>
  <c r="AM179" i="13"/>
  <c r="AM180" i="13"/>
  <c r="AM181" i="13"/>
  <c r="AM182" i="13"/>
  <c r="AM183" i="13"/>
  <c r="AM184" i="13"/>
  <c r="AM185" i="13"/>
  <c r="AM186" i="13"/>
  <c r="AM187" i="13"/>
  <c r="AM188" i="13"/>
  <c r="AM189" i="13"/>
  <c r="AM190" i="13"/>
  <c r="AM191" i="13"/>
  <c r="AM192" i="13"/>
  <c r="AM193" i="13"/>
  <c r="AM194" i="13"/>
  <c r="AM195" i="13"/>
  <c r="AM196" i="13"/>
  <c r="AM197" i="13"/>
  <c r="AM198" i="13"/>
  <c r="AM199" i="13"/>
  <c r="AM200" i="13"/>
  <c r="AM201" i="13"/>
  <c r="AM202" i="13"/>
  <c r="AM203" i="13"/>
  <c r="AM204" i="13"/>
  <c r="AM205" i="13"/>
  <c r="AM206" i="13"/>
  <c r="AM207" i="13"/>
  <c r="AM208" i="13"/>
  <c r="AM209" i="13"/>
  <c r="AM210" i="13"/>
  <c r="AM211" i="13"/>
  <c r="AM212" i="13"/>
  <c r="AM213" i="13"/>
  <c r="AM214" i="13"/>
  <c r="AM215" i="13"/>
  <c r="AM216" i="13"/>
  <c r="AM217" i="13"/>
  <c r="AM218" i="13"/>
  <c r="AM219" i="13"/>
  <c r="AM220" i="13"/>
  <c r="AM221" i="13"/>
  <c r="AM222" i="13"/>
  <c r="AM223" i="13"/>
  <c r="AM224" i="13"/>
  <c r="AM225" i="13"/>
  <c r="AM226" i="13"/>
  <c r="AM227" i="13"/>
  <c r="AM228" i="13"/>
  <c r="AM229" i="13"/>
  <c r="AM230" i="13"/>
  <c r="AM231" i="13"/>
  <c r="AL4" i="13"/>
  <c r="AL5" i="13"/>
  <c r="AL6" i="13"/>
  <c r="AL7" i="13"/>
  <c r="AL8" i="13"/>
  <c r="AL9" i="13"/>
  <c r="AL10" i="13"/>
  <c r="AL11" i="13"/>
  <c r="AL12" i="13"/>
  <c r="AL13" i="13"/>
  <c r="AL14" i="13"/>
  <c r="AL15" i="13"/>
  <c r="AL16" i="13"/>
  <c r="AL17" i="13"/>
  <c r="AL18" i="13"/>
  <c r="AL19" i="13"/>
  <c r="AL20" i="13"/>
  <c r="AL21" i="13"/>
  <c r="AL22" i="13"/>
  <c r="AL23" i="13"/>
  <c r="AL24" i="13"/>
  <c r="AL25" i="13"/>
  <c r="AL26" i="13"/>
  <c r="AL27" i="13"/>
  <c r="AL28" i="13"/>
  <c r="AL29" i="13"/>
  <c r="AL30" i="13"/>
  <c r="AL31" i="13"/>
  <c r="AL32" i="13"/>
  <c r="AL33" i="13"/>
  <c r="AL34" i="13"/>
  <c r="AL35" i="13"/>
  <c r="AL36" i="13"/>
  <c r="AL37" i="13"/>
  <c r="AL38" i="13"/>
  <c r="AL39" i="13"/>
  <c r="AL40" i="13"/>
  <c r="AL41" i="13"/>
  <c r="AL42" i="13"/>
  <c r="AL43" i="13"/>
  <c r="AL44" i="13"/>
  <c r="AL45" i="13"/>
  <c r="AL46" i="13"/>
  <c r="AL47" i="13"/>
  <c r="AL48" i="13"/>
  <c r="AL49" i="13"/>
  <c r="AL50" i="13"/>
  <c r="AL51" i="13"/>
  <c r="AL52" i="13"/>
  <c r="AL53" i="13"/>
  <c r="AL54" i="13"/>
  <c r="AL55" i="13"/>
  <c r="AL56" i="13"/>
  <c r="AL57" i="13"/>
  <c r="AL58" i="13"/>
  <c r="AL59" i="13"/>
  <c r="AL60" i="13"/>
  <c r="AL61" i="13"/>
  <c r="AL62" i="13"/>
  <c r="AL63" i="13"/>
  <c r="AL64" i="13"/>
  <c r="AL65" i="13"/>
  <c r="AL66" i="13"/>
  <c r="AL67" i="13"/>
  <c r="AL68" i="13"/>
  <c r="AL69" i="13"/>
  <c r="AL70" i="13"/>
  <c r="AL71" i="13"/>
  <c r="AL72" i="13"/>
  <c r="AL73" i="13"/>
  <c r="AL74" i="13"/>
  <c r="AL75" i="13"/>
  <c r="AL76" i="13"/>
  <c r="AL77" i="13"/>
  <c r="AL78" i="13"/>
  <c r="AL79" i="13"/>
  <c r="AL80" i="13"/>
  <c r="AL81" i="13"/>
  <c r="AL82" i="13"/>
  <c r="AL83" i="13"/>
  <c r="AL84" i="13"/>
  <c r="AL85" i="13"/>
  <c r="AL86" i="13"/>
  <c r="AL87" i="13"/>
  <c r="AL88" i="13"/>
  <c r="AL89" i="13"/>
  <c r="AL90" i="13"/>
  <c r="AL91" i="13"/>
  <c r="AL92" i="13"/>
  <c r="AL93" i="13"/>
  <c r="AL94" i="13"/>
  <c r="AL95" i="13"/>
  <c r="AL96" i="13"/>
  <c r="AL97" i="13"/>
  <c r="AL98" i="13"/>
  <c r="AL99" i="13"/>
  <c r="AL100" i="13"/>
  <c r="AL101" i="13"/>
  <c r="AL102" i="13"/>
  <c r="AL103" i="13"/>
  <c r="AL104" i="13"/>
  <c r="AL105" i="13"/>
  <c r="AL106" i="13"/>
  <c r="AL107" i="13"/>
  <c r="AL108" i="13"/>
  <c r="AL109" i="13"/>
  <c r="AL110" i="13"/>
  <c r="AL111" i="13"/>
  <c r="AL112" i="13"/>
  <c r="AL113" i="13"/>
  <c r="AL114" i="13"/>
  <c r="AL115" i="13"/>
  <c r="AL116" i="13"/>
  <c r="AL117" i="13"/>
  <c r="AL118" i="13"/>
  <c r="AL119" i="13"/>
  <c r="AL120" i="13"/>
  <c r="AL121" i="13"/>
  <c r="AL122" i="13"/>
  <c r="AL123" i="13"/>
  <c r="AL124" i="13"/>
  <c r="AL125" i="13"/>
  <c r="AL126" i="13"/>
  <c r="AL127" i="13"/>
  <c r="AL128" i="13"/>
  <c r="AL129" i="13"/>
  <c r="AL130" i="13"/>
  <c r="AL131" i="13"/>
  <c r="AL132" i="13"/>
  <c r="AL133" i="13"/>
  <c r="AL134" i="13"/>
  <c r="AL135" i="13"/>
  <c r="AL136" i="13"/>
  <c r="AL137" i="13"/>
  <c r="AL138" i="13"/>
  <c r="AL139" i="13"/>
  <c r="AL140" i="13"/>
  <c r="AL141" i="13"/>
  <c r="AL142" i="13"/>
  <c r="AL143" i="13"/>
  <c r="AL144" i="13"/>
  <c r="AL145" i="13"/>
  <c r="AL146" i="13"/>
  <c r="AL147" i="13"/>
  <c r="AL148" i="13"/>
  <c r="AL149" i="13"/>
  <c r="AL150" i="13"/>
  <c r="AL151" i="13"/>
  <c r="AL152" i="13"/>
  <c r="AL153" i="13"/>
  <c r="AL154" i="13"/>
  <c r="AL155" i="13"/>
  <c r="AL156" i="13"/>
  <c r="AL157" i="13"/>
  <c r="AL158" i="13"/>
  <c r="AL159" i="13"/>
  <c r="AL160" i="13"/>
  <c r="AL161" i="13"/>
  <c r="AL162" i="13"/>
  <c r="AL163" i="13"/>
  <c r="AL164" i="13"/>
  <c r="AL165" i="13"/>
  <c r="AL166" i="13"/>
  <c r="AL167" i="13"/>
  <c r="AL168" i="13"/>
  <c r="AL169" i="13"/>
  <c r="AL170" i="13"/>
  <c r="AL171" i="13"/>
  <c r="AL172" i="13"/>
  <c r="AL173" i="13"/>
  <c r="AL174" i="13"/>
  <c r="AL175" i="13"/>
  <c r="AL176" i="13"/>
  <c r="AL177" i="13"/>
  <c r="AL178" i="13"/>
  <c r="AL179" i="13"/>
  <c r="AL180" i="13"/>
  <c r="AL181" i="13"/>
  <c r="AL182" i="13"/>
  <c r="AL183" i="13"/>
  <c r="AL184" i="13"/>
  <c r="AL185" i="13"/>
  <c r="AL186" i="13"/>
  <c r="AL187" i="13"/>
  <c r="AL188" i="13"/>
  <c r="AL189" i="13"/>
  <c r="AL190" i="13"/>
  <c r="AL191" i="13"/>
  <c r="AL192" i="13"/>
  <c r="AL193" i="13"/>
  <c r="AL194" i="13"/>
  <c r="AL195" i="13"/>
  <c r="AL196" i="13"/>
  <c r="AL197" i="13"/>
  <c r="AL198" i="13"/>
  <c r="AL199" i="13"/>
  <c r="AL200" i="13"/>
  <c r="AL201" i="13"/>
  <c r="AL202" i="13"/>
  <c r="AL203" i="13"/>
  <c r="AL204" i="13"/>
  <c r="AL205" i="13"/>
  <c r="AL206" i="13"/>
  <c r="AL207" i="13"/>
  <c r="AL208" i="13"/>
  <c r="AL209" i="13"/>
  <c r="AL210" i="13"/>
  <c r="AL211" i="13"/>
  <c r="AL212" i="13"/>
  <c r="AL213" i="13"/>
  <c r="AL214" i="13"/>
  <c r="AL215" i="13"/>
  <c r="AL216" i="13"/>
  <c r="AL217" i="13"/>
  <c r="AL218" i="13"/>
  <c r="AL219" i="13"/>
  <c r="AL220" i="13"/>
  <c r="AL221" i="13"/>
  <c r="AL222" i="13"/>
  <c r="AL223" i="13"/>
  <c r="AL224" i="13"/>
  <c r="AL225" i="13"/>
  <c r="AL226" i="13"/>
  <c r="AL227" i="13"/>
  <c r="AL228" i="13"/>
  <c r="AL229" i="13"/>
  <c r="AL230" i="13"/>
  <c r="AL231" i="13"/>
  <c r="AK4" i="13"/>
  <c r="AK5" i="13"/>
  <c r="AK6" i="13"/>
  <c r="AK7" i="13"/>
  <c r="AP7" i="13" s="1"/>
  <c r="AK8" i="13"/>
  <c r="AK9" i="13"/>
  <c r="AK10" i="13"/>
  <c r="AK11" i="13"/>
  <c r="AK12" i="13"/>
  <c r="AK13" i="13"/>
  <c r="AK14" i="13"/>
  <c r="AK15" i="13"/>
  <c r="AP15" i="13" s="1"/>
  <c r="AK16" i="13"/>
  <c r="AK17" i="13"/>
  <c r="AK18" i="13"/>
  <c r="AK19" i="13"/>
  <c r="AK20" i="13"/>
  <c r="AK21" i="13"/>
  <c r="AK22" i="13"/>
  <c r="AK23" i="13"/>
  <c r="AP23" i="13" s="1"/>
  <c r="AK24" i="13"/>
  <c r="AK25" i="13"/>
  <c r="AK26" i="13"/>
  <c r="AK27" i="13"/>
  <c r="AK28" i="13"/>
  <c r="AK29" i="13"/>
  <c r="AK30" i="13"/>
  <c r="AK31" i="13"/>
  <c r="AP31" i="13" s="1"/>
  <c r="AK32" i="13"/>
  <c r="AK33" i="13"/>
  <c r="AK34" i="13"/>
  <c r="AK35" i="13"/>
  <c r="AK36" i="13"/>
  <c r="AK37" i="13"/>
  <c r="AK38" i="13"/>
  <c r="AK39" i="13"/>
  <c r="AP39" i="13" s="1"/>
  <c r="AK40" i="13"/>
  <c r="AK41" i="13"/>
  <c r="AK42" i="13"/>
  <c r="AK43" i="13"/>
  <c r="AK44" i="13"/>
  <c r="AK45" i="13"/>
  <c r="AK46" i="13"/>
  <c r="AK47" i="13"/>
  <c r="AP47" i="13" s="1"/>
  <c r="AK48" i="13"/>
  <c r="AK49" i="13"/>
  <c r="AK50" i="13"/>
  <c r="AK51" i="13"/>
  <c r="AK52" i="13"/>
  <c r="AK53" i="13"/>
  <c r="AK54" i="13"/>
  <c r="AK55" i="13"/>
  <c r="AP55" i="13" s="1"/>
  <c r="AK56" i="13"/>
  <c r="AK57" i="13"/>
  <c r="AK58" i="13"/>
  <c r="AK59" i="13"/>
  <c r="AK60" i="13"/>
  <c r="AK61" i="13"/>
  <c r="AK62" i="13"/>
  <c r="AK63" i="13"/>
  <c r="AP63" i="13" s="1"/>
  <c r="AK64" i="13"/>
  <c r="AK65" i="13"/>
  <c r="AK66" i="13"/>
  <c r="AK67" i="13"/>
  <c r="AK68" i="13"/>
  <c r="AK69" i="13"/>
  <c r="AK70" i="13"/>
  <c r="AK71" i="13"/>
  <c r="AP71" i="13" s="1"/>
  <c r="AK72" i="13"/>
  <c r="AK73" i="13"/>
  <c r="AK74" i="13"/>
  <c r="AK75" i="13"/>
  <c r="AK76" i="13"/>
  <c r="AK77" i="13"/>
  <c r="AK78" i="13"/>
  <c r="AK79" i="13"/>
  <c r="AP79" i="13" s="1"/>
  <c r="AK80" i="13"/>
  <c r="AK81" i="13"/>
  <c r="AK82" i="13"/>
  <c r="AK83" i="13"/>
  <c r="AK84" i="13"/>
  <c r="AK85" i="13"/>
  <c r="AK86" i="13"/>
  <c r="AK87" i="13"/>
  <c r="AP87" i="13" s="1"/>
  <c r="AK88" i="13"/>
  <c r="AK89" i="13"/>
  <c r="AK90" i="13"/>
  <c r="AK91" i="13"/>
  <c r="AK92" i="13"/>
  <c r="AK93" i="13"/>
  <c r="AK94" i="13"/>
  <c r="AK95" i="13"/>
  <c r="AP95" i="13" s="1"/>
  <c r="AK96" i="13"/>
  <c r="AK97" i="13"/>
  <c r="AK98" i="13"/>
  <c r="AK99" i="13"/>
  <c r="AK100" i="13"/>
  <c r="AK101" i="13"/>
  <c r="AK102" i="13"/>
  <c r="AK103" i="13"/>
  <c r="AP103" i="13" s="1"/>
  <c r="AK104" i="13"/>
  <c r="AK105" i="13"/>
  <c r="AK106" i="13"/>
  <c r="AK107" i="13"/>
  <c r="AK108" i="13"/>
  <c r="AK109" i="13"/>
  <c r="AK110" i="13"/>
  <c r="AK111" i="13"/>
  <c r="AP111" i="13" s="1"/>
  <c r="AK112" i="13"/>
  <c r="AK113" i="13"/>
  <c r="AK114" i="13"/>
  <c r="AK115" i="13"/>
  <c r="AK116" i="13"/>
  <c r="AK117" i="13"/>
  <c r="AK118" i="13"/>
  <c r="AK119" i="13"/>
  <c r="AP119" i="13" s="1"/>
  <c r="AK120" i="13"/>
  <c r="AK121" i="13"/>
  <c r="AK122" i="13"/>
  <c r="AK123" i="13"/>
  <c r="AK124" i="13"/>
  <c r="AK125" i="13"/>
  <c r="AK126" i="13"/>
  <c r="AK127" i="13"/>
  <c r="AP127" i="13" s="1"/>
  <c r="AK128" i="13"/>
  <c r="AK129" i="13"/>
  <c r="AK130" i="13"/>
  <c r="AK131" i="13"/>
  <c r="AK132" i="13"/>
  <c r="AK133" i="13"/>
  <c r="AK134" i="13"/>
  <c r="AK135" i="13"/>
  <c r="AP135" i="13" s="1"/>
  <c r="AK136" i="13"/>
  <c r="AK137" i="13"/>
  <c r="AK138" i="13"/>
  <c r="AK139" i="13"/>
  <c r="AK140" i="13"/>
  <c r="AK141" i="13"/>
  <c r="AK142" i="13"/>
  <c r="AK143" i="13"/>
  <c r="AP143" i="13" s="1"/>
  <c r="AK144" i="13"/>
  <c r="AK145" i="13"/>
  <c r="AK146" i="13"/>
  <c r="AK147" i="13"/>
  <c r="AK148" i="13"/>
  <c r="AK149" i="13"/>
  <c r="AK150" i="13"/>
  <c r="AK151" i="13"/>
  <c r="AP151" i="13" s="1"/>
  <c r="AK152" i="13"/>
  <c r="AK153" i="13"/>
  <c r="AK154" i="13"/>
  <c r="AK155" i="13"/>
  <c r="AK156" i="13"/>
  <c r="AK157" i="13"/>
  <c r="AK158" i="13"/>
  <c r="AK159" i="13"/>
  <c r="AP159" i="13" s="1"/>
  <c r="AK160" i="13"/>
  <c r="AK161" i="13"/>
  <c r="AK162" i="13"/>
  <c r="AK163" i="13"/>
  <c r="AK164" i="13"/>
  <c r="AK165" i="13"/>
  <c r="AK166" i="13"/>
  <c r="AK167" i="13"/>
  <c r="AP167" i="13" s="1"/>
  <c r="AK168" i="13"/>
  <c r="AK169" i="13"/>
  <c r="AK170" i="13"/>
  <c r="AK171" i="13"/>
  <c r="AK172" i="13"/>
  <c r="AK173" i="13"/>
  <c r="AK174" i="13"/>
  <c r="AK175" i="13"/>
  <c r="AP175" i="13" s="1"/>
  <c r="AK176" i="13"/>
  <c r="AK177" i="13"/>
  <c r="AK178" i="13"/>
  <c r="AK179" i="13"/>
  <c r="AK180" i="13"/>
  <c r="AK181" i="13"/>
  <c r="AK182" i="13"/>
  <c r="AK183" i="13"/>
  <c r="AP183" i="13" s="1"/>
  <c r="AK184" i="13"/>
  <c r="AK185" i="13"/>
  <c r="AK186" i="13"/>
  <c r="AK187" i="13"/>
  <c r="AK188" i="13"/>
  <c r="AK189" i="13"/>
  <c r="AK190" i="13"/>
  <c r="AK191" i="13"/>
  <c r="AP191" i="13" s="1"/>
  <c r="AK192" i="13"/>
  <c r="AK193" i="13"/>
  <c r="AK194" i="13"/>
  <c r="AK195" i="13"/>
  <c r="AK196" i="13"/>
  <c r="AK197" i="13"/>
  <c r="AK198" i="13"/>
  <c r="AK199" i="13"/>
  <c r="AP199" i="13" s="1"/>
  <c r="AK200" i="13"/>
  <c r="AK201" i="13"/>
  <c r="AK202" i="13"/>
  <c r="AK203" i="13"/>
  <c r="AK204" i="13"/>
  <c r="AK205" i="13"/>
  <c r="AK206" i="13"/>
  <c r="AK207" i="13"/>
  <c r="AP207" i="13" s="1"/>
  <c r="AK208" i="13"/>
  <c r="AK209" i="13"/>
  <c r="AK210" i="13"/>
  <c r="AK211" i="13"/>
  <c r="AK212" i="13"/>
  <c r="AK213" i="13"/>
  <c r="AK214" i="13"/>
  <c r="AK215" i="13"/>
  <c r="AP215" i="13" s="1"/>
  <c r="AK216" i="13"/>
  <c r="AK217" i="13"/>
  <c r="AK218" i="13"/>
  <c r="AK219" i="13"/>
  <c r="AK220" i="13"/>
  <c r="AK221" i="13"/>
  <c r="AK222" i="13"/>
  <c r="AK223" i="13"/>
  <c r="AP223" i="13" s="1"/>
  <c r="AK224" i="13"/>
  <c r="AK225" i="13"/>
  <c r="AK226" i="13"/>
  <c r="AK227" i="13"/>
  <c r="AK228" i="13"/>
  <c r="AK229" i="13"/>
  <c r="AK230" i="13"/>
  <c r="AK231" i="13"/>
  <c r="AP231" i="13" s="1"/>
  <c r="AI4" i="13"/>
  <c r="AI5" i="13"/>
  <c r="AI6" i="13"/>
  <c r="AI7" i="13"/>
  <c r="AI8" i="13"/>
  <c r="AI9" i="13"/>
  <c r="AI10" i="13"/>
  <c r="AI11" i="13"/>
  <c r="AI12" i="13"/>
  <c r="AI13" i="13"/>
  <c r="AI14" i="13"/>
  <c r="AI15" i="13"/>
  <c r="AI16" i="13"/>
  <c r="AI17" i="13"/>
  <c r="AI18" i="13"/>
  <c r="AI19" i="13"/>
  <c r="AI20" i="13"/>
  <c r="AI21" i="13"/>
  <c r="AI22" i="13"/>
  <c r="AI23" i="13"/>
  <c r="AI24" i="13"/>
  <c r="AI25" i="13"/>
  <c r="AI26" i="13"/>
  <c r="AI27" i="13"/>
  <c r="AI28" i="13"/>
  <c r="AI29" i="13"/>
  <c r="AI30" i="13"/>
  <c r="AI31" i="13"/>
  <c r="AI32" i="13"/>
  <c r="AI33" i="13"/>
  <c r="AI34" i="13"/>
  <c r="AI35" i="13"/>
  <c r="AI36" i="13"/>
  <c r="AI37" i="13"/>
  <c r="AI38" i="13"/>
  <c r="AI39" i="13"/>
  <c r="AI40" i="13"/>
  <c r="AI41" i="13"/>
  <c r="AI42" i="13"/>
  <c r="AI43" i="13"/>
  <c r="AI44" i="13"/>
  <c r="AI45" i="13"/>
  <c r="AI46" i="13"/>
  <c r="AI47" i="13"/>
  <c r="AI48" i="13"/>
  <c r="AI49" i="13"/>
  <c r="AI50" i="13"/>
  <c r="AI51" i="13"/>
  <c r="AI52" i="13"/>
  <c r="AI53" i="13"/>
  <c r="AI54" i="13"/>
  <c r="AI55" i="13"/>
  <c r="AI56" i="13"/>
  <c r="AI57" i="13"/>
  <c r="AI58" i="13"/>
  <c r="AI59" i="13"/>
  <c r="AI60" i="13"/>
  <c r="AI61" i="13"/>
  <c r="AI62" i="13"/>
  <c r="AI63" i="13"/>
  <c r="AI64" i="13"/>
  <c r="AI65" i="13"/>
  <c r="AI66" i="13"/>
  <c r="AI67" i="13"/>
  <c r="AI68" i="13"/>
  <c r="AI69" i="13"/>
  <c r="AI70" i="13"/>
  <c r="AI71" i="13"/>
  <c r="AI72" i="13"/>
  <c r="AI73" i="13"/>
  <c r="AI74" i="13"/>
  <c r="AI75" i="13"/>
  <c r="AI76" i="13"/>
  <c r="AI77" i="13"/>
  <c r="AI78" i="13"/>
  <c r="AI79" i="13"/>
  <c r="AI80" i="13"/>
  <c r="AI81" i="13"/>
  <c r="AI82" i="13"/>
  <c r="AI83" i="13"/>
  <c r="AI84" i="13"/>
  <c r="AI85" i="13"/>
  <c r="AI86" i="13"/>
  <c r="AI87" i="13"/>
  <c r="AI88" i="13"/>
  <c r="AI89" i="13"/>
  <c r="AI90" i="13"/>
  <c r="AI91" i="13"/>
  <c r="AI92" i="13"/>
  <c r="AI93" i="13"/>
  <c r="AI94" i="13"/>
  <c r="AI95" i="13"/>
  <c r="AI96" i="13"/>
  <c r="AI97" i="13"/>
  <c r="AI98" i="13"/>
  <c r="AI99" i="13"/>
  <c r="AI100" i="13"/>
  <c r="AI101" i="13"/>
  <c r="AI102" i="13"/>
  <c r="AI103" i="13"/>
  <c r="AI104" i="13"/>
  <c r="AI105" i="13"/>
  <c r="AI106" i="13"/>
  <c r="AI107" i="13"/>
  <c r="AI108" i="13"/>
  <c r="AI109" i="13"/>
  <c r="AI110" i="13"/>
  <c r="AI111" i="13"/>
  <c r="AI112" i="13"/>
  <c r="AI113" i="13"/>
  <c r="AI114" i="13"/>
  <c r="AI115" i="13"/>
  <c r="AI116" i="13"/>
  <c r="AI117" i="13"/>
  <c r="AI118" i="13"/>
  <c r="AI119" i="13"/>
  <c r="AI120" i="13"/>
  <c r="AI121" i="13"/>
  <c r="AI122" i="13"/>
  <c r="AI123" i="13"/>
  <c r="AI124" i="13"/>
  <c r="AI125" i="13"/>
  <c r="AI126" i="13"/>
  <c r="AI127" i="13"/>
  <c r="AI128" i="13"/>
  <c r="AI129" i="13"/>
  <c r="AI130" i="13"/>
  <c r="AI131" i="13"/>
  <c r="AI132" i="13"/>
  <c r="AI133" i="13"/>
  <c r="AI134" i="13"/>
  <c r="AI135" i="13"/>
  <c r="AI136" i="13"/>
  <c r="AI137" i="13"/>
  <c r="AI138" i="13"/>
  <c r="AI139" i="13"/>
  <c r="AI140" i="13"/>
  <c r="AI141" i="13"/>
  <c r="AI142" i="13"/>
  <c r="AI143" i="13"/>
  <c r="AI144" i="13"/>
  <c r="AI145" i="13"/>
  <c r="AI146" i="13"/>
  <c r="AI147" i="13"/>
  <c r="AI148" i="13"/>
  <c r="AI149" i="13"/>
  <c r="AI150" i="13"/>
  <c r="AI151" i="13"/>
  <c r="AI152" i="13"/>
  <c r="AI153" i="13"/>
  <c r="AI154" i="13"/>
  <c r="AI155" i="13"/>
  <c r="AI156" i="13"/>
  <c r="AI157" i="13"/>
  <c r="AI158" i="13"/>
  <c r="AI159" i="13"/>
  <c r="AI160" i="13"/>
  <c r="AI161" i="13"/>
  <c r="AI162" i="13"/>
  <c r="AI163" i="13"/>
  <c r="AI164" i="13"/>
  <c r="AI165" i="13"/>
  <c r="AI166" i="13"/>
  <c r="AI167" i="13"/>
  <c r="AI168" i="13"/>
  <c r="AI169" i="13"/>
  <c r="AI170" i="13"/>
  <c r="AI171" i="13"/>
  <c r="AI172" i="13"/>
  <c r="AI173" i="13"/>
  <c r="AI174" i="13"/>
  <c r="AI175" i="13"/>
  <c r="AI176" i="13"/>
  <c r="AI177" i="13"/>
  <c r="AI178" i="13"/>
  <c r="AI179" i="13"/>
  <c r="AI180" i="13"/>
  <c r="AI181" i="13"/>
  <c r="AI182" i="13"/>
  <c r="AI183" i="13"/>
  <c r="AI184" i="13"/>
  <c r="AI185" i="13"/>
  <c r="AI186" i="13"/>
  <c r="AI187" i="13"/>
  <c r="AI188" i="13"/>
  <c r="AI189" i="13"/>
  <c r="AI190" i="13"/>
  <c r="AI191" i="13"/>
  <c r="AI192" i="13"/>
  <c r="AI193" i="13"/>
  <c r="AI194" i="13"/>
  <c r="AI195" i="13"/>
  <c r="AI196" i="13"/>
  <c r="AI197" i="13"/>
  <c r="AI198" i="13"/>
  <c r="AI200" i="13"/>
  <c r="AI201" i="13"/>
  <c r="AI202" i="13"/>
  <c r="AI203" i="13"/>
  <c r="AI204" i="13"/>
  <c r="AI205" i="13"/>
  <c r="AI206" i="13"/>
  <c r="AI207" i="13"/>
  <c r="AI208" i="13"/>
  <c r="AI209" i="13"/>
  <c r="AI210" i="13"/>
  <c r="AI211" i="13"/>
  <c r="AI212" i="13"/>
  <c r="AI213" i="13"/>
  <c r="AI214" i="13"/>
  <c r="AI215" i="13"/>
  <c r="AI216" i="13"/>
  <c r="AI217" i="13"/>
  <c r="AI218" i="13"/>
  <c r="AI219" i="13"/>
  <c r="AI220" i="13"/>
  <c r="AI221" i="13"/>
  <c r="AI222" i="13"/>
  <c r="AI223" i="13"/>
  <c r="AI224" i="13"/>
  <c r="AI225" i="13"/>
  <c r="AI226" i="13"/>
  <c r="AI227" i="13"/>
  <c r="AI228" i="13"/>
  <c r="AI229" i="13"/>
  <c r="AI230" i="13"/>
  <c r="AI231" i="13"/>
  <c r="AH4" i="13"/>
  <c r="AH5" i="13"/>
  <c r="AH6" i="13"/>
  <c r="AH7" i="13"/>
  <c r="AH8" i="13"/>
  <c r="AH9" i="13"/>
  <c r="AH10" i="13"/>
  <c r="AH11" i="13"/>
  <c r="AH12" i="13"/>
  <c r="AH13" i="13"/>
  <c r="AH14" i="13"/>
  <c r="AH15" i="13"/>
  <c r="AH16" i="13"/>
  <c r="AH17" i="13"/>
  <c r="AH18" i="13"/>
  <c r="AH19" i="13"/>
  <c r="AH20" i="13"/>
  <c r="AH21" i="13"/>
  <c r="AH22" i="13"/>
  <c r="AH23" i="13"/>
  <c r="AH24" i="13"/>
  <c r="AH25" i="13"/>
  <c r="AH26" i="13"/>
  <c r="AH27" i="13"/>
  <c r="AH28" i="13"/>
  <c r="AH29" i="13"/>
  <c r="AH30" i="13"/>
  <c r="AH31" i="13"/>
  <c r="AH32" i="13"/>
  <c r="AH33" i="13"/>
  <c r="AH34" i="13"/>
  <c r="AH35" i="13"/>
  <c r="AH36" i="13"/>
  <c r="AH37" i="13"/>
  <c r="AH38" i="13"/>
  <c r="AH39" i="13"/>
  <c r="AH40" i="13"/>
  <c r="AH41" i="13"/>
  <c r="AH42" i="13"/>
  <c r="AH43" i="13"/>
  <c r="AH44" i="13"/>
  <c r="AH45" i="13"/>
  <c r="AH46" i="13"/>
  <c r="AH47" i="13"/>
  <c r="AH48" i="13"/>
  <c r="AH49" i="13"/>
  <c r="AH50" i="13"/>
  <c r="AH51" i="13"/>
  <c r="AH52" i="13"/>
  <c r="AH53" i="13"/>
  <c r="AH54" i="13"/>
  <c r="AH55" i="13"/>
  <c r="AH56" i="13"/>
  <c r="AH57" i="13"/>
  <c r="AH58" i="13"/>
  <c r="AH59" i="13"/>
  <c r="AH60" i="13"/>
  <c r="AH61" i="13"/>
  <c r="AH62" i="13"/>
  <c r="AH63" i="13"/>
  <c r="AH64" i="13"/>
  <c r="AH65" i="13"/>
  <c r="AH66" i="13"/>
  <c r="AH67" i="13"/>
  <c r="AH68" i="13"/>
  <c r="AH69" i="13"/>
  <c r="AH70" i="13"/>
  <c r="AH71" i="13"/>
  <c r="AH72" i="13"/>
  <c r="AH73" i="13"/>
  <c r="AH74" i="13"/>
  <c r="AH75" i="13"/>
  <c r="AH76" i="13"/>
  <c r="AH77" i="13"/>
  <c r="AH78" i="13"/>
  <c r="AH79" i="13"/>
  <c r="AH80" i="13"/>
  <c r="AH81" i="13"/>
  <c r="AH82" i="13"/>
  <c r="AH83" i="13"/>
  <c r="AH84" i="13"/>
  <c r="AH85" i="13"/>
  <c r="AH86" i="13"/>
  <c r="AH87" i="13"/>
  <c r="AH88" i="13"/>
  <c r="AH89" i="13"/>
  <c r="AH90" i="13"/>
  <c r="AH91" i="13"/>
  <c r="AH92" i="13"/>
  <c r="AH93" i="13"/>
  <c r="AH94" i="13"/>
  <c r="AH95" i="13"/>
  <c r="AH96" i="13"/>
  <c r="AH97" i="13"/>
  <c r="AH98" i="13"/>
  <c r="AH99" i="13"/>
  <c r="AH100" i="13"/>
  <c r="AH101" i="13"/>
  <c r="AH102" i="13"/>
  <c r="AH103" i="13"/>
  <c r="AH104" i="13"/>
  <c r="AH105" i="13"/>
  <c r="AH106" i="13"/>
  <c r="AH107" i="13"/>
  <c r="AH108" i="13"/>
  <c r="AH109" i="13"/>
  <c r="AH110" i="13"/>
  <c r="AH111" i="13"/>
  <c r="AH112" i="13"/>
  <c r="AH113" i="13"/>
  <c r="AH114" i="13"/>
  <c r="AH115" i="13"/>
  <c r="AH116" i="13"/>
  <c r="AH117" i="13"/>
  <c r="AH118" i="13"/>
  <c r="AH119" i="13"/>
  <c r="AH120" i="13"/>
  <c r="AH121" i="13"/>
  <c r="AH122" i="13"/>
  <c r="AH123" i="13"/>
  <c r="AH124" i="13"/>
  <c r="AH125" i="13"/>
  <c r="AH126" i="13"/>
  <c r="AH127" i="13"/>
  <c r="AH128" i="13"/>
  <c r="AH129" i="13"/>
  <c r="AH130" i="13"/>
  <c r="AH131" i="13"/>
  <c r="AH132" i="13"/>
  <c r="AH133" i="13"/>
  <c r="AH134" i="13"/>
  <c r="AH135" i="13"/>
  <c r="AH136" i="13"/>
  <c r="AH137" i="13"/>
  <c r="AH138" i="13"/>
  <c r="AH139" i="13"/>
  <c r="AH140" i="13"/>
  <c r="AH141" i="13"/>
  <c r="AH142" i="13"/>
  <c r="AH143" i="13"/>
  <c r="AH144" i="13"/>
  <c r="AH145" i="13"/>
  <c r="AH146" i="13"/>
  <c r="AH147" i="13"/>
  <c r="AH148" i="13"/>
  <c r="AH149" i="13"/>
  <c r="AH150" i="13"/>
  <c r="AH151" i="13"/>
  <c r="AH152" i="13"/>
  <c r="AH153" i="13"/>
  <c r="AH154" i="13"/>
  <c r="AH155" i="13"/>
  <c r="AH156" i="13"/>
  <c r="AH157" i="13"/>
  <c r="AH158" i="13"/>
  <c r="AH159" i="13"/>
  <c r="AH160" i="13"/>
  <c r="AH161" i="13"/>
  <c r="AH162" i="13"/>
  <c r="AH163" i="13"/>
  <c r="AH164" i="13"/>
  <c r="AH165" i="13"/>
  <c r="AH166" i="13"/>
  <c r="AH167" i="13"/>
  <c r="AH168" i="13"/>
  <c r="AH169" i="13"/>
  <c r="AH170" i="13"/>
  <c r="AH171" i="13"/>
  <c r="AH172" i="13"/>
  <c r="AH173" i="13"/>
  <c r="AH174" i="13"/>
  <c r="AH175" i="13"/>
  <c r="AH176" i="13"/>
  <c r="AH177" i="13"/>
  <c r="AH178" i="13"/>
  <c r="AH179" i="13"/>
  <c r="AH180" i="13"/>
  <c r="AH181" i="13"/>
  <c r="AH182" i="13"/>
  <c r="AH183" i="13"/>
  <c r="AH184" i="13"/>
  <c r="AH185" i="13"/>
  <c r="AH186" i="13"/>
  <c r="AH187" i="13"/>
  <c r="AH188" i="13"/>
  <c r="AH189" i="13"/>
  <c r="AH190" i="13"/>
  <c r="AH191" i="13"/>
  <c r="AH192" i="13"/>
  <c r="AH193" i="13"/>
  <c r="AH194" i="13"/>
  <c r="AH195" i="13"/>
  <c r="AH196" i="13"/>
  <c r="AH197" i="13"/>
  <c r="AH198" i="13"/>
  <c r="AH199" i="13"/>
  <c r="AH200" i="13"/>
  <c r="AH201" i="13"/>
  <c r="AH202" i="13"/>
  <c r="AH203" i="13"/>
  <c r="AH204" i="13"/>
  <c r="AH205" i="13"/>
  <c r="AH206" i="13"/>
  <c r="AH207" i="13"/>
  <c r="AH208" i="13"/>
  <c r="AH209" i="13"/>
  <c r="AH210" i="13"/>
  <c r="AH211" i="13"/>
  <c r="AH212" i="13"/>
  <c r="AH213" i="13"/>
  <c r="AH214" i="13"/>
  <c r="AH215" i="13"/>
  <c r="AH216" i="13"/>
  <c r="AH217" i="13"/>
  <c r="AH218" i="13"/>
  <c r="AH219" i="13"/>
  <c r="AH220" i="13"/>
  <c r="AH221" i="13"/>
  <c r="AH222" i="13"/>
  <c r="AH223" i="13"/>
  <c r="AH224" i="13"/>
  <c r="AH225" i="13"/>
  <c r="AH226" i="13"/>
  <c r="AH227" i="13"/>
  <c r="AH228" i="13"/>
  <c r="AH229" i="13"/>
  <c r="AH230" i="13"/>
  <c r="AH231" i="13"/>
  <c r="AG4" i="13"/>
  <c r="AG5" i="13"/>
  <c r="AG6" i="13"/>
  <c r="AG7" i="13"/>
  <c r="AG8" i="13"/>
  <c r="AG9" i="13"/>
  <c r="AG10" i="13"/>
  <c r="AG11" i="13"/>
  <c r="AG12" i="13"/>
  <c r="AG13" i="13"/>
  <c r="AG14" i="13"/>
  <c r="AG15" i="13"/>
  <c r="AG16" i="13"/>
  <c r="AG17" i="13"/>
  <c r="AG18" i="13"/>
  <c r="AG19" i="13"/>
  <c r="AG20" i="13"/>
  <c r="AG21" i="13"/>
  <c r="AG22" i="13"/>
  <c r="AG23" i="13"/>
  <c r="AG24" i="13"/>
  <c r="AG25" i="13"/>
  <c r="AG26" i="13"/>
  <c r="AG27" i="13"/>
  <c r="AG28" i="13"/>
  <c r="AG29" i="13"/>
  <c r="AG30" i="13"/>
  <c r="AG31" i="13"/>
  <c r="AG32" i="13"/>
  <c r="AG33" i="13"/>
  <c r="AG34" i="13"/>
  <c r="AG35" i="13"/>
  <c r="AG36" i="13"/>
  <c r="AG37" i="13"/>
  <c r="AG38" i="13"/>
  <c r="AG39" i="13"/>
  <c r="AG40" i="13"/>
  <c r="AG41" i="13"/>
  <c r="AG42" i="13"/>
  <c r="AG43" i="13"/>
  <c r="AG44" i="13"/>
  <c r="AG45" i="13"/>
  <c r="AG46" i="13"/>
  <c r="AG47" i="13"/>
  <c r="AG48" i="13"/>
  <c r="AG49" i="13"/>
  <c r="AG50" i="13"/>
  <c r="AG51" i="13"/>
  <c r="AG52" i="13"/>
  <c r="AG53" i="13"/>
  <c r="AG54" i="13"/>
  <c r="AG55" i="13"/>
  <c r="AG56" i="13"/>
  <c r="AG57" i="13"/>
  <c r="AG58" i="13"/>
  <c r="AG59" i="13"/>
  <c r="AG60" i="13"/>
  <c r="AG61" i="13"/>
  <c r="AG62" i="13"/>
  <c r="AG63" i="13"/>
  <c r="AG64" i="13"/>
  <c r="AG65" i="13"/>
  <c r="AG66" i="13"/>
  <c r="AG67" i="13"/>
  <c r="AG68" i="13"/>
  <c r="AG69" i="13"/>
  <c r="AG70" i="13"/>
  <c r="AG71" i="13"/>
  <c r="AG72" i="13"/>
  <c r="AG73" i="13"/>
  <c r="AG74" i="13"/>
  <c r="AG75" i="13"/>
  <c r="AG76" i="13"/>
  <c r="AG77" i="13"/>
  <c r="AG78" i="13"/>
  <c r="AG79" i="13"/>
  <c r="AG80" i="13"/>
  <c r="AG81" i="13"/>
  <c r="AG82" i="13"/>
  <c r="AG83" i="13"/>
  <c r="AG84" i="13"/>
  <c r="AG85" i="13"/>
  <c r="AG86" i="13"/>
  <c r="AG87" i="13"/>
  <c r="AG88" i="13"/>
  <c r="AG89" i="13"/>
  <c r="AG90" i="13"/>
  <c r="AG91" i="13"/>
  <c r="AG92" i="13"/>
  <c r="AG93" i="13"/>
  <c r="AG94" i="13"/>
  <c r="AG95" i="13"/>
  <c r="AG96" i="13"/>
  <c r="AG97" i="13"/>
  <c r="AG98" i="13"/>
  <c r="AG99" i="13"/>
  <c r="AG100" i="13"/>
  <c r="AG101" i="13"/>
  <c r="AG102" i="13"/>
  <c r="AG103" i="13"/>
  <c r="AG104" i="13"/>
  <c r="AG105" i="13"/>
  <c r="AG106" i="13"/>
  <c r="AG107" i="13"/>
  <c r="AG108" i="13"/>
  <c r="AG109" i="13"/>
  <c r="AG110" i="13"/>
  <c r="AG111" i="13"/>
  <c r="AG112" i="13"/>
  <c r="AG113" i="13"/>
  <c r="AG114" i="13"/>
  <c r="AG115" i="13"/>
  <c r="AG116" i="13"/>
  <c r="AG117" i="13"/>
  <c r="AG118" i="13"/>
  <c r="AG119" i="13"/>
  <c r="AG120" i="13"/>
  <c r="AG121" i="13"/>
  <c r="AG122" i="13"/>
  <c r="AG123" i="13"/>
  <c r="AG124" i="13"/>
  <c r="AG125" i="13"/>
  <c r="AG126" i="13"/>
  <c r="AG127" i="13"/>
  <c r="AG128" i="13"/>
  <c r="AG129" i="13"/>
  <c r="AG130" i="13"/>
  <c r="AG131" i="13"/>
  <c r="AG132" i="13"/>
  <c r="AG133" i="13"/>
  <c r="AG134" i="13"/>
  <c r="AG135" i="13"/>
  <c r="AG136" i="13"/>
  <c r="AG137" i="13"/>
  <c r="AG138" i="13"/>
  <c r="AG139" i="13"/>
  <c r="AG140" i="13"/>
  <c r="AG141" i="13"/>
  <c r="AG142" i="13"/>
  <c r="AG143" i="13"/>
  <c r="AG144" i="13"/>
  <c r="AG145" i="13"/>
  <c r="AG146" i="13"/>
  <c r="AG147" i="13"/>
  <c r="AG148" i="13"/>
  <c r="AG149" i="13"/>
  <c r="AG150" i="13"/>
  <c r="AG151" i="13"/>
  <c r="AG152" i="13"/>
  <c r="AG153" i="13"/>
  <c r="AG154" i="13"/>
  <c r="AG155" i="13"/>
  <c r="AG156" i="13"/>
  <c r="AG157" i="13"/>
  <c r="AG158" i="13"/>
  <c r="AG159" i="13"/>
  <c r="AG160" i="13"/>
  <c r="AG161" i="13"/>
  <c r="AG162" i="13"/>
  <c r="AG163" i="13"/>
  <c r="AG164" i="13"/>
  <c r="AG165" i="13"/>
  <c r="AG166" i="13"/>
  <c r="AG167" i="13"/>
  <c r="AG168" i="13"/>
  <c r="AG169" i="13"/>
  <c r="AG170" i="13"/>
  <c r="AG171" i="13"/>
  <c r="AG172" i="13"/>
  <c r="AG173" i="13"/>
  <c r="AG174" i="13"/>
  <c r="AG175" i="13"/>
  <c r="AG176" i="13"/>
  <c r="AG177" i="13"/>
  <c r="AG178" i="13"/>
  <c r="AG179" i="13"/>
  <c r="AG180" i="13"/>
  <c r="AG181" i="13"/>
  <c r="AG182" i="13"/>
  <c r="AG183" i="13"/>
  <c r="AG184" i="13"/>
  <c r="AG185" i="13"/>
  <c r="AG186" i="13"/>
  <c r="AG187" i="13"/>
  <c r="AG188" i="13"/>
  <c r="AG189" i="13"/>
  <c r="AG190" i="13"/>
  <c r="AG191" i="13"/>
  <c r="AG192" i="13"/>
  <c r="AG193" i="13"/>
  <c r="AG194" i="13"/>
  <c r="AG195" i="13"/>
  <c r="AG196" i="13"/>
  <c r="AG197" i="13"/>
  <c r="AG198" i="13"/>
  <c r="AG199" i="13"/>
  <c r="AG200" i="13"/>
  <c r="AG201" i="13"/>
  <c r="AG202" i="13"/>
  <c r="AG203" i="13"/>
  <c r="AG204" i="13"/>
  <c r="AG205" i="13"/>
  <c r="AG206" i="13"/>
  <c r="AG207" i="13"/>
  <c r="AG208" i="13"/>
  <c r="AG209" i="13"/>
  <c r="AG210" i="13"/>
  <c r="AG211" i="13"/>
  <c r="AG212" i="13"/>
  <c r="AG213" i="13"/>
  <c r="AG214" i="13"/>
  <c r="AG215" i="13"/>
  <c r="AG216" i="13"/>
  <c r="AG217" i="13"/>
  <c r="AG218" i="13"/>
  <c r="AG219" i="13"/>
  <c r="AG220" i="13"/>
  <c r="AG221" i="13"/>
  <c r="AG222" i="13"/>
  <c r="AG223" i="13"/>
  <c r="AG224" i="13"/>
  <c r="AG225" i="13"/>
  <c r="AG226" i="13"/>
  <c r="AG227" i="13"/>
  <c r="AG228" i="13"/>
  <c r="AG229" i="13"/>
  <c r="AG230" i="13"/>
  <c r="AG231" i="13"/>
  <c r="AF4" i="13"/>
  <c r="AF5" i="13"/>
  <c r="AF6" i="13"/>
  <c r="AF7" i="13"/>
  <c r="AF8" i="13"/>
  <c r="AF9" i="13"/>
  <c r="AF10" i="13"/>
  <c r="AF11" i="13"/>
  <c r="AF12" i="13"/>
  <c r="AF13" i="13"/>
  <c r="AF14" i="13"/>
  <c r="AF15" i="13"/>
  <c r="AF16" i="13"/>
  <c r="AF17" i="13"/>
  <c r="AF18" i="13"/>
  <c r="AF19" i="13"/>
  <c r="AF20" i="13"/>
  <c r="AF21" i="13"/>
  <c r="AF22" i="13"/>
  <c r="AF23" i="13"/>
  <c r="AF24" i="13"/>
  <c r="AF25" i="13"/>
  <c r="AF26" i="13"/>
  <c r="AF27" i="13"/>
  <c r="AF28" i="13"/>
  <c r="AF29" i="13"/>
  <c r="AF30" i="13"/>
  <c r="AF31" i="13"/>
  <c r="AF32" i="13"/>
  <c r="AF33" i="13"/>
  <c r="AF34" i="13"/>
  <c r="AF35" i="13"/>
  <c r="AF36" i="13"/>
  <c r="AF37" i="13"/>
  <c r="AF38" i="13"/>
  <c r="AF39" i="13"/>
  <c r="AF40" i="13"/>
  <c r="AF41" i="13"/>
  <c r="AF42" i="13"/>
  <c r="AF43" i="13"/>
  <c r="AF44" i="13"/>
  <c r="AF45" i="13"/>
  <c r="AF46" i="13"/>
  <c r="AF47" i="13"/>
  <c r="AF48" i="13"/>
  <c r="AF49" i="13"/>
  <c r="AF50" i="13"/>
  <c r="AF51" i="13"/>
  <c r="AF52" i="13"/>
  <c r="AF53" i="13"/>
  <c r="AF54" i="13"/>
  <c r="AF55" i="13"/>
  <c r="AF56" i="13"/>
  <c r="AF57" i="13"/>
  <c r="AF58" i="13"/>
  <c r="AF59" i="13"/>
  <c r="AF60" i="13"/>
  <c r="AF61" i="13"/>
  <c r="AF62" i="13"/>
  <c r="AF63" i="13"/>
  <c r="AF64" i="13"/>
  <c r="AF65" i="13"/>
  <c r="AF66" i="13"/>
  <c r="AF67" i="13"/>
  <c r="AF68" i="13"/>
  <c r="AF69" i="13"/>
  <c r="AF70" i="13"/>
  <c r="AF71" i="13"/>
  <c r="AF72" i="13"/>
  <c r="AF73" i="13"/>
  <c r="AF74" i="13"/>
  <c r="AF75" i="13"/>
  <c r="AF76" i="13"/>
  <c r="AF77" i="13"/>
  <c r="AF78" i="13"/>
  <c r="AF79" i="13"/>
  <c r="AF80" i="13"/>
  <c r="AF81" i="13"/>
  <c r="AF82" i="13"/>
  <c r="AF83" i="13"/>
  <c r="AF84" i="13"/>
  <c r="AF85" i="13"/>
  <c r="AF86" i="13"/>
  <c r="AF87" i="13"/>
  <c r="AF88" i="13"/>
  <c r="AF89" i="13"/>
  <c r="AF90" i="13"/>
  <c r="AF91" i="13"/>
  <c r="AF92" i="13"/>
  <c r="AF93" i="13"/>
  <c r="AF94" i="13"/>
  <c r="AF95" i="13"/>
  <c r="AF96" i="13"/>
  <c r="AF97" i="13"/>
  <c r="AF98" i="13"/>
  <c r="AF99" i="13"/>
  <c r="AF100" i="13"/>
  <c r="AF101" i="13"/>
  <c r="AF102" i="13"/>
  <c r="AF103" i="13"/>
  <c r="AF104" i="13"/>
  <c r="AF105" i="13"/>
  <c r="AF106" i="13"/>
  <c r="AF107" i="13"/>
  <c r="AF108" i="13"/>
  <c r="AF109" i="13"/>
  <c r="AF110" i="13"/>
  <c r="AF111" i="13"/>
  <c r="AF112" i="13"/>
  <c r="AF113" i="13"/>
  <c r="AF114" i="13"/>
  <c r="AF115" i="13"/>
  <c r="AF116" i="13"/>
  <c r="AF117" i="13"/>
  <c r="AF118" i="13"/>
  <c r="AF119" i="13"/>
  <c r="AF120" i="13"/>
  <c r="AF121" i="13"/>
  <c r="AF122" i="13"/>
  <c r="AF123" i="13"/>
  <c r="AF124" i="13"/>
  <c r="AF125" i="13"/>
  <c r="AF126" i="13"/>
  <c r="AF127" i="13"/>
  <c r="AF128" i="13"/>
  <c r="AF129" i="13"/>
  <c r="AF130" i="13"/>
  <c r="AF131" i="13"/>
  <c r="AF132" i="13"/>
  <c r="AF133" i="13"/>
  <c r="AF134" i="13"/>
  <c r="AF135" i="13"/>
  <c r="AF136" i="13"/>
  <c r="AF137" i="13"/>
  <c r="AF138" i="13"/>
  <c r="AF139" i="13"/>
  <c r="AF140" i="13"/>
  <c r="AF141" i="13"/>
  <c r="AF142" i="13"/>
  <c r="AF143" i="13"/>
  <c r="AF144" i="13"/>
  <c r="AF145" i="13"/>
  <c r="AF146" i="13"/>
  <c r="AF147" i="13"/>
  <c r="AF148" i="13"/>
  <c r="AF149" i="13"/>
  <c r="AF150" i="13"/>
  <c r="AF151" i="13"/>
  <c r="AF152" i="13"/>
  <c r="AF153" i="13"/>
  <c r="AF154" i="13"/>
  <c r="AF155" i="13"/>
  <c r="AF156" i="13"/>
  <c r="AF157" i="13"/>
  <c r="AF158" i="13"/>
  <c r="AF159" i="13"/>
  <c r="AF160" i="13"/>
  <c r="AF161" i="13"/>
  <c r="AF162" i="13"/>
  <c r="AF163" i="13"/>
  <c r="AF164" i="13"/>
  <c r="AF165" i="13"/>
  <c r="AF166" i="13"/>
  <c r="AF167" i="13"/>
  <c r="AF168" i="13"/>
  <c r="AF169" i="13"/>
  <c r="AF170" i="13"/>
  <c r="AF171" i="13"/>
  <c r="AF172" i="13"/>
  <c r="AF173" i="13"/>
  <c r="AF174" i="13"/>
  <c r="AF175" i="13"/>
  <c r="AF176" i="13"/>
  <c r="AF177" i="13"/>
  <c r="AF178" i="13"/>
  <c r="AF179" i="13"/>
  <c r="AF180" i="13"/>
  <c r="AF181" i="13"/>
  <c r="AF182" i="13"/>
  <c r="AF183" i="13"/>
  <c r="AF184" i="13"/>
  <c r="AF185" i="13"/>
  <c r="AF186" i="13"/>
  <c r="AF187" i="13"/>
  <c r="AF188" i="13"/>
  <c r="AF189" i="13"/>
  <c r="AF190" i="13"/>
  <c r="AF191" i="13"/>
  <c r="AF192" i="13"/>
  <c r="AF193" i="13"/>
  <c r="AF194" i="13"/>
  <c r="AF195" i="13"/>
  <c r="AF196" i="13"/>
  <c r="AF197" i="13"/>
  <c r="AF198" i="13"/>
  <c r="AF200" i="13"/>
  <c r="AF201" i="13"/>
  <c r="AF202" i="13"/>
  <c r="AF203" i="13"/>
  <c r="AF204" i="13"/>
  <c r="AF205" i="13"/>
  <c r="AF206" i="13"/>
  <c r="AF207" i="13"/>
  <c r="AF208" i="13"/>
  <c r="AF209" i="13"/>
  <c r="AF210" i="13"/>
  <c r="AF211" i="13"/>
  <c r="AF212" i="13"/>
  <c r="AF213" i="13"/>
  <c r="AF214" i="13"/>
  <c r="AF215" i="13"/>
  <c r="AF216" i="13"/>
  <c r="AF217" i="13"/>
  <c r="AF218" i="13"/>
  <c r="AF219" i="13"/>
  <c r="AF220" i="13"/>
  <c r="AF221" i="13"/>
  <c r="AF222" i="13"/>
  <c r="AF223" i="13"/>
  <c r="AF224" i="13"/>
  <c r="AF225" i="13"/>
  <c r="AF226" i="13"/>
  <c r="AF227" i="13"/>
  <c r="AF228" i="13"/>
  <c r="AF229" i="13"/>
  <c r="AF230" i="13"/>
  <c r="AF231" i="13"/>
  <c r="AE4" i="13"/>
  <c r="AE5" i="13"/>
  <c r="AE6" i="13"/>
  <c r="AE7" i="13"/>
  <c r="AE8" i="13"/>
  <c r="AE9" i="13"/>
  <c r="AE10" i="13"/>
  <c r="AE11" i="13"/>
  <c r="AE12" i="13"/>
  <c r="AE13" i="13"/>
  <c r="AE14" i="13"/>
  <c r="AE15" i="13"/>
  <c r="AE16" i="13"/>
  <c r="AE17" i="13"/>
  <c r="AE18" i="13"/>
  <c r="AE19" i="13"/>
  <c r="AE20" i="13"/>
  <c r="AE21" i="13"/>
  <c r="AE22" i="13"/>
  <c r="AE23" i="13"/>
  <c r="AE24" i="13"/>
  <c r="AE25" i="13"/>
  <c r="AE26" i="13"/>
  <c r="AE27" i="13"/>
  <c r="AE28" i="13"/>
  <c r="AE29" i="13"/>
  <c r="AE30" i="13"/>
  <c r="AE31" i="13"/>
  <c r="AE32" i="13"/>
  <c r="AE33" i="13"/>
  <c r="AE34" i="13"/>
  <c r="AE35" i="13"/>
  <c r="AE36" i="13"/>
  <c r="AE37" i="13"/>
  <c r="AE38" i="13"/>
  <c r="AE39" i="13"/>
  <c r="AE40" i="13"/>
  <c r="AE41" i="13"/>
  <c r="AE42" i="13"/>
  <c r="AE43" i="13"/>
  <c r="AE44" i="13"/>
  <c r="AE45" i="13"/>
  <c r="AE46" i="13"/>
  <c r="AE47" i="13"/>
  <c r="AE48" i="13"/>
  <c r="AE49" i="13"/>
  <c r="AE50" i="13"/>
  <c r="AE51" i="13"/>
  <c r="AE52" i="13"/>
  <c r="AE53" i="13"/>
  <c r="AE54" i="13"/>
  <c r="AE55" i="13"/>
  <c r="AE56" i="13"/>
  <c r="AE57" i="13"/>
  <c r="AE58" i="13"/>
  <c r="AE59" i="13"/>
  <c r="AE60" i="13"/>
  <c r="AE61" i="13"/>
  <c r="AE62" i="13"/>
  <c r="AE63" i="13"/>
  <c r="AE64" i="13"/>
  <c r="AE65" i="13"/>
  <c r="AE66" i="13"/>
  <c r="AE67" i="13"/>
  <c r="AE68" i="13"/>
  <c r="AE69" i="13"/>
  <c r="AE70" i="13"/>
  <c r="AE71" i="13"/>
  <c r="AE72" i="13"/>
  <c r="AE73" i="13"/>
  <c r="AE74" i="13"/>
  <c r="AE75" i="13"/>
  <c r="AE76" i="13"/>
  <c r="AE77" i="13"/>
  <c r="AE78" i="13"/>
  <c r="AE79" i="13"/>
  <c r="AE80" i="13"/>
  <c r="AE81" i="13"/>
  <c r="AE82" i="13"/>
  <c r="AE83" i="13"/>
  <c r="AE84" i="13"/>
  <c r="AE85" i="13"/>
  <c r="AE86" i="13"/>
  <c r="AE87" i="13"/>
  <c r="AE88" i="13"/>
  <c r="AE89" i="13"/>
  <c r="AE90" i="13"/>
  <c r="AE91" i="13"/>
  <c r="AE92" i="13"/>
  <c r="AE93" i="13"/>
  <c r="AE94" i="13"/>
  <c r="AE95" i="13"/>
  <c r="AE96" i="13"/>
  <c r="AE97" i="13"/>
  <c r="AE98" i="13"/>
  <c r="AE99" i="13"/>
  <c r="AE100" i="13"/>
  <c r="AE101" i="13"/>
  <c r="AE102" i="13"/>
  <c r="AE103" i="13"/>
  <c r="AE104" i="13"/>
  <c r="AE105" i="13"/>
  <c r="AE106" i="13"/>
  <c r="AE107" i="13"/>
  <c r="AE108" i="13"/>
  <c r="AE109" i="13"/>
  <c r="AE110" i="13"/>
  <c r="AE111" i="13"/>
  <c r="AE112" i="13"/>
  <c r="AE113" i="13"/>
  <c r="AE114" i="13"/>
  <c r="AE115" i="13"/>
  <c r="AE116" i="13"/>
  <c r="AE117" i="13"/>
  <c r="AE118" i="13"/>
  <c r="AE119" i="13"/>
  <c r="AE120" i="13"/>
  <c r="AE121" i="13"/>
  <c r="AE122" i="13"/>
  <c r="AE123" i="13"/>
  <c r="AE124" i="13"/>
  <c r="AE125" i="13"/>
  <c r="AE126" i="13"/>
  <c r="AE127" i="13"/>
  <c r="AE128" i="13"/>
  <c r="AE129" i="13"/>
  <c r="AE130" i="13"/>
  <c r="AE131" i="13"/>
  <c r="AE132" i="13"/>
  <c r="AE133" i="13"/>
  <c r="AE134" i="13"/>
  <c r="AE135" i="13"/>
  <c r="AE136" i="13"/>
  <c r="AE137" i="13"/>
  <c r="AE138" i="13"/>
  <c r="AE139" i="13"/>
  <c r="AE140" i="13"/>
  <c r="AE141" i="13"/>
  <c r="AE142" i="13"/>
  <c r="AE143" i="13"/>
  <c r="AE144" i="13"/>
  <c r="AE145" i="13"/>
  <c r="AE146" i="13"/>
  <c r="AE147" i="13"/>
  <c r="AE148" i="13"/>
  <c r="AE149" i="13"/>
  <c r="AE150" i="13"/>
  <c r="AE151" i="13"/>
  <c r="AE152" i="13"/>
  <c r="AE153" i="13"/>
  <c r="AE154" i="13"/>
  <c r="AE155" i="13"/>
  <c r="AE156" i="13"/>
  <c r="AE157" i="13"/>
  <c r="AE158" i="13"/>
  <c r="AE159" i="13"/>
  <c r="AE160" i="13"/>
  <c r="AE161" i="13"/>
  <c r="AE162" i="13"/>
  <c r="AE163" i="13"/>
  <c r="AE164" i="13"/>
  <c r="AE165" i="13"/>
  <c r="AE166" i="13"/>
  <c r="AE167" i="13"/>
  <c r="AE168" i="13"/>
  <c r="AE169" i="13"/>
  <c r="AE170" i="13"/>
  <c r="AE171" i="13"/>
  <c r="AE172" i="13"/>
  <c r="AE173" i="13"/>
  <c r="AE174" i="13"/>
  <c r="AE175" i="13"/>
  <c r="AE176" i="13"/>
  <c r="AE177" i="13"/>
  <c r="AE178" i="13"/>
  <c r="AE179" i="13"/>
  <c r="AE180" i="13"/>
  <c r="AE181" i="13"/>
  <c r="AE182" i="13"/>
  <c r="AE183" i="13"/>
  <c r="AE184" i="13"/>
  <c r="AE185" i="13"/>
  <c r="AE186" i="13"/>
  <c r="AE187" i="13"/>
  <c r="AE188" i="13"/>
  <c r="AE189" i="13"/>
  <c r="AE190" i="13"/>
  <c r="AE191" i="13"/>
  <c r="AE192" i="13"/>
  <c r="AE193" i="13"/>
  <c r="AE194" i="13"/>
  <c r="AE195" i="13"/>
  <c r="AE196" i="13"/>
  <c r="AE197" i="13"/>
  <c r="AE198" i="13"/>
  <c r="AE200" i="13"/>
  <c r="AJ200" i="13" s="1"/>
  <c r="AE201" i="13"/>
  <c r="AE202" i="13"/>
  <c r="AE203" i="13"/>
  <c r="AE204" i="13"/>
  <c r="AE205" i="13"/>
  <c r="AE206" i="13"/>
  <c r="AE207" i="13"/>
  <c r="AE208" i="13"/>
  <c r="AJ208" i="13" s="1"/>
  <c r="AE209" i="13"/>
  <c r="AE210" i="13"/>
  <c r="AE211" i="13"/>
  <c r="AE212" i="13"/>
  <c r="AE213" i="13"/>
  <c r="AE214" i="13"/>
  <c r="AE215" i="13"/>
  <c r="AE216" i="13"/>
  <c r="AJ216" i="13" s="1"/>
  <c r="AE217" i="13"/>
  <c r="AE218" i="13"/>
  <c r="AE219" i="13"/>
  <c r="AE220" i="13"/>
  <c r="AE221" i="13"/>
  <c r="AE222" i="13"/>
  <c r="AE223" i="13"/>
  <c r="AE224" i="13"/>
  <c r="AJ224" i="13" s="1"/>
  <c r="AE225" i="13"/>
  <c r="AE226" i="13"/>
  <c r="AE227" i="13"/>
  <c r="AE228" i="13"/>
  <c r="AE229" i="13"/>
  <c r="AE230" i="13"/>
  <c r="AE231" i="13"/>
  <c r="S4" i="13"/>
  <c r="X4" i="13" s="1"/>
  <c r="S5" i="13"/>
  <c r="X5" i="13" s="1"/>
  <c r="S6" i="13"/>
  <c r="X6" i="13" s="1"/>
  <c r="S7" i="13"/>
  <c r="X7" i="13" s="1"/>
  <c r="S8" i="13"/>
  <c r="X8" i="13" s="1"/>
  <c r="S9" i="13"/>
  <c r="X9" i="13" s="1"/>
  <c r="S10" i="13"/>
  <c r="X10" i="13" s="1"/>
  <c r="S11" i="13"/>
  <c r="X11" i="13" s="1"/>
  <c r="S12" i="13"/>
  <c r="X12" i="13" s="1"/>
  <c r="S13" i="13"/>
  <c r="X13" i="13" s="1"/>
  <c r="S14" i="13"/>
  <c r="X14" i="13" s="1"/>
  <c r="S15" i="13"/>
  <c r="X15" i="13" s="1"/>
  <c r="S16" i="13"/>
  <c r="X16" i="13" s="1"/>
  <c r="S17" i="13"/>
  <c r="X17" i="13" s="1"/>
  <c r="S18" i="13"/>
  <c r="X18" i="13" s="1"/>
  <c r="S19" i="13"/>
  <c r="X19" i="13" s="1"/>
  <c r="S20" i="13"/>
  <c r="X20" i="13" s="1"/>
  <c r="S21" i="13"/>
  <c r="X21" i="13" s="1"/>
  <c r="S22" i="13"/>
  <c r="X22" i="13" s="1"/>
  <c r="S23" i="13"/>
  <c r="X23" i="13" s="1"/>
  <c r="S24" i="13"/>
  <c r="X24" i="13" s="1"/>
  <c r="S25" i="13"/>
  <c r="X25" i="13" s="1"/>
  <c r="S26" i="13"/>
  <c r="X26" i="13" s="1"/>
  <c r="S27" i="13"/>
  <c r="X27" i="13" s="1"/>
  <c r="S28" i="13"/>
  <c r="X28" i="13" s="1"/>
  <c r="S29" i="13"/>
  <c r="X29" i="13" s="1"/>
  <c r="S30" i="13"/>
  <c r="X30" i="13" s="1"/>
  <c r="S31" i="13"/>
  <c r="X31" i="13" s="1"/>
  <c r="S32" i="13"/>
  <c r="X32" i="13" s="1"/>
  <c r="S33" i="13"/>
  <c r="X33" i="13" s="1"/>
  <c r="S34" i="13"/>
  <c r="X34" i="13" s="1"/>
  <c r="S35" i="13"/>
  <c r="X35" i="13" s="1"/>
  <c r="S36" i="13"/>
  <c r="X36" i="13" s="1"/>
  <c r="S37" i="13"/>
  <c r="X37" i="13" s="1"/>
  <c r="S38" i="13"/>
  <c r="X38" i="13" s="1"/>
  <c r="S39" i="13"/>
  <c r="X39" i="13" s="1"/>
  <c r="S40" i="13"/>
  <c r="X40" i="13" s="1"/>
  <c r="S41" i="13"/>
  <c r="X41" i="13" s="1"/>
  <c r="S42" i="13"/>
  <c r="X42" i="13" s="1"/>
  <c r="S43" i="13"/>
  <c r="X43" i="13" s="1"/>
  <c r="S44" i="13"/>
  <c r="X44" i="13" s="1"/>
  <c r="S45" i="13"/>
  <c r="X45" i="13" s="1"/>
  <c r="S46" i="13"/>
  <c r="X46" i="13" s="1"/>
  <c r="S47" i="13"/>
  <c r="X47" i="13" s="1"/>
  <c r="S48" i="13"/>
  <c r="X48" i="13" s="1"/>
  <c r="S49" i="13"/>
  <c r="X49" i="13" s="1"/>
  <c r="S50" i="13"/>
  <c r="X50" i="13" s="1"/>
  <c r="S51" i="13"/>
  <c r="X51" i="13" s="1"/>
  <c r="S52" i="13"/>
  <c r="X52" i="13" s="1"/>
  <c r="S53" i="13"/>
  <c r="X53" i="13" s="1"/>
  <c r="S54" i="13"/>
  <c r="X54" i="13" s="1"/>
  <c r="S55" i="13"/>
  <c r="X55" i="13" s="1"/>
  <c r="S56" i="13"/>
  <c r="X56" i="13" s="1"/>
  <c r="S57" i="13"/>
  <c r="X57" i="13" s="1"/>
  <c r="S58" i="13"/>
  <c r="X58" i="13" s="1"/>
  <c r="S59" i="13"/>
  <c r="X59" i="13" s="1"/>
  <c r="S60" i="13"/>
  <c r="X60" i="13" s="1"/>
  <c r="S61" i="13"/>
  <c r="X61" i="13" s="1"/>
  <c r="S62" i="13"/>
  <c r="X62" i="13" s="1"/>
  <c r="S63" i="13"/>
  <c r="X63" i="13" s="1"/>
  <c r="S64" i="13"/>
  <c r="X64" i="13" s="1"/>
  <c r="S65" i="13"/>
  <c r="X65" i="13" s="1"/>
  <c r="S66" i="13"/>
  <c r="X66" i="13" s="1"/>
  <c r="S67" i="13"/>
  <c r="X67" i="13" s="1"/>
  <c r="S68" i="13"/>
  <c r="X68" i="13" s="1"/>
  <c r="S69" i="13"/>
  <c r="X69" i="13" s="1"/>
  <c r="S70" i="13"/>
  <c r="X70" i="13" s="1"/>
  <c r="S71" i="13"/>
  <c r="X71" i="13" s="1"/>
  <c r="S72" i="13"/>
  <c r="X72" i="13" s="1"/>
  <c r="S73" i="13"/>
  <c r="X73" i="13" s="1"/>
  <c r="S74" i="13"/>
  <c r="X74" i="13" s="1"/>
  <c r="S75" i="13"/>
  <c r="X75" i="13" s="1"/>
  <c r="S76" i="13"/>
  <c r="X76" i="13" s="1"/>
  <c r="S77" i="13"/>
  <c r="X77" i="13" s="1"/>
  <c r="S78" i="13"/>
  <c r="X78" i="13" s="1"/>
  <c r="S79" i="13"/>
  <c r="X79" i="13" s="1"/>
  <c r="S80" i="13"/>
  <c r="X80" i="13" s="1"/>
  <c r="S81" i="13"/>
  <c r="X81" i="13" s="1"/>
  <c r="S82" i="13"/>
  <c r="X82" i="13" s="1"/>
  <c r="S83" i="13"/>
  <c r="X83" i="13" s="1"/>
  <c r="S84" i="13"/>
  <c r="X84" i="13" s="1"/>
  <c r="S85" i="13"/>
  <c r="X85" i="13" s="1"/>
  <c r="S86" i="13"/>
  <c r="X86" i="13" s="1"/>
  <c r="S87" i="13"/>
  <c r="X87" i="13" s="1"/>
  <c r="S88" i="13"/>
  <c r="X88" i="13" s="1"/>
  <c r="S89" i="13"/>
  <c r="X89" i="13" s="1"/>
  <c r="S90" i="13"/>
  <c r="X90" i="13" s="1"/>
  <c r="S91" i="13"/>
  <c r="X91" i="13" s="1"/>
  <c r="S92" i="13"/>
  <c r="X92" i="13" s="1"/>
  <c r="S93" i="13"/>
  <c r="X93" i="13" s="1"/>
  <c r="S94" i="13"/>
  <c r="X94" i="13" s="1"/>
  <c r="S95" i="13"/>
  <c r="X95" i="13" s="1"/>
  <c r="S96" i="13"/>
  <c r="X96" i="13" s="1"/>
  <c r="S97" i="13"/>
  <c r="X97" i="13" s="1"/>
  <c r="S98" i="13"/>
  <c r="X98" i="13" s="1"/>
  <c r="S99" i="13"/>
  <c r="X99" i="13" s="1"/>
  <c r="S100" i="13"/>
  <c r="X100" i="13" s="1"/>
  <c r="S101" i="13"/>
  <c r="X101" i="13" s="1"/>
  <c r="S102" i="13"/>
  <c r="X102" i="13" s="1"/>
  <c r="S103" i="13"/>
  <c r="X103" i="13" s="1"/>
  <c r="S104" i="13"/>
  <c r="X104" i="13" s="1"/>
  <c r="S105" i="13"/>
  <c r="X105" i="13" s="1"/>
  <c r="S106" i="13"/>
  <c r="X106" i="13" s="1"/>
  <c r="S107" i="13"/>
  <c r="X107" i="13" s="1"/>
  <c r="S108" i="13"/>
  <c r="X108" i="13" s="1"/>
  <c r="S109" i="13"/>
  <c r="X109" i="13" s="1"/>
  <c r="S110" i="13"/>
  <c r="X110" i="13" s="1"/>
  <c r="S111" i="13"/>
  <c r="X111" i="13" s="1"/>
  <c r="S112" i="13"/>
  <c r="X112" i="13" s="1"/>
  <c r="S113" i="13"/>
  <c r="X113" i="13" s="1"/>
  <c r="S114" i="13"/>
  <c r="X114" i="13" s="1"/>
  <c r="S115" i="13"/>
  <c r="X115" i="13" s="1"/>
  <c r="S116" i="13"/>
  <c r="X116" i="13" s="1"/>
  <c r="S117" i="13"/>
  <c r="X117" i="13" s="1"/>
  <c r="S118" i="13"/>
  <c r="X118" i="13" s="1"/>
  <c r="S119" i="13"/>
  <c r="X119" i="13" s="1"/>
  <c r="S120" i="13"/>
  <c r="X120" i="13" s="1"/>
  <c r="S121" i="13"/>
  <c r="X121" i="13" s="1"/>
  <c r="S122" i="13"/>
  <c r="X122" i="13" s="1"/>
  <c r="S123" i="13"/>
  <c r="X123" i="13" s="1"/>
  <c r="S124" i="13"/>
  <c r="X124" i="13" s="1"/>
  <c r="S125" i="13"/>
  <c r="X125" i="13" s="1"/>
  <c r="S126" i="13"/>
  <c r="X126" i="13" s="1"/>
  <c r="S127" i="13"/>
  <c r="X127" i="13" s="1"/>
  <c r="S128" i="13"/>
  <c r="X128" i="13" s="1"/>
  <c r="S129" i="13"/>
  <c r="X129" i="13" s="1"/>
  <c r="S130" i="13"/>
  <c r="X130" i="13" s="1"/>
  <c r="S131" i="13"/>
  <c r="X131" i="13" s="1"/>
  <c r="S132" i="13"/>
  <c r="X132" i="13" s="1"/>
  <c r="S133" i="13"/>
  <c r="X133" i="13" s="1"/>
  <c r="S134" i="13"/>
  <c r="X134" i="13" s="1"/>
  <c r="S135" i="13"/>
  <c r="X135" i="13" s="1"/>
  <c r="S136" i="13"/>
  <c r="X136" i="13" s="1"/>
  <c r="S137" i="13"/>
  <c r="X137" i="13" s="1"/>
  <c r="S138" i="13"/>
  <c r="X138" i="13" s="1"/>
  <c r="S139" i="13"/>
  <c r="X139" i="13" s="1"/>
  <c r="S140" i="13"/>
  <c r="X140" i="13" s="1"/>
  <c r="S141" i="13"/>
  <c r="X141" i="13" s="1"/>
  <c r="S142" i="13"/>
  <c r="X142" i="13" s="1"/>
  <c r="S143" i="13"/>
  <c r="X143" i="13" s="1"/>
  <c r="S144" i="13"/>
  <c r="X144" i="13" s="1"/>
  <c r="S145" i="13"/>
  <c r="X145" i="13" s="1"/>
  <c r="S146" i="13"/>
  <c r="X146" i="13" s="1"/>
  <c r="S147" i="13"/>
  <c r="X147" i="13" s="1"/>
  <c r="S148" i="13"/>
  <c r="X148" i="13" s="1"/>
  <c r="S149" i="13"/>
  <c r="X149" i="13" s="1"/>
  <c r="S150" i="13"/>
  <c r="X150" i="13" s="1"/>
  <c r="S151" i="13"/>
  <c r="X151" i="13" s="1"/>
  <c r="S152" i="13"/>
  <c r="X152" i="13" s="1"/>
  <c r="S153" i="13"/>
  <c r="X153" i="13" s="1"/>
  <c r="S154" i="13"/>
  <c r="X154" i="13" s="1"/>
  <c r="S155" i="13"/>
  <c r="X155" i="13" s="1"/>
  <c r="S156" i="13"/>
  <c r="X156" i="13" s="1"/>
  <c r="S157" i="13"/>
  <c r="X157" i="13" s="1"/>
  <c r="S158" i="13"/>
  <c r="X158" i="13" s="1"/>
  <c r="S159" i="13"/>
  <c r="X159" i="13" s="1"/>
  <c r="S160" i="13"/>
  <c r="X160" i="13" s="1"/>
  <c r="S161" i="13"/>
  <c r="X161" i="13" s="1"/>
  <c r="S162" i="13"/>
  <c r="X162" i="13" s="1"/>
  <c r="S163" i="13"/>
  <c r="X163" i="13" s="1"/>
  <c r="S164" i="13"/>
  <c r="X164" i="13" s="1"/>
  <c r="S165" i="13"/>
  <c r="X165" i="13" s="1"/>
  <c r="S166" i="13"/>
  <c r="X166" i="13" s="1"/>
  <c r="S167" i="13"/>
  <c r="X167" i="13" s="1"/>
  <c r="S168" i="13"/>
  <c r="X168" i="13" s="1"/>
  <c r="S169" i="13"/>
  <c r="X169" i="13" s="1"/>
  <c r="S170" i="13"/>
  <c r="X170" i="13" s="1"/>
  <c r="S171" i="13"/>
  <c r="X171" i="13" s="1"/>
  <c r="S172" i="13"/>
  <c r="X172" i="13" s="1"/>
  <c r="S173" i="13"/>
  <c r="X173" i="13" s="1"/>
  <c r="S174" i="13"/>
  <c r="X174" i="13" s="1"/>
  <c r="S175" i="13"/>
  <c r="X175" i="13" s="1"/>
  <c r="S176" i="13"/>
  <c r="X176" i="13" s="1"/>
  <c r="S177" i="13"/>
  <c r="X177" i="13" s="1"/>
  <c r="S178" i="13"/>
  <c r="X178" i="13" s="1"/>
  <c r="S179" i="13"/>
  <c r="X179" i="13" s="1"/>
  <c r="S180" i="13"/>
  <c r="X180" i="13" s="1"/>
  <c r="S181" i="13"/>
  <c r="X181" i="13" s="1"/>
  <c r="S182" i="13"/>
  <c r="X182" i="13" s="1"/>
  <c r="S183" i="13"/>
  <c r="X183" i="13" s="1"/>
  <c r="S184" i="13"/>
  <c r="X184" i="13" s="1"/>
  <c r="S185" i="13"/>
  <c r="X185" i="13" s="1"/>
  <c r="S186" i="13"/>
  <c r="X186" i="13" s="1"/>
  <c r="S187" i="13"/>
  <c r="X187" i="13" s="1"/>
  <c r="S188" i="13"/>
  <c r="X188" i="13" s="1"/>
  <c r="S189" i="13"/>
  <c r="X189" i="13" s="1"/>
  <c r="S190" i="13"/>
  <c r="X190" i="13" s="1"/>
  <c r="S191" i="13"/>
  <c r="X191" i="13" s="1"/>
  <c r="S192" i="13"/>
  <c r="X192" i="13" s="1"/>
  <c r="S193" i="13"/>
  <c r="X193" i="13" s="1"/>
  <c r="S194" i="13"/>
  <c r="X194" i="13" s="1"/>
  <c r="S195" i="13"/>
  <c r="X195" i="13" s="1"/>
  <c r="S196" i="13"/>
  <c r="X196" i="13" s="1"/>
  <c r="S197" i="13"/>
  <c r="X197" i="13" s="1"/>
  <c r="S198" i="13"/>
  <c r="X198" i="13" s="1"/>
  <c r="S199" i="13"/>
  <c r="X199" i="13" s="1"/>
  <c r="S200" i="13"/>
  <c r="X200" i="13" s="1"/>
  <c r="S201" i="13"/>
  <c r="X201" i="13" s="1"/>
  <c r="S202" i="13"/>
  <c r="X202" i="13" s="1"/>
  <c r="S203" i="13"/>
  <c r="X203" i="13" s="1"/>
  <c r="S204" i="13"/>
  <c r="X204" i="13" s="1"/>
  <c r="S205" i="13"/>
  <c r="X205" i="13" s="1"/>
  <c r="S206" i="13"/>
  <c r="X206" i="13" s="1"/>
  <c r="S207" i="13"/>
  <c r="X207" i="13" s="1"/>
  <c r="S208" i="13"/>
  <c r="X208" i="13" s="1"/>
  <c r="S209" i="13"/>
  <c r="X209" i="13" s="1"/>
  <c r="S210" i="13"/>
  <c r="X210" i="13" s="1"/>
  <c r="S211" i="13"/>
  <c r="X211" i="13" s="1"/>
  <c r="S212" i="13"/>
  <c r="X212" i="13" s="1"/>
  <c r="S213" i="13"/>
  <c r="X213" i="13" s="1"/>
  <c r="S214" i="13"/>
  <c r="X214" i="13" s="1"/>
  <c r="S215" i="13"/>
  <c r="X215" i="13" s="1"/>
  <c r="S216" i="13"/>
  <c r="X216" i="13" s="1"/>
  <c r="S217" i="13"/>
  <c r="X217" i="13" s="1"/>
  <c r="S218" i="13"/>
  <c r="X218" i="13" s="1"/>
  <c r="S219" i="13"/>
  <c r="X219" i="13" s="1"/>
  <c r="S220" i="13"/>
  <c r="X220" i="13" s="1"/>
  <c r="S221" i="13"/>
  <c r="X221" i="13" s="1"/>
  <c r="S222" i="13"/>
  <c r="X222" i="13" s="1"/>
  <c r="S223" i="13"/>
  <c r="X223" i="13" s="1"/>
  <c r="S224" i="13"/>
  <c r="X224" i="13" s="1"/>
  <c r="S225" i="13"/>
  <c r="X225" i="13" s="1"/>
  <c r="S226" i="13"/>
  <c r="X226" i="13" s="1"/>
  <c r="S227" i="13"/>
  <c r="X227" i="13" s="1"/>
  <c r="S228" i="13"/>
  <c r="X228" i="13" s="1"/>
  <c r="S229" i="13"/>
  <c r="X229" i="13" s="1"/>
  <c r="S230" i="13"/>
  <c r="X230" i="13" s="1"/>
  <c r="S231" i="13"/>
  <c r="X231" i="13" s="1"/>
  <c r="Q4" i="13"/>
  <c r="Q5" i="13"/>
  <c r="Q6" i="13"/>
  <c r="Q7" i="13"/>
  <c r="Q8" i="13"/>
  <c r="Q9" i="13"/>
  <c r="Q10" i="13"/>
  <c r="Q11" i="13"/>
  <c r="Q12" i="13"/>
  <c r="Q13" i="13"/>
  <c r="Q14" i="13"/>
  <c r="Q15" i="13"/>
  <c r="Q16" i="13"/>
  <c r="Q17" i="13"/>
  <c r="Q18" i="13"/>
  <c r="Q19" i="13"/>
  <c r="Q20" i="13"/>
  <c r="Q21" i="13"/>
  <c r="Q22" i="13"/>
  <c r="Q23" i="13"/>
  <c r="Q24" i="13"/>
  <c r="Q25" i="13"/>
  <c r="Q26" i="13"/>
  <c r="Q27" i="13"/>
  <c r="Q28" i="13"/>
  <c r="Q29" i="13"/>
  <c r="Q30" i="13"/>
  <c r="Q31" i="13"/>
  <c r="Q32" i="13"/>
  <c r="Q33" i="13"/>
  <c r="Q34" i="13"/>
  <c r="Q35" i="13"/>
  <c r="Q36" i="13"/>
  <c r="Q37" i="13"/>
  <c r="Q38" i="13"/>
  <c r="Q39" i="13"/>
  <c r="Q40" i="13"/>
  <c r="Q41" i="13"/>
  <c r="Q42" i="13"/>
  <c r="Q43" i="13"/>
  <c r="Q44" i="13"/>
  <c r="Q45" i="13"/>
  <c r="Q46" i="13"/>
  <c r="Q47" i="13"/>
  <c r="Q48" i="13"/>
  <c r="Q49" i="13"/>
  <c r="Q50" i="13"/>
  <c r="Q51" i="13"/>
  <c r="Q52" i="13"/>
  <c r="Q53" i="13"/>
  <c r="Q54" i="13"/>
  <c r="Q55" i="13"/>
  <c r="Q56" i="13"/>
  <c r="Q57" i="13"/>
  <c r="Q58" i="13"/>
  <c r="Q59" i="13"/>
  <c r="Q60" i="13"/>
  <c r="Q61" i="13"/>
  <c r="Q62" i="13"/>
  <c r="Q63" i="13"/>
  <c r="Q64" i="13"/>
  <c r="Q65" i="13"/>
  <c r="Q66" i="13"/>
  <c r="Q67" i="13"/>
  <c r="Q68" i="13"/>
  <c r="Q69" i="13"/>
  <c r="Q70" i="13"/>
  <c r="Q71" i="13"/>
  <c r="Q72" i="13"/>
  <c r="Q73" i="13"/>
  <c r="Q74" i="13"/>
  <c r="Q75" i="13"/>
  <c r="Q76" i="13"/>
  <c r="Q77" i="13"/>
  <c r="Q78" i="13"/>
  <c r="Q79" i="13"/>
  <c r="Q80" i="13"/>
  <c r="Q81" i="13"/>
  <c r="Q82" i="13"/>
  <c r="Q83" i="13"/>
  <c r="Q84" i="13"/>
  <c r="Q85" i="13"/>
  <c r="Q86" i="13"/>
  <c r="Q87" i="13"/>
  <c r="Q88" i="13"/>
  <c r="Q89" i="13"/>
  <c r="Q90" i="13"/>
  <c r="Q91" i="13"/>
  <c r="Q92" i="13"/>
  <c r="Q93" i="13"/>
  <c r="Q94" i="13"/>
  <c r="Q95" i="13"/>
  <c r="Q96" i="13"/>
  <c r="Q97" i="13"/>
  <c r="Q98" i="13"/>
  <c r="Q99" i="13"/>
  <c r="Q100" i="13"/>
  <c r="Q101" i="13"/>
  <c r="Q102" i="13"/>
  <c r="Q103" i="13"/>
  <c r="Q104" i="13"/>
  <c r="Q105" i="13"/>
  <c r="Q106" i="13"/>
  <c r="Q107" i="13"/>
  <c r="Q108" i="13"/>
  <c r="Q109" i="13"/>
  <c r="Q110" i="13"/>
  <c r="Q111" i="13"/>
  <c r="Q112" i="13"/>
  <c r="Q113" i="13"/>
  <c r="Q114" i="13"/>
  <c r="Q115" i="13"/>
  <c r="Q116" i="13"/>
  <c r="Q117" i="13"/>
  <c r="Q118" i="13"/>
  <c r="Q119" i="13"/>
  <c r="Q120" i="13"/>
  <c r="Q121" i="13"/>
  <c r="Q122" i="13"/>
  <c r="Q123" i="13"/>
  <c r="Q124" i="13"/>
  <c r="Q125" i="13"/>
  <c r="Q126" i="13"/>
  <c r="Q127" i="13"/>
  <c r="Q128" i="13"/>
  <c r="Q129" i="13"/>
  <c r="Q130" i="13"/>
  <c r="Q131" i="13"/>
  <c r="Q132" i="13"/>
  <c r="Q133" i="13"/>
  <c r="Q134" i="13"/>
  <c r="Q135" i="13"/>
  <c r="Q136" i="13"/>
  <c r="Q137" i="13"/>
  <c r="Q138" i="13"/>
  <c r="Q139" i="13"/>
  <c r="Q140" i="13"/>
  <c r="Q141" i="13"/>
  <c r="Q142" i="13"/>
  <c r="Q143" i="13"/>
  <c r="Q144" i="13"/>
  <c r="Q145" i="13"/>
  <c r="Q146" i="13"/>
  <c r="Q147" i="13"/>
  <c r="Q148" i="13"/>
  <c r="Q149" i="13"/>
  <c r="Q150" i="13"/>
  <c r="Q151" i="13"/>
  <c r="Q152" i="13"/>
  <c r="Q153" i="13"/>
  <c r="Q154" i="13"/>
  <c r="Q155" i="13"/>
  <c r="Q156" i="13"/>
  <c r="Q157" i="13"/>
  <c r="Q158" i="13"/>
  <c r="Q159" i="13"/>
  <c r="Q160" i="13"/>
  <c r="Q161" i="13"/>
  <c r="Q162" i="13"/>
  <c r="Q163" i="13"/>
  <c r="Q164" i="13"/>
  <c r="Q165" i="13"/>
  <c r="Q166" i="13"/>
  <c r="Q167" i="13"/>
  <c r="Q168" i="13"/>
  <c r="Q169" i="13"/>
  <c r="Q170" i="13"/>
  <c r="Q171" i="13"/>
  <c r="Q172" i="13"/>
  <c r="Q173" i="13"/>
  <c r="Q174" i="13"/>
  <c r="Q175" i="13"/>
  <c r="Q176" i="13"/>
  <c r="Q177" i="13"/>
  <c r="Q178" i="13"/>
  <c r="Q179" i="13"/>
  <c r="Q180" i="13"/>
  <c r="Q181" i="13"/>
  <c r="Q182" i="13"/>
  <c r="Q183" i="13"/>
  <c r="Q184" i="13"/>
  <c r="Q185" i="13"/>
  <c r="Q186" i="13"/>
  <c r="Q187" i="13"/>
  <c r="Q188" i="13"/>
  <c r="Q189" i="13"/>
  <c r="Q190" i="13"/>
  <c r="Q191" i="13"/>
  <c r="Q192" i="13"/>
  <c r="Q193" i="13"/>
  <c r="Q194" i="13"/>
  <c r="Q195" i="13"/>
  <c r="Q196" i="13"/>
  <c r="Q197" i="13"/>
  <c r="Q198" i="13"/>
  <c r="Q199" i="13"/>
  <c r="Q200" i="13"/>
  <c r="Q201" i="13"/>
  <c r="Q202" i="13"/>
  <c r="Q203" i="13"/>
  <c r="Q204" i="13"/>
  <c r="Q205" i="13"/>
  <c r="Q206" i="13"/>
  <c r="Q207" i="13"/>
  <c r="Q208" i="13"/>
  <c r="Q209" i="13"/>
  <c r="Q210" i="13"/>
  <c r="Q211" i="13"/>
  <c r="Q212" i="13"/>
  <c r="Q213" i="13"/>
  <c r="Q214" i="13"/>
  <c r="Q215" i="13"/>
  <c r="Q216" i="13"/>
  <c r="Q217" i="13"/>
  <c r="Q218" i="13"/>
  <c r="Q219" i="13"/>
  <c r="Q220" i="13"/>
  <c r="Q221" i="13"/>
  <c r="Q222" i="13"/>
  <c r="Q223" i="13"/>
  <c r="Q224" i="13"/>
  <c r="Q225" i="13"/>
  <c r="Q226" i="13"/>
  <c r="Q227" i="13"/>
  <c r="Q228" i="13"/>
  <c r="Q229" i="13"/>
  <c r="Q230" i="13"/>
  <c r="Q231" i="13"/>
  <c r="O4" i="13"/>
  <c r="O5" i="13"/>
  <c r="O6" i="13"/>
  <c r="O7" i="13"/>
  <c r="O8" i="13"/>
  <c r="O9" i="13"/>
  <c r="O10" i="13"/>
  <c r="O11" i="13"/>
  <c r="O12" i="13"/>
  <c r="O13" i="13"/>
  <c r="O14" i="13"/>
  <c r="O15" i="13"/>
  <c r="O16" i="13"/>
  <c r="O17" i="13"/>
  <c r="O18" i="13"/>
  <c r="O19" i="13"/>
  <c r="O20" i="13"/>
  <c r="O21" i="13"/>
  <c r="O22" i="13"/>
  <c r="O23" i="13"/>
  <c r="O24" i="13"/>
  <c r="O25" i="13"/>
  <c r="O26" i="13"/>
  <c r="O27" i="13"/>
  <c r="O28" i="13"/>
  <c r="O29" i="13"/>
  <c r="O30" i="13"/>
  <c r="O31" i="13"/>
  <c r="O32" i="13"/>
  <c r="O33" i="13"/>
  <c r="O34" i="13"/>
  <c r="O35" i="13"/>
  <c r="O36" i="13"/>
  <c r="O37" i="13"/>
  <c r="O38" i="13"/>
  <c r="O39" i="13"/>
  <c r="O40" i="13"/>
  <c r="O41" i="13"/>
  <c r="O42" i="13"/>
  <c r="O43" i="13"/>
  <c r="O44" i="13"/>
  <c r="O45" i="13"/>
  <c r="O46" i="13"/>
  <c r="O47" i="13"/>
  <c r="O48" i="13"/>
  <c r="O49" i="13"/>
  <c r="O50" i="13"/>
  <c r="O51" i="13"/>
  <c r="O52" i="13"/>
  <c r="O53" i="13"/>
  <c r="O54" i="13"/>
  <c r="O55" i="13"/>
  <c r="O56" i="13"/>
  <c r="O57" i="13"/>
  <c r="O58" i="13"/>
  <c r="O59" i="13"/>
  <c r="O60" i="13"/>
  <c r="O61" i="13"/>
  <c r="O62" i="13"/>
  <c r="O63" i="13"/>
  <c r="O64" i="13"/>
  <c r="O65" i="13"/>
  <c r="O66" i="13"/>
  <c r="O67" i="13"/>
  <c r="O68" i="13"/>
  <c r="O69" i="13"/>
  <c r="O70" i="13"/>
  <c r="O71" i="13"/>
  <c r="O72" i="13"/>
  <c r="O73" i="13"/>
  <c r="O74" i="13"/>
  <c r="O75" i="13"/>
  <c r="O76" i="13"/>
  <c r="O77" i="13"/>
  <c r="O78" i="13"/>
  <c r="O79" i="13"/>
  <c r="O80" i="13"/>
  <c r="O81" i="13"/>
  <c r="O82" i="13"/>
  <c r="O83" i="13"/>
  <c r="O84" i="13"/>
  <c r="O85" i="13"/>
  <c r="O86" i="13"/>
  <c r="O87" i="13"/>
  <c r="O88" i="13"/>
  <c r="O89" i="13"/>
  <c r="O90" i="13"/>
  <c r="O91" i="13"/>
  <c r="O92" i="13"/>
  <c r="O93" i="13"/>
  <c r="O94" i="13"/>
  <c r="O95" i="13"/>
  <c r="O96" i="13"/>
  <c r="O97" i="13"/>
  <c r="O98" i="13"/>
  <c r="O99" i="13"/>
  <c r="O100" i="13"/>
  <c r="O101" i="13"/>
  <c r="O102" i="13"/>
  <c r="O103" i="13"/>
  <c r="O104" i="13"/>
  <c r="O105" i="13"/>
  <c r="O106" i="13"/>
  <c r="O107" i="13"/>
  <c r="O108" i="13"/>
  <c r="O109" i="13"/>
  <c r="O110" i="13"/>
  <c r="O111" i="13"/>
  <c r="O112" i="13"/>
  <c r="O113" i="13"/>
  <c r="O114" i="13"/>
  <c r="O115" i="13"/>
  <c r="O116" i="13"/>
  <c r="O117" i="13"/>
  <c r="O118" i="13"/>
  <c r="O119" i="13"/>
  <c r="O120" i="13"/>
  <c r="O121" i="13"/>
  <c r="O122" i="13"/>
  <c r="O123" i="13"/>
  <c r="O124" i="13"/>
  <c r="O125" i="13"/>
  <c r="O126" i="13"/>
  <c r="O127" i="13"/>
  <c r="O128" i="13"/>
  <c r="O129" i="13"/>
  <c r="O130" i="13"/>
  <c r="O131" i="13"/>
  <c r="O132" i="13"/>
  <c r="O133" i="13"/>
  <c r="O134" i="13"/>
  <c r="O135" i="13"/>
  <c r="O136" i="13"/>
  <c r="O137" i="13"/>
  <c r="O138" i="13"/>
  <c r="O139" i="13"/>
  <c r="O140" i="13"/>
  <c r="O141" i="13"/>
  <c r="O142" i="13"/>
  <c r="O143" i="13"/>
  <c r="O144" i="13"/>
  <c r="O145" i="13"/>
  <c r="O146" i="13"/>
  <c r="O147" i="13"/>
  <c r="O148" i="13"/>
  <c r="O149" i="13"/>
  <c r="O150" i="13"/>
  <c r="O151" i="13"/>
  <c r="O152" i="13"/>
  <c r="O153" i="13"/>
  <c r="O154" i="13"/>
  <c r="O155" i="13"/>
  <c r="O156" i="13"/>
  <c r="O157" i="13"/>
  <c r="O158" i="13"/>
  <c r="O159" i="13"/>
  <c r="O160" i="13"/>
  <c r="O161" i="13"/>
  <c r="O162" i="13"/>
  <c r="O163" i="13"/>
  <c r="O164" i="13"/>
  <c r="O165" i="13"/>
  <c r="O166" i="13"/>
  <c r="O167" i="13"/>
  <c r="O168" i="13"/>
  <c r="O169" i="13"/>
  <c r="O170" i="13"/>
  <c r="O171" i="13"/>
  <c r="O172" i="13"/>
  <c r="O173" i="13"/>
  <c r="O174" i="13"/>
  <c r="O175" i="13"/>
  <c r="O176" i="13"/>
  <c r="O177" i="13"/>
  <c r="O178" i="13"/>
  <c r="O179" i="13"/>
  <c r="O180" i="13"/>
  <c r="O181" i="13"/>
  <c r="O182" i="13"/>
  <c r="O183" i="13"/>
  <c r="O184" i="13"/>
  <c r="O185" i="13"/>
  <c r="O186" i="13"/>
  <c r="O187" i="13"/>
  <c r="O188" i="13"/>
  <c r="O189" i="13"/>
  <c r="O190" i="13"/>
  <c r="O191" i="13"/>
  <c r="O192" i="13"/>
  <c r="O193" i="13"/>
  <c r="O194" i="13"/>
  <c r="O195" i="13"/>
  <c r="O196" i="13"/>
  <c r="O197" i="13"/>
  <c r="O198" i="13"/>
  <c r="O199" i="13"/>
  <c r="O200" i="13"/>
  <c r="O201" i="13"/>
  <c r="O202" i="13"/>
  <c r="O203" i="13"/>
  <c r="O204" i="13"/>
  <c r="O205" i="13"/>
  <c r="O206" i="13"/>
  <c r="O207" i="13"/>
  <c r="O208" i="13"/>
  <c r="O209" i="13"/>
  <c r="O210" i="13"/>
  <c r="O211" i="13"/>
  <c r="O212" i="13"/>
  <c r="O213" i="13"/>
  <c r="O214" i="13"/>
  <c r="O215" i="13"/>
  <c r="O216" i="13"/>
  <c r="O217" i="13"/>
  <c r="O218" i="13"/>
  <c r="O219" i="13"/>
  <c r="O220" i="13"/>
  <c r="O221" i="13"/>
  <c r="O222" i="13"/>
  <c r="O223" i="13"/>
  <c r="O224" i="13"/>
  <c r="O225" i="13"/>
  <c r="O226" i="13"/>
  <c r="O227" i="13"/>
  <c r="O228" i="13"/>
  <c r="O229" i="13"/>
  <c r="O230" i="13"/>
  <c r="O231" i="13"/>
  <c r="N4" i="13"/>
  <c r="N5" i="13"/>
  <c r="N6" i="13"/>
  <c r="N7" i="13"/>
  <c r="N8" i="13"/>
  <c r="R8" i="13" s="1"/>
  <c r="N9" i="13"/>
  <c r="N10" i="13"/>
  <c r="N11" i="13"/>
  <c r="N12" i="13"/>
  <c r="N13" i="13"/>
  <c r="N14" i="13"/>
  <c r="N15" i="13"/>
  <c r="N16" i="13"/>
  <c r="R16" i="13" s="1"/>
  <c r="N17" i="13"/>
  <c r="N18" i="13"/>
  <c r="N19" i="13"/>
  <c r="N20" i="13"/>
  <c r="N21" i="13"/>
  <c r="N22" i="13"/>
  <c r="N23" i="13"/>
  <c r="N24" i="13"/>
  <c r="R24" i="13" s="1"/>
  <c r="N25" i="13"/>
  <c r="N26" i="13"/>
  <c r="N27" i="13"/>
  <c r="N28" i="13"/>
  <c r="N29" i="13"/>
  <c r="N30" i="13"/>
  <c r="N31" i="13"/>
  <c r="N32" i="13"/>
  <c r="R32" i="13" s="1"/>
  <c r="N33" i="13"/>
  <c r="N34" i="13"/>
  <c r="N35" i="13"/>
  <c r="N36" i="13"/>
  <c r="N37" i="13"/>
  <c r="N38" i="13"/>
  <c r="N39" i="13"/>
  <c r="N40" i="13"/>
  <c r="R40" i="13" s="1"/>
  <c r="N41" i="13"/>
  <c r="N42" i="13"/>
  <c r="N43" i="13"/>
  <c r="N44" i="13"/>
  <c r="N45" i="13"/>
  <c r="N46" i="13"/>
  <c r="N47" i="13"/>
  <c r="N48" i="13"/>
  <c r="R48" i="13" s="1"/>
  <c r="N49" i="13"/>
  <c r="N50" i="13"/>
  <c r="N51" i="13"/>
  <c r="N52" i="13"/>
  <c r="N53" i="13"/>
  <c r="N54" i="13"/>
  <c r="N55" i="13"/>
  <c r="N56" i="13"/>
  <c r="R56" i="13" s="1"/>
  <c r="N57" i="13"/>
  <c r="N58" i="13"/>
  <c r="N59" i="13"/>
  <c r="N60" i="13"/>
  <c r="N61" i="13"/>
  <c r="N62" i="13"/>
  <c r="N63" i="13"/>
  <c r="N64" i="13"/>
  <c r="R64" i="13" s="1"/>
  <c r="N65" i="13"/>
  <c r="N66" i="13"/>
  <c r="N67" i="13"/>
  <c r="N68" i="13"/>
  <c r="N69" i="13"/>
  <c r="N70" i="13"/>
  <c r="N71" i="13"/>
  <c r="N72" i="13"/>
  <c r="R72" i="13" s="1"/>
  <c r="N73" i="13"/>
  <c r="N74" i="13"/>
  <c r="N75" i="13"/>
  <c r="N76" i="13"/>
  <c r="N77" i="13"/>
  <c r="N78" i="13"/>
  <c r="N79" i="13"/>
  <c r="N80" i="13"/>
  <c r="R80" i="13" s="1"/>
  <c r="N81" i="13"/>
  <c r="N82" i="13"/>
  <c r="N83" i="13"/>
  <c r="N84" i="13"/>
  <c r="N85" i="13"/>
  <c r="N86" i="13"/>
  <c r="N87" i="13"/>
  <c r="N88" i="13"/>
  <c r="R88" i="13" s="1"/>
  <c r="N89" i="13"/>
  <c r="N90" i="13"/>
  <c r="N91" i="13"/>
  <c r="N92" i="13"/>
  <c r="N93" i="13"/>
  <c r="N94" i="13"/>
  <c r="N95" i="13"/>
  <c r="N96" i="13"/>
  <c r="R96" i="13" s="1"/>
  <c r="N97" i="13"/>
  <c r="N98" i="13"/>
  <c r="N99" i="13"/>
  <c r="N100" i="13"/>
  <c r="N101" i="13"/>
  <c r="N102" i="13"/>
  <c r="N103" i="13"/>
  <c r="N104" i="13"/>
  <c r="R104" i="13" s="1"/>
  <c r="N105" i="13"/>
  <c r="N106" i="13"/>
  <c r="N107" i="13"/>
  <c r="N108" i="13"/>
  <c r="N109" i="13"/>
  <c r="N110" i="13"/>
  <c r="N111" i="13"/>
  <c r="N112" i="13"/>
  <c r="R112" i="13" s="1"/>
  <c r="N113" i="13"/>
  <c r="N114" i="13"/>
  <c r="N115" i="13"/>
  <c r="N116" i="13"/>
  <c r="N117" i="13"/>
  <c r="N118" i="13"/>
  <c r="N119" i="13"/>
  <c r="N120" i="13"/>
  <c r="R120" i="13" s="1"/>
  <c r="N121" i="13"/>
  <c r="N122" i="13"/>
  <c r="N123" i="13"/>
  <c r="N124" i="13"/>
  <c r="N125" i="13"/>
  <c r="N126" i="13"/>
  <c r="N127" i="13"/>
  <c r="N128" i="13"/>
  <c r="R128" i="13" s="1"/>
  <c r="N129" i="13"/>
  <c r="N130" i="13"/>
  <c r="N131" i="13"/>
  <c r="N132" i="13"/>
  <c r="N133" i="13"/>
  <c r="N134" i="13"/>
  <c r="N135" i="13"/>
  <c r="N136" i="13"/>
  <c r="R136" i="13" s="1"/>
  <c r="N137" i="13"/>
  <c r="N138" i="13"/>
  <c r="N139" i="13"/>
  <c r="N140" i="13"/>
  <c r="N141" i="13"/>
  <c r="N142" i="13"/>
  <c r="N143" i="13"/>
  <c r="N144" i="13"/>
  <c r="R144" i="13" s="1"/>
  <c r="N145" i="13"/>
  <c r="N146" i="13"/>
  <c r="N147" i="13"/>
  <c r="N148" i="13"/>
  <c r="N149" i="13"/>
  <c r="N150" i="13"/>
  <c r="N151" i="13"/>
  <c r="N152" i="13"/>
  <c r="R152" i="13" s="1"/>
  <c r="N153" i="13"/>
  <c r="N154" i="13"/>
  <c r="N155" i="13"/>
  <c r="N156" i="13"/>
  <c r="N157" i="13"/>
  <c r="N158" i="13"/>
  <c r="N159" i="13"/>
  <c r="N160" i="13"/>
  <c r="R160" i="13" s="1"/>
  <c r="N161" i="13"/>
  <c r="N162" i="13"/>
  <c r="N163" i="13"/>
  <c r="N164" i="13"/>
  <c r="N165" i="13"/>
  <c r="N166" i="13"/>
  <c r="N167" i="13"/>
  <c r="N168" i="13"/>
  <c r="R168" i="13" s="1"/>
  <c r="N169" i="13"/>
  <c r="N170" i="13"/>
  <c r="N171" i="13"/>
  <c r="N172" i="13"/>
  <c r="N173" i="13"/>
  <c r="N174" i="13"/>
  <c r="N175" i="13"/>
  <c r="N176" i="13"/>
  <c r="R176" i="13" s="1"/>
  <c r="N177" i="13"/>
  <c r="N178" i="13"/>
  <c r="N179" i="13"/>
  <c r="N180" i="13"/>
  <c r="N181" i="13"/>
  <c r="N182" i="13"/>
  <c r="N183" i="13"/>
  <c r="N184" i="13"/>
  <c r="R184" i="13" s="1"/>
  <c r="N185" i="13"/>
  <c r="N186" i="13"/>
  <c r="N187" i="13"/>
  <c r="N188" i="13"/>
  <c r="N189" i="13"/>
  <c r="N190" i="13"/>
  <c r="N191" i="13"/>
  <c r="N192" i="13"/>
  <c r="R192" i="13" s="1"/>
  <c r="N193" i="13"/>
  <c r="N194" i="13"/>
  <c r="N195" i="13"/>
  <c r="N196" i="13"/>
  <c r="N197" i="13"/>
  <c r="N198" i="13"/>
  <c r="N199" i="13"/>
  <c r="N200" i="13"/>
  <c r="R200" i="13" s="1"/>
  <c r="N201" i="13"/>
  <c r="N202" i="13"/>
  <c r="N203" i="13"/>
  <c r="N204" i="13"/>
  <c r="N205" i="13"/>
  <c r="N206" i="13"/>
  <c r="N207" i="13"/>
  <c r="N208" i="13"/>
  <c r="R208" i="13" s="1"/>
  <c r="N209" i="13"/>
  <c r="N210" i="13"/>
  <c r="N211" i="13"/>
  <c r="N212" i="13"/>
  <c r="N213" i="13"/>
  <c r="N214" i="13"/>
  <c r="N215" i="13"/>
  <c r="N216" i="13"/>
  <c r="R216" i="13" s="1"/>
  <c r="N217" i="13"/>
  <c r="N218" i="13"/>
  <c r="N219" i="13"/>
  <c r="N220" i="13"/>
  <c r="N221" i="13"/>
  <c r="N222" i="13"/>
  <c r="N223" i="13"/>
  <c r="N224" i="13"/>
  <c r="R224" i="13" s="1"/>
  <c r="N225" i="13"/>
  <c r="N226" i="13"/>
  <c r="N227" i="13"/>
  <c r="N228" i="13"/>
  <c r="N229" i="13"/>
  <c r="N230" i="13"/>
  <c r="N231" i="13"/>
  <c r="M4" i="13"/>
  <c r="M5" i="13"/>
  <c r="M6" i="13"/>
  <c r="M7" i="13"/>
  <c r="M8" i="13"/>
  <c r="M9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30" i="13"/>
  <c r="M31" i="13"/>
  <c r="M32" i="13"/>
  <c r="M33" i="13"/>
  <c r="M34" i="13"/>
  <c r="M35" i="13"/>
  <c r="M36" i="13"/>
  <c r="M37" i="13"/>
  <c r="M38" i="13"/>
  <c r="M39" i="13"/>
  <c r="M40" i="13"/>
  <c r="M41" i="13"/>
  <c r="M42" i="13"/>
  <c r="M43" i="13"/>
  <c r="M44" i="13"/>
  <c r="M45" i="13"/>
  <c r="M46" i="13"/>
  <c r="M47" i="13"/>
  <c r="M48" i="13"/>
  <c r="M49" i="13"/>
  <c r="M50" i="13"/>
  <c r="M51" i="13"/>
  <c r="M52" i="13"/>
  <c r="M53" i="13"/>
  <c r="M54" i="13"/>
  <c r="M55" i="13"/>
  <c r="M56" i="13"/>
  <c r="M57" i="13"/>
  <c r="M58" i="13"/>
  <c r="M59" i="13"/>
  <c r="M60" i="13"/>
  <c r="M61" i="13"/>
  <c r="M62" i="13"/>
  <c r="M63" i="13"/>
  <c r="M64" i="13"/>
  <c r="M65" i="13"/>
  <c r="M66" i="13"/>
  <c r="M67" i="13"/>
  <c r="M68" i="13"/>
  <c r="M69" i="13"/>
  <c r="M70" i="13"/>
  <c r="M71" i="13"/>
  <c r="M72" i="13"/>
  <c r="M73" i="13"/>
  <c r="M74" i="13"/>
  <c r="M75" i="13"/>
  <c r="M76" i="13"/>
  <c r="M77" i="13"/>
  <c r="M78" i="13"/>
  <c r="M79" i="13"/>
  <c r="M80" i="13"/>
  <c r="M81" i="13"/>
  <c r="M82" i="13"/>
  <c r="M83" i="13"/>
  <c r="M84" i="13"/>
  <c r="M85" i="13"/>
  <c r="M86" i="13"/>
  <c r="M87" i="13"/>
  <c r="M88" i="13"/>
  <c r="M89" i="13"/>
  <c r="M90" i="13"/>
  <c r="M91" i="13"/>
  <c r="M92" i="13"/>
  <c r="M93" i="13"/>
  <c r="M94" i="13"/>
  <c r="M95" i="13"/>
  <c r="M96" i="13"/>
  <c r="M97" i="13"/>
  <c r="M98" i="13"/>
  <c r="M99" i="13"/>
  <c r="M100" i="13"/>
  <c r="M101" i="13"/>
  <c r="M102" i="13"/>
  <c r="M103" i="13"/>
  <c r="M104" i="13"/>
  <c r="M105" i="13"/>
  <c r="M106" i="13"/>
  <c r="M107" i="13"/>
  <c r="M108" i="13"/>
  <c r="M109" i="13"/>
  <c r="M110" i="13"/>
  <c r="M111" i="13"/>
  <c r="M112" i="13"/>
  <c r="M113" i="13"/>
  <c r="M114" i="13"/>
  <c r="M115" i="13"/>
  <c r="M116" i="13"/>
  <c r="M117" i="13"/>
  <c r="M118" i="13"/>
  <c r="M119" i="13"/>
  <c r="M120" i="13"/>
  <c r="M121" i="13"/>
  <c r="M122" i="13"/>
  <c r="M123" i="13"/>
  <c r="M124" i="13"/>
  <c r="M125" i="13"/>
  <c r="M126" i="13"/>
  <c r="M127" i="13"/>
  <c r="M128" i="13"/>
  <c r="M129" i="13"/>
  <c r="M130" i="13"/>
  <c r="M131" i="13"/>
  <c r="M132" i="13"/>
  <c r="M133" i="13"/>
  <c r="M134" i="13"/>
  <c r="M135" i="13"/>
  <c r="M136" i="13"/>
  <c r="M137" i="13"/>
  <c r="M138" i="13"/>
  <c r="M139" i="13"/>
  <c r="M140" i="13"/>
  <c r="M141" i="13"/>
  <c r="M142" i="13"/>
  <c r="M143" i="13"/>
  <c r="M144" i="13"/>
  <c r="M145" i="13"/>
  <c r="M146" i="13"/>
  <c r="M147" i="13"/>
  <c r="M148" i="13"/>
  <c r="M149" i="13"/>
  <c r="M150" i="13"/>
  <c r="M151" i="13"/>
  <c r="M152" i="13"/>
  <c r="M153" i="13"/>
  <c r="M154" i="13"/>
  <c r="M155" i="13"/>
  <c r="M156" i="13"/>
  <c r="M157" i="13"/>
  <c r="M158" i="13"/>
  <c r="M159" i="13"/>
  <c r="M160" i="13"/>
  <c r="M161" i="13"/>
  <c r="M162" i="13"/>
  <c r="M163" i="13"/>
  <c r="M164" i="13"/>
  <c r="M165" i="13"/>
  <c r="M166" i="13"/>
  <c r="M167" i="13"/>
  <c r="M168" i="13"/>
  <c r="M169" i="13"/>
  <c r="M170" i="13"/>
  <c r="M171" i="13"/>
  <c r="M172" i="13"/>
  <c r="M173" i="13"/>
  <c r="M174" i="13"/>
  <c r="M175" i="13"/>
  <c r="M176" i="13"/>
  <c r="M177" i="13"/>
  <c r="M178" i="13"/>
  <c r="M179" i="13"/>
  <c r="M180" i="13"/>
  <c r="M181" i="13"/>
  <c r="M182" i="13"/>
  <c r="M183" i="13"/>
  <c r="M184" i="13"/>
  <c r="M185" i="13"/>
  <c r="M186" i="13"/>
  <c r="M187" i="13"/>
  <c r="M188" i="13"/>
  <c r="M189" i="13"/>
  <c r="M190" i="13"/>
  <c r="M191" i="13"/>
  <c r="M192" i="13"/>
  <c r="M193" i="13"/>
  <c r="M194" i="13"/>
  <c r="M195" i="13"/>
  <c r="M196" i="13"/>
  <c r="M197" i="13"/>
  <c r="M198" i="13"/>
  <c r="M199" i="13"/>
  <c r="M200" i="13"/>
  <c r="M201" i="13"/>
  <c r="M202" i="13"/>
  <c r="M203" i="13"/>
  <c r="M204" i="13"/>
  <c r="M205" i="13"/>
  <c r="M206" i="13"/>
  <c r="M207" i="13"/>
  <c r="M208" i="13"/>
  <c r="M209" i="13"/>
  <c r="M210" i="13"/>
  <c r="M211" i="13"/>
  <c r="M212" i="13"/>
  <c r="M213" i="13"/>
  <c r="M214" i="13"/>
  <c r="M215" i="13"/>
  <c r="M216" i="13"/>
  <c r="M217" i="13"/>
  <c r="M218" i="13"/>
  <c r="M219" i="13"/>
  <c r="M220" i="13"/>
  <c r="M221" i="13"/>
  <c r="M222" i="13"/>
  <c r="M223" i="13"/>
  <c r="M224" i="13"/>
  <c r="M225" i="13"/>
  <c r="M226" i="13"/>
  <c r="M227" i="13"/>
  <c r="M228" i="13"/>
  <c r="M229" i="13"/>
  <c r="M230" i="13"/>
  <c r="M231" i="13"/>
  <c r="J4" i="13"/>
  <c r="J5" i="13"/>
  <c r="J6" i="13"/>
  <c r="J7" i="13"/>
  <c r="J8" i="13"/>
  <c r="J9" i="13"/>
  <c r="J10" i="13"/>
  <c r="J11" i="13"/>
  <c r="J12" i="13"/>
  <c r="J13" i="13"/>
  <c r="J14" i="13"/>
  <c r="J15" i="13"/>
  <c r="J16" i="13"/>
  <c r="J17" i="13"/>
  <c r="J18" i="13"/>
  <c r="J19" i="13"/>
  <c r="J20" i="13"/>
  <c r="J21" i="13"/>
  <c r="J22" i="13"/>
  <c r="J23" i="13"/>
  <c r="J24" i="13"/>
  <c r="J25" i="13"/>
  <c r="J26" i="13"/>
  <c r="J27" i="13"/>
  <c r="J28" i="13"/>
  <c r="J29" i="13"/>
  <c r="J30" i="13"/>
  <c r="J31" i="13"/>
  <c r="J32" i="13"/>
  <c r="J33" i="13"/>
  <c r="J34" i="13"/>
  <c r="J35" i="13"/>
  <c r="J36" i="13"/>
  <c r="J37" i="13"/>
  <c r="J38" i="13"/>
  <c r="J39" i="13"/>
  <c r="J40" i="13"/>
  <c r="J41" i="13"/>
  <c r="J42" i="13"/>
  <c r="J43" i="13"/>
  <c r="J44" i="13"/>
  <c r="J45" i="13"/>
  <c r="J46" i="13"/>
  <c r="J47" i="13"/>
  <c r="J48" i="13"/>
  <c r="J49" i="13"/>
  <c r="J50" i="13"/>
  <c r="J51" i="13"/>
  <c r="J52" i="13"/>
  <c r="J53" i="13"/>
  <c r="J54" i="13"/>
  <c r="J55" i="13"/>
  <c r="J56" i="13"/>
  <c r="J57" i="13"/>
  <c r="J58" i="13"/>
  <c r="J59" i="13"/>
  <c r="J60" i="13"/>
  <c r="J61" i="13"/>
  <c r="J62" i="13"/>
  <c r="J63" i="13"/>
  <c r="J64" i="13"/>
  <c r="J65" i="13"/>
  <c r="J66" i="13"/>
  <c r="J67" i="13"/>
  <c r="J68" i="13"/>
  <c r="J69" i="13"/>
  <c r="J70" i="13"/>
  <c r="J71" i="13"/>
  <c r="J72" i="13"/>
  <c r="J73" i="13"/>
  <c r="J74" i="13"/>
  <c r="J75" i="13"/>
  <c r="J76" i="13"/>
  <c r="J77" i="13"/>
  <c r="J78" i="13"/>
  <c r="J79" i="13"/>
  <c r="J80" i="13"/>
  <c r="J81" i="13"/>
  <c r="J82" i="13"/>
  <c r="J83" i="13"/>
  <c r="J84" i="13"/>
  <c r="J85" i="13"/>
  <c r="J86" i="13"/>
  <c r="J87" i="13"/>
  <c r="J88" i="13"/>
  <c r="J89" i="13"/>
  <c r="J90" i="13"/>
  <c r="J91" i="13"/>
  <c r="J92" i="13"/>
  <c r="J93" i="13"/>
  <c r="J94" i="13"/>
  <c r="J95" i="13"/>
  <c r="J96" i="13"/>
  <c r="J97" i="13"/>
  <c r="J98" i="13"/>
  <c r="J99" i="13"/>
  <c r="J100" i="13"/>
  <c r="J101" i="13"/>
  <c r="J102" i="13"/>
  <c r="J103" i="13"/>
  <c r="J104" i="13"/>
  <c r="J105" i="13"/>
  <c r="J106" i="13"/>
  <c r="J107" i="13"/>
  <c r="J108" i="13"/>
  <c r="J109" i="13"/>
  <c r="J110" i="13"/>
  <c r="J111" i="13"/>
  <c r="J112" i="13"/>
  <c r="J113" i="13"/>
  <c r="J114" i="13"/>
  <c r="J115" i="13"/>
  <c r="J116" i="13"/>
  <c r="J117" i="13"/>
  <c r="J118" i="13"/>
  <c r="J119" i="13"/>
  <c r="J120" i="13"/>
  <c r="J121" i="13"/>
  <c r="J122" i="13"/>
  <c r="J123" i="13"/>
  <c r="J124" i="13"/>
  <c r="J125" i="13"/>
  <c r="J126" i="13"/>
  <c r="J127" i="13"/>
  <c r="J128" i="13"/>
  <c r="J129" i="13"/>
  <c r="J130" i="13"/>
  <c r="J131" i="13"/>
  <c r="J132" i="13"/>
  <c r="J133" i="13"/>
  <c r="J134" i="13"/>
  <c r="J135" i="13"/>
  <c r="J136" i="13"/>
  <c r="J137" i="13"/>
  <c r="J138" i="13"/>
  <c r="J139" i="13"/>
  <c r="J140" i="13"/>
  <c r="J141" i="13"/>
  <c r="J142" i="13"/>
  <c r="J143" i="13"/>
  <c r="J144" i="13"/>
  <c r="J145" i="13"/>
  <c r="J146" i="13"/>
  <c r="J147" i="13"/>
  <c r="J148" i="13"/>
  <c r="J149" i="13"/>
  <c r="J150" i="13"/>
  <c r="J151" i="13"/>
  <c r="J152" i="13"/>
  <c r="J153" i="13"/>
  <c r="J154" i="13"/>
  <c r="J155" i="13"/>
  <c r="J156" i="13"/>
  <c r="J157" i="13"/>
  <c r="J158" i="13"/>
  <c r="J159" i="13"/>
  <c r="J160" i="13"/>
  <c r="J161" i="13"/>
  <c r="J162" i="13"/>
  <c r="J163" i="13"/>
  <c r="J164" i="13"/>
  <c r="J165" i="13"/>
  <c r="J166" i="13"/>
  <c r="J167" i="13"/>
  <c r="J168" i="13"/>
  <c r="J169" i="13"/>
  <c r="J170" i="13"/>
  <c r="J171" i="13"/>
  <c r="J172" i="13"/>
  <c r="J173" i="13"/>
  <c r="J174" i="13"/>
  <c r="J175" i="13"/>
  <c r="J176" i="13"/>
  <c r="J177" i="13"/>
  <c r="J178" i="13"/>
  <c r="J179" i="13"/>
  <c r="J180" i="13"/>
  <c r="J181" i="13"/>
  <c r="J182" i="13"/>
  <c r="J183" i="13"/>
  <c r="J184" i="13"/>
  <c r="J185" i="13"/>
  <c r="J186" i="13"/>
  <c r="J187" i="13"/>
  <c r="J188" i="13"/>
  <c r="J189" i="13"/>
  <c r="J190" i="13"/>
  <c r="J191" i="13"/>
  <c r="J192" i="13"/>
  <c r="J193" i="13"/>
  <c r="J194" i="13"/>
  <c r="J195" i="13"/>
  <c r="J196" i="13"/>
  <c r="J197" i="13"/>
  <c r="J198" i="13"/>
  <c r="J199" i="13"/>
  <c r="J200" i="13"/>
  <c r="J201" i="13"/>
  <c r="J202" i="13"/>
  <c r="J203" i="13"/>
  <c r="J204" i="13"/>
  <c r="J205" i="13"/>
  <c r="J206" i="13"/>
  <c r="J207" i="13"/>
  <c r="J208" i="13"/>
  <c r="J209" i="13"/>
  <c r="J210" i="13"/>
  <c r="J211" i="13"/>
  <c r="J212" i="13"/>
  <c r="J213" i="13"/>
  <c r="J214" i="13"/>
  <c r="J215" i="13"/>
  <c r="J216" i="13"/>
  <c r="J217" i="13"/>
  <c r="J218" i="13"/>
  <c r="J219" i="13"/>
  <c r="J220" i="13"/>
  <c r="J221" i="13"/>
  <c r="J222" i="13"/>
  <c r="J223" i="13"/>
  <c r="J224" i="13"/>
  <c r="J225" i="13"/>
  <c r="J226" i="13"/>
  <c r="J227" i="13"/>
  <c r="J228" i="13"/>
  <c r="J229" i="13"/>
  <c r="J230" i="13"/>
  <c r="J231" i="13"/>
  <c r="I4" i="13"/>
  <c r="I5" i="13"/>
  <c r="L5" i="13" s="1"/>
  <c r="I6" i="13"/>
  <c r="L6" i="13" s="1"/>
  <c r="I7" i="13"/>
  <c r="L7" i="13" s="1"/>
  <c r="I8" i="13"/>
  <c r="L8" i="13" s="1"/>
  <c r="I9" i="13"/>
  <c r="L9" i="13" s="1"/>
  <c r="I10" i="13"/>
  <c r="L10" i="13" s="1"/>
  <c r="I11" i="13"/>
  <c r="L11" i="13" s="1"/>
  <c r="I12" i="13"/>
  <c r="L12" i="13" s="1"/>
  <c r="I13" i="13"/>
  <c r="L13" i="13" s="1"/>
  <c r="I14" i="13"/>
  <c r="L14" i="13" s="1"/>
  <c r="I15" i="13"/>
  <c r="L15" i="13" s="1"/>
  <c r="I16" i="13"/>
  <c r="L16" i="13" s="1"/>
  <c r="I17" i="13"/>
  <c r="L17" i="13" s="1"/>
  <c r="I18" i="13"/>
  <c r="L18" i="13" s="1"/>
  <c r="I19" i="13"/>
  <c r="L19" i="13" s="1"/>
  <c r="I20" i="13"/>
  <c r="L20" i="13" s="1"/>
  <c r="I21" i="13"/>
  <c r="L21" i="13" s="1"/>
  <c r="I22" i="13"/>
  <c r="L22" i="13" s="1"/>
  <c r="I23" i="13"/>
  <c r="L23" i="13" s="1"/>
  <c r="I24" i="13"/>
  <c r="L24" i="13" s="1"/>
  <c r="I25" i="13"/>
  <c r="L25" i="13" s="1"/>
  <c r="I26" i="13"/>
  <c r="L26" i="13" s="1"/>
  <c r="I27" i="13"/>
  <c r="L27" i="13" s="1"/>
  <c r="I28" i="13"/>
  <c r="L28" i="13" s="1"/>
  <c r="I29" i="13"/>
  <c r="L29" i="13" s="1"/>
  <c r="I30" i="13"/>
  <c r="L30" i="13" s="1"/>
  <c r="I31" i="13"/>
  <c r="L31" i="13" s="1"/>
  <c r="I32" i="13"/>
  <c r="L32" i="13" s="1"/>
  <c r="I33" i="13"/>
  <c r="L33" i="13" s="1"/>
  <c r="I34" i="13"/>
  <c r="L34" i="13" s="1"/>
  <c r="I35" i="13"/>
  <c r="L35" i="13" s="1"/>
  <c r="I36" i="13"/>
  <c r="L36" i="13" s="1"/>
  <c r="I37" i="13"/>
  <c r="L37" i="13" s="1"/>
  <c r="I38" i="13"/>
  <c r="L38" i="13" s="1"/>
  <c r="I39" i="13"/>
  <c r="L39" i="13" s="1"/>
  <c r="I40" i="13"/>
  <c r="L40" i="13" s="1"/>
  <c r="I41" i="13"/>
  <c r="L41" i="13" s="1"/>
  <c r="I42" i="13"/>
  <c r="L42" i="13" s="1"/>
  <c r="I43" i="13"/>
  <c r="L43" i="13" s="1"/>
  <c r="I44" i="13"/>
  <c r="L44" i="13" s="1"/>
  <c r="I45" i="13"/>
  <c r="L45" i="13" s="1"/>
  <c r="I46" i="13"/>
  <c r="L46" i="13" s="1"/>
  <c r="I47" i="13"/>
  <c r="L47" i="13" s="1"/>
  <c r="I48" i="13"/>
  <c r="L48" i="13" s="1"/>
  <c r="I49" i="13"/>
  <c r="L49" i="13" s="1"/>
  <c r="I50" i="13"/>
  <c r="L50" i="13" s="1"/>
  <c r="I51" i="13"/>
  <c r="L51" i="13" s="1"/>
  <c r="I52" i="13"/>
  <c r="L52" i="13" s="1"/>
  <c r="I53" i="13"/>
  <c r="L53" i="13" s="1"/>
  <c r="I54" i="13"/>
  <c r="L54" i="13" s="1"/>
  <c r="I55" i="13"/>
  <c r="L55" i="13" s="1"/>
  <c r="I56" i="13"/>
  <c r="L56" i="13" s="1"/>
  <c r="I57" i="13"/>
  <c r="L57" i="13" s="1"/>
  <c r="I58" i="13"/>
  <c r="L58" i="13" s="1"/>
  <c r="I59" i="13"/>
  <c r="L59" i="13" s="1"/>
  <c r="I60" i="13"/>
  <c r="L60" i="13" s="1"/>
  <c r="I61" i="13"/>
  <c r="L61" i="13" s="1"/>
  <c r="I62" i="13"/>
  <c r="L62" i="13" s="1"/>
  <c r="I63" i="13"/>
  <c r="L63" i="13" s="1"/>
  <c r="I64" i="13"/>
  <c r="L64" i="13" s="1"/>
  <c r="I65" i="13"/>
  <c r="L65" i="13" s="1"/>
  <c r="I66" i="13"/>
  <c r="L66" i="13" s="1"/>
  <c r="I67" i="13"/>
  <c r="L67" i="13" s="1"/>
  <c r="I68" i="13"/>
  <c r="L68" i="13" s="1"/>
  <c r="I69" i="13"/>
  <c r="L69" i="13" s="1"/>
  <c r="I70" i="13"/>
  <c r="L70" i="13" s="1"/>
  <c r="I71" i="13"/>
  <c r="L71" i="13" s="1"/>
  <c r="I72" i="13"/>
  <c r="L72" i="13" s="1"/>
  <c r="I73" i="13"/>
  <c r="L73" i="13" s="1"/>
  <c r="I74" i="13"/>
  <c r="L74" i="13" s="1"/>
  <c r="I75" i="13"/>
  <c r="L75" i="13" s="1"/>
  <c r="I76" i="13"/>
  <c r="L76" i="13" s="1"/>
  <c r="I77" i="13"/>
  <c r="L77" i="13" s="1"/>
  <c r="I78" i="13"/>
  <c r="L78" i="13" s="1"/>
  <c r="I79" i="13"/>
  <c r="L79" i="13" s="1"/>
  <c r="I80" i="13"/>
  <c r="L80" i="13" s="1"/>
  <c r="I81" i="13"/>
  <c r="L81" i="13" s="1"/>
  <c r="I82" i="13"/>
  <c r="L82" i="13" s="1"/>
  <c r="I83" i="13"/>
  <c r="L83" i="13" s="1"/>
  <c r="I84" i="13"/>
  <c r="L84" i="13" s="1"/>
  <c r="I85" i="13"/>
  <c r="L85" i="13" s="1"/>
  <c r="I86" i="13"/>
  <c r="L86" i="13" s="1"/>
  <c r="I87" i="13"/>
  <c r="L87" i="13" s="1"/>
  <c r="I88" i="13"/>
  <c r="L88" i="13" s="1"/>
  <c r="I89" i="13"/>
  <c r="L89" i="13" s="1"/>
  <c r="I90" i="13"/>
  <c r="L90" i="13" s="1"/>
  <c r="I91" i="13"/>
  <c r="L91" i="13" s="1"/>
  <c r="I92" i="13"/>
  <c r="L92" i="13" s="1"/>
  <c r="I93" i="13"/>
  <c r="L93" i="13" s="1"/>
  <c r="I94" i="13"/>
  <c r="L94" i="13" s="1"/>
  <c r="I95" i="13"/>
  <c r="L95" i="13" s="1"/>
  <c r="I96" i="13"/>
  <c r="L96" i="13" s="1"/>
  <c r="I97" i="13"/>
  <c r="L97" i="13" s="1"/>
  <c r="I98" i="13"/>
  <c r="L98" i="13" s="1"/>
  <c r="I99" i="13"/>
  <c r="L99" i="13" s="1"/>
  <c r="I100" i="13"/>
  <c r="L100" i="13" s="1"/>
  <c r="I101" i="13"/>
  <c r="L101" i="13" s="1"/>
  <c r="I102" i="13"/>
  <c r="L102" i="13" s="1"/>
  <c r="I103" i="13"/>
  <c r="L103" i="13" s="1"/>
  <c r="I104" i="13"/>
  <c r="L104" i="13" s="1"/>
  <c r="I105" i="13"/>
  <c r="L105" i="13" s="1"/>
  <c r="I106" i="13"/>
  <c r="L106" i="13" s="1"/>
  <c r="I107" i="13"/>
  <c r="L107" i="13" s="1"/>
  <c r="I108" i="13"/>
  <c r="L108" i="13" s="1"/>
  <c r="I109" i="13"/>
  <c r="L109" i="13" s="1"/>
  <c r="I110" i="13"/>
  <c r="L110" i="13" s="1"/>
  <c r="I111" i="13"/>
  <c r="L111" i="13" s="1"/>
  <c r="I112" i="13"/>
  <c r="L112" i="13" s="1"/>
  <c r="I113" i="13"/>
  <c r="L113" i="13" s="1"/>
  <c r="I114" i="13"/>
  <c r="L114" i="13" s="1"/>
  <c r="I115" i="13"/>
  <c r="L115" i="13" s="1"/>
  <c r="I116" i="13"/>
  <c r="L116" i="13" s="1"/>
  <c r="I117" i="13"/>
  <c r="L117" i="13" s="1"/>
  <c r="I118" i="13"/>
  <c r="L118" i="13" s="1"/>
  <c r="I119" i="13"/>
  <c r="L119" i="13" s="1"/>
  <c r="I120" i="13"/>
  <c r="L120" i="13" s="1"/>
  <c r="I121" i="13"/>
  <c r="L121" i="13" s="1"/>
  <c r="I122" i="13"/>
  <c r="L122" i="13" s="1"/>
  <c r="I123" i="13"/>
  <c r="L123" i="13" s="1"/>
  <c r="I124" i="13"/>
  <c r="L124" i="13" s="1"/>
  <c r="I125" i="13"/>
  <c r="L125" i="13" s="1"/>
  <c r="I126" i="13"/>
  <c r="L126" i="13" s="1"/>
  <c r="I127" i="13"/>
  <c r="L127" i="13" s="1"/>
  <c r="I128" i="13"/>
  <c r="L128" i="13" s="1"/>
  <c r="I129" i="13"/>
  <c r="L129" i="13" s="1"/>
  <c r="I130" i="13"/>
  <c r="L130" i="13" s="1"/>
  <c r="I131" i="13"/>
  <c r="L131" i="13" s="1"/>
  <c r="I132" i="13"/>
  <c r="L132" i="13" s="1"/>
  <c r="I133" i="13"/>
  <c r="L133" i="13" s="1"/>
  <c r="I134" i="13"/>
  <c r="L134" i="13" s="1"/>
  <c r="I135" i="13"/>
  <c r="L135" i="13" s="1"/>
  <c r="I136" i="13"/>
  <c r="L136" i="13" s="1"/>
  <c r="I137" i="13"/>
  <c r="L137" i="13" s="1"/>
  <c r="I138" i="13"/>
  <c r="L138" i="13" s="1"/>
  <c r="I139" i="13"/>
  <c r="L139" i="13" s="1"/>
  <c r="I140" i="13"/>
  <c r="L140" i="13" s="1"/>
  <c r="I141" i="13"/>
  <c r="L141" i="13" s="1"/>
  <c r="I142" i="13"/>
  <c r="L142" i="13" s="1"/>
  <c r="I143" i="13"/>
  <c r="L143" i="13" s="1"/>
  <c r="I144" i="13"/>
  <c r="L144" i="13" s="1"/>
  <c r="I145" i="13"/>
  <c r="L145" i="13" s="1"/>
  <c r="I146" i="13"/>
  <c r="L146" i="13" s="1"/>
  <c r="I147" i="13"/>
  <c r="L147" i="13" s="1"/>
  <c r="I148" i="13"/>
  <c r="L148" i="13" s="1"/>
  <c r="I149" i="13"/>
  <c r="L149" i="13" s="1"/>
  <c r="I150" i="13"/>
  <c r="L150" i="13" s="1"/>
  <c r="I151" i="13"/>
  <c r="L151" i="13" s="1"/>
  <c r="I152" i="13"/>
  <c r="L152" i="13" s="1"/>
  <c r="I153" i="13"/>
  <c r="L153" i="13" s="1"/>
  <c r="I154" i="13"/>
  <c r="L154" i="13" s="1"/>
  <c r="I155" i="13"/>
  <c r="L155" i="13" s="1"/>
  <c r="I156" i="13"/>
  <c r="L156" i="13" s="1"/>
  <c r="I157" i="13"/>
  <c r="L157" i="13" s="1"/>
  <c r="I158" i="13"/>
  <c r="L158" i="13" s="1"/>
  <c r="I159" i="13"/>
  <c r="L159" i="13" s="1"/>
  <c r="I160" i="13"/>
  <c r="L160" i="13" s="1"/>
  <c r="I161" i="13"/>
  <c r="L161" i="13" s="1"/>
  <c r="I162" i="13"/>
  <c r="L162" i="13" s="1"/>
  <c r="I163" i="13"/>
  <c r="L163" i="13" s="1"/>
  <c r="I164" i="13"/>
  <c r="L164" i="13" s="1"/>
  <c r="I165" i="13"/>
  <c r="L165" i="13" s="1"/>
  <c r="I166" i="13"/>
  <c r="L166" i="13" s="1"/>
  <c r="I167" i="13"/>
  <c r="L167" i="13" s="1"/>
  <c r="I168" i="13"/>
  <c r="L168" i="13" s="1"/>
  <c r="I169" i="13"/>
  <c r="L169" i="13" s="1"/>
  <c r="I170" i="13"/>
  <c r="L170" i="13" s="1"/>
  <c r="I171" i="13"/>
  <c r="L171" i="13" s="1"/>
  <c r="I172" i="13"/>
  <c r="L172" i="13" s="1"/>
  <c r="I173" i="13"/>
  <c r="L173" i="13" s="1"/>
  <c r="I174" i="13"/>
  <c r="L174" i="13" s="1"/>
  <c r="I175" i="13"/>
  <c r="L175" i="13" s="1"/>
  <c r="I176" i="13"/>
  <c r="L176" i="13" s="1"/>
  <c r="I177" i="13"/>
  <c r="L177" i="13" s="1"/>
  <c r="I178" i="13"/>
  <c r="L178" i="13" s="1"/>
  <c r="I179" i="13"/>
  <c r="L179" i="13" s="1"/>
  <c r="I180" i="13"/>
  <c r="L180" i="13" s="1"/>
  <c r="I181" i="13"/>
  <c r="L181" i="13" s="1"/>
  <c r="I182" i="13"/>
  <c r="L182" i="13" s="1"/>
  <c r="I183" i="13"/>
  <c r="L183" i="13" s="1"/>
  <c r="I184" i="13"/>
  <c r="L184" i="13" s="1"/>
  <c r="I185" i="13"/>
  <c r="L185" i="13" s="1"/>
  <c r="I186" i="13"/>
  <c r="L186" i="13" s="1"/>
  <c r="I187" i="13"/>
  <c r="L187" i="13" s="1"/>
  <c r="I188" i="13"/>
  <c r="L188" i="13" s="1"/>
  <c r="I189" i="13"/>
  <c r="L189" i="13" s="1"/>
  <c r="I190" i="13"/>
  <c r="L190" i="13" s="1"/>
  <c r="I191" i="13"/>
  <c r="L191" i="13" s="1"/>
  <c r="I192" i="13"/>
  <c r="L192" i="13" s="1"/>
  <c r="I193" i="13"/>
  <c r="L193" i="13" s="1"/>
  <c r="I194" i="13"/>
  <c r="L194" i="13" s="1"/>
  <c r="I195" i="13"/>
  <c r="L195" i="13" s="1"/>
  <c r="I196" i="13"/>
  <c r="L196" i="13" s="1"/>
  <c r="I197" i="13"/>
  <c r="L197" i="13" s="1"/>
  <c r="I198" i="13"/>
  <c r="L198" i="13" s="1"/>
  <c r="I199" i="13"/>
  <c r="L199" i="13" s="1"/>
  <c r="I200" i="13"/>
  <c r="L200" i="13" s="1"/>
  <c r="I201" i="13"/>
  <c r="L201" i="13" s="1"/>
  <c r="I202" i="13"/>
  <c r="L202" i="13" s="1"/>
  <c r="I203" i="13"/>
  <c r="L203" i="13" s="1"/>
  <c r="I204" i="13"/>
  <c r="L204" i="13" s="1"/>
  <c r="I205" i="13"/>
  <c r="L205" i="13" s="1"/>
  <c r="I206" i="13"/>
  <c r="L206" i="13" s="1"/>
  <c r="I207" i="13"/>
  <c r="L207" i="13" s="1"/>
  <c r="I208" i="13"/>
  <c r="L208" i="13" s="1"/>
  <c r="I209" i="13"/>
  <c r="L209" i="13" s="1"/>
  <c r="I210" i="13"/>
  <c r="L210" i="13" s="1"/>
  <c r="I211" i="13"/>
  <c r="L211" i="13" s="1"/>
  <c r="I212" i="13"/>
  <c r="L212" i="13" s="1"/>
  <c r="I213" i="13"/>
  <c r="L213" i="13" s="1"/>
  <c r="I214" i="13"/>
  <c r="L214" i="13" s="1"/>
  <c r="I215" i="13"/>
  <c r="L215" i="13" s="1"/>
  <c r="I216" i="13"/>
  <c r="L216" i="13" s="1"/>
  <c r="I217" i="13"/>
  <c r="L217" i="13" s="1"/>
  <c r="I218" i="13"/>
  <c r="L218" i="13" s="1"/>
  <c r="I219" i="13"/>
  <c r="L219" i="13" s="1"/>
  <c r="I220" i="13"/>
  <c r="L220" i="13" s="1"/>
  <c r="I221" i="13"/>
  <c r="L221" i="13" s="1"/>
  <c r="I222" i="13"/>
  <c r="L222" i="13" s="1"/>
  <c r="I223" i="13"/>
  <c r="L223" i="13" s="1"/>
  <c r="I224" i="13"/>
  <c r="L224" i="13" s="1"/>
  <c r="I225" i="13"/>
  <c r="L225" i="13" s="1"/>
  <c r="I226" i="13"/>
  <c r="L226" i="13" s="1"/>
  <c r="I227" i="13"/>
  <c r="L227" i="13" s="1"/>
  <c r="I228" i="13"/>
  <c r="L228" i="13" s="1"/>
  <c r="I229" i="13"/>
  <c r="L229" i="13" s="1"/>
  <c r="I230" i="13"/>
  <c r="L230" i="13" s="1"/>
  <c r="I231" i="13"/>
  <c r="L231" i="13" s="1"/>
  <c r="H4" i="13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H204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1" i="13"/>
  <c r="H222" i="13"/>
  <c r="H223" i="13"/>
  <c r="H224" i="13"/>
  <c r="H225" i="13"/>
  <c r="H226" i="13"/>
  <c r="H227" i="13"/>
  <c r="H228" i="13"/>
  <c r="H229" i="13"/>
  <c r="H230" i="13"/>
  <c r="H231" i="13"/>
  <c r="G4" i="13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38" i="13"/>
  <c r="G39" i="13"/>
  <c r="G40" i="13"/>
  <c r="G41" i="13"/>
  <c r="G42" i="13"/>
  <c r="G43" i="13"/>
  <c r="G44" i="13"/>
  <c r="G45" i="13"/>
  <c r="G46" i="13"/>
  <c r="G47" i="13"/>
  <c r="G48" i="13"/>
  <c r="G49" i="13"/>
  <c r="G50" i="13"/>
  <c r="G51" i="13"/>
  <c r="G52" i="13"/>
  <c r="G53" i="13"/>
  <c r="G54" i="13"/>
  <c r="G55" i="13"/>
  <c r="G56" i="13"/>
  <c r="G57" i="13"/>
  <c r="G58" i="13"/>
  <c r="G59" i="13"/>
  <c r="G60" i="13"/>
  <c r="G61" i="13"/>
  <c r="G62" i="13"/>
  <c r="G63" i="13"/>
  <c r="G64" i="13"/>
  <c r="G65" i="13"/>
  <c r="G66" i="13"/>
  <c r="G67" i="13"/>
  <c r="G68" i="13"/>
  <c r="G69" i="13"/>
  <c r="G70" i="13"/>
  <c r="G71" i="13"/>
  <c r="G72" i="13"/>
  <c r="G73" i="13"/>
  <c r="G74" i="13"/>
  <c r="G75" i="13"/>
  <c r="G76" i="13"/>
  <c r="G77" i="13"/>
  <c r="G78" i="13"/>
  <c r="G79" i="13"/>
  <c r="G80" i="13"/>
  <c r="G81" i="13"/>
  <c r="G82" i="13"/>
  <c r="G83" i="13"/>
  <c r="G84" i="13"/>
  <c r="G85" i="13"/>
  <c r="G86" i="13"/>
  <c r="G87" i="13"/>
  <c r="G88" i="13"/>
  <c r="G89" i="13"/>
  <c r="G90" i="13"/>
  <c r="G91" i="13"/>
  <c r="G92" i="13"/>
  <c r="G93" i="13"/>
  <c r="G94" i="13"/>
  <c r="G95" i="13"/>
  <c r="G96" i="13"/>
  <c r="G97" i="13"/>
  <c r="G98" i="13"/>
  <c r="G99" i="13"/>
  <c r="G100" i="13"/>
  <c r="G101" i="13"/>
  <c r="G102" i="13"/>
  <c r="G103" i="13"/>
  <c r="G104" i="13"/>
  <c r="G105" i="13"/>
  <c r="G106" i="13"/>
  <c r="G107" i="13"/>
  <c r="G108" i="13"/>
  <c r="G109" i="13"/>
  <c r="G110" i="13"/>
  <c r="G111" i="13"/>
  <c r="G112" i="13"/>
  <c r="G113" i="13"/>
  <c r="G114" i="13"/>
  <c r="G115" i="13"/>
  <c r="G116" i="13"/>
  <c r="G117" i="13"/>
  <c r="G118" i="13"/>
  <c r="G119" i="13"/>
  <c r="G120" i="13"/>
  <c r="G121" i="13"/>
  <c r="G122" i="13"/>
  <c r="G123" i="13"/>
  <c r="G124" i="13"/>
  <c r="G125" i="13"/>
  <c r="G126" i="13"/>
  <c r="G127" i="13"/>
  <c r="G128" i="13"/>
  <c r="G129" i="13"/>
  <c r="G130" i="13"/>
  <c r="G131" i="13"/>
  <c r="G132" i="13"/>
  <c r="G133" i="13"/>
  <c r="G134" i="13"/>
  <c r="G135" i="13"/>
  <c r="G136" i="13"/>
  <c r="G137" i="13"/>
  <c r="G138" i="13"/>
  <c r="G139" i="13"/>
  <c r="G140" i="13"/>
  <c r="G141" i="13"/>
  <c r="G142" i="13"/>
  <c r="G143" i="13"/>
  <c r="G144" i="13"/>
  <c r="G145" i="13"/>
  <c r="G146" i="13"/>
  <c r="G147" i="13"/>
  <c r="G148" i="13"/>
  <c r="G149" i="13"/>
  <c r="G150" i="13"/>
  <c r="G151" i="13"/>
  <c r="G152" i="13"/>
  <c r="G153" i="13"/>
  <c r="G154" i="13"/>
  <c r="G155" i="13"/>
  <c r="G156" i="13"/>
  <c r="G157" i="13"/>
  <c r="G158" i="13"/>
  <c r="G159" i="13"/>
  <c r="G160" i="13"/>
  <c r="G161" i="13"/>
  <c r="G162" i="13"/>
  <c r="G163" i="13"/>
  <c r="G164" i="13"/>
  <c r="G165" i="13"/>
  <c r="G166" i="13"/>
  <c r="G167" i="13"/>
  <c r="G168" i="13"/>
  <c r="G169" i="13"/>
  <c r="G170" i="13"/>
  <c r="G171" i="13"/>
  <c r="G172" i="13"/>
  <c r="G173" i="13"/>
  <c r="G174" i="13"/>
  <c r="G175" i="13"/>
  <c r="G176" i="13"/>
  <c r="G177" i="13"/>
  <c r="G178" i="13"/>
  <c r="G179" i="13"/>
  <c r="G180" i="13"/>
  <c r="G181" i="13"/>
  <c r="G182" i="13"/>
  <c r="G183" i="13"/>
  <c r="G184" i="13"/>
  <c r="G185" i="13"/>
  <c r="G186" i="13"/>
  <c r="G187" i="13"/>
  <c r="G188" i="13"/>
  <c r="G189" i="13"/>
  <c r="G190" i="13"/>
  <c r="G191" i="13"/>
  <c r="G192" i="13"/>
  <c r="G193" i="13"/>
  <c r="G194" i="13"/>
  <c r="G195" i="13"/>
  <c r="G196" i="13"/>
  <c r="G197" i="13"/>
  <c r="G198" i="13"/>
  <c r="G199" i="13"/>
  <c r="G200" i="13"/>
  <c r="G201" i="13"/>
  <c r="G202" i="13"/>
  <c r="G203" i="13"/>
  <c r="G204" i="13"/>
  <c r="G205" i="13"/>
  <c r="G206" i="13"/>
  <c r="G207" i="13"/>
  <c r="G208" i="13"/>
  <c r="G209" i="13"/>
  <c r="G210" i="13"/>
  <c r="G211" i="13"/>
  <c r="G212" i="13"/>
  <c r="G213" i="13"/>
  <c r="G214" i="13"/>
  <c r="G215" i="13"/>
  <c r="G216" i="13"/>
  <c r="G217" i="13"/>
  <c r="G218" i="13"/>
  <c r="G219" i="13"/>
  <c r="G220" i="13"/>
  <c r="G221" i="13"/>
  <c r="G222" i="13"/>
  <c r="G223" i="13"/>
  <c r="G224" i="13"/>
  <c r="G225" i="13"/>
  <c r="G226" i="13"/>
  <c r="G227" i="13"/>
  <c r="G228" i="13"/>
  <c r="G229" i="13"/>
  <c r="G230" i="13"/>
  <c r="G231" i="13"/>
  <c r="F231" i="13"/>
  <c r="F230" i="13"/>
  <c r="F229" i="13"/>
  <c r="F228" i="13"/>
  <c r="F227" i="13"/>
  <c r="F226" i="13"/>
  <c r="F225" i="13"/>
  <c r="F224" i="13"/>
  <c r="F223" i="13"/>
  <c r="F222" i="13"/>
  <c r="F221" i="13"/>
  <c r="F220" i="13"/>
  <c r="F219" i="13"/>
  <c r="F218" i="13"/>
  <c r="F217" i="13"/>
  <c r="F216" i="13"/>
  <c r="F215" i="13"/>
  <c r="F214" i="13"/>
  <c r="F213" i="13"/>
  <c r="F212" i="13"/>
  <c r="F211" i="13"/>
  <c r="F210" i="13"/>
  <c r="F209" i="13"/>
  <c r="F208" i="13"/>
  <c r="F207" i="13"/>
  <c r="F206" i="13"/>
  <c r="F205" i="13"/>
  <c r="F204" i="13"/>
  <c r="F203" i="13"/>
  <c r="F202" i="13"/>
  <c r="F201" i="13"/>
  <c r="F200" i="13"/>
  <c r="F199" i="13"/>
  <c r="F198" i="13"/>
  <c r="F197" i="13"/>
  <c r="F196" i="13"/>
  <c r="F195" i="13"/>
  <c r="F194" i="13"/>
  <c r="F193" i="13"/>
  <c r="F192" i="13"/>
  <c r="F191" i="13"/>
  <c r="F190" i="13"/>
  <c r="F189" i="13"/>
  <c r="F188" i="13"/>
  <c r="F187" i="13"/>
  <c r="F186" i="13"/>
  <c r="F185" i="13"/>
  <c r="F184" i="13"/>
  <c r="F183" i="13"/>
  <c r="F182" i="13"/>
  <c r="F181" i="13"/>
  <c r="F180" i="13"/>
  <c r="F179" i="13"/>
  <c r="F178" i="13"/>
  <c r="F177" i="13"/>
  <c r="F176" i="13"/>
  <c r="F175" i="13"/>
  <c r="F174" i="13"/>
  <c r="F173" i="13"/>
  <c r="F172" i="13"/>
  <c r="F171" i="13"/>
  <c r="F170" i="13"/>
  <c r="F169" i="13"/>
  <c r="F168" i="13"/>
  <c r="F167" i="13"/>
  <c r="F166" i="13"/>
  <c r="F165" i="13"/>
  <c r="F164" i="13"/>
  <c r="F163" i="13"/>
  <c r="F162" i="13"/>
  <c r="F161" i="13"/>
  <c r="F160" i="13"/>
  <c r="F159" i="13"/>
  <c r="F158" i="13"/>
  <c r="F157" i="13"/>
  <c r="F156" i="13"/>
  <c r="F155" i="13"/>
  <c r="F154" i="13"/>
  <c r="F153" i="13"/>
  <c r="F152" i="13"/>
  <c r="F151" i="13"/>
  <c r="F150" i="13"/>
  <c r="F149" i="13"/>
  <c r="F148" i="13"/>
  <c r="F147" i="13"/>
  <c r="F146" i="13"/>
  <c r="F145" i="13"/>
  <c r="F144" i="13"/>
  <c r="F143" i="13"/>
  <c r="F142" i="13"/>
  <c r="F141" i="13"/>
  <c r="F140" i="13"/>
  <c r="F139" i="13"/>
  <c r="F138" i="13"/>
  <c r="F137" i="13"/>
  <c r="F136" i="13"/>
  <c r="F135" i="13"/>
  <c r="F134" i="13"/>
  <c r="F133" i="13"/>
  <c r="F132" i="13"/>
  <c r="F131" i="13"/>
  <c r="F130" i="13"/>
  <c r="F129" i="13"/>
  <c r="F128" i="13"/>
  <c r="F127" i="13"/>
  <c r="F126" i="13"/>
  <c r="F125" i="13"/>
  <c r="F124" i="13"/>
  <c r="F123" i="13"/>
  <c r="F122" i="13"/>
  <c r="F121" i="13"/>
  <c r="F120" i="13"/>
  <c r="F119" i="13"/>
  <c r="F118" i="13"/>
  <c r="F117" i="13"/>
  <c r="F116" i="13"/>
  <c r="F115" i="13"/>
  <c r="F114" i="13"/>
  <c r="F113" i="13"/>
  <c r="F112" i="13"/>
  <c r="F111" i="13"/>
  <c r="F110" i="13"/>
  <c r="F109" i="13"/>
  <c r="F108" i="13"/>
  <c r="F107" i="13"/>
  <c r="F106" i="13"/>
  <c r="F105" i="13"/>
  <c r="F104" i="13"/>
  <c r="F103" i="13"/>
  <c r="F102" i="13"/>
  <c r="F101" i="13"/>
  <c r="F100" i="13"/>
  <c r="F99" i="13"/>
  <c r="F98" i="13"/>
  <c r="F97" i="13"/>
  <c r="F96" i="13"/>
  <c r="F95" i="13"/>
  <c r="F94" i="13"/>
  <c r="F93" i="13"/>
  <c r="F92" i="13"/>
  <c r="F91" i="13"/>
  <c r="F90" i="13"/>
  <c r="F89" i="13"/>
  <c r="F88" i="13"/>
  <c r="F87" i="13"/>
  <c r="F86" i="13"/>
  <c r="F85" i="13"/>
  <c r="F84" i="13"/>
  <c r="F83" i="13"/>
  <c r="F82" i="13"/>
  <c r="F81" i="13"/>
  <c r="F80" i="13"/>
  <c r="F79" i="13"/>
  <c r="F78" i="13"/>
  <c r="F77" i="13"/>
  <c r="F76" i="13"/>
  <c r="F75" i="13"/>
  <c r="F74" i="13"/>
  <c r="F73" i="13"/>
  <c r="F72" i="13"/>
  <c r="F71" i="13"/>
  <c r="F70" i="13"/>
  <c r="F69" i="13"/>
  <c r="F68" i="13"/>
  <c r="F67" i="13"/>
  <c r="F66" i="13"/>
  <c r="F65" i="13"/>
  <c r="F64" i="13"/>
  <c r="F63" i="13"/>
  <c r="F62" i="13"/>
  <c r="F61" i="13"/>
  <c r="F60" i="13"/>
  <c r="F59" i="13"/>
  <c r="F58" i="13"/>
  <c r="F57" i="13"/>
  <c r="F56" i="13"/>
  <c r="F55" i="13"/>
  <c r="F54" i="13"/>
  <c r="F53" i="13"/>
  <c r="F52" i="13"/>
  <c r="F51" i="13"/>
  <c r="F50" i="13"/>
  <c r="F49" i="13"/>
  <c r="F48" i="13"/>
  <c r="F47" i="13"/>
  <c r="F46" i="13"/>
  <c r="F45" i="13"/>
  <c r="F44" i="13"/>
  <c r="F43" i="13"/>
  <c r="F42" i="13"/>
  <c r="F41" i="13"/>
  <c r="F40" i="13"/>
  <c r="F39" i="13"/>
  <c r="F38" i="13"/>
  <c r="F37" i="13"/>
  <c r="F36" i="13"/>
  <c r="F35" i="13"/>
  <c r="F34" i="13"/>
  <c r="F33" i="13"/>
  <c r="F32" i="13"/>
  <c r="F31" i="13"/>
  <c r="F30" i="13"/>
  <c r="F29" i="13"/>
  <c r="F28" i="13"/>
  <c r="F27" i="13"/>
  <c r="F26" i="13"/>
  <c r="F25" i="13"/>
  <c r="F24" i="13"/>
  <c r="F23" i="13"/>
  <c r="F22" i="13"/>
  <c r="F21" i="13"/>
  <c r="F20" i="13"/>
  <c r="F19" i="13"/>
  <c r="F18" i="13"/>
  <c r="F17" i="13"/>
  <c r="F16" i="13"/>
  <c r="F15" i="13"/>
  <c r="F14" i="13"/>
  <c r="F13" i="13"/>
  <c r="F12" i="13"/>
  <c r="F11" i="13"/>
  <c r="F10" i="13"/>
  <c r="F9" i="13"/>
  <c r="F8" i="13"/>
  <c r="F7" i="13"/>
  <c r="F6" i="13"/>
  <c r="F5" i="13"/>
  <c r="F4" i="13"/>
  <c r="F5" i="3"/>
  <c r="R225" i="13" l="1"/>
  <c r="R217" i="13"/>
  <c r="R209" i="13"/>
  <c r="R201" i="13"/>
  <c r="R193" i="13"/>
  <c r="R185" i="13"/>
  <c r="R177" i="13"/>
  <c r="R169" i="13"/>
  <c r="R161" i="13"/>
  <c r="R153" i="13"/>
  <c r="R145" i="13"/>
  <c r="R137" i="13"/>
  <c r="R129" i="13"/>
  <c r="R121" i="13"/>
  <c r="R113" i="13"/>
  <c r="R105" i="13"/>
  <c r="R97" i="13"/>
  <c r="R89" i="13"/>
  <c r="R81" i="13"/>
  <c r="R73" i="13"/>
  <c r="R65" i="13"/>
  <c r="R57" i="13"/>
  <c r="R49" i="13"/>
  <c r="R41" i="13"/>
  <c r="R33" i="13"/>
  <c r="R25" i="13"/>
  <c r="R17" i="13"/>
  <c r="R9" i="13"/>
  <c r="AJ192" i="13"/>
  <c r="AJ184" i="13"/>
  <c r="AJ176" i="13"/>
  <c r="AJ168" i="13"/>
  <c r="AJ160" i="13"/>
  <c r="AJ152" i="13"/>
  <c r="AJ144" i="13"/>
  <c r="AJ136" i="13"/>
  <c r="AJ128" i="13"/>
  <c r="AJ120" i="13"/>
  <c r="AJ112" i="13"/>
  <c r="AJ104" i="13"/>
  <c r="AJ96" i="13"/>
  <c r="AJ88" i="13"/>
  <c r="AJ80" i="13"/>
  <c r="AJ72" i="13"/>
  <c r="AJ64" i="13"/>
  <c r="AJ56" i="13"/>
  <c r="AJ48" i="13"/>
  <c r="AJ40" i="13"/>
  <c r="AJ32" i="13"/>
  <c r="AJ24" i="13"/>
  <c r="AJ16" i="13"/>
  <c r="AJ8" i="13"/>
  <c r="BB230" i="13"/>
  <c r="AP229" i="13"/>
  <c r="AP221" i="13"/>
  <c r="AP213" i="13"/>
  <c r="AP205" i="13"/>
  <c r="AP197" i="13"/>
  <c r="AP189" i="13"/>
  <c r="AP181" i="13"/>
  <c r="AP173" i="13"/>
  <c r="AP165" i="13"/>
  <c r="AP157" i="13"/>
  <c r="AP149" i="13"/>
  <c r="AP141" i="13"/>
  <c r="AP133" i="13"/>
  <c r="AP125" i="13"/>
  <c r="AP117" i="13"/>
  <c r="AP109" i="13"/>
  <c r="AP101" i="13"/>
  <c r="AP93" i="13"/>
  <c r="AP85" i="13"/>
  <c r="AP77" i="13"/>
  <c r="AP69" i="13"/>
  <c r="AP61" i="13"/>
  <c r="AP53" i="13"/>
  <c r="AP45" i="13"/>
  <c r="AP37" i="13"/>
  <c r="AP29" i="13"/>
  <c r="AP21" i="13"/>
  <c r="AP13" i="13"/>
  <c r="AP5" i="13"/>
  <c r="R227" i="13"/>
  <c r="R219" i="13"/>
  <c r="R211" i="13"/>
  <c r="R203" i="13"/>
  <c r="R195" i="13"/>
  <c r="R187" i="13"/>
  <c r="R179" i="13"/>
  <c r="R171" i="13"/>
  <c r="R163" i="13"/>
  <c r="R155" i="13"/>
  <c r="R147" i="13"/>
  <c r="R139" i="13"/>
  <c r="R131" i="13"/>
  <c r="R123" i="13"/>
  <c r="R115" i="13"/>
  <c r="R107" i="13"/>
  <c r="R99" i="13"/>
  <c r="R91" i="13"/>
  <c r="R83" i="13"/>
  <c r="R75" i="13"/>
  <c r="R67" i="13"/>
  <c r="R59" i="13"/>
  <c r="R51" i="13"/>
  <c r="R43" i="13"/>
  <c r="R35" i="13"/>
  <c r="R27" i="13"/>
  <c r="R19" i="13"/>
  <c r="R11" i="13"/>
  <c r="AP228" i="13"/>
  <c r="AP220" i="13"/>
  <c r="AP212" i="13"/>
  <c r="AP204" i="13"/>
  <c r="AP196" i="13"/>
  <c r="AP188" i="13"/>
  <c r="AP180" i="13"/>
  <c r="AP172" i="13"/>
  <c r="AP164" i="13"/>
  <c r="AP156" i="13"/>
  <c r="AP148" i="13"/>
  <c r="AP140" i="13"/>
  <c r="AP132" i="13"/>
  <c r="AP124" i="13"/>
  <c r="AP116" i="13"/>
  <c r="AP108" i="13"/>
  <c r="AP100" i="13"/>
  <c r="AP92" i="13"/>
  <c r="AP84" i="13"/>
  <c r="AP76" i="13"/>
  <c r="AP68" i="13"/>
  <c r="AP60" i="13"/>
  <c r="AP52" i="13"/>
  <c r="AP44" i="13"/>
  <c r="AP36" i="13"/>
  <c r="AP28" i="13"/>
  <c r="AP20" i="13"/>
  <c r="AP12" i="13"/>
  <c r="AE199" i="13"/>
  <c r="R228" i="13"/>
  <c r="R220" i="13"/>
  <c r="R212" i="13"/>
  <c r="R204" i="13"/>
  <c r="R196" i="13"/>
  <c r="R188" i="13"/>
  <c r="R180" i="13"/>
  <c r="R172" i="13"/>
  <c r="R164" i="13"/>
  <c r="R156" i="13"/>
  <c r="R148" i="13"/>
  <c r="R140" i="13"/>
  <c r="R132" i="13"/>
  <c r="R124" i="13"/>
  <c r="R116" i="13"/>
  <c r="R108" i="13"/>
  <c r="R100" i="13"/>
  <c r="R92" i="13"/>
  <c r="R84" i="13"/>
  <c r="R76" i="13"/>
  <c r="R68" i="13"/>
  <c r="R60" i="13"/>
  <c r="R52" i="13"/>
  <c r="R44" i="13"/>
  <c r="R36" i="13"/>
  <c r="R28" i="13"/>
  <c r="AP224" i="13"/>
  <c r="AP216" i="13"/>
  <c r="AP208" i="13"/>
  <c r="AP200" i="13"/>
  <c r="AP192" i="13"/>
  <c r="AP184" i="13"/>
  <c r="AP176" i="13"/>
  <c r="AP168" i="13"/>
  <c r="AP160" i="13"/>
  <c r="AP152" i="13"/>
  <c r="AP144" i="13"/>
  <c r="AP136" i="13"/>
  <c r="AP128" i="13"/>
  <c r="AP120" i="13"/>
  <c r="AP112" i="13"/>
  <c r="AP104" i="13"/>
  <c r="AP96" i="13"/>
  <c r="AP88" i="13"/>
  <c r="AP80" i="13"/>
  <c r="AP72" i="13"/>
  <c r="AP64" i="13"/>
  <c r="AP56" i="13"/>
  <c r="AP48" i="13"/>
  <c r="AP40" i="13"/>
  <c r="AP32" i="13"/>
  <c r="AP24" i="13"/>
  <c r="AP16" i="13"/>
  <c r="AP8" i="13"/>
  <c r="R226" i="13"/>
  <c r="R218" i="13"/>
  <c r="R210" i="13"/>
  <c r="R202" i="13"/>
  <c r="R194" i="13"/>
  <c r="R186" i="13"/>
  <c r="R178" i="13"/>
  <c r="R170" i="13"/>
  <c r="R162" i="13"/>
  <c r="R154" i="13"/>
  <c r="R146" i="13"/>
  <c r="R138" i="13"/>
  <c r="R130" i="13"/>
  <c r="R122" i="13"/>
  <c r="R114" i="13"/>
  <c r="R106" i="13"/>
  <c r="R98" i="13"/>
  <c r="R90" i="13"/>
  <c r="R82" i="13"/>
  <c r="R74" i="13"/>
  <c r="R66" i="13"/>
  <c r="R58" i="13"/>
  <c r="R50" i="13"/>
  <c r="R42" i="13"/>
  <c r="R34" i="13"/>
  <c r="R26" i="13"/>
  <c r="R18" i="13"/>
  <c r="R10" i="13"/>
  <c r="AP230" i="13"/>
  <c r="AP222" i="13"/>
  <c r="AP214" i="13"/>
  <c r="AP206" i="13"/>
  <c r="AP198" i="13"/>
  <c r="AP190" i="13"/>
  <c r="AP182" i="13"/>
  <c r="AP174" i="13"/>
  <c r="AP166" i="13"/>
  <c r="AP158" i="13"/>
  <c r="AP150" i="13"/>
  <c r="AP142" i="13"/>
  <c r="AP134" i="13"/>
  <c r="AP126" i="13"/>
  <c r="AP118" i="13"/>
  <c r="AP110" i="13"/>
  <c r="AP102" i="13"/>
  <c r="AP94" i="13"/>
  <c r="AP86" i="13"/>
  <c r="AP78" i="13"/>
  <c r="AP70" i="13"/>
  <c r="AP62" i="13"/>
  <c r="AP54" i="13"/>
  <c r="AP46" i="13"/>
  <c r="AP38" i="13"/>
  <c r="AP30" i="13"/>
  <c r="AP22" i="13"/>
  <c r="AP14" i="13"/>
  <c r="AP6" i="13"/>
  <c r="BB231" i="13"/>
  <c r="AP227" i="13"/>
  <c r="AP219" i="13"/>
  <c r="AP211" i="13"/>
  <c r="AP203" i="13"/>
  <c r="AP195" i="13"/>
  <c r="AP187" i="13"/>
  <c r="AP179" i="13"/>
  <c r="AP171" i="13"/>
  <c r="AP163" i="13"/>
  <c r="AP155" i="13"/>
  <c r="AP147" i="13"/>
  <c r="AP139" i="13"/>
  <c r="AP131" i="13"/>
  <c r="AP123" i="13"/>
  <c r="AP115" i="13"/>
  <c r="AP107" i="13"/>
  <c r="AP99" i="13"/>
  <c r="AP91" i="13"/>
  <c r="AP83" i="13"/>
  <c r="AP75" i="13"/>
  <c r="AP67" i="13"/>
  <c r="AP59" i="13"/>
  <c r="AP51" i="13"/>
  <c r="AP43" i="13"/>
  <c r="AP35" i="13"/>
  <c r="AP27" i="13"/>
  <c r="AP19" i="13"/>
  <c r="AP11" i="13"/>
  <c r="R231" i="13"/>
  <c r="R223" i="13"/>
  <c r="R215" i="13"/>
  <c r="R207" i="13"/>
  <c r="R199" i="13"/>
  <c r="R191" i="13"/>
  <c r="R183" i="13"/>
  <c r="R175" i="13"/>
  <c r="R167" i="13"/>
  <c r="R159" i="13"/>
  <c r="R151" i="13"/>
  <c r="R143" i="13"/>
  <c r="R135" i="13"/>
  <c r="R127" i="13"/>
  <c r="R119" i="13"/>
  <c r="R111" i="13"/>
  <c r="R103" i="13"/>
  <c r="R95" i="13"/>
  <c r="R87" i="13"/>
  <c r="R79" i="13"/>
  <c r="R71" i="13"/>
  <c r="R63" i="13"/>
  <c r="R55" i="13"/>
  <c r="R47" i="13"/>
  <c r="R39" i="13"/>
  <c r="R31" i="13"/>
  <c r="R23" i="13"/>
  <c r="R15" i="13"/>
  <c r="R7" i="13"/>
  <c r="R230" i="13"/>
  <c r="R222" i="13"/>
  <c r="R214" i="13"/>
  <c r="R206" i="13"/>
  <c r="R198" i="13"/>
  <c r="R190" i="13"/>
  <c r="R182" i="13"/>
  <c r="R174" i="13"/>
  <c r="R166" i="13"/>
  <c r="R158" i="13"/>
  <c r="R150" i="13"/>
  <c r="R142" i="13"/>
  <c r="R134" i="13"/>
  <c r="R126" i="13"/>
  <c r="R118" i="13"/>
  <c r="R110" i="13"/>
  <c r="R102" i="13"/>
  <c r="R94" i="13"/>
  <c r="R86" i="13"/>
  <c r="R78" i="13"/>
  <c r="R70" i="13"/>
  <c r="R62" i="13"/>
  <c r="R54" i="13"/>
  <c r="R46" i="13"/>
  <c r="R38" i="13"/>
  <c r="R30" i="13"/>
  <c r="R22" i="13"/>
  <c r="R14" i="13"/>
  <c r="R6" i="13"/>
  <c r="AP226" i="13"/>
  <c r="AP202" i="13"/>
  <c r="AP186" i="13"/>
  <c r="AP170" i="13"/>
  <c r="AP154" i="13"/>
  <c r="AP106" i="13"/>
  <c r="AP98" i="13"/>
  <c r="AP82" i="13"/>
  <c r="AP34" i="13"/>
  <c r="AP26" i="13"/>
  <c r="R229" i="13"/>
  <c r="R221" i="13"/>
  <c r="R213" i="13"/>
  <c r="R205" i="13"/>
  <c r="R197" i="13"/>
  <c r="R189" i="13"/>
  <c r="R181" i="13"/>
  <c r="R173" i="13"/>
  <c r="R165" i="13"/>
  <c r="R157" i="13"/>
  <c r="R149" i="13"/>
  <c r="R141" i="13"/>
  <c r="R133" i="13"/>
  <c r="R125" i="13"/>
  <c r="R117" i="13"/>
  <c r="R109" i="13"/>
  <c r="R101" i="13"/>
  <c r="R93" i="13"/>
  <c r="R85" i="13"/>
  <c r="R77" i="13"/>
  <c r="R69" i="13"/>
  <c r="R61" i="13"/>
  <c r="R53" i="13"/>
  <c r="R45" i="13"/>
  <c r="R37" i="13"/>
  <c r="R29" i="13"/>
  <c r="R21" i="13"/>
  <c r="R13" i="13"/>
  <c r="R5" i="13"/>
  <c r="AP225" i="13"/>
  <c r="AP217" i="13"/>
  <c r="AP209" i="13"/>
  <c r="AP201" i="13"/>
  <c r="AP193" i="13"/>
  <c r="AP185" i="13"/>
  <c r="AP177" i="13"/>
  <c r="AP169" i="13"/>
  <c r="AP161" i="13"/>
  <c r="AP153" i="13"/>
  <c r="R20" i="13"/>
  <c r="R12" i="13"/>
  <c r="BA10" i="13"/>
  <c r="AP218" i="13"/>
  <c r="AP210" i="13"/>
  <c r="AP194" i="13"/>
  <c r="AP178" i="13"/>
  <c r="AP162" i="13"/>
  <c r="AP146" i="13"/>
  <c r="AP138" i="13"/>
  <c r="AP130" i="13"/>
  <c r="AP122" i="13"/>
  <c r="AP114" i="13"/>
  <c r="AP90" i="13"/>
  <c r="AP74" i="13"/>
  <c r="AP66" i="13"/>
  <c r="AP58" i="13"/>
  <c r="AP50" i="13"/>
  <c r="AP42" i="13"/>
  <c r="AP18" i="13"/>
  <c r="AP10" i="13"/>
  <c r="AP145" i="13"/>
  <c r="AP137" i="13"/>
  <c r="AP129" i="13"/>
  <c r="AP121" i="13"/>
  <c r="AP113" i="13"/>
  <c r="AP105" i="13"/>
  <c r="AP97" i="13"/>
  <c r="AP89" i="13"/>
  <c r="AP81" i="13"/>
  <c r="AP73" i="13"/>
  <c r="AP65" i="13"/>
  <c r="AP57" i="13"/>
  <c r="AP49" i="13"/>
  <c r="AP41" i="13"/>
  <c r="AP33" i="13"/>
  <c r="AP25" i="13"/>
  <c r="AP17" i="13"/>
  <c r="AP9" i="13"/>
  <c r="Y228" i="13"/>
  <c r="AD228" i="13" s="1"/>
  <c r="AZ15" i="13"/>
  <c r="BB15" i="13" s="1"/>
  <c r="AZ225" i="13"/>
  <c r="BB225" i="13" s="1"/>
  <c r="AJ227" i="13"/>
  <c r="AJ219" i="13"/>
  <c r="AJ211" i="13"/>
  <c r="AJ203" i="13"/>
  <c r="AJ195" i="13"/>
  <c r="AJ187" i="13"/>
  <c r="AJ179" i="13"/>
  <c r="AJ171" i="13"/>
  <c r="AJ163" i="13"/>
  <c r="AJ155" i="13"/>
  <c r="AJ147" i="13"/>
  <c r="AJ139" i="13"/>
  <c r="AJ131" i="13"/>
  <c r="AJ123" i="13"/>
  <c r="AJ115" i="13"/>
  <c r="AJ107" i="13"/>
  <c r="AJ99" i="13"/>
  <c r="AJ91" i="13"/>
  <c r="AJ83" i="13"/>
  <c r="AJ75" i="13"/>
  <c r="AJ67" i="13"/>
  <c r="AJ59" i="13"/>
  <c r="AJ51" i="13"/>
  <c r="AJ43" i="13"/>
  <c r="AJ35" i="13"/>
  <c r="AJ27" i="13"/>
  <c r="AJ19" i="13"/>
  <c r="AJ11" i="13"/>
  <c r="BB147" i="13"/>
  <c r="BB155" i="13"/>
  <c r="BB163" i="13"/>
  <c r="BB171" i="13"/>
  <c r="BB99" i="13"/>
  <c r="BB107" i="13"/>
  <c r="BB115" i="13"/>
  <c r="BB123" i="13"/>
  <c r="BB131" i="13"/>
  <c r="BB139" i="13"/>
  <c r="BB180" i="13"/>
  <c r="BB188" i="13"/>
  <c r="BB196" i="13"/>
  <c r="BB204" i="13"/>
  <c r="BB212" i="13"/>
  <c r="BB11" i="13"/>
  <c r="BB19" i="13"/>
  <c r="BB27" i="13"/>
  <c r="BB35" i="13"/>
  <c r="BB43" i="13"/>
  <c r="BB51" i="13"/>
  <c r="BB59" i="13"/>
  <c r="BB67" i="13"/>
  <c r="BB75" i="13"/>
  <c r="BB83" i="13"/>
  <c r="BB91" i="13"/>
  <c r="BB221" i="13"/>
  <c r="AJ226" i="13"/>
  <c r="AJ218" i="13"/>
  <c r="AJ210" i="13"/>
  <c r="AJ202" i="13"/>
  <c r="AJ194" i="13"/>
  <c r="AJ186" i="13"/>
  <c r="AJ178" i="13"/>
  <c r="AJ170" i="13"/>
  <c r="AJ162" i="13"/>
  <c r="AJ154" i="13"/>
  <c r="AJ146" i="13"/>
  <c r="AJ138" i="13"/>
  <c r="AJ130" i="13"/>
  <c r="AJ122" i="13"/>
  <c r="AJ114" i="13"/>
  <c r="AJ106" i="13"/>
  <c r="AJ98" i="13"/>
  <c r="AJ90" i="13"/>
  <c r="AJ82" i="13"/>
  <c r="AJ74" i="13"/>
  <c r="AJ66" i="13"/>
  <c r="AJ58" i="13"/>
  <c r="AJ50" i="13"/>
  <c r="AJ42" i="13"/>
  <c r="AJ34" i="13"/>
  <c r="AJ26" i="13"/>
  <c r="AJ18" i="13"/>
  <c r="AJ10" i="13"/>
  <c r="AJ231" i="13"/>
  <c r="AJ223" i="13"/>
  <c r="AJ215" i="13"/>
  <c r="AJ207" i="13"/>
  <c r="AJ199" i="13"/>
  <c r="AJ191" i="13"/>
  <c r="AJ183" i="13"/>
  <c r="AJ175" i="13"/>
  <c r="AJ167" i="13"/>
  <c r="AJ159" i="13"/>
  <c r="AJ151" i="13"/>
  <c r="AJ143" i="13"/>
  <c r="AJ135" i="13"/>
  <c r="AJ127" i="13"/>
  <c r="AJ119" i="13"/>
  <c r="AJ111" i="13"/>
  <c r="AJ103" i="13"/>
  <c r="AJ95" i="13"/>
  <c r="AJ87" i="13"/>
  <c r="AJ79" i="13"/>
  <c r="AJ71" i="13"/>
  <c r="AJ63" i="13"/>
  <c r="AJ55" i="13"/>
  <c r="AJ47" i="13"/>
  <c r="AJ39" i="13"/>
  <c r="AJ31" i="13"/>
  <c r="AJ23" i="13"/>
  <c r="AJ15" i="13"/>
  <c r="AJ7" i="13"/>
  <c r="AJ230" i="13"/>
  <c r="AJ222" i="13"/>
  <c r="AJ214" i="13"/>
  <c r="AJ206" i="13"/>
  <c r="AJ198" i="13"/>
  <c r="AJ190" i="13"/>
  <c r="AJ182" i="13"/>
  <c r="AJ174" i="13"/>
  <c r="AJ166" i="13"/>
  <c r="AJ158" i="13"/>
  <c r="AJ150" i="13"/>
  <c r="AJ142" i="13"/>
  <c r="AJ134" i="13"/>
  <c r="AJ126" i="13"/>
  <c r="AJ118" i="13"/>
  <c r="AJ110" i="13"/>
  <c r="AJ102" i="13"/>
  <c r="AJ94" i="13"/>
  <c r="AJ86" i="13"/>
  <c r="AJ78" i="13"/>
  <c r="AJ70" i="13"/>
  <c r="AJ62" i="13"/>
  <c r="AJ54" i="13"/>
  <c r="AJ46" i="13"/>
  <c r="AJ38" i="13"/>
  <c r="AJ30" i="13"/>
  <c r="AJ22" i="13"/>
  <c r="AJ14" i="13"/>
  <c r="AJ6" i="13"/>
  <c r="AJ229" i="13"/>
  <c r="AJ221" i="13"/>
  <c r="AJ213" i="13"/>
  <c r="AJ205" i="13"/>
  <c r="AJ197" i="13"/>
  <c r="AJ189" i="13"/>
  <c r="AJ181" i="13"/>
  <c r="AJ173" i="13"/>
  <c r="AJ165" i="13"/>
  <c r="AJ157" i="13"/>
  <c r="AJ149" i="13"/>
  <c r="AJ141" i="13"/>
  <c r="AJ133" i="13"/>
  <c r="AJ125" i="13"/>
  <c r="AJ117" i="13"/>
  <c r="AJ109" i="13"/>
  <c r="AJ101" i="13"/>
  <c r="AJ93" i="13"/>
  <c r="AJ85" i="13"/>
  <c r="AJ77" i="13"/>
  <c r="AJ69" i="13"/>
  <c r="AJ61" i="13"/>
  <c r="AJ53" i="13"/>
  <c r="AJ45" i="13"/>
  <c r="AJ37" i="13"/>
  <c r="AJ29" i="13"/>
  <c r="AJ21" i="13"/>
  <c r="AJ13" i="13"/>
  <c r="AJ5" i="13"/>
  <c r="AJ228" i="13"/>
  <c r="AJ220" i="13"/>
  <c r="AJ212" i="13"/>
  <c r="AJ204" i="13"/>
  <c r="AJ196" i="13"/>
  <c r="AJ188" i="13"/>
  <c r="AJ180" i="13"/>
  <c r="AJ172" i="13"/>
  <c r="AJ164" i="13"/>
  <c r="AJ156" i="13"/>
  <c r="AJ148" i="13"/>
  <c r="AJ140" i="13"/>
  <c r="AJ132" i="13"/>
  <c r="AJ124" i="13"/>
  <c r="AJ116" i="13"/>
  <c r="AJ108" i="13"/>
  <c r="AJ100" i="13"/>
  <c r="AJ92" i="13"/>
  <c r="AJ84" i="13"/>
  <c r="AJ76" i="13"/>
  <c r="AJ68" i="13"/>
  <c r="AJ60" i="13"/>
  <c r="AJ52" i="13"/>
  <c r="AJ44" i="13"/>
  <c r="AJ36" i="13"/>
  <c r="AJ28" i="13"/>
  <c r="AJ20" i="13"/>
  <c r="AJ12" i="13"/>
  <c r="AJ4" i="13"/>
  <c r="AJ225" i="13"/>
  <c r="AJ217" i="13"/>
  <c r="AJ209" i="13"/>
  <c r="AJ201" i="13"/>
  <c r="AJ193" i="13"/>
  <c r="AJ185" i="13"/>
  <c r="AJ177" i="13"/>
  <c r="AJ169" i="13"/>
  <c r="AJ161" i="13"/>
  <c r="AJ153" i="13"/>
  <c r="AJ145" i="13"/>
  <c r="AJ137" i="13"/>
  <c r="AJ129" i="13"/>
  <c r="AJ121" i="13"/>
  <c r="AJ113" i="13"/>
  <c r="AJ105" i="13"/>
  <c r="AJ97" i="13"/>
  <c r="AJ89" i="13"/>
  <c r="AJ81" i="13"/>
  <c r="AJ73" i="13"/>
  <c r="AJ65" i="13"/>
  <c r="AJ57" i="13"/>
  <c r="AJ49" i="13"/>
  <c r="AJ41" i="13"/>
  <c r="AJ33" i="13"/>
  <c r="AJ25" i="13"/>
  <c r="AJ17" i="13"/>
  <c r="AJ9" i="13"/>
  <c r="BB6" i="13"/>
  <c r="BB14" i="13"/>
  <c r="BB22" i="13"/>
  <c r="BB30" i="13"/>
  <c r="BB38" i="13"/>
  <c r="BB46" i="13"/>
  <c r="BB54" i="13"/>
  <c r="BB62" i="13"/>
  <c r="BB70" i="13"/>
  <c r="BB78" i="13"/>
  <c r="BB86" i="13"/>
  <c r="BB95" i="13"/>
  <c r="BB103" i="13"/>
  <c r="BB111" i="13"/>
  <c r="BB119" i="13"/>
  <c r="BB127" i="13"/>
  <c r="BB135" i="13"/>
  <c r="BB143" i="13"/>
  <c r="BB184" i="13"/>
  <c r="BB192" i="13"/>
  <c r="BB200" i="13"/>
  <c r="BB208" i="13"/>
  <c r="BB216" i="13"/>
  <c r="BB224" i="13"/>
  <c r="BB7" i="13"/>
  <c r="BB23" i="13"/>
  <c r="BB31" i="13"/>
  <c r="BB39" i="13"/>
  <c r="BB47" i="13"/>
  <c r="BB55" i="13"/>
  <c r="BB63" i="13"/>
  <c r="BB71" i="13"/>
  <c r="BB79" i="13"/>
  <c r="BB87" i="13"/>
  <c r="BB174" i="13"/>
  <c r="BB94" i="13"/>
  <c r="BB151" i="13"/>
  <c r="BB159" i="13"/>
  <c r="BB167" i="13"/>
  <c r="BB175" i="13"/>
  <c r="BB183" i="13"/>
  <c r="BB191" i="13"/>
  <c r="BB199" i="13"/>
  <c r="BB207" i="13"/>
  <c r="BB215" i="13"/>
  <c r="BB206" i="13"/>
  <c r="BB214" i="13"/>
  <c r="BB223" i="13"/>
  <c r="BB9" i="13"/>
  <c r="BB17" i="13"/>
  <c r="BB25" i="13"/>
  <c r="BB33" i="13"/>
  <c r="BB41" i="13"/>
  <c r="BB49" i="13"/>
  <c r="BB57" i="13"/>
  <c r="BB65" i="13"/>
  <c r="BB73" i="13"/>
  <c r="BB81" i="13"/>
  <c r="BB89" i="13"/>
  <c r="BB226" i="13"/>
  <c r="BB100" i="13"/>
  <c r="BB108" i="13"/>
  <c r="BB116" i="13"/>
  <c r="BB124" i="13"/>
  <c r="BB132" i="13"/>
  <c r="BB140" i="13"/>
  <c r="BB181" i="13"/>
  <c r="BB189" i="13"/>
  <c r="BB197" i="13"/>
  <c r="BB205" i="13"/>
  <c r="BB213" i="13"/>
  <c r="BB12" i="13"/>
  <c r="BB20" i="13"/>
  <c r="BB28" i="13"/>
  <c r="BB36" i="13"/>
  <c r="BB44" i="13"/>
  <c r="BB52" i="13"/>
  <c r="BB60" i="13"/>
  <c r="BB68" i="13"/>
  <c r="BB76" i="13"/>
  <c r="BB84" i="13"/>
  <c r="BB222" i="13"/>
  <c r="BB161" i="13"/>
  <c r="BB169" i="13"/>
  <c r="BB178" i="13"/>
  <c r="BB186" i="13"/>
  <c r="BB194" i="13"/>
  <c r="BB202" i="13"/>
  <c r="BB210" i="13"/>
  <c r="BB218" i="13"/>
  <c r="BB149" i="13"/>
  <c r="BB157" i="13"/>
  <c r="BB165" i="13"/>
  <c r="BB173" i="13"/>
  <c r="BB93" i="13"/>
  <c r="BB101" i="13"/>
  <c r="BB109" i="13"/>
  <c r="BB117" i="13"/>
  <c r="BB125" i="13"/>
  <c r="BB133" i="13"/>
  <c r="BB141" i="13"/>
  <c r="BB150" i="13"/>
  <c r="BB158" i="13"/>
  <c r="BB166" i="13"/>
  <c r="BB182" i="13"/>
  <c r="BB190" i="13"/>
  <c r="BB198" i="13"/>
  <c r="BB5" i="13"/>
  <c r="BB13" i="13"/>
  <c r="BB21" i="13"/>
  <c r="BB29" i="13"/>
  <c r="BB37" i="13"/>
  <c r="BB45" i="13"/>
  <c r="BB53" i="13"/>
  <c r="BB61" i="13"/>
  <c r="BB69" i="13"/>
  <c r="BB77" i="13"/>
  <c r="BB85" i="13"/>
  <c r="BB102" i="13"/>
  <c r="BB110" i="13"/>
  <c r="BB118" i="13"/>
  <c r="BB126" i="13"/>
  <c r="BB134" i="13"/>
  <c r="BB142" i="13"/>
  <c r="BB10" i="13"/>
  <c r="BB18" i="13"/>
  <c r="BB26" i="13"/>
  <c r="BB34" i="13"/>
  <c r="BB42" i="13"/>
  <c r="BB50" i="13"/>
  <c r="BB58" i="13"/>
  <c r="BB66" i="13"/>
  <c r="BB74" i="13"/>
  <c r="BB82" i="13"/>
  <c r="BB90" i="13"/>
  <c r="BB98" i="13"/>
  <c r="BB106" i="13"/>
  <c r="BB114" i="13"/>
  <c r="BB122" i="13"/>
  <c r="BB130" i="13"/>
  <c r="BB138" i="13"/>
  <c r="BB146" i="13"/>
  <c r="BB154" i="13"/>
  <c r="BB162" i="13"/>
  <c r="BB170" i="13"/>
  <c r="BB177" i="13"/>
  <c r="BB152" i="13"/>
  <c r="BB160" i="13"/>
  <c r="BB168" i="13"/>
  <c r="BB176" i="13"/>
  <c r="BB96" i="13"/>
  <c r="BB104" i="13"/>
  <c r="BB112" i="13"/>
  <c r="BB120" i="13"/>
  <c r="BB128" i="13"/>
  <c r="BB136" i="13"/>
  <c r="BB145" i="13"/>
  <c r="BB153" i="13"/>
  <c r="BB185" i="13"/>
  <c r="BB193" i="13"/>
  <c r="BB201" i="13"/>
  <c r="BB209" i="13"/>
  <c r="BB217" i="13"/>
  <c r="BB8" i="13"/>
  <c r="BB16" i="13"/>
  <c r="BB24" i="13"/>
  <c r="BB32" i="13"/>
  <c r="BB40" i="13"/>
  <c r="BB48" i="13"/>
  <c r="BB56" i="13"/>
  <c r="BB64" i="13"/>
  <c r="BB72" i="13"/>
  <c r="BB80" i="13"/>
  <c r="BB88" i="13"/>
  <c r="BB97" i="13"/>
  <c r="BB105" i="13"/>
  <c r="BB113" i="13"/>
  <c r="BB121" i="13"/>
  <c r="BB129" i="13"/>
  <c r="BB137" i="13"/>
  <c r="BB179" i="13"/>
  <c r="BB187" i="13"/>
  <c r="BB195" i="13"/>
  <c r="BB203" i="13"/>
  <c r="BB211" i="13"/>
  <c r="BB219" i="13"/>
  <c r="BB227" i="13"/>
  <c r="BB148" i="13"/>
  <c r="BB156" i="13"/>
  <c r="BB164" i="13"/>
  <c r="BB172" i="13"/>
  <c r="BB220" i="13"/>
  <c r="AZ228" i="13"/>
  <c r="BB228" i="13" s="1"/>
  <c r="BB229" i="13"/>
  <c r="AZ144" i="13"/>
  <c r="BB144" i="13" s="1"/>
  <c r="AZ92" i="13"/>
  <c r="BB92" i="13" s="1"/>
  <c r="F232" i="3" l="1"/>
  <c r="F231" i="3"/>
  <c r="F230" i="3"/>
  <c r="F229" i="3"/>
  <c r="F228" i="3"/>
  <c r="F227" i="3"/>
  <c r="F226" i="3"/>
  <c r="F225" i="3"/>
  <c r="F224" i="3"/>
  <c r="F223" i="3"/>
  <c r="F222" i="3"/>
  <c r="F221" i="3"/>
  <c r="F220" i="3"/>
  <c r="F219" i="3"/>
  <c r="F218" i="3"/>
  <c r="F217" i="3"/>
  <c r="F216" i="3"/>
  <c r="F215" i="3"/>
  <c r="F214" i="3"/>
  <c r="F213" i="3"/>
  <c r="F212" i="3"/>
  <c r="F211" i="3"/>
  <c r="F210" i="3"/>
  <c r="F209" i="3"/>
  <c r="F208" i="3"/>
  <c r="F207" i="3"/>
  <c r="F206" i="3"/>
  <c r="F205" i="3"/>
  <c r="F204" i="3"/>
  <c r="F203" i="3"/>
  <c r="F202" i="3"/>
  <c r="F201" i="3"/>
  <c r="F200" i="3"/>
  <c r="F199" i="3"/>
  <c r="F198" i="3"/>
  <c r="F197" i="3"/>
  <c r="F196" i="3"/>
  <c r="F195" i="3"/>
  <c r="F194" i="3"/>
  <c r="F193" i="3"/>
  <c r="F192" i="3"/>
  <c r="F191" i="3"/>
  <c r="F190" i="3"/>
  <c r="F189" i="3"/>
  <c r="F188" i="3"/>
  <c r="F187" i="3"/>
  <c r="F186" i="3"/>
  <c r="F185" i="3"/>
  <c r="F184" i="3"/>
  <c r="F183" i="3"/>
  <c r="F182" i="3"/>
  <c r="F181" i="3"/>
  <c r="F180" i="3"/>
  <c r="F179" i="3"/>
  <c r="F178" i="3"/>
  <c r="F177" i="3"/>
  <c r="F176" i="3"/>
  <c r="F175" i="3"/>
  <c r="F174" i="3"/>
  <c r="F173" i="3"/>
  <c r="F172" i="3"/>
  <c r="F171" i="3"/>
  <c r="F170" i="3"/>
  <c r="F169" i="3"/>
  <c r="F168" i="3"/>
  <c r="F167" i="3"/>
  <c r="F166" i="3"/>
  <c r="F165" i="3"/>
  <c r="F164" i="3"/>
  <c r="F163" i="3"/>
  <c r="F162" i="3"/>
  <c r="F161" i="3"/>
  <c r="F160" i="3"/>
  <c r="F159" i="3"/>
  <c r="F158" i="3"/>
  <c r="F157" i="3"/>
  <c r="F156" i="3"/>
  <c r="F155" i="3"/>
  <c r="F154" i="3"/>
  <c r="F153" i="3"/>
  <c r="F152" i="3"/>
  <c r="F151" i="3"/>
  <c r="F150" i="3"/>
  <c r="F149" i="3"/>
  <c r="F148" i="3"/>
  <c r="F147" i="3"/>
  <c r="F146" i="3"/>
  <c r="F145" i="3"/>
  <c r="F144" i="3"/>
  <c r="F143" i="3"/>
  <c r="F142" i="3"/>
  <c r="F141" i="3"/>
  <c r="F140" i="3"/>
  <c r="F139" i="3"/>
  <c r="F138" i="3"/>
  <c r="F137" i="3"/>
  <c r="F136" i="3"/>
  <c r="F135" i="3"/>
  <c r="F134" i="3"/>
  <c r="F133" i="3"/>
  <c r="F132" i="3"/>
  <c r="F131" i="3"/>
  <c r="F130" i="3"/>
  <c r="F129" i="3"/>
  <c r="F128" i="3"/>
  <c r="F127" i="3"/>
  <c r="F126" i="3"/>
  <c r="F125" i="3"/>
  <c r="F124" i="3"/>
  <c r="F123" i="3"/>
  <c r="F122" i="3"/>
  <c r="F121" i="3"/>
  <c r="F120" i="3"/>
  <c r="F119" i="3"/>
  <c r="F118" i="3"/>
  <c r="F117" i="3"/>
  <c r="F116" i="3"/>
  <c r="F115" i="3"/>
  <c r="F114" i="3"/>
  <c r="F113" i="3"/>
  <c r="F112" i="3"/>
  <c r="F111" i="3"/>
  <c r="F110" i="3"/>
  <c r="F109" i="3"/>
  <c r="F108" i="3"/>
  <c r="F107" i="3"/>
  <c r="F106" i="3"/>
  <c r="F105" i="3"/>
  <c r="F104" i="3"/>
  <c r="F103" i="3"/>
  <c r="F102" i="3"/>
  <c r="F101" i="3"/>
  <c r="F100" i="3"/>
  <c r="F99" i="3"/>
  <c r="F98" i="3"/>
  <c r="F97" i="3"/>
  <c r="F96" i="3"/>
  <c r="F95" i="3"/>
  <c r="F94" i="3"/>
  <c r="F93" i="3"/>
  <c r="F92" i="3"/>
  <c r="F91" i="3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</calcChain>
</file>

<file path=xl/sharedStrings.xml><?xml version="1.0" encoding="utf-8"?>
<sst xmlns="http://schemas.openxmlformats.org/spreadsheetml/2006/main" count="8285" uniqueCount="637">
  <si>
    <t>Sr#</t>
  </si>
  <si>
    <t>Program Level</t>
  </si>
  <si>
    <t>Activity / Workshops Name</t>
  </si>
  <si>
    <t>Interventions (Name)</t>
  </si>
  <si>
    <t>Institution</t>
  </si>
  <si>
    <t>Program / Course</t>
  </si>
  <si>
    <t>Batch</t>
  </si>
  <si>
    <t>Term / Semester</t>
  </si>
  <si>
    <t>No: of Session Planned</t>
  </si>
  <si>
    <t>No: of Session Conducted</t>
  </si>
  <si>
    <t>Micro - Competencies</t>
  </si>
  <si>
    <t>Link to Update Score</t>
  </si>
  <si>
    <t>JAGSoM</t>
  </si>
  <si>
    <t>PGDM</t>
  </si>
  <si>
    <t>2024 -26</t>
  </si>
  <si>
    <t>D4</t>
  </si>
  <si>
    <t>D5</t>
  </si>
  <si>
    <t>T1</t>
  </si>
  <si>
    <t>C2</t>
  </si>
  <si>
    <t>C3</t>
  </si>
  <si>
    <t>A4</t>
  </si>
  <si>
    <t>C5</t>
  </si>
  <si>
    <t>L1</t>
  </si>
  <si>
    <t>P4</t>
  </si>
  <si>
    <t>Intervention Name :</t>
  </si>
  <si>
    <t>Section</t>
  </si>
  <si>
    <t>Roll Number</t>
  </si>
  <si>
    <t>Name</t>
  </si>
  <si>
    <t xml:space="preserve">Total </t>
  </si>
  <si>
    <t>Discipline</t>
  </si>
  <si>
    <t>D 1</t>
  </si>
  <si>
    <t>D 2</t>
  </si>
  <si>
    <t>D 3</t>
  </si>
  <si>
    <t>D 4</t>
  </si>
  <si>
    <t>D 5</t>
  </si>
  <si>
    <t>A</t>
  </si>
  <si>
    <t>2024JULB00001</t>
  </si>
  <si>
    <t>A Divya Sree</t>
  </si>
  <si>
    <t>2024JULB00110</t>
  </si>
  <si>
    <t>Prachi Chauhan</t>
  </si>
  <si>
    <t>2024JULB00037</t>
  </si>
  <si>
    <t>Bhavik Puri</t>
  </si>
  <si>
    <t>2024JULB00075</t>
  </si>
  <si>
    <t>Kartheek Surya Devarapalli</t>
  </si>
  <si>
    <t>2024JULB00221</t>
  </si>
  <si>
    <t>Dhruban Talukdar</t>
  </si>
  <si>
    <t>2024JULB00184</t>
  </si>
  <si>
    <t>Yash Sen</t>
  </si>
  <si>
    <t>2024JULB00201</t>
  </si>
  <si>
    <t>Varun Thampi</t>
  </si>
  <si>
    <t>2024JULB00024</t>
  </si>
  <si>
    <t>Apoorwa Mishra</t>
  </si>
  <si>
    <t>2024JULB00216</t>
  </si>
  <si>
    <t>Vanshita Bali</t>
  </si>
  <si>
    <t>2024JULB00152</t>
  </si>
  <si>
    <t>Snehith Samala</t>
  </si>
  <si>
    <t>2024JULB00158</t>
  </si>
  <si>
    <t>Sree Nithish</t>
  </si>
  <si>
    <t>2024JULB00027</t>
  </si>
  <si>
    <t>Aryan Atreya</t>
  </si>
  <si>
    <t>2024JULB00078</t>
  </si>
  <si>
    <t>Keshav Dhoot</t>
  </si>
  <si>
    <t>2024JULB00109</t>
  </si>
  <si>
    <t>Poulami Sarkar</t>
  </si>
  <si>
    <t>2024JULB00003</t>
  </si>
  <si>
    <t>Aanchal Sapra</t>
  </si>
  <si>
    <t>2024JULB00033</t>
  </si>
  <si>
    <t>Ashwin Bhaskar</t>
  </si>
  <si>
    <t>2024JULB00012</t>
  </si>
  <si>
    <t>Akarsh Narain</t>
  </si>
  <si>
    <t>2024JULB00103</t>
  </si>
  <si>
    <t>Nishant Mishra</t>
  </si>
  <si>
    <t>2024JULB00007</t>
  </si>
  <si>
    <t>Adarsh G</t>
  </si>
  <si>
    <t>2024JULB00251</t>
  </si>
  <si>
    <t>2024JULB00002</t>
  </si>
  <si>
    <t>Aaditya K</t>
  </si>
  <si>
    <t>2024JULB00129</t>
  </si>
  <si>
    <t>Prithviraj Srinivasan</t>
  </si>
  <si>
    <t>2024JULB00160</t>
  </si>
  <si>
    <t>Srishti</t>
  </si>
  <si>
    <t>2024JULB00102</t>
  </si>
  <si>
    <t>Niranjana Hari</t>
  </si>
  <si>
    <t>2024JULB00185</t>
  </si>
  <si>
    <t>Souvik Biswas</t>
  </si>
  <si>
    <t>2024JULB00161</t>
  </si>
  <si>
    <t>Subham Kumar Sahana</t>
  </si>
  <si>
    <t>2024JULB00017</t>
  </si>
  <si>
    <t>Anamitra Dutta</t>
  </si>
  <si>
    <t>2024JULB00049</t>
  </si>
  <si>
    <t>Deepak Birthare</t>
  </si>
  <si>
    <t>2024JULB00081</t>
  </si>
  <si>
    <t>Krish Chakraborty</t>
  </si>
  <si>
    <t>2024JULB00187</t>
  </si>
  <si>
    <t>Sejal Negi</t>
  </si>
  <si>
    <t>2024JULB00041</t>
  </si>
  <si>
    <t>C Divyashree</t>
  </si>
  <si>
    <t>2024JULB00116</t>
  </si>
  <si>
    <t>Pushkar Dey</t>
  </si>
  <si>
    <t>2024JULB00004</t>
  </si>
  <si>
    <t>Abhinav B</t>
  </si>
  <si>
    <t>2024JULB00006</t>
  </si>
  <si>
    <t>Abhyuday Tripathi</t>
  </si>
  <si>
    <t>2024JULB00009</t>
  </si>
  <si>
    <t>Aditi Kumari</t>
  </si>
  <si>
    <t>2024JULB00021</t>
  </si>
  <si>
    <t>Aniket Inani</t>
  </si>
  <si>
    <t>2024JULB00023</t>
  </si>
  <si>
    <t>Anushk Goel</t>
  </si>
  <si>
    <t>Aryan Trivedi</t>
  </si>
  <si>
    <t>2024JULB00038</t>
  </si>
  <si>
    <t>Bibek Kumar Muduli</t>
  </si>
  <si>
    <t>2024JULB00044</t>
  </si>
  <si>
    <t>Chirag Bhardwaj</t>
  </si>
  <si>
    <t>2024JULB00055</t>
  </si>
  <si>
    <t>Divyam Sood</t>
  </si>
  <si>
    <t>2024JULB00056</t>
  </si>
  <si>
    <t>Elina Mahanta</t>
  </si>
  <si>
    <t>2024JULB00059</t>
  </si>
  <si>
    <t>G Tharnath Reddy</t>
  </si>
  <si>
    <t>2024JULB00212</t>
  </si>
  <si>
    <t>Rajnish Kumar</t>
  </si>
  <si>
    <t>2024JULB00062</t>
  </si>
  <si>
    <t>Harish Kumar R</t>
  </si>
  <si>
    <t>2024JULB00071</t>
  </si>
  <si>
    <t>Jyoti Sahoo</t>
  </si>
  <si>
    <t>2024JULB00074</t>
  </si>
  <si>
    <t>Karan Kashyap</t>
  </si>
  <si>
    <t>2024JULB00076</t>
  </si>
  <si>
    <t>Karthik Gr</t>
  </si>
  <si>
    <t>2024JULB00086</t>
  </si>
  <si>
    <t>Lakshita Chandak</t>
  </si>
  <si>
    <t>2024JULB00088</t>
  </si>
  <si>
    <t>Leena D</t>
  </si>
  <si>
    <t>2024JULB00105</t>
  </si>
  <si>
    <t>Nithish Yuvaraj</t>
  </si>
  <si>
    <t>2024JULB00108</t>
  </si>
  <si>
    <t>Pooja . S</t>
  </si>
  <si>
    <t>2024JULB00113</t>
  </si>
  <si>
    <t>Prajwal P Kulkarni</t>
  </si>
  <si>
    <t>2024JULB00123</t>
  </si>
  <si>
    <t>Rishik Chandra Pasupuleti</t>
  </si>
  <si>
    <t>2024JULB00126</t>
  </si>
  <si>
    <t>Riya Rose</t>
  </si>
  <si>
    <t>2024JULB00130</t>
  </si>
  <si>
    <t>Sadya Anwar</t>
  </si>
  <si>
    <t>2024JULB00138</t>
  </si>
  <si>
    <t>Shankar Vyas</t>
  </si>
  <si>
    <t>2024JULB00230</t>
  </si>
  <si>
    <t>Jaladi Blessy Susanthika</t>
  </si>
  <si>
    <t>2024JULB00148</t>
  </si>
  <si>
    <t>Shubham Goel</t>
  </si>
  <si>
    <t>2024JULB00171</t>
  </si>
  <si>
    <t>Thribhuvan Gowda</t>
  </si>
  <si>
    <t>2024JULB00179</t>
  </si>
  <si>
    <t>Veeraj Vasu Poojari</t>
  </si>
  <si>
    <t>2024JULB00182</t>
  </si>
  <si>
    <t>2024JULB00195</t>
  </si>
  <si>
    <t>Nikhitha Sriya Pottangi</t>
  </si>
  <si>
    <t>2024JULB00202</t>
  </si>
  <si>
    <t>Arnav Rastogi</t>
  </si>
  <si>
    <t>B</t>
  </si>
  <si>
    <t>2024JULB00013</t>
  </si>
  <si>
    <t>Akshat Singh</t>
  </si>
  <si>
    <t>2024JULB00085</t>
  </si>
  <si>
    <t>Kushal Srivastav</t>
  </si>
  <si>
    <t>2024JULB00090</t>
  </si>
  <si>
    <t>M Maureen Mandy</t>
  </si>
  <si>
    <t>2024JULB00134</t>
  </si>
  <si>
    <t>Sanjay Baliga</t>
  </si>
  <si>
    <t>2024JULB00174</t>
  </si>
  <si>
    <t>Urvi Verma</t>
  </si>
  <si>
    <t>2024JULB00176</t>
  </si>
  <si>
    <t>Vaibhav Pandey</t>
  </si>
  <si>
    <t>2024JULB00189</t>
  </si>
  <si>
    <t>Rahul Kumar Mallick</t>
  </si>
  <si>
    <t>2024JULB00241</t>
  </si>
  <si>
    <t>Anu Kumari</t>
  </si>
  <si>
    <t>2024JULB00014</t>
  </si>
  <si>
    <t>Amal Shibu Balan</t>
  </si>
  <si>
    <t>2024JULB00057</t>
  </si>
  <si>
    <t>Faizulhusen A Niaz</t>
  </si>
  <si>
    <t>2024JULB00091</t>
  </si>
  <si>
    <t>Madhav Sharma</t>
  </si>
  <si>
    <t>2024JULB00120</t>
  </si>
  <si>
    <t>Ramya H</t>
  </si>
  <si>
    <t>2024JULB00135</t>
  </si>
  <si>
    <t>Saqib Kalandar Attar</t>
  </si>
  <si>
    <t>2024JULB00188</t>
  </si>
  <si>
    <t>Jigyasa Singh</t>
  </si>
  <si>
    <t>2024JULB00194</t>
  </si>
  <si>
    <t>Aditya Yuvraj Singh Ranawat</t>
  </si>
  <si>
    <t>2024JULB00203</t>
  </si>
  <si>
    <t>Anshumann Singh Sisodiya</t>
  </si>
  <si>
    <t>2024JULB00019</t>
  </si>
  <si>
    <t>Anantaa Paul</t>
  </si>
  <si>
    <t>2024JULB00025</t>
  </si>
  <si>
    <t>2024JULB00060</t>
  </si>
  <si>
    <t>Gagan C S</t>
  </si>
  <si>
    <t>2024JULB00099</t>
  </si>
  <si>
    <t>Nandan Ganapati Bhat</t>
  </si>
  <si>
    <t>2024JULB00139</t>
  </si>
  <si>
    <t>Shaswat Mishra</t>
  </si>
  <si>
    <t>2024JULB00145</t>
  </si>
  <si>
    <t>Shruti Rajale</t>
  </si>
  <si>
    <t>2024JULB00190</t>
  </si>
  <si>
    <t>Himanshu Mall</t>
  </si>
  <si>
    <t>2024JULB00200</t>
  </si>
  <si>
    <t>Meghana Jaya Satuluri</t>
  </si>
  <si>
    <t>2024JULB00026</t>
  </si>
  <si>
    <t>Arush Mangal</t>
  </si>
  <si>
    <t>2024JULB00040</t>
  </si>
  <si>
    <t>Bonula Pravallika</t>
  </si>
  <si>
    <t>2024JULB00064</t>
  </si>
  <si>
    <t>Hemant Prajapat</t>
  </si>
  <si>
    <t>2024JULB00106</t>
  </si>
  <si>
    <t>O K Srivyshnu</t>
  </si>
  <si>
    <t>2024JULB00140</t>
  </si>
  <si>
    <t>Shatabarta Chanda</t>
  </si>
  <si>
    <t>2024JULB00153</t>
  </si>
  <si>
    <t>Sofia Do Carmo Rodrigues</t>
  </si>
  <si>
    <t>2024JULB00198</t>
  </si>
  <si>
    <t>Suvam Basak</t>
  </si>
  <si>
    <t>2024JULB00205</t>
  </si>
  <si>
    <t>Archa S Lal</t>
  </si>
  <si>
    <t>2024JULB00028</t>
  </si>
  <si>
    <t>Aryan Balapure</t>
  </si>
  <si>
    <t>2024JULB00047</t>
  </si>
  <si>
    <t>Debotree Roy</t>
  </si>
  <si>
    <t>2024JULB00065</t>
  </si>
  <si>
    <t>Himanshu Chahar</t>
  </si>
  <si>
    <t>2024JULB00114</t>
  </si>
  <si>
    <t>Prince Kumar</t>
  </si>
  <si>
    <t>2024JULB00137</t>
  </si>
  <si>
    <t>Saurav Kumar</t>
  </si>
  <si>
    <t>2024JULB00142</t>
  </si>
  <si>
    <t>Shivang Mishra</t>
  </si>
  <si>
    <t>2024JULB00154</t>
  </si>
  <si>
    <t>Somya Sahoo</t>
  </si>
  <si>
    <t>2024JULB00217</t>
  </si>
  <si>
    <t>Vittika Dnyaneshwar Chavhan</t>
  </si>
  <si>
    <t>2024JULB00030</t>
  </si>
  <si>
    <t>Ashish Abraham John</t>
  </si>
  <si>
    <t>2024JULB00039</t>
  </si>
  <si>
    <t>Bipasha Mandal</t>
  </si>
  <si>
    <t>2024JULB00054</t>
  </si>
  <si>
    <t>Divya Ashok</t>
  </si>
  <si>
    <t>2024JULB00069</t>
  </si>
  <si>
    <t>Jay Dwivedi</t>
  </si>
  <si>
    <t>2024JULB00118</t>
  </si>
  <si>
    <t>Rahul Ghosh</t>
  </si>
  <si>
    <t>2024JULB00157</t>
  </si>
  <si>
    <t>Spandana Chandragiri</t>
  </si>
  <si>
    <t>2024JULB00162</t>
  </si>
  <si>
    <t>Subhrojit Ghosh</t>
  </si>
  <si>
    <t>2024JULB00218</t>
  </si>
  <si>
    <t>Yash Kataruka</t>
  </si>
  <si>
    <t>2024JULB00032</t>
  </si>
  <si>
    <t>Ashutosh Sharan</t>
  </si>
  <si>
    <t>2024JULB00063</t>
  </si>
  <si>
    <t>Harshavarthni K S</t>
  </si>
  <si>
    <t>2024JULB00083</t>
  </si>
  <si>
    <t>Kunal Khurana</t>
  </si>
  <si>
    <t>2024JULB00122</t>
  </si>
  <si>
    <t>Riddhiman Saha</t>
  </si>
  <si>
    <t>2024JULB00159</t>
  </si>
  <si>
    <t>Sreya Sivadas</t>
  </si>
  <si>
    <t>2024JULB00167</t>
  </si>
  <si>
    <t>Sukhman Sandhu</t>
  </si>
  <si>
    <t>2024JULB00173</t>
  </si>
  <si>
    <t>Tushar Kant Panda</t>
  </si>
  <si>
    <t>2024JULB00215</t>
  </si>
  <si>
    <t>Sanjib Kumar Bhagabati</t>
  </si>
  <si>
    <t>2024JULB00042</t>
  </si>
  <si>
    <t>Chaitya Swaroop Sahu</t>
  </si>
  <si>
    <t>2024JULB00077</t>
  </si>
  <si>
    <t>V L S Kavya Devarapalli</t>
  </si>
  <si>
    <t>2024JULB00084</t>
  </si>
  <si>
    <t>Kushal Badalia</t>
  </si>
  <si>
    <t>2024JULB00133</t>
  </si>
  <si>
    <t>S Sandeep</t>
  </si>
  <si>
    <t>2024JULB00169</t>
  </si>
  <si>
    <t>Syed Sofia Mehazabeen</t>
  </si>
  <si>
    <t>2024JULB00175</t>
  </si>
  <si>
    <t>Vaibhav Laldas</t>
  </si>
  <si>
    <t>2024JULB00208</t>
  </si>
  <si>
    <t>Garima Sarraf</t>
  </si>
  <si>
    <t>2024JULB00224</t>
  </si>
  <si>
    <t>Aniket Raj</t>
  </si>
  <si>
    <t>D</t>
  </si>
  <si>
    <t>2024JULB00005</t>
  </si>
  <si>
    <t>2024JULB00008</t>
  </si>
  <si>
    <t>Adarsh Raj Barman</t>
  </si>
  <si>
    <t>2024JULB00020</t>
  </si>
  <si>
    <t>Ananya Das</t>
  </si>
  <si>
    <t>2024JULB00022</t>
  </si>
  <si>
    <t>Anupa Maheshwari</t>
  </si>
  <si>
    <t>2024JULB00029</t>
  </si>
  <si>
    <t>2024JULB00031</t>
  </si>
  <si>
    <t xml:space="preserve">Ashita Roshan Kumar </t>
  </si>
  <si>
    <t>2024JULB00034</t>
  </si>
  <si>
    <t>Ayush Anand</t>
  </si>
  <si>
    <t>2024JULB00046</t>
  </si>
  <si>
    <t>Darsh Nimesh Shah</t>
  </si>
  <si>
    <t>2024JULB00048</t>
  </si>
  <si>
    <t>Deekshitha S</t>
  </si>
  <si>
    <t>2024JULB00053</t>
  </si>
  <si>
    <t>Disha Baid</t>
  </si>
  <si>
    <t>2024JULB00058</t>
  </si>
  <si>
    <t>Farheena Taskin Jamadar</t>
  </si>
  <si>
    <t>2024JULB00061</t>
  </si>
  <si>
    <t>Gaurav Gaur</t>
  </si>
  <si>
    <t>2024JULB00066</t>
  </si>
  <si>
    <t>Himanshu Upadhyay</t>
  </si>
  <si>
    <t>2024JULB00072</t>
  </si>
  <si>
    <t>Kajal Choudhary</t>
  </si>
  <si>
    <t>2024JULB00073</t>
  </si>
  <si>
    <t>K Balaji Reddy</t>
  </si>
  <si>
    <t>2024JULB00080</t>
  </si>
  <si>
    <t>Koustav  Biswas</t>
  </si>
  <si>
    <t>2024JULB00087</t>
  </si>
  <si>
    <t>Laxmi Poorvaja S</t>
  </si>
  <si>
    <t>2024JULB00093</t>
  </si>
  <si>
    <t>Akhileswaradu Manikireddy</t>
  </si>
  <si>
    <t>2024JULB00094</t>
  </si>
  <si>
    <t>Megha Prajapati</t>
  </si>
  <si>
    <t>2024JULB00095</t>
  </si>
  <si>
    <t>Melvin Roche. A</t>
  </si>
  <si>
    <t>2024JULB00096</t>
  </si>
  <si>
    <t>Milan Krishna N E</t>
  </si>
  <si>
    <t>2024JULB00098</t>
  </si>
  <si>
    <t>Naitik Roy</t>
  </si>
  <si>
    <t>2024JULB00100</t>
  </si>
  <si>
    <t>Nihal Poojary</t>
  </si>
  <si>
    <t>2024JULB00101</t>
  </si>
  <si>
    <t>Nimisha Baruah</t>
  </si>
  <si>
    <t>2024JULB00104</t>
  </si>
  <si>
    <t>Nitesh Ramniwas Saini</t>
  </si>
  <si>
    <t>2024JULB00107</t>
  </si>
  <si>
    <t>Pavitra V</t>
  </si>
  <si>
    <t>2024JULB00115</t>
  </si>
  <si>
    <t>Pujarchana Nayak</t>
  </si>
  <si>
    <t>2024JULB00119</t>
  </si>
  <si>
    <t>RAHUL LAL P. P</t>
  </si>
  <si>
    <t>2024JULB00121</t>
  </si>
  <si>
    <t>Renukha S</t>
  </si>
  <si>
    <t>2024JULB00124</t>
  </si>
  <si>
    <t>Ritaban Roy</t>
  </si>
  <si>
    <t>2024JULB00125</t>
  </si>
  <si>
    <t>Riya Guliya</t>
  </si>
  <si>
    <t>2024JULB00131</t>
  </si>
  <si>
    <t>Sai Krishna Kaveti</t>
  </si>
  <si>
    <t>2024JULB00132</t>
  </si>
  <si>
    <t>Sakchi Suryavanshi</t>
  </si>
  <si>
    <t>2024JULB00143</t>
  </si>
  <si>
    <t>Shreya Bohre</t>
  </si>
  <si>
    <t>2024JULB00146</t>
  </si>
  <si>
    <t>Shruti Sharma</t>
  </si>
  <si>
    <t>2024JULB00147</t>
  </si>
  <si>
    <t>Shruti Vishamber Buchasia</t>
  </si>
  <si>
    <t>2024JULB00149</t>
  </si>
  <si>
    <t>Shubham  Kumar</t>
  </si>
  <si>
    <t>2024JULB00150</t>
  </si>
  <si>
    <t>Siddharth Singh</t>
  </si>
  <si>
    <t>2024JULB00151</t>
  </si>
  <si>
    <t>Sivaraman S</t>
  </si>
  <si>
    <t>2024JULB00155</t>
  </si>
  <si>
    <t>Sonali Agarwal</t>
  </si>
  <si>
    <t>2024JULB00156</t>
  </si>
  <si>
    <t>Souvik Roy</t>
  </si>
  <si>
    <t>2024JULB00163</t>
  </si>
  <si>
    <t>Sudharsan B</t>
  </si>
  <si>
    <t>2024JULB00165</t>
  </si>
  <si>
    <t>Shristi Prakash</t>
  </si>
  <si>
    <t>2024JULB00172</t>
  </si>
  <si>
    <t>Trinanjan Purkait</t>
  </si>
  <si>
    <t>2024JULB00177</t>
  </si>
  <si>
    <t>Vanshika Bihani</t>
  </si>
  <si>
    <t>2024JULB00178</t>
  </si>
  <si>
    <t>Varsha Saji</t>
  </si>
  <si>
    <t>2024JULB00181</t>
  </si>
  <si>
    <t>Vishal Bhagat</t>
  </si>
  <si>
    <t>Weslin Raj</t>
  </si>
  <si>
    <t>2024JULB00183</t>
  </si>
  <si>
    <t>Yasaswini Reddy Sagili</t>
  </si>
  <si>
    <t>2024JULB00186</t>
  </si>
  <si>
    <t>Pasumurty Vineeth Kumar</t>
  </si>
  <si>
    <t>2024JULB00191</t>
  </si>
  <si>
    <t>Jayant Pal</t>
  </si>
  <si>
    <t>2024JULB00196</t>
  </si>
  <si>
    <t>Piyush Kumar</t>
  </si>
  <si>
    <t>2024JULB00197</t>
  </si>
  <si>
    <t>Deewanshu Ukey</t>
  </si>
  <si>
    <t>2024JULB00206</t>
  </si>
  <si>
    <t>Arpit Katiyar</t>
  </si>
  <si>
    <t>2024JULB00207</t>
  </si>
  <si>
    <t>Ayushi Mohanty</t>
  </si>
  <si>
    <t>2024JULB00209</t>
  </si>
  <si>
    <t>2024JULB00210</t>
  </si>
  <si>
    <t>Nikita Soni</t>
  </si>
  <si>
    <t>2024JULB00211</t>
  </si>
  <si>
    <t>Purnita Gupta</t>
  </si>
  <si>
    <t>2024JULB00213</t>
  </si>
  <si>
    <t>Govinda Rajulu Boya</t>
  </si>
  <si>
    <t>2024JULB00220</t>
  </si>
  <si>
    <t>Rohan Agrawal</t>
  </si>
  <si>
    <t>2024JULB00223</t>
  </si>
  <si>
    <t>Preethish Mesa</t>
  </si>
  <si>
    <t>2024JULB00225</t>
  </si>
  <si>
    <t>Abhishek KumarNema</t>
  </si>
  <si>
    <t>2024JULB00227</t>
  </si>
  <si>
    <t>Sumit Sharma</t>
  </si>
  <si>
    <t>2024JULB00229</t>
  </si>
  <si>
    <t>Malvika</t>
  </si>
  <si>
    <t>2024JULB00231</t>
  </si>
  <si>
    <t>Sanskar Dixit</t>
  </si>
  <si>
    <t>2024JULB00232</t>
  </si>
  <si>
    <t>Ankita Anand</t>
  </si>
  <si>
    <t>2024JULB00233</t>
  </si>
  <si>
    <t>Riya Batra</t>
  </si>
  <si>
    <t>2024JULB00234</t>
  </si>
  <si>
    <t>Pratheek Bhat</t>
  </si>
  <si>
    <t>2024JULB00235</t>
  </si>
  <si>
    <t>Abhinav  Dubey</t>
  </si>
  <si>
    <t>2024JULB00236</t>
  </si>
  <si>
    <t>Prachi Pandey</t>
  </si>
  <si>
    <t>2024JULB00238</t>
  </si>
  <si>
    <t>Krishna Kumar Singh</t>
  </si>
  <si>
    <t>2024JULB00239</t>
  </si>
  <si>
    <t>Abhishek Nanda</t>
  </si>
  <si>
    <t>2024JULB00240</t>
  </si>
  <si>
    <t>Prabhansha Vyas</t>
  </si>
  <si>
    <t>2024JULB00242</t>
  </si>
  <si>
    <t>Shreya Sethi</t>
  </si>
  <si>
    <t>2024JULB00243</t>
  </si>
  <si>
    <t>Sahil Gupta</t>
  </si>
  <si>
    <t>2024JULB00244</t>
  </si>
  <si>
    <t>Harshita Chauhan</t>
  </si>
  <si>
    <t>2024JULB00245</t>
  </si>
  <si>
    <t>Harshvardhan Patidar</t>
  </si>
  <si>
    <t>2024JULB00246</t>
  </si>
  <si>
    <t>Badhul B Pillai</t>
  </si>
  <si>
    <t>2024JULB00247</t>
  </si>
  <si>
    <t>Md ArsalanSiddiqui</t>
  </si>
  <si>
    <t>2024JULB00248</t>
  </si>
  <si>
    <t>Shivam Ratnani</t>
  </si>
  <si>
    <t>2024JULB00249</t>
  </si>
  <si>
    <t>Kartik Garg</t>
  </si>
  <si>
    <t>2024JULB00250</t>
  </si>
  <si>
    <t>Sanjana ManishkumarKapadia</t>
  </si>
  <si>
    <t>Male</t>
  </si>
  <si>
    <t>2024JULB00252</t>
  </si>
  <si>
    <t>Ronak  Agarwal</t>
  </si>
  <si>
    <t>2024JULB00253</t>
  </si>
  <si>
    <t>Pritam RajuShet</t>
  </si>
  <si>
    <t>2024JULB00254</t>
  </si>
  <si>
    <t>Reshu Sharma</t>
  </si>
  <si>
    <t>2024JULB00255</t>
  </si>
  <si>
    <t>Saisrita Rao</t>
  </si>
  <si>
    <t>2024JULB00256</t>
  </si>
  <si>
    <t>Riya Kumari</t>
  </si>
  <si>
    <t>2024JULB00257</t>
  </si>
  <si>
    <t>Saurav Singh</t>
  </si>
  <si>
    <t>2024JULB00258</t>
  </si>
  <si>
    <t>Animesh Tiwari</t>
  </si>
  <si>
    <t>2024JULB00260</t>
  </si>
  <si>
    <t>Vishal Durga RaoGandu</t>
  </si>
  <si>
    <t>2024JULB00261</t>
  </si>
  <si>
    <t>Ananya Raj</t>
  </si>
  <si>
    <t>2024JULB00262</t>
  </si>
  <si>
    <t>Aman Kumar</t>
  </si>
  <si>
    <t>2024JULB00263</t>
  </si>
  <si>
    <t>Soumya  Roy</t>
  </si>
  <si>
    <t>2024JULB00264</t>
  </si>
  <si>
    <t>Nikita Sehgal</t>
  </si>
  <si>
    <t>2024JULB00265</t>
  </si>
  <si>
    <t>Srijan Dobhal</t>
  </si>
  <si>
    <t>2024JULB00266</t>
  </si>
  <si>
    <t>Musaddik Kurundwad</t>
  </si>
  <si>
    <t>2024JULB00267</t>
  </si>
  <si>
    <t>Kushal Raj</t>
  </si>
  <si>
    <t>2024JULB00268</t>
  </si>
  <si>
    <t xml:space="preserve">Soumya </t>
  </si>
  <si>
    <t>2024JULB00269</t>
  </si>
  <si>
    <t>2024JULB00270</t>
  </si>
  <si>
    <t>Rahul Gupta</t>
  </si>
  <si>
    <t>2024JULB00272</t>
  </si>
  <si>
    <t>Vikash Kumar</t>
  </si>
  <si>
    <t>Harshit  Gopawat</t>
  </si>
  <si>
    <t>Gender</t>
  </si>
  <si>
    <t>Column1</t>
  </si>
  <si>
    <t>Column11</t>
  </si>
  <si>
    <t>Story Telling</t>
  </si>
  <si>
    <t>C</t>
  </si>
  <si>
    <t>Rishi Raj Yadav</t>
  </si>
  <si>
    <t>Analytical &amp; Critical Thinking ( A )</t>
  </si>
  <si>
    <t>Communication ( C )</t>
  </si>
  <si>
    <t>Empathy  ( E )</t>
  </si>
  <si>
    <t xml:space="preserve"> Leadership(  L )</t>
  </si>
  <si>
    <t>Negotiation ( N )</t>
  </si>
  <si>
    <t>Problem Solving ( P )</t>
  </si>
  <si>
    <t>Team Work ( T)</t>
  </si>
  <si>
    <t>A 1</t>
  </si>
  <si>
    <t>A 2</t>
  </si>
  <si>
    <t>A 3</t>
  </si>
  <si>
    <t>A 4</t>
  </si>
  <si>
    <t>A 5</t>
  </si>
  <si>
    <t>C 1</t>
  </si>
  <si>
    <t>C 2</t>
  </si>
  <si>
    <t>C 3</t>
  </si>
  <si>
    <t>C 4</t>
  </si>
  <si>
    <t>C 5</t>
  </si>
  <si>
    <t>E  1</t>
  </si>
  <si>
    <t>E  2</t>
  </si>
  <si>
    <t>E  3</t>
  </si>
  <si>
    <t>E  4</t>
  </si>
  <si>
    <t>E  5</t>
  </si>
  <si>
    <t>L 1</t>
  </si>
  <si>
    <t>L 2</t>
  </si>
  <si>
    <t>L 3</t>
  </si>
  <si>
    <t>L 4</t>
  </si>
  <si>
    <t>L 5</t>
  </si>
  <si>
    <t>N 1</t>
  </si>
  <si>
    <t>N 2</t>
  </si>
  <si>
    <t>N 3</t>
  </si>
  <si>
    <t>N 4</t>
  </si>
  <si>
    <t>N 5</t>
  </si>
  <si>
    <t>P 1</t>
  </si>
  <si>
    <t>P 2</t>
  </si>
  <si>
    <t>P 3</t>
  </si>
  <si>
    <t>P 4</t>
  </si>
  <si>
    <t>P 5</t>
  </si>
  <si>
    <t>T  1</t>
  </si>
  <si>
    <t>T  2</t>
  </si>
  <si>
    <t>T  3</t>
  </si>
  <si>
    <t>T  4</t>
  </si>
  <si>
    <t>T  5</t>
  </si>
  <si>
    <t>Arit Roy</t>
  </si>
  <si>
    <t>Abhirup Choudhury</t>
  </si>
  <si>
    <t>Isha Gera</t>
  </si>
  <si>
    <t>Vrijendra Balaji</t>
  </si>
  <si>
    <t xml:space="preserve">2024JULB00273 </t>
  </si>
  <si>
    <t>Female</t>
  </si>
  <si>
    <t>MALE</t>
  </si>
  <si>
    <t>FEMALE</t>
  </si>
  <si>
    <t>MAle</t>
  </si>
  <si>
    <t>Column2</t>
  </si>
  <si>
    <t>Column3</t>
  </si>
  <si>
    <t>Column4</t>
  </si>
  <si>
    <t>Column5</t>
  </si>
  <si>
    <t>Column6</t>
  </si>
  <si>
    <t>Column7</t>
  </si>
  <si>
    <t>Art of Storytelling</t>
  </si>
  <si>
    <t>Storytelling Presentation</t>
  </si>
  <si>
    <t>C1</t>
  </si>
  <si>
    <t>E1</t>
  </si>
  <si>
    <t>E3</t>
  </si>
  <si>
    <t>A1</t>
  </si>
  <si>
    <t>A2</t>
  </si>
  <si>
    <t>A3</t>
  </si>
  <si>
    <t>P1</t>
  </si>
  <si>
    <t>P2</t>
  </si>
  <si>
    <t>P3</t>
  </si>
  <si>
    <t>Book Review Presentation</t>
  </si>
  <si>
    <t>Interpersonal Effectivness</t>
  </si>
  <si>
    <t>Interpersonal Role Play</t>
  </si>
  <si>
    <t>T4</t>
  </si>
  <si>
    <t>T5</t>
  </si>
  <si>
    <t>Problem Solving</t>
  </si>
  <si>
    <t>Case Study Analysis</t>
  </si>
  <si>
    <t>Business Proposal Writing</t>
  </si>
  <si>
    <t>Business Proposal Report</t>
  </si>
  <si>
    <t>Email Writing</t>
  </si>
  <si>
    <t>C4</t>
  </si>
  <si>
    <t>Art of Argumentation</t>
  </si>
  <si>
    <t>Debating</t>
  </si>
  <si>
    <t>Level 1</t>
  </si>
  <si>
    <t>D3</t>
  </si>
  <si>
    <t>Column8</t>
  </si>
  <si>
    <t>Column9</t>
  </si>
  <si>
    <t>Column10</t>
  </si>
  <si>
    <t>0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</si>
  <si>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</si>
  <si>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</si>
  <si>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</si>
  <si>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</si>
  <si>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</si>
  <si>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</si>
  <si>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</si>
  <si>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</si>
  <si>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</si>
  <si>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</si>
  <si>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</si>
  <si>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</si>
  <si>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</si>
  <si>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</si>
  <si>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</si>
  <si>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</si>
  <si>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</si>
  <si>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</si>
  <si>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</si>
  <si>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</si>
  <si>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</si>
  <si>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</si>
  <si>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</si>
  <si>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</si>
  <si>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</si>
  <si>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</si>
  <si>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</si>
  <si>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</si>
  <si>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</si>
  <si>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</si>
  <si>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</si>
  <si>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</si>
  <si>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</si>
  <si>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</si>
  <si>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</si>
  <si>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</si>
  <si>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</si>
  <si>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</si>
  <si>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</si>
  <si>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</si>
  <si>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</si>
  <si>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</si>
  <si>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</si>
  <si>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E</t>
  </si>
  <si>
    <t>L</t>
  </si>
  <si>
    <t>N</t>
  </si>
  <si>
    <t>P</t>
  </si>
  <si>
    <t>T</t>
  </si>
  <si>
    <t>Capstone</t>
  </si>
  <si>
    <t>Term Rating (Internal)</t>
  </si>
  <si>
    <t>Book Review</t>
  </si>
  <si>
    <t>Debate</t>
  </si>
  <si>
    <t>GD</t>
  </si>
  <si>
    <t>Case Study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</si>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</sst>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9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Aptos Narrow"/>
      <family val="2"/>
      <scheme val="minor"/>
    </font>
    <font>
      <b/>
      <sz val="11"/>
      <color theme="0" tint="-4.9989318521683403E-2"/>
      <name val="Aptos Narrow"/>
      <family val="2"/>
      <scheme val="minor"/>
    </font>
    <font>
      <b/>
      <sz val="12"/>
      <color theme="0" tint="-4.9989318521683403E-2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rgb="FFFF0000"/>
      <name val="Calibri"/>
      <family val="2"/>
    </font>
    <font>
      <sz val="11"/>
      <color rgb="FFFF0000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4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/>
    <xf numFmtId="0" fontId="0" fillId="6" borderId="1" xfId="0" applyFill="1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6" borderId="6" xfId="0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  <xf numFmtId="0" fontId="7" fillId="0" borderId="1" xfId="0" applyFont="1" applyBorder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0" fillId="10" borderId="0" xfId="0" applyFill="1"/>
    <xf numFmtId="0" fontId="6" fillId="8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1" fillId="13" borderId="6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13" borderId="6" xfId="0" applyFont="1" applyFill="1" applyBorder="1" applyAlignment="1">
      <alignment horizontal="center" vertical="center"/>
    </xf>
    <xf numFmtId="0" fontId="11" fillId="12" borderId="1" xfId="0" applyFont="1" applyFill="1" applyBorder="1" applyAlignment="1">
      <alignment horizontal="center" vertical="center"/>
    </xf>
    <xf numFmtId="0" fontId="11" fillId="12" borderId="6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0" fontId="0" fillId="6" borderId="7" xfId="0" applyFill="1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12" fillId="0" borderId="3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14" fillId="10" borderId="1" xfId="0" applyFont="1" applyFill="1" applyBorder="1" applyAlignment="1">
      <alignment horizontal="center" vertical="center"/>
    </xf>
    <xf numFmtId="1" fontId="14" fillId="10" borderId="1" xfId="0" applyNumberFormat="1" applyFont="1" applyFill="1" applyBorder="1" applyAlignment="1">
      <alignment horizontal="center" vertical="center"/>
    </xf>
    <xf numFmtId="0" fontId="14" fillId="10" borderId="0" xfId="0" applyFont="1" applyFill="1" applyAlignment="1">
      <alignment horizontal="center"/>
    </xf>
    <xf numFmtId="0" fontId="13" fillId="10" borderId="1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/>
    </xf>
    <xf numFmtId="0" fontId="6" fillId="15" borderId="1" xfId="0" applyFont="1" applyFill="1" applyBorder="1" applyAlignment="1">
      <alignment horizontal="center"/>
    </xf>
    <xf numFmtId="0" fontId="6" fillId="16" borderId="1" xfId="0" applyFont="1" applyFill="1" applyBorder="1" applyAlignment="1">
      <alignment horizontal="center"/>
    </xf>
    <xf numFmtId="0" fontId="6" fillId="17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2" fillId="18" borderId="1" xfId="0" applyFont="1" applyFill="1" applyBorder="1" applyAlignment="1">
      <alignment horizontal="center" wrapText="1"/>
    </xf>
    <xf numFmtId="0" fontId="2" fillId="18" borderId="1" xfId="0" applyFont="1" applyFill="1" applyBorder="1" applyAlignment="1">
      <alignment horizontal="center"/>
    </xf>
    <xf numFmtId="0" fontId="7" fillId="8" borderId="1" xfId="0" applyFon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17" fillId="12" borderId="1" xfId="0" applyFont="1" applyFill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7" fillId="12" borderId="6" xfId="0" applyFont="1" applyFill="1" applyBorder="1" applyAlignment="1">
      <alignment horizontal="center" vertical="center"/>
    </xf>
    <xf numFmtId="0" fontId="17" fillId="13" borderId="6" xfId="0" applyFont="1" applyFill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8" fillId="13" borderId="6" xfId="0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/>
    </xf>
    <xf numFmtId="0" fontId="10" fillId="12" borderId="6" xfId="0" applyFont="1" applyFill="1" applyBorder="1" applyAlignment="1">
      <alignment horizontal="center" vertical="center"/>
    </xf>
    <xf numFmtId="2" fontId="14" fillId="10" borderId="1" xfId="0" applyNumberFormat="1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4" fillId="10" borderId="11" xfId="0" applyFont="1" applyFill="1" applyBorder="1" applyAlignment="1">
      <alignment horizontal="center" vertical="center"/>
    </xf>
    <xf numFmtId="0" fontId="0" fillId="12" borderId="11" xfId="0" applyFill="1" applyBorder="1" applyAlignment="1">
      <alignment horizontal="center" vertical="center"/>
    </xf>
    <xf numFmtId="0" fontId="0" fillId="12" borderId="11" xfId="0" applyFill="1" applyBorder="1" applyAlignment="1">
      <alignment vertical="center"/>
    </xf>
    <xf numFmtId="0" fontId="11" fillId="12" borderId="11" xfId="0" applyFont="1" applyFill="1" applyBorder="1" applyAlignment="1">
      <alignment horizontal="center" vertical="center"/>
    </xf>
    <xf numFmtId="0" fontId="7" fillId="12" borderId="11" xfId="0" applyFont="1" applyFill="1" applyBorder="1" applyAlignment="1">
      <alignment horizontal="center" vertical="center"/>
    </xf>
    <xf numFmtId="1" fontId="14" fillId="10" borderId="11" xfId="0" applyNumberFormat="1" applyFont="1" applyFill="1" applyBorder="1" applyAlignment="1">
      <alignment horizontal="center" vertical="center"/>
    </xf>
    <xf numFmtId="0" fontId="15" fillId="12" borderId="11" xfId="0" applyFont="1" applyFill="1" applyBorder="1" applyAlignment="1">
      <alignment horizontal="center" vertical="center"/>
    </xf>
    <xf numFmtId="0" fontId="11" fillId="12" borderId="2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7" fillId="0" borderId="11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5" fillId="13" borderId="11" xfId="0" applyFont="1" applyFill="1" applyBorder="1" applyAlignment="1">
      <alignment horizontal="center" vertical="center"/>
    </xf>
    <xf numFmtId="0" fontId="11" fillId="13" borderId="2" xfId="0" applyFont="1" applyFill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6" fillId="13" borderId="11" xfId="0" applyFont="1" applyFill="1" applyBorder="1" applyAlignment="1">
      <alignment horizontal="center" vertical="center"/>
    </xf>
    <xf numFmtId="0" fontId="10" fillId="1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12" borderId="2" xfId="0" applyFill="1" applyBorder="1" applyAlignment="1">
      <alignment horizontal="center" vertical="center"/>
    </xf>
    <xf numFmtId="0" fontId="2" fillId="12" borderId="11" xfId="0" applyFont="1" applyFill="1" applyBorder="1" applyAlignment="1">
      <alignment horizontal="center" vertical="center"/>
    </xf>
    <xf numFmtId="0" fontId="7" fillId="12" borderId="2" xfId="0" applyFont="1" applyFill="1" applyBorder="1" applyAlignment="1">
      <alignment horizontal="center" vertical="center"/>
    </xf>
    <xf numFmtId="1" fontId="14" fillId="10" borderId="3" xfId="0" applyNumberFormat="1" applyFont="1" applyFill="1" applyBorder="1" applyAlignment="1">
      <alignment horizontal="center" vertical="center"/>
    </xf>
    <xf numFmtId="0" fontId="0" fillId="12" borderId="10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14" fillId="10" borderId="2" xfId="0" applyFont="1" applyFill="1" applyBorder="1" applyAlignment="1">
      <alignment horizontal="center" vertical="center"/>
    </xf>
    <xf numFmtId="0" fontId="10" fillId="13" borderId="12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vertical="center" wrapText="1"/>
    </xf>
    <xf numFmtId="0" fontId="7" fillId="8" borderId="11" xfId="0" applyFont="1" applyFill="1" applyBorder="1" applyAlignment="1">
      <alignment horizontal="center" vertical="center"/>
    </xf>
    <xf numFmtId="0" fontId="6" fillId="8" borderId="11" xfId="0" applyFont="1" applyFill="1" applyBorder="1" applyAlignment="1">
      <alignment horizontal="center" vertical="center"/>
    </xf>
    <xf numFmtId="0" fontId="2" fillId="8" borderId="11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3" fillId="10" borderId="3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0" fontId="6" fillId="15" borderId="1" xfId="0" applyFont="1" applyFill="1" applyBorder="1" applyAlignment="1">
      <alignment horizontal="center" vertical="center"/>
    </xf>
    <xf numFmtId="0" fontId="6" fillId="16" borderId="1" xfId="0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2" fillId="18" borderId="1" xfId="0" applyFont="1" applyFill="1" applyBorder="1" applyAlignment="1">
      <alignment horizontal="center" vertical="center" wrapText="1"/>
    </xf>
    <xf numFmtId="0" fontId="2" fillId="18" borderId="1" xfId="0" applyFont="1" applyFill="1" applyBorder="1" applyAlignment="1">
      <alignment horizontal="center" vertical="center"/>
    </xf>
    <xf numFmtId="0" fontId="0" fillId="5" borderId="0" xfId="0" applyFill="1" applyAlignment="1">
      <alignment vertical="center"/>
    </xf>
    <xf numFmtId="0" fontId="0" fillId="5" borderId="0" xfId="0" applyFill="1"/>
    <xf numFmtId="0" fontId="0" fillId="5" borderId="0" xfId="0" applyFill="1" applyAlignment="1">
      <alignment horizontal="center" vertical="center"/>
    </xf>
    <xf numFmtId="0" fontId="14" fillId="5" borderId="0" xfId="0" applyFont="1" applyFill="1" applyAlignment="1">
      <alignment horizontal="center"/>
    </xf>
    <xf numFmtId="0" fontId="9" fillId="5" borderId="1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0" fontId="9" fillId="9" borderId="6" xfId="0" applyFont="1" applyFill="1" applyBorder="1" applyAlignment="1">
      <alignment horizontal="center" vertical="center"/>
    </xf>
    <xf numFmtId="0" fontId="0" fillId="12" borderId="5" xfId="0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2" fontId="0" fillId="12" borderId="1" xfId="0" applyNumberForma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14" fillId="10" borderId="1" xfId="0" applyFont="1" applyFill="1" applyBorder="1" applyAlignment="1">
      <alignment horizontal="center" vertical="center"/>
    </xf>
    <xf numFmtId="0" fontId="14" fillId="10" borderId="2" xfId="0" applyFont="1" applyFill="1" applyBorder="1" applyAlignment="1">
      <alignment horizontal="center" vertical="center"/>
    </xf>
    <xf numFmtId="0" fontId="2" fillId="7" borderId="8" xfId="0" applyFont="1" applyFill="1" applyBorder="1" applyAlignment="1">
      <alignment horizontal="center" vertical="center"/>
    </xf>
    <xf numFmtId="0" fontId="2" fillId="11" borderId="8" xfId="0" applyFont="1" applyFill="1" applyBorder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12" xfId="0" applyFont="1" applyFill="1" applyBorder="1" applyAlignment="1">
      <alignment vertical="center" wrapText="1"/>
    </xf>
    <xf numFmtId="0" fontId="13" fillId="10" borderId="1" xfId="0" applyFont="1" applyFill="1" applyBorder="1" applyAlignment="1">
      <alignment horizontal="center" vertical="center"/>
    </xf>
    <xf numFmtId="0" fontId="13" fillId="10" borderId="2" xfId="0" applyFont="1" applyFill="1" applyBorder="1" applyAlignment="1">
      <alignment horizontal="center" vertical="center"/>
    </xf>
    <xf numFmtId="0" fontId="14" fillId="10" borderId="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vertical="center" wrapText="1"/>
    </xf>
    <xf numFmtId="0" fontId="5" fillId="3" borderId="0" xfId="0" applyFont="1" applyFill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20" borderId="3" xfId="0" applyFont="1" applyFill="1" applyBorder="1" applyAlignment="1">
      <alignment horizontal="center" vertical="center"/>
    </xf>
    <xf numFmtId="0" fontId="5" fillId="20" borderId="13" xfId="0" applyFont="1" applyFill="1" applyBorder="1" applyAlignment="1">
      <alignment horizontal="center" vertical="center"/>
    </xf>
    <xf numFmtId="0" fontId="5" fillId="20" borderId="5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19" borderId="3" xfId="0" applyFont="1" applyFill="1" applyBorder="1" applyAlignment="1">
      <alignment horizontal="center" vertical="center"/>
    </xf>
    <xf numFmtId="0" fontId="5" fillId="19" borderId="13" xfId="0" applyFont="1" applyFill="1" applyBorder="1" applyAlignment="1">
      <alignment horizontal="center" vertical="center"/>
    </xf>
    <xf numFmtId="0" fontId="5" fillId="19" borderId="5" xfId="0" applyFont="1" applyFill="1" applyBorder="1" applyAlignment="1">
      <alignment horizontal="center" vertical="center"/>
    </xf>
  </cellXfs>
  <cellStyles count="1">
    <cellStyle name="Normal" xfId="0" builtinId="0"/>
  </cellStyles>
  <dxfs count="36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8" tint="-0.49998474074526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solid">
          <fgColor indexed="64"/>
          <bgColor theme="8" tint="-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solid">
          <fgColor indexed="64"/>
          <bgColor theme="8" tint="-0.49998474074526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 tint="-4.9989318521683403E-2"/>
        <name val="Aptos Narrow"/>
        <family val="2"/>
        <scheme val="minor"/>
      </font>
      <numFmt numFmtId="2" formatCode="0.00"/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solid">
          <fgColor indexed="64"/>
          <bgColor theme="8" tint="-0.49998474074526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 tint="-4.9989318521683403E-2"/>
        <name val="Aptos Narrow"/>
        <family val="2"/>
        <scheme val="minor"/>
      </font>
      <numFmt numFmtId="2" formatCode="0.00"/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solid">
          <fgColor indexed="64"/>
          <bgColor theme="8" tint="-0.49998474074526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 tint="-4.9989318521683403E-2"/>
        <name val="Aptos Narrow"/>
        <family val="2"/>
        <scheme val="minor"/>
      </font>
      <numFmt numFmtId="2" formatCode="0.00"/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2" formatCode="0.00"/>
      <fill>
        <patternFill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 tint="-4.9989318521683403E-2"/>
        <name val="Aptos Narrow"/>
        <family val="2"/>
        <scheme val="minor"/>
      </font>
      <numFmt numFmtId="2" formatCode="0.00"/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0" tint="-0.14999847407452621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0" tint="-0.14999847407452621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border outline="0">
        <left style="thin">
          <color indexed="6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 tint="-4.9989318521683403E-2"/>
        <name val="Aptos Narrow"/>
        <family val="2"/>
        <scheme val="minor"/>
      </font>
      <numFmt numFmtId="1" formatCode="0"/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 tint="-4.9989318521683403E-2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 tint="-4.9989318521683403E-2"/>
        <name val="Aptos Narrow"/>
        <family val="2"/>
        <scheme val="minor"/>
      </font>
      <numFmt numFmtId="1" formatCode="0"/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 tint="-4.9989318521683403E-2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 tint="-4.9989318521683403E-2"/>
        <name val="Aptos Narrow"/>
        <family val="2"/>
        <scheme val="minor"/>
      </font>
      <numFmt numFmtId="1" formatCode="0"/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 tint="-4.9989318521683403E-2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 tint="-4.9989318521683403E-2"/>
        <name val="Aptos Narrow"/>
        <family val="2"/>
        <scheme val="minor"/>
      </font>
      <numFmt numFmtId="1" formatCode="0"/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 tint="-4.9989318521683403E-2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 tint="-4.9989318521683403E-2"/>
        <name val="Aptos Narrow"/>
        <family val="2"/>
        <scheme val="minor"/>
      </font>
      <numFmt numFmtId="1" formatCode="0"/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 tint="-4.9989318521683403E-2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 tint="-4.9989318521683403E-2"/>
        <name val="Aptos Narrow"/>
        <family val="2"/>
        <scheme val="minor"/>
      </font>
      <numFmt numFmtId="1" formatCode="0"/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 tint="-4.9989318521683403E-2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 tint="-4.9989318521683403E-2"/>
        <name val="Aptos Narrow"/>
        <family val="2"/>
        <scheme val="minor"/>
      </font>
      <numFmt numFmtId="1" formatCode="0"/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 tint="-4.9989318521683403E-2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 tint="-4.9989318521683403E-2"/>
        <name val="Aptos Narrow"/>
        <family val="2"/>
        <scheme val="minor"/>
      </font>
      <numFmt numFmtId="1" formatCode="0"/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 tint="-4.9989318521683403E-2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4" tint="-0.49998474074526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 tint="-4.9989318521683403E-2"/>
        <name val="Aptos Narrow"/>
        <family val="2"/>
        <scheme val="minor"/>
      </font>
      <numFmt numFmtId="1" formatCode="0"/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 tint="-4.9989318521683403E-2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 tint="-4.9989318521683403E-2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 tint="-4.9989318521683403E-2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 tint="-4.9989318521683403E-2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 tint="-4.9989318521683403E-2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 tint="-4.9989318521683403E-2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 tint="-4.9989318521683403E-2"/>
        <name val="Aptos Narrow"/>
        <family val="2"/>
        <scheme val="minor"/>
      </font>
      <numFmt numFmtId="1" formatCode="0"/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1"/>
        </patternFill>
      </fill>
    </dxf>
    <dxf>
      <font>
        <b/>
        <i val="0"/>
        <sz val="14"/>
        <color theme="0"/>
        <name val="Aptos Display"/>
        <family val="2"/>
        <scheme val="major"/>
      </font>
      <fill>
        <patternFill>
          <bgColor theme="8" tint="-0.24994659260841701"/>
        </patternFill>
      </fill>
    </dxf>
    <dxf>
      <font>
        <b/>
        <color theme="1"/>
      </font>
      <border>
        <bottom style="thin">
          <color rgb="FF4F81BD"/>
        </bottom>
        <vertical/>
        <horizontal/>
      </border>
    </dxf>
    <dxf>
      <font>
        <b/>
        <i val="0"/>
        <sz val="16"/>
        <color theme="1"/>
      </font>
      <fill>
        <patternFill>
          <bgColor theme="1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</dxfs>
  <tableStyles count="2" defaultTableStyle="TableStyleMedium2" defaultPivotStyle="PivotStyleLight16">
    <tableStyle name="Custom 1" pivot="0" table="0" count="10" xr9:uid="{4F7AEEC9-936F-450F-8311-0B007933BCBB}">
      <tableStyleElement type="wholeTable" dxfId="361"/>
      <tableStyleElement type="headerRow" dxfId="360"/>
    </tableStyle>
    <tableStyle name="Slicer Style 1" pivot="0" table="0" count="3" xr9:uid="{FCB1411C-06F7-418B-9E23-186AD969D8E3}">
      <tableStyleElement type="wholeTable" dxfId="359"/>
      <tableStyleElement type="headerRow" dxfId="358"/>
    </tableStyle>
  </tableStyles>
  <extLst>
    <ext xmlns:x14="http://schemas.microsoft.com/office/spreadsheetml/2009/9/main" uri="{46F421CA-312F-682f-3DD2-61675219B42D}">
      <x14:dxfs count="9">
        <dxf>
          <fill>
            <patternFill>
              <bgColor theme="9" tint="-0.24994659260841701"/>
            </patternFill>
          </fill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gradientFill degree="90">
              <stop position="0">
                <color rgb="FFD1E0F5"/>
              </stop>
              <stop position="1">
                <color rgb="FFE9F2FB"/>
              </stop>
            </gradient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b/>
            <i val="0"/>
            <color theme="0"/>
          </font>
          <fill>
            <patternFill patternType="solid">
              <fgColor auto="1"/>
              <bgColor rgb="FFFFC000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gradientFill degree="90">
              <stop position="0">
                <color rgb="FFF2F4F6"/>
              </stop>
              <stop position="1">
                <color rgb="FFFEFEFE"/>
              </stop>
            </gradient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E8EBEE"/>
              </stop>
              <stop position="1">
                <color rgb="FFF8F8FA"/>
              </stop>
            </gradient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Custom 1">
          <x14:slicerStyleElements>
            <x14:slicerStyleElement type="unselectedItemWithData" dxfId="8"/>
            <x14:slicerStyleElement type="unselectedItemWithNoData" dxfId="7"/>
            <x14:slicerStyleElement type="selectedItemWithData" dxfId="6"/>
            <x14:slicerStyleElement type="selectedItemWithNoData" dxfId="5"/>
            <x14:slicerStyleElement type="hoveredUnselectedItemWithData" dxfId="4"/>
            <x14:slicerStyleElement type="hoveredSelectedItemWithData" dxfId="3"/>
            <x14:slicerStyleElement type="hoveredUnselectedItemWithNoData" dxfId="2"/>
            <x14:slicerStyleElement type="hoveredSelectedItemWithNoData" dxfId="1"/>
          </x14:slicerStyleElements>
        </x14:slicerStyle>
        <x14:slicerStyle name="Slicer Style 1">
          <x14:slicerStyleElements>
            <x14:slicerStyleElement type="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fimbschool-my.sharepoint.com/personal/ajith_kumar_jagsom_edu_in/Documents/Level%203%20-%20Batch%202024.xlsx" TargetMode="External"/><Relationship Id="rId1" Type="http://schemas.openxmlformats.org/officeDocument/2006/relationships/externalLinkPath" Target="https://ifimbschool-my.sharepoint.com/personal/ajith_kumar_jagsom_edu_in/Documents/Level%203%20-%20Batch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ok Review"/>
      <sheetName val="Debate"/>
      <sheetName val="GD"/>
      <sheetName val="Case Study"/>
      <sheetName val="CAPSTONE"/>
    </sheetNames>
    <sheetDataSet>
      <sheetData sheetId="0"/>
      <sheetData sheetId="1">
        <row r="5">
          <cell r="A5" t="str">
            <v>2024JULB00238</v>
          </cell>
          <cell r="B5" t="str">
            <v>Krishna Kumar Singh</v>
          </cell>
          <cell r="C5">
            <v>1</v>
          </cell>
          <cell r="D5">
            <v>2</v>
          </cell>
          <cell r="E5">
            <v>2</v>
          </cell>
          <cell r="F5">
            <v>1</v>
          </cell>
          <cell r="G5">
            <v>1.5</v>
          </cell>
          <cell r="H5">
            <v>1</v>
          </cell>
          <cell r="I5">
            <v>1</v>
          </cell>
          <cell r="J5">
            <v>2</v>
          </cell>
          <cell r="K5">
            <v>1</v>
          </cell>
          <cell r="L5">
            <v>1</v>
          </cell>
          <cell r="M5">
            <v>3</v>
          </cell>
          <cell r="N5">
            <v>2</v>
          </cell>
          <cell r="O5">
            <v>2</v>
          </cell>
        </row>
        <row r="6">
          <cell r="A6" t="str">
            <v>2024JULB00087</v>
          </cell>
          <cell r="B6" t="str">
            <v>Laxmi Poorvaja S</v>
          </cell>
          <cell r="C6">
            <v>2</v>
          </cell>
          <cell r="D6">
            <v>3</v>
          </cell>
          <cell r="E6">
            <v>3</v>
          </cell>
          <cell r="F6">
            <v>3</v>
          </cell>
          <cell r="G6">
            <v>4.5</v>
          </cell>
          <cell r="H6">
            <v>2</v>
          </cell>
          <cell r="I6">
            <v>2</v>
          </cell>
          <cell r="J6">
            <v>2</v>
          </cell>
          <cell r="K6">
            <v>3</v>
          </cell>
          <cell r="L6">
            <v>1</v>
          </cell>
          <cell r="M6">
            <v>3</v>
          </cell>
          <cell r="N6">
            <v>3</v>
          </cell>
          <cell r="O6">
            <v>3</v>
          </cell>
        </row>
        <row r="7">
          <cell r="A7" t="str">
            <v>2024JULB00078</v>
          </cell>
          <cell r="B7" t="str">
            <v>Keshav Dhoot</v>
          </cell>
          <cell r="C7">
            <v>2</v>
          </cell>
          <cell r="D7">
            <v>3</v>
          </cell>
          <cell r="E7">
            <v>3</v>
          </cell>
          <cell r="F7">
            <v>2</v>
          </cell>
          <cell r="G7">
            <v>5</v>
          </cell>
          <cell r="H7">
            <v>2</v>
          </cell>
          <cell r="I7">
            <v>3</v>
          </cell>
          <cell r="J7">
            <v>3</v>
          </cell>
          <cell r="K7">
            <v>3</v>
          </cell>
          <cell r="L7">
            <v>3</v>
          </cell>
          <cell r="M7">
            <v>3</v>
          </cell>
          <cell r="N7">
            <v>4</v>
          </cell>
          <cell r="O7">
            <v>4</v>
          </cell>
        </row>
        <row r="8">
          <cell r="A8" t="str">
            <v>2024JULB00063</v>
          </cell>
          <cell r="B8" t="str">
            <v>Harshavarthni K S</v>
          </cell>
          <cell r="C8">
            <v>3</v>
          </cell>
          <cell r="D8">
            <v>3</v>
          </cell>
          <cell r="E8">
            <v>3</v>
          </cell>
          <cell r="F8">
            <v>3</v>
          </cell>
          <cell r="G8">
            <v>3.5</v>
          </cell>
          <cell r="H8">
            <v>2</v>
          </cell>
          <cell r="I8">
            <v>4</v>
          </cell>
          <cell r="J8">
            <v>3</v>
          </cell>
          <cell r="K8">
            <v>3</v>
          </cell>
          <cell r="L8">
            <v>3</v>
          </cell>
          <cell r="M8">
            <v>3</v>
          </cell>
          <cell r="N8">
            <v>4</v>
          </cell>
          <cell r="O8">
            <v>4</v>
          </cell>
        </row>
        <row r="9">
          <cell r="A9" t="str">
            <v>2024JULB00065</v>
          </cell>
          <cell r="B9" t="str">
            <v>Himanshu Chahar</v>
          </cell>
          <cell r="C9">
            <v>2</v>
          </cell>
          <cell r="D9">
            <v>2</v>
          </cell>
          <cell r="E9">
            <v>3</v>
          </cell>
          <cell r="F9">
            <v>1</v>
          </cell>
          <cell r="G9">
            <v>1.5</v>
          </cell>
          <cell r="H9">
            <v>1</v>
          </cell>
          <cell r="I9">
            <v>2</v>
          </cell>
          <cell r="J9">
            <v>4</v>
          </cell>
          <cell r="K9">
            <v>2</v>
          </cell>
          <cell r="L9">
            <v>2</v>
          </cell>
          <cell r="M9">
            <v>3</v>
          </cell>
          <cell r="N9">
            <v>3</v>
          </cell>
          <cell r="O9">
            <v>3</v>
          </cell>
        </row>
        <row r="10">
          <cell r="A10" t="str">
            <v>2024JULB00029</v>
          </cell>
          <cell r="B10" t="str">
            <v>Aryan Trivedi</v>
          </cell>
          <cell r="C10">
            <v>1</v>
          </cell>
          <cell r="D10">
            <v>3</v>
          </cell>
          <cell r="E10">
            <v>2</v>
          </cell>
          <cell r="F10">
            <v>2</v>
          </cell>
          <cell r="G10">
            <v>3</v>
          </cell>
          <cell r="H10">
            <v>1</v>
          </cell>
          <cell r="I10">
            <v>2</v>
          </cell>
          <cell r="J10">
            <v>2</v>
          </cell>
          <cell r="K10">
            <v>2</v>
          </cell>
          <cell r="L10">
            <v>2</v>
          </cell>
          <cell r="M10">
            <v>3</v>
          </cell>
          <cell r="N10">
            <v>1</v>
          </cell>
          <cell r="O10">
            <v>2</v>
          </cell>
        </row>
        <row r="11">
          <cell r="A11" t="str">
            <v>2024JULB00012</v>
          </cell>
          <cell r="B11" t="str">
            <v>Akarsh Narain</v>
          </cell>
          <cell r="C11">
            <v>3</v>
          </cell>
          <cell r="D11">
            <v>3</v>
          </cell>
          <cell r="E11">
            <v>4</v>
          </cell>
          <cell r="F11">
            <v>3</v>
          </cell>
          <cell r="G11">
            <v>1.5</v>
          </cell>
          <cell r="H11">
            <v>4</v>
          </cell>
          <cell r="I11">
            <v>4</v>
          </cell>
          <cell r="J11">
            <v>4</v>
          </cell>
          <cell r="K11">
            <v>3</v>
          </cell>
          <cell r="L11">
            <v>3</v>
          </cell>
          <cell r="M11">
            <v>3</v>
          </cell>
          <cell r="N11">
            <v>4</v>
          </cell>
          <cell r="O11">
            <v>4</v>
          </cell>
        </row>
        <row r="12">
          <cell r="A12" t="str">
            <v>2024JULB00013</v>
          </cell>
          <cell r="B12" t="str">
            <v>Akshat Singh</v>
          </cell>
          <cell r="C12">
            <v>3</v>
          </cell>
          <cell r="D12">
            <v>3</v>
          </cell>
          <cell r="E12">
            <v>4</v>
          </cell>
          <cell r="F12">
            <v>2</v>
          </cell>
          <cell r="G12">
            <v>3.5</v>
          </cell>
          <cell r="H12">
            <v>2</v>
          </cell>
          <cell r="I12">
            <v>3</v>
          </cell>
          <cell r="J12">
            <v>3</v>
          </cell>
          <cell r="K12">
            <v>3</v>
          </cell>
          <cell r="L12">
            <v>2</v>
          </cell>
          <cell r="M12">
            <v>3</v>
          </cell>
          <cell r="N12">
            <v>3</v>
          </cell>
          <cell r="O12">
            <v>3</v>
          </cell>
        </row>
        <row r="13">
          <cell r="A13" t="str">
            <v>2024JULB00206</v>
          </cell>
          <cell r="B13" t="str">
            <v>Arpit Katiyar</v>
          </cell>
          <cell r="C13">
            <v>1</v>
          </cell>
          <cell r="D13">
            <v>1</v>
          </cell>
          <cell r="E13">
            <v>1</v>
          </cell>
          <cell r="F13">
            <v>1</v>
          </cell>
          <cell r="G13">
            <v>2</v>
          </cell>
          <cell r="H13">
            <v>1</v>
          </cell>
          <cell r="I13">
            <v>1</v>
          </cell>
          <cell r="J13">
            <v>1</v>
          </cell>
          <cell r="K13">
            <v>1</v>
          </cell>
          <cell r="L13">
            <v>1</v>
          </cell>
          <cell r="M13">
            <v>1</v>
          </cell>
          <cell r="N13">
            <v>2</v>
          </cell>
          <cell r="O13">
            <v>2</v>
          </cell>
        </row>
        <row r="14">
          <cell r="A14" t="str">
            <v>2024JULB00230</v>
          </cell>
          <cell r="B14" t="str">
            <v>Jaladi Blessy Susanthika</v>
          </cell>
          <cell r="C14">
            <v>1</v>
          </cell>
          <cell r="D14">
            <v>3</v>
          </cell>
          <cell r="E14">
            <v>1</v>
          </cell>
          <cell r="F14">
            <v>2</v>
          </cell>
          <cell r="G14">
            <v>2.5</v>
          </cell>
          <cell r="H14">
            <v>1</v>
          </cell>
          <cell r="I14">
            <v>1</v>
          </cell>
          <cell r="J14">
            <v>2</v>
          </cell>
          <cell r="K14">
            <v>2</v>
          </cell>
          <cell r="L14">
            <v>2</v>
          </cell>
          <cell r="M14">
            <v>1</v>
          </cell>
          <cell r="N14">
            <v>2</v>
          </cell>
          <cell r="O14">
            <v>2</v>
          </cell>
        </row>
        <row r="15">
          <cell r="A15" t="str">
            <v>2024JULB00084</v>
          </cell>
          <cell r="B15" t="str">
            <v>Kushal Badalia</v>
          </cell>
          <cell r="C15">
            <v>3</v>
          </cell>
          <cell r="D15">
            <v>4</v>
          </cell>
          <cell r="E15">
            <v>4</v>
          </cell>
          <cell r="F15">
            <v>4</v>
          </cell>
          <cell r="G15">
            <v>3</v>
          </cell>
          <cell r="H15">
            <v>3</v>
          </cell>
          <cell r="I15">
            <v>4</v>
          </cell>
          <cell r="J15">
            <v>3</v>
          </cell>
          <cell r="K15">
            <v>2</v>
          </cell>
          <cell r="L15">
            <v>3</v>
          </cell>
          <cell r="M15">
            <v>3</v>
          </cell>
          <cell r="N15">
            <v>4</v>
          </cell>
          <cell r="O15">
            <v>4</v>
          </cell>
        </row>
        <row r="16">
          <cell r="A16" t="str">
            <v>2024JULB00246</v>
          </cell>
          <cell r="B16" t="str">
            <v>Badhul B Pillai</v>
          </cell>
          <cell r="C16">
            <v>2</v>
          </cell>
          <cell r="D16">
            <v>2</v>
          </cell>
          <cell r="E16">
            <v>2</v>
          </cell>
          <cell r="F16">
            <v>2</v>
          </cell>
          <cell r="G16">
            <v>1</v>
          </cell>
          <cell r="H16">
            <v>2</v>
          </cell>
          <cell r="I16">
            <v>2</v>
          </cell>
          <cell r="J16">
            <v>2</v>
          </cell>
          <cell r="K16">
            <v>2</v>
          </cell>
          <cell r="L16">
            <v>2</v>
          </cell>
          <cell r="M16">
            <v>2</v>
          </cell>
          <cell r="N16">
            <v>2</v>
          </cell>
          <cell r="O16">
            <v>2</v>
          </cell>
        </row>
        <row r="17">
          <cell r="A17" t="str">
            <v>2024JULB00080</v>
          </cell>
          <cell r="B17" t="str">
            <v>Koustav Biswas</v>
          </cell>
          <cell r="C17">
            <v>2</v>
          </cell>
          <cell r="D17">
            <v>2</v>
          </cell>
          <cell r="E17">
            <v>2</v>
          </cell>
          <cell r="F17">
            <v>2</v>
          </cell>
          <cell r="G17">
            <v>1</v>
          </cell>
          <cell r="H17">
            <v>2</v>
          </cell>
          <cell r="I17">
            <v>2</v>
          </cell>
          <cell r="J17">
            <v>2</v>
          </cell>
          <cell r="K17">
            <v>2</v>
          </cell>
          <cell r="L17">
            <v>2</v>
          </cell>
          <cell r="M17">
            <v>2</v>
          </cell>
          <cell r="N17">
            <v>2</v>
          </cell>
          <cell r="O17">
            <v>2</v>
          </cell>
        </row>
        <row r="18">
          <cell r="A18" t="str">
            <v>2024AUGVPGP0011</v>
          </cell>
          <cell r="B18" t="str">
            <v>Guru Raj K</v>
          </cell>
          <cell r="C18">
            <v>2</v>
          </cell>
          <cell r="D18">
            <v>3</v>
          </cell>
          <cell r="E18">
            <v>2</v>
          </cell>
          <cell r="F18">
            <v>1</v>
          </cell>
          <cell r="G18">
            <v>2</v>
          </cell>
          <cell r="H18">
            <v>2</v>
          </cell>
          <cell r="I18">
            <v>3</v>
          </cell>
          <cell r="J18">
            <v>2</v>
          </cell>
          <cell r="K18">
            <v>3</v>
          </cell>
          <cell r="L18">
            <v>2</v>
          </cell>
          <cell r="M18">
            <v>3</v>
          </cell>
          <cell r="N18">
            <v>2</v>
          </cell>
          <cell r="O18">
            <v>2</v>
          </cell>
        </row>
        <row r="19">
          <cell r="A19" t="str">
            <v>2024JULB00240</v>
          </cell>
          <cell r="B19" t="str">
            <v>Prabhansha Vyas</v>
          </cell>
          <cell r="C19">
            <v>3</v>
          </cell>
          <cell r="D19">
            <v>4</v>
          </cell>
          <cell r="E19">
            <v>3</v>
          </cell>
          <cell r="F19">
            <v>2</v>
          </cell>
          <cell r="G19">
            <v>2.5</v>
          </cell>
          <cell r="H19">
            <v>3</v>
          </cell>
          <cell r="I19">
            <v>3</v>
          </cell>
          <cell r="J19">
            <v>3</v>
          </cell>
          <cell r="K19">
            <v>2</v>
          </cell>
          <cell r="L19">
            <v>3</v>
          </cell>
          <cell r="M19">
            <v>3</v>
          </cell>
          <cell r="N19">
            <v>3</v>
          </cell>
          <cell r="O19">
            <v>4</v>
          </cell>
        </row>
        <row r="20">
          <cell r="A20" t="str">
            <v>2024AUGVPGP0001</v>
          </cell>
          <cell r="B20" t="str">
            <v>Abhijeet Jadon</v>
          </cell>
          <cell r="C20">
            <v>1</v>
          </cell>
          <cell r="D20">
            <v>2</v>
          </cell>
          <cell r="E20">
            <v>1</v>
          </cell>
          <cell r="F20">
            <v>1</v>
          </cell>
          <cell r="G20">
            <v>2</v>
          </cell>
          <cell r="H20">
            <v>1</v>
          </cell>
          <cell r="I20">
            <v>1</v>
          </cell>
          <cell r="J20">
            <v>1</v>
          </cell>
          <cell r="K20">
            <v>1</v>
          </cell>
          <cell r="L20">
            <v>1</v>
          </cell>
          <cell r="M20">
            <v>1</v>
          </cell>
          <cell r="N20">
            <v>1</v>
          </cell>
          <cell r="O20">
            <v>1</v>
          </cell>
        </row>
        <row r="21">
          <cell r="A21" t="str">
            <v>2024JULB00261</v>
          </cell>
          <cell r="B21" t="str">
            <v>Ananya Raj</v>
          </cell>
          <cell r="C21">
            <v>3</v>
          </cell>
          <cell r="D21">
            <v>5</v>
          </cell>
          <cell r="E21">
            <v>4</v>
          </cell>
          <cell r="F21">
            <v>4</v>
          </cell>
          <cell r="G21">
            <v>3</v>
          </cell>
          <cell r="H21">
            <v>4</v>
          </cell>
          <cell r="I21">
            <v>4</v>
          </cell>
          <cell r="J21">
            <v>4</v>
          </cell>
          <cell r="K21">
            <v>4</v>
          </cell>
          <cell r="L21">
            <v>4</v>
          </cell>
          <cell r="M21">
            <v>3</v>
          </cell>
          <cell r="N21">
            <v>4</v>
          </cell>
          <cell r="O21">
            <v>4</v>
          </cell>
        </row>
        <row r="22">
          <cell r="A22" t="str">
            <v>2024JULB00203</v>
          </cell>
          <cell r="B22" t="str">
            <v>Anshuman Singh Sisodiya</v>
          </cell>
          <cell r="C22">
            <v>3</v>
          </cell>
          <cell r="D22">
            <v>2</v>
          </cell>
          <cell r="E22">
            <v>3</v>
          </cell>
          <cell r="F22">
            <v>3</v>
          </cell>
          <cell r="G22">
            <v>2.5</v>
          </cell>
          <cell r="H22">
            <v>2</v>
          </cell>
          <cell r="I22">
            <v>4</v>
          </cell>
          <cell r="J22">
            <v>4</v>
          </cell>
          <cell r="K22">
            <v>2</v>
          </cell>
          <cell r="L22">
            <v>3</v>
          </cell>
          <cell r="M22">
            <v>3</v>
          </cell>
          <cell r="N22">
            <v>4</v>
          </cell>
          <cell r="O22">
            <v>4</v>
          </cell>
        </row>
        <row r="23">
          <cell r="A23" t="str">
            <v>2024JULB00006</v>
          </cell>
          <cell r="B23" t="str">
            <v>Abhyuday Tripathi</v>
          </cell>
          <cell r="C23">
            <v>3</v>
          </cell>
          <cell r="D23">
            <v>2</v>
          </cell>
          <cell r="E23">
            <v>3</v>
          </cell>
          <cell r="F23">
            <v>3</v>
          </cell>
          <cell r="G23">
            <v>3</v>
          </cell>
          <cell r="H23">
            <v>4</v>
          </cell>
          <cell r="I23">
            <v>3</v>
          </cell>
          <cell r="J23">
            <v>4</v>
          </cell>
          <cell r="K23">
            <v>3</v>
          </cell>
          <cell r="L23">
            <v>3</v>
          </cell>
          <cell r="M23">
            <v>3</v>
          </cell>
          <cell r="N23">
            <v>4</v>
          </cell>
          <cell r="O23">
            <v>4</v>
          </cell>
        </row>
        <row r="24">
          <cell r="A24" t="str">
            <v>2024JULB00042</v>
          </cell>
          <cell r="B24" t="str">
            <v>Chaitya Swaroop Sahu</v>
          </cell>
          <cell r="C24">
            <v>2</v>
          </cell>
          <cell r="D24">
            <v>3</v>
          </cell>
          <cell r="E24">
            <v>2</v>
          </cell>
          <cell r="F24">
            <v>4</v>
          </cell>
          <cell r="G24">
            <v>3.5</v>
          </cell>
          <cell r="H24">
            <v>2</v>
          </cell>
          <cell r="I24">
            <v>2</v>
          </cell>
          <cell r="J24">
            <v>3</v>
          </cell>
          <cell r="K24">
            <v>4</v>
          </cell>
          <cell r="L24">
            <v>3</v>
          </cell>
          <cell r="M24">
            <v>3</v>
          </cell>
          <cell r="N24">
            <v>3</v>
          </cell>
          <cell r="O24">
            <v>3</v>
          </cell>
        </row>
        <row r="25">
          <cell r="A25" t="str">
            <v>2024JULB00239</v>
          </cell>
          <cell r="B25" t="str">
            <v>Abhishek Nanda</v>
          </cell>
          <cell r="C25">
            <v>2</v>
          </cell>
          <cell r="D25">
            <v>4</v>
          </cell>
          <cell r="E25">
            <v>2</v>
          </cell>
          <cell r="F25">
            <v>4</v>
          </cell>
          <cell r="G25">
            <v>2.5</v>
          </cell>
          <cell r="H25">
            <v>2</v>
          </cell>
          <cell r="I25">
            <v>2</v>
          </cell>
          <cell r="J25">
            <v>4</v>
          </cell>
          <cell r="K25">
            <v>4</v>
          </cell>
          <cell r="L25">
            <v>3</v>
          </cell>
          <cell r="M25">
            <v>3</v>
          </cell>
          <cell r="N25">
            <v>3</v>
          </cell>
          <cell r="O25">
            <v>3</v>
          </cell>
        </row>
        <row r="26">
          <cell r="A26" t="str">
            <v>2024JULB00099</v>
          </cell>
          <cell r="B26" t="str">
            <v>Nandan Ganapati Bhat</v>
          </cell>
          <cell r="C26">
            <v>2</v>
          </cell>
          <cell r="D26">
            <v>2</v>
          </cell>
          <cell r="E26">
            <v>2</v>
          </cell>
          <cell r="F26">
            <v>2</v>
          </cell>
          <cell r="G26">
            <v>3</v>
          </cell>
          <cell r="H26">
            <v>1</v>
          </cell>
          <cell r="I26">
            <v>2</v>
          </cell>
          <cell r="J26">
            <v>3</v>
          </cell>
          <cell r="K26">
            <v>4</v>
          </cell>
          <cell r="L26">
            <v>3</v>
          </cell>
          <cell r="M26">
            <v>3</v>
          </cell>
          <cell r="N26">
            <v>2</v>
          </cell>
          <cell r="O26">
            <v>3</v>
          </cell>
        </row>
        <row r="27">
          <cell r="A27" t="str">
            <v>2024JULB00085</v>
          </cell>
          <cell r="B27" t="str">
            <v>Kushal Srivastav</v>
          </cell>
          <cell r="C27">
            <v>2</v>
          </cell>
          <cell r="D27">
            <v>3</v>
          </cell>
          <cell r="E27">
            <v>2</v>
          </cell>
          <cell r="F27">
            <v>3</v>
          </cell>
          <cell r="G27">
            <v>2.5</v>
          </cell>
          <cell r="H27">
            <v>2</v>
          </cell>
          <cell r="I27">
            <v>2</v>
          </cell>
          <cell r="J27">
            <v>3</v>
          </cell>
          <cell r="K27">
            <v>4</v>
          </cell>
          <cell r="L27">
            <v>3</v>
          </cell>
          <cell r="M27">
            <v>3</v>
          </cell>
          <cell r="N27">
            <v>2</v>
          </cell>
          <cell r="O27">
            <v>2</v>
          </cell>
        </row>
        <row r="28">
          <cell r="A28" t="str">
            <v>2024JULB00266</v>
          </cell>
          <cell r="B28" t="str">
            <v>Musaddik Kurundwad</v>
          </cell>
          <cell r="C28">
            <v>2</v>
          </cell>
          <cell r="D28">
            <v>1</v>
          </cell>
          <cell r="E28">
            <v>2</v>
          </cell>
          <cell r="F28">
            <v>3</v>
          </cell>
          <cell r="G28">
            <v>1.5</v>
          </cell>
          <cell r="H28">
            <v>2</v>
          </cell>
          <cell r="I28">
            <v>2</v>
          </cell>
          <cell r="J28">
            <v>3</v>
          </cell>
          <cell r="K28">
            <v>2</v>
          </cell>
          <cell r="L28">
            <v>1</v>
          </cell>
          <cell r="M28">
            <v>3</v>
          </cell>
          <cell r="N28">
            <v>3</v>
          </cell>
          <cell r="O28">
            <v>3</v>
          </cell>
        </row>
        <row r="29">
          <cell r="A29" t="str">
            <v>2024JULB00191</v>
          </cell>
          <cell r="B29" t="str">
            <v>Jayant Pal</v>
          </cell>
          <cell r="C29">
            <v>1</v>
          </cell>
          <cell r="D29">
            <v>1</v>
          </cell>
          <cell r="E29">
            <v>1</v>
          </cell>
          <cell r="F29">
            <v>1</v>
          </cell>
          <cell r="G29">
            <v>1.5</v>
          </cell>
          <cell r="H29">
            <v>1</v>
          </cell>
          <cell r="I29">
            <v>1</v>
          </cell>
          <cell r="J29">
            <v>1</v>
          </cell>
          <cell r="K29">
            <v>1</v>
          </cell>
          <cell r="L29">
            <v>1</v>
          </cell>
          <cell r="M29">
            <v>3</v>
          </cell>
          <cell r="N29">
            <v>1</v>
          </cell>
          <cell r="O29">
            <v>1</v>
          </cell>
        </row>
        <row r="30">
          <cell r="A30" t="str">
            <v>2024JULB00210</v>
          </cell>
          <cell r="B30" t="str">
            <v>Nikita Soni</v>
          </cell>
          <cell r="C30">
            <v>2</v>
          </cell>
          <cell r="D30">
            <v>3</v>
          </cell>
          <cell r="E30">
            <v>3</v>
          </cell>
          <cell r="F30">
            <v>3</v>
          </cell>
          <cell r="G30">
            <v>1.5</v>
          </cell>
          <cell r="H30">
            <v>3</v>
          </cell>
          <cell r="I30">
            <v>2</v>
          </cell>
          <cell r="J30">
            <v>2</v>
          </cell>
          <cell r="K30">
            <v>2</v>
          </cell>
          <cell r="L30">
            <v>2</v>
          </cell>
          <cell r="M30">
            <v>3</v>
          </cell>
          <cell r="N30">
            <v>3</v>
          </cell>
          <cell r="O30">
            <v>3</v>
          </cell>
        </row>
        <row r="31">
          <cell r="A31" t="str">
            <v>2024AUGVPGP0014</v>
          </cell>
          <cell r="B31" t="str">
            <v>Manish Rawat</v>
          </cell>
          <cell r="C31">
            <v>2</v>
          </cell>
          <cell r="D31">
            <v>3</v>
          </cell>
          <cell r="E31">
            <v>2</v>
          </cell>
          <cell r="F31">
            <v>2</v>
          </cell>
          <cell r="G31">
            <v>1.5</v>
          </cell>
          <cell r="H31">
            <v>2</v>
          </cell>
          <cell r="I31">
            <v>4</v>
          </cell>
          <cell r="J31">
            <v>4</v>
          </cell>
          <cell r="K31">
            <v>3</v>
          </cell>
          <cell r="L31">
            <v>3</v>
          </cell>
          <cell r="M31">
            <v>3</v>
          </cell>
          <cell r="N31">
            <v>3</v>
          </cell>
          <cell r="O31">
            <v>3</v>
          </cell>
        </row>
        <row r="32">
          <cell r="A32" t="str">
            <v>2024AUGVPGP0015</v>
          </cell>
          <cell r="B32" t="str">
            <v>Miraj Hiren Ruparel</v>
          </cell>
          <cell r="C32">
            <v>3</v>
          </cell>
          <cell r="D32">
            <v>2</v>
          </cell>
          <cell r="E32">
            <v>3</v>
          </cell>
          <cell r="F32">
            <v>2</v>
          </cell>
          <cell r="G32">
            <v>1.5</v>
          </cell>
          <cell r="H32">
            <v>3</v>
          </cell>
          <cell r="I32">
            <v>3</v>
          </cell>
          <cell r="J32">
            <v>4</v>
          </cell>
          <cell r="K32">
            <v>3</v>
          </cell>
          <cell r="L32">
            <v>3</v>
          </cell>
          <cell r="M32">
            <v>3</v>
          </cell>
          <cell r="N32">
            <v>3</v>
          </cell>
          <cell r="O32">
            <v>4</v>
          </cell>
        </row>
        <row r="33">
          <cell r="A33" t="str">
            <v>2024JULB00247</v>
          </cell>
          <cell r="B33" t="str">
            <v>Md Arsalan Siddiqui</v>
          </cell>
          <cell r="C33">
            <v>3</v>
          </cell>
          <cell r="D33">
            <v>3</v>
          </cell>
          <cell r="E33">
            <v>4</v>
          </cell>
          <cell r="F33">
            <v>3</v>
          </cell>
          <cell r="G33">
            <v>1.5</v>
          </cell>
          <cell r="H33">
            <v>2</v>
          </cell>
          <cell r="I33">
            <v>4</v>
          </cell>
          <cell r="J33">
            <v>3</v>
          </cell>
          <cell r="K33">
            <v>2</v>
          </cell>
          <cell r="L33">
            <v>2</v>
          </cell>
          <cell r="M33">
            <v>3</v>
          </cell>
          <cell r="N33">
            <v>3</v>
          </cell>
          <cell r="O33">
            <v>3</v>
          </cell>
        </row>
        <row r="34">
          <cell r="A34" t="str">
            <v>2024JULB00197</v>
          </cell>
          <cell r="B34" t="str">
            <v>Deewanshu Ukey</v>
          </cell>
          <cell r="C34">
            <v>2</v>
          </cell>
          <cell r="D34">
            <v>2</v>
          </cell>
          <cell r="E34">
            <v>3</v>
          </cell>
          <cell r="F34">
            <v>2</v>
          </cell>
          <cell r="G34">
            <v>1</v>
          </cell>
          <cell r="H34">
            <v>3</v>
          </cell>
          <cell r="I34">
            <v>3</v>
          </cell>
          <cell r="J34">
            <v>3</v>
          </cell>
          <cell r="K34">
            <v>2</v>
          </cell>
          <cell r="L34">
            <v>3</v>
          </cell>
          <cell r="M34">
            <v>3</v>
          </cell>
          <cell r="N34">
            <v>3</v>
          </cell>
          <cell r="O34">
            <v>3</v>
          </cell>
        </row>
        <row r="35">
          <cell r="A35" t="str">
            <v>2024JULB00113</v>
          </cell>
          <cell r="B35" t="str">
            <v>Prajwal P Kulkarni</v>
          </cell>
          <cell r="C35">
            <v>2</v>
          </cell>
          <cell r="D35">
            <v>3</v>
          </cell>
          <cell r="E35">
            <v>2</v>
          </cell>
          <cell r="F35">
            <v>1</v>
          </cell>
          <cell r="G35">
            <v>1</v>
          </cell>
          <cell r="H35">
            <v>2</v>
          </cell>
          <cell r="I35">
            <v>1</v>
          </cell>
          <cell r="J35">
            <v>1</v>
          </cell>
          <cell r="K35">
            <v>1</v>
          </cell>
          <cell r="L35">
            <v>1</v>
          </cell>
          <cell r="M35">
            <v>3</v>
          </cell>
          <cell r="N35">
            <v>1</v>
          </cell>
          <cell r="O35">
            <v>1</v>
          </cell>
        </row>
        <row r="36">
          <cell r="A36" t="str">
            <v>2024JULB00076</v>
          </cell>
          <cell r="B36" t="str">
            <v>Karthik Gr</v>
          </cell>
          <cell r="C36">
            <v>2</v>
          </cell>
          <cell r="D36">
            <v>3</v>
          </cell>
          <cell r="E36">
            <v>3</v>
          </cell>
          <cell r="F36">
            <v>3</v>
          </cell>
          <cell r="G36">
            <v>2</v>
          </cell>
          <cell r="H36">
            <v>3</v>
          </cell>
          <cell r="I36">
            <v>3</v>
          </cell>
          <cell r="J36">
            <v>2</v>
          </cell>
          <cell r="K36">
            <v>2</v>
          </cell>
          <cell r="L36">
            <v>2</v>
          </cell>
          <cell r="M36">
            <v>3</v>
          </cell>
          <cell r="N36">
            <v>3</v>
          </cell>
          <cell r="O36">
            <v>3</v>
          </cell>
        </row>
        <row r="37">
          <cell r="A37" t="str">
            <v>2024JULB00001</v>
          </cell>
          <cell r="B37" t="str">
            <v>A Divya Sree</v>
          </cell>
          <cell r="C37">
            <v>3</v>
          </cell>
          <cell r="D37">
            <v>3</v>
          </cell>
          <cell r="E37">
            <v>4</v>
          </cell>
          <cell r="F37">
            <v>3</v>
          </cell>
          <cell r="G37">
            <v>0.5</v>
          </cell>
          <cell r="H37">
            <v>4</v>
          </cell>
          <cell r="I37">
            <v>3</v>
          </cell>
          <cell r="J37">
            <v>4</v>
          </cell>
          <cell r="K37">
            <v>3</v>
          </cell>
          <cell r="L37">
            <v>4</v>
          </cell>
          <cell r="M37">
            <v>3</v>
          </cell>
          <cell r="N37">
            <v>3</v>
          </cell>
          <cell r="O37">
            <v>4</v>
          </cell>
        </row>
        <row r="38">
          <cell r="A38" t="str">
            <v>2024JULB00058</v>
          </cell>
          <cell r="B38" t="str">
            <v>Farheena Taskin Jamadar</v>
          </cell>
          <cell r="C38">
            <v>2</v>
          </cell>
          <cell r="D38">
            <v>3</v>
          </cell>
          <cell r="E38">
            <v>2</v>
          </cell>
          <cell r="F38">
            <v>3</v>
          </cell>
          <cell r="G38">
            <v>2</v>
          </cell>
          <cell r="H38">
            <v>2</v>
          </cell>
          <cell r="I38">
            <v>3</v>
          </cell>
          <cell r="J38">
            <v>3</v>
          </cell>
          <cell r="K38">
            <v>2</v>
          </cell>
          <cell r="L38">
            <v>2</v>
          </cell>
          <cell r="M38">
            <v>3</v>
          </cell>
          <cell r="N38">
            <v>3</v>
          </cell>
          <cell r="O38">
            <v>3</v>
          </cell>
        </row>
        <row r="39">
          <cell r="A39" t="str">
            <v>2024JULB00236</v>
          </cell>
          <cell r="B39" t="str">
            <v>Prachi Pandey</v>
          </cell>
          <cell r="C39">
            <v>2</v>
          </cell>
          <cell r="D39">
            <v>3</v>
          </cell>
          <cell r="E39">
            <v>4</v>
          </cell>
          <cell r="F39">
            <v>2</v>
          </cell>
          <cell r="G39">
            <v>1</v>
          </cell>
          <cell r="H39">
            <v>4</v>
          </cell>
          <cell r="I39">
            <v>3</v>
          </cell>
          <cell r="J39">
            <v>3</v>
          </cell>
          <cell r="K39">
            <v>4</v>
          </cell>
          <cell r="L39">
            <v>4</v>
          </cell>
          <cell r="M39">
            <v>3</v>
          </cell>
          <cell r="N39">
            <v>4</v>
          </cell>
          <cell r="O39">
            <v>4</v>
          </cell>
        </row>
        <row r="40">
          <cell r="A40" t="str">
            <v>2024JULB00100</v>
          </cell>
          <cell r="B40" t="str">
            <v>Nihal Poojary</v>
          </cell>
          <cell r="C40">
            <v>3</v>
          </cell>
          <cell r="D40">
            <v>3</v>
          </cell>
          <cell r="E40">
            <v>4</v>
          </cell>
          <cell r="F40">
            <v>2</v>
          </cell>
          <cell r="G40">
            <v>3.5</v>
          </cell>
          <cell r="H40">
            <v>2</v>
          </cell>
          <cell r="I40">
            <v>3</v>
          </cell>
          <cell r="J40">
            <v>3</v>
          </cell>
          <cell r="K40">
            <v>2</v>
          </cell>
          <cell r="L40">
            <v>3</v>
          </cell>
          <cell r="M40">
            <v>3</v>
          </cell>
          <cell r="N40">
            <v>3</v>
          </cell>
          <cell r="O40">
            <v>3</v>
          </cell>
        </row>
        <row r="41">
          <cell r="A41" t="str">
            <v>2024JULB00110</v>
          </cell>
          <cell r="B41" t="str">
            <v>Prachi Chauhan</v>
          </cell>
          <cell r="C41">
            <v>3</v>
          </cell>
          <cell r="D41">
            <v>3</v>
          </cell>
          <cell r="E41">
            <v>3</v>
          </cell>
          <cell r="F41">
            <v>3</v>
          </cell>
          <cell r="G41">
            <v>3.5</v>
          </cell>
          <cell r="H41">
            <v>3</v>
          </cell>
          <cell r="I41">
            <v>3</v>
          </cell>
          <cell r="J41">
            <v>2</v>
          </cell>
          <cell r="K41">
            <v>3</v>
          </cell>
          <cell r="L41">
            <v>2</v>
          </cell>
          <cell r="M41">
            <v>3</v>
          </cell>
          <cell r="N41">
            <v>3</v>
          </cell>
          <cell r="O41">
            <v>3</v>
          </cell>
        </row>
        <row r="42">
          <cell r="A42" t="str">
            <v>2024JULB00106</v>
          </cell>
          <cell r="B42" t="str">
            <v>O K Srivyshnu</v>
          </cell>
          <cell r="C42">
            <v>2</v>
          </cell>
          <cell r="D42">
            <v>3</v>
          </cell>
          <cell r="E42">
            <v>3</v>
          </cell>
          <cell r="F42">
            <v>2</v>
          </cell>
          <cell r="G42">
            <v>0.5</v>
          </cell>
          <cell r="H42">
            <v>2</v>
          </cell>
          <cell r="I42">
            <v>2</v>
          </cell>
          <cell r="J42">
            <v>3</v>
          </cell>
          <cell r="K42">
            <v>2</v>
          </cell>
          <cell r="L42">
            <v>3</v>
          </cell>
          <cell r="M42">
            <v>3</v>
          </cell>
          <cell r="N42">
            <v>2</v>
          </cell>
          <cell r="O42">
            <v>4</v>
          </cell>
        </row>
        <row r="43">
          <cell r="A43" t="str">
            <v>2024JULB00258</v>
          </cell>
          <cell r="B43" t="str">
            <v>Animesh Tiwari</v>
          </cell>
          <cell r="C43">
            <v>3</v>
          </cell>
          <cell r="D43">
            <v>3</v>
          </cell>
          <cell r="E43">
            <v>4</v>
          </cell>
          <cell r="F43">
            <v>4</v>
          </cell>
          <cell r="G43">
            <v>2.5</v>
          </cell>
          <cell r="H43">
            <v>2</v>
          </cell>
          <cell r="I43">
            <v>3</v>
          </cell>
          <cell r="J43">
            <v>3</v>
          </cell>
          <cell r="K43">
            <v>2</v>
          </cell>
          <cell r="L43">
            <v>3</v>
          </cell>
          <cell r="M43">
            <v>3</v>
          </cell>
          <cell r="N43">
            <v>3</v>
          </cell>
          <cell r="O43">
            <v>3</v>
          </cell>
        </row>
        <row r="44">
          <cell r="A44" t="str">
            <v>2024JULB00267</v>
          </cell>
          <cell r="B44" t="str">
            <v>Kushal Raj</v>
          </cell>
          <cell r="C44">
            <v>1</v>
          </cell>
          <cell r="D44">
            <v>1</v>
          </cell>
          <cell r="E44">
            <v>1</v>
          </cell>
          <cell r="F44">
            <v>1</v>
          </cell>
          <cell r="G44">
            <v>1</v>
          </cell>
          <cell r="H44">
            <v>1</v>
          </cell>
          <cell r="I44">
            <v>1</v>
          </cell>
          <cell r="J44">
            <v>1</v>
          </cell>
          <cell r="K44">
            <v>1</v>
          </cell>
          <cell r="L44">
            <v>1</v>
          </cell>
          <cell r="M44">
            <v>3</v>
          </cell>
          <cell r="N44">
            <v>1</v>
          </cell>
          <cell r="O44">
            <v>1</v>
          </cell>
        </row>
        <row r="45">
          <cell r="A45" t="str">
            <v>2024JULB00190</v>
          </cell>
          <cell r="B45" t="str">
            <v>Himanshu Mall</v>
          </cell>
          <cell r="C45">
            <v>1</v>
          </cell>
          <cell r="D45">
            <v>1</v>
          </cell>
          <cell r="E45">
            <v>1</v>
          </cell>
          <cell r="F45">
            <v>1</v>
          </cell>
          <cell r="G45">
            <v>1</v>
          </cell>
          <cell r="H45">
            <v>1</v>
          </cell>
          <cell r="I45">
            <v>1</v>
          </cell>
          <cell r="J45">
            <v>1</v>
          </cell>
          <cell r="K45">
            <v>1</v>
          </cell>
          <cell r="L45">
            <v>2</v>
          </cell>
          <cell r="M45">
            <v>3</v>
          </cell>
          <cell r="N45">
            <v>1</v>
          </cell>
          <cell r="O45">
            <v>1</v>
          </cell>
        </row>
        <row r="46">
          <cell r="A46" t="str">
            <v>2024JULB00093</v>
          </cell>
          <cell r="B46" t="str">
            <v>Akhileswaradu Manikireddy</v>
          </cell>
          <cell r="C46">
            <v>2</v>
          </cell>
          <cell r="D46">
            <v>2</v>
          </cell>
          <cell r="E46">
            <v>3</v>
          </cell>
          <cell r="F46">
            <v>3</v>
          </cell>
          <cell r="G46">
            <v>4</v>
          </cell>
          <cell r="H46">
            <v>3</v>
          </cell>
          <cell r="I46">
            <v>3</v>
          </cell>
          <cell r="J46">
            <v>3</v>
          </cell>
          <cell r="K46">
            <v>2</v>
          </cell>
          <cell r="L46">
            <v>2</v>
          </cell>
          <cell r="M46">
            <v>3</v>
          </cell>
          <cell r="N46">
            <v>3</v>
          </cell>
          <cell r="O46">
            <v>3</v>
          </cell>
        </row>
        <row r="47">
          <cell r="A47" t="str">
            <v>2024JULB00223</v>
          </cell>
          <cell r="B47" t="str">
            <v>Preethish Mesa</v>
          </cell>
          <cell r="C47">
            <v>2</v>
          </cell>
          <cell r="D47">
            <v>2</v>
          </cell>
          <cell r="E47">
            <v>4</v>
          </cell>
          <cell r="F47">
            <v>1</v>
          </cell>
          <cell r="G47">
            <v>3</v>
          </cell>
          <cell r="H47">
            <v>2</v>
          </cell>
          <cell r="I47">
            <v>3</v>
          </cell>
          <cell r="J47">
            <v>3</v>
          </cell>
          <cell r="K47">
            <v>3</v>
          </cell>
          <cell r="L47">
            <v>3</v>
          </cell>
          <cell r="M47">
            <v>3</v>
          </cell>
          <cell r="N47">
            <v>2</v>
          </cell>
          <cell r="O47">
            <v>3</v>
          </cell>
        </row>
        <row r="48">
          <cell r="A48" t="str">
            <v>2024JULB00021</v>
          </cell>
          <cell r="B48" t="str">
            <v>Aniket Inani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</row>
        <row r="49">
          <cell r="A49" t="str">
            <v>2024JULB00046</v>
          </cell>
          <cell r="B49" t="str">
            <v>Darsh Nimesh Shah</v>
          </cell>
          <cell r="C49">
            <v>3</v>
          </cell>
          <cell r="D49">
            <v>3</v>
          </cell>
          <cell r="E49">
            <v>4</v>
          </cell>
          <cell r="F49">
            <v>3</v>
          </cell>
          <cell r="G49">
            <v>2.5</v>
          </cell>
          <cell r="H49">
            <v>2</v>
          </cell>
          <cell r="I49">
            <v>4</v>
          </cell>
          <cell r="J49">
            <v>4</v>
          </cell>
          <cell r="K49">
            <v>2</v>
          </cell>
          <cell r="L49">
            <v>3</v>
          </cell>
          <cell r="M49">
            <v>3</v>
          </cell>
          <cell r="N49">
            <v>3</v>
          </cell>
          <cell r="O49">
            <v>4</v>
          </cell>
        </row>
        <row r="50">
          <cell r="A50" t="str">
            <v>2024JULB00208</v>
          </cell>
          <cell r="B50" t="str">
            <v>Garima Sarraf</v>
          </cell>
          <cell r="C50">
            <v>1</v>
          </cell>
          <cell r="D50">
            <v>3</v>
          </cell>
          <cell r="E50">
            <v>2</v>
          </cell>
          <cell r="F50">
            <v>2</v>
          </cell>
          <cell r="G50">
            <v>0.5</v>
          </cell>
          <cell r="H50">
            <v>2</v>
          </cell>
          <cell r="I50">
            <v>2</v>
          </cell>
          <cell r="J50">
            <v>2</v>
          </cell>
          <cell r="K50">
            <v>1</v>
          </cell>
          <cell r="L50">
            <v>2</v>
          </cell>
          <cell r="M50">
            <v>3</v>
          </cell>
          <cell r="N50">
            <v>2</v>
          </cell>
          <cell r="O50">
            <v>1</v>
          </cell>
        </row>
        <row r="51">
          <cell r="A51" t="str">
            <v>2024JULB00249</v>
          </cell>
          <cell r="B51" t="str">
            <v>Kartik Garg</v>
          </cell>
          <cell r="C51">
            <v>2</v>
          </cell>
          <cell r="D51">
            <v>3</v>
          </cell>
          <cell r="E51">
            <v>3</v>
          </cell>
          <cell r="F51">
            <v>3</v>
          </cell>
          <cell r="G51">
            <v>1.5</v>
          </cell>
          <cell r="H51">
            <v>2</v>
          </cell>
          <cell r="I51">
            <v>2</v>
          </cell>
          <cell r="J51">
            <v>2</v>
          </cell>
          <cell r="K51">
            <v>2</v>
          </cell>
          <cell r="L51">
            <v>1</v>
          </cell>
          <cell r="M51">
            <v>3</v>
          </cell>
          <cell r="N51">
            <v>2</v>
          </cell>
          <cell r="O51">
            <v>2</v>
          </cell>
        </row>
        <row r="52">
          <cell r="A52" t="str">
            <v>2024JULB00122</v>
          </cell>
          <cell r="B52" t="str">
            <v>Riddhiman Saha</v>
          </cell>
          <cell r="C52">
            <v>1</v>
          </cell>
          <cell r="D52">
            <v>2</v>
          </cell>
          <cell r="E52">
            <v>1</v>
          </cell>
          <cell r="F52">
            <v>1</v>
          </cell>
          <cell r="G52">
            <v>2.5</v>
          </cell>
          <cell r="H52">
            <v>1</v>
          </cell>
          <cell r="I52">
            <v>1</v>
          </cell>
          <cell r="J52">
            <v>1</v>
          </cell>
          <cell r="K52">
            <v>1</v>
          </cell>
          <cell r="L52">
            <v>1</v>
          </cell>
          <cell r="M52">
            <v>3</v>
          </cell>
          <cell r="N52">
            <v>2</v>
          </cell>
          <cell r="O52">
            <v>1</v>
          </cell>
        </row>
        <row r="53">
          <cell r="A53" t="str">
            <v>2024JULB00181</v>
          </cell>
          <cell r="B53" t="str">
            <v>Vishal Bhagat</v>
          </cell>
          <cell r="C53">
            <v>2</v>
          </cell>
          <cell r="D53">
            <v>2</v>
          </cell>
          <cell r="E53">
            <v>2</v>
          </cell>
          <cell r="F53">
            <v>1</v>
          </cell>
          <cell r="G53">
            <v>0.5</v>
          </cell>
          <cell r="H53">
            <v>2</v>
          </cell>
          <cell r="I53">
            <v>2</v>
          </cell>
          <cell r="J53">
            <v>2</v>
          </cell>
          <cell r="K53">
            <v>1</v>
          </cell>
          <cell r="L53">
            <v>2</v>
          </cell>
          <cell r="M53">
            <v>3</v>
          </cell>
          <cell r="N53">
            <v>2</v>
          </cell>
          <cell r="O53">
            <v>2</v>
          </cell>
        </row>
        <row r="54">
          <cell r="A54" t="str">
            <v>2024JULB00172</v>
          </cell>
          <cell r="B54" t="str">
            <v>Trinanjan Purkait</v>
          </cell>
          <cell r="C54">
            <v>2</v>
          </cell>
          <cell r="D54">
            <v>2</v>
          </cell>
          <cell r="E54">
            <v>2</v>
          </cell>
          <cell r="F54">
            <v>3</v>
          </cell>
          <cell r="G54">
            <v>4</v>
          </cell>
          <cell r="H54">
            <v>2</v>
          </cell>
          <cell r="I54">
            <v>2</v>
          </cell>
          <cell r="J54">
            <v>3</v>
          </cell>
          <cell r="K54">
            <v>2</v>
          </cell>
          <cell r="L54">
            <v>3</v>
          </cell>
          <cell r="M54">
            <v>3</v>
          </cell>
          <cell r="N54">
            <v>2</v>
          </cell>
          <cell r="O54">
            <v>3</v>
          </cell>
        </row>
        <row r="55">
          <cell r="A55" t="str">
            <v>2024JULB00156</v>
          </cell>
          <cell r="B55" t="str">
            <v>Souvik Roy</v>
          </cell>
          <cell r="C55">
            <v>2</v>
          </cell>
          <cell r="D55">
            <v>3</v>
          </cell>
          <cell r="E55">
            <v>3</v>
          </cell>
          <cell r="F55">
            <v>4</v>
          </cell>
          <cell r="G55">
            <v>4</v>
          </cell>
          <cell r="H55">
            <v>3</v>
          </cell>
          <cell r="I55">
            <v>3</v>
          </cell>
          <cell r="J55">
            <v>3</v>
          </cell>
          <cell r="K55">
            <v>3</v>
          </cell>
          <cell r="L55">
            <v>2</v>
          </cell>
          <cell r="M55">
            <v>3</v>
          </cell>
          <cell r="N55">
            <v>3</v>
          </cell>
          <cell r="O55">
            <v>3</v>
          </cell>
        </row>
        <row r="56">
          <cell r="A56" t="str">
            <v>2024JULB00125</v>
          </cell>
          <cell r="B56" t="str">
            <v>Riya Guliya</v>
          </cell>
          <cell r="C56">
            <v>3</v>
          </cell>
          <cell r="D56">
            <v>4</v>
          </cell>
          <cell r="E56">
            <v>3</v>
          </cell>
          <cell r="F56">
            <v>3</v>
          </cell>
          <cell r="G56">
            <v>3.5</v>
          </cell>
          <cell r="H56">
            <v>2</v>
          </cell>
          <cell r="I56">
            <v>3</v>
          </cell>
          <cell r="J56">
            <v>4</v>
          </cell>
          <cell r="K56">
            <v>3</v>
          </cell>
          <cell r="L56">
            <v>4</v>
          </cell>
          <cell r="M56">
            <v>3</v>
          </cell>
          <cell r="N56">
            <v>4</v>
          </cell>
          <cell r="O56">
            <v>3</v>
          </cell>
        </row>
        <row r="57">
          <cell r="A57" t="str">
            <v>2024JULB00183</v>
          </cell>
          <cell r="B57" t="str">
            <v>Yasaswini Reddy Sagili</v>
          </cell>
          <cell r="C57">
            <v>3</v>
          </cell>
          <cell r="D57">
            <v>3</v>
          </cell>
          <cell r="E57">
            <v>2</v>
          </cell>
          <cell r="F57">
            <v>2</v>
          </cell>
          <cell r="G57">
            <v>3</v>
          </cell>
          <cell r="H57">
            <v>2</v>
          </cell>
          <cell r="I57">
            <v>3</v>
          </cell>
          <cell r="J57">
            <v>4</v>
          </cell>
          <cell r="K57">
            <v>2</v>
          </cell>
          <cell r="L57">
            <v>3</v>
          </cell>
          <cell r="M57">
            <v>3</v>
          </cell>
          <cell r="N57">
            <v>3</v>
          </cell>
          <cell r="O57">
            <v>3</v>
          </cell>
        </row>
        <row r="58">
          <cell r="A58" t="str">
            <v>2024JULB00212</v>
          </cell>
          <cell r="B58" t="str">
            <v>Rajnish Kumar</v>
          </cell>
          <cell r="C58">
            <v>2</v>
          </cell>
          <cell r="D58">
            <v>2</v>
          </cell>
          <cell r="E58">
            <v>1</v>
          </cell>
          <cell r="F58">
            <v>1</v>
          </cell>
          <cell r="G58">
            <v>2.5</v>
          </cell>
          <cell r="H58">
            <v>1</v>
          </cell>
          <cell r="I58">
            <v>2</v>
          </cell>
          <cell r="J58">
            <v>2</v>
          </cell>
          <cell r="K58">
            <v>2</v>
          </cell>
          <cell r="L58">
            <v>2</v>
          </cell>
          <cell r="M58">
            <v>3</v>
          </cell>
          <cell r="N58">
            <v>3</v>
          </cell>
          <cell r="O58">
            <v>3</v>
          </cell>
        </row>
        <row r="59">
          <cell r="A59" t="str">
            <v>2024JULB00138</v>
          </cell>
          <cell r="B59" t="str">
            <v>Shankar Vyas</v>
          </cell>
          <cell r="C59">
            <v>2</v>
          </cell>
          <cell r="D59">
            <v>2</v>
          </cell>
          <cell r="E59">
            <v>3</v>
          </cell>
          <cell r="F59">
            <v>2</v>
          </cell>
          <cell r="G59">
            <v>1.5</v>
          </cell>
          <cell r="H59">
            <v>2</v>
          </cell>
          <cell r="I59">
            <v>2</v>
          </cell>
          <cell r="J59">
            <v>2</v>
          </cell>
          <cell r="K59">
            <v>2</v>
          </cell>
          <cell r="L59">
            <v>2</v>
          </cell>
          <cell r="M59">
            <v>3</v>
          </cell>
          <cell r="N59">
            <v>3</v>
          </cell>
          <cell r="O59">
            <v>3</v>
          </cell>
        </row>
        <row r="60">
          <cell r="A60" t="str">
            <v>2024JULB00121</v>
          </cell>
          <cell r="B60" t="str">
            <v>Renukha S</v>
          </cell>
          <cell r="C60">
            <v>3</v>
          </cell>
          <cell r="D60">
            <v>2</v>
          </cell>
          <cell r="E60">
            <v>3</v>
          </cell>
          <cell r="F60">
            <v>3</v>
          </cell>
          <cell r="G60">
            <v>2.5</v>
          </cell>
          <cell r="H60">
            <v>2</v>
          </cell>
          <cell r="I60">
            <v>3</v>
          </cell>
          <cell r="J60">
            <v>3</v>
          </cell>
          <cell r="K60">
            <v>2</v>
          </cell>
          <cell r="L60">
            <v>2</v>
          </cell>
          <cell r="M60">
            <v>3</v>
          </cell>
          <cell r="N60">
            <v>3</v>
          </cell>
          <cell r="O60">
            <v>3</v>
          </cell>
        </row>
        <row r="61">
          <cell r="A61" t="str">
            <v>2024JULB00143</v>
          </cell>
          <cell r="B61" t="str">
            <v>Shreya Bohre</v>
          </cell>
          <cell r="C61">
            <v>4</v>
          </cell>
          <cell r="D61">
            <v>4</v>
          </cell>
          <cell r="E61">
            <v>4</v>
          </cell>
          <cell r="F61">
            <v>4</v>
          </cell>
          <cell r="G61">
            <v>3</v>
          </cell>
          <cell r="H61">
            <v>4</v>
          </cell>
          <cell r="I61">
            <v>4</v>
          </cell>
          <cell r="J61">
            <v>4</v>
          </cell>
          <cell r="K61">
            <v>4</v>
          </cell>
          <cell r="L61">
            <v>4</v>
          </cell>
          <cell r="M61">
            <v>3</v>
          </cell>
          <cell r="N61">
            <v>4</v>
          </cell>
          <cell r="O61">
            <v>4</v>
          </cell>
        </row>
        <row r="62">
          <cell r="A62" t="str">
            <v>2024JULB00132</v>
          </cell>
          <cell r="B62" t="str">
            <v>Sakchi Suryavanshi</v>
          </cell>
          <cell r="C62">
            <v>2</v>
          </cell>
          <cell r="D62">
            <v>4</v>
          </cell>
          <cell r="E62">
            <v>4</v>
          </cell>
          <cell r="F62">
            <v>4</v>
          </cell>
          <cell r="G62">
            <v>3.5</v>
          </cell>
          <cell r="H62">
            <v>5</v>
          </cell>
          <cell r="I62">
            <v>2</v>
          </cell>
          <cell r="J62">
            <v>3</v>
          </cell>
          <cell r="K62">
            <v>4</v>
          </cell>
          <cell r="L62">
            <v>3</v>
          </cell>
          <cell r="M62">
            <v>3</v>
          </cell>
          <cell r="N62">
            <v>3</v>
          </cell>
          <cell r="O62">
            <v>3</v>
          </cell>
        </row>
        <row r="63">
          <cell r="A63" t="str">
            <v>2024JULB00242</v>
          </cell>
          <cell r="B63" t="str">
            <v>Shreya Sethi</v>
          </cell>
          <cell r="C63">
            <v>2</v>
          </cell>
          <cell r="D63">
            <v>4</v>
          </cell>
          <cell r="E63">
            <v>3</v>
          </cell>
          <cell r="F63">
            <v>4</v>
          </cell>
          <cell r="G63">
            <v>3.5</v>
          </cell>
          <cell r="H63">
            <v>3</v>
          </cell>
          <cell r="I63">
            <v>2</v>
          </cell>
          <cell r="J63">
            <v>2</v>
          </cell>
          <cell r="K63">
            <v>2</v>
          </cell>
          <cell r="L63">
            <v>2</v>
          </cell>
          <cell r="M63">
            <v>3</v>
          </cell>
          <cell r="N63">
            <v>2</v>
          </cell>
          <cell r="O63">
            <v>2</v>
          </cell>
        </row>
        <row r="64">
          <cell r="A64" t="str">
            <v>2024JULB00165</v>
          </cell>
          <cell r="B64" t="str">
            <v>Shristi Prakash</v>
          </cell>
          <cell r="C64">
            <v>2</v>
          </cell>
          <cell r="D64">
            <v>3</v>
          </cell>
          <cell r="E64">
            <v>3</v>
          </cell>
          <cell r="F64">
            <v>3</v>
          </cell>
          <cell r="G64">
            <v>2.5</v>
          </cell>
          <cell r="H64">
            <v>2</v>
          </cell>
          <cell r="I64">
            <v>3</v>
          </cell>
          <cell r="J64">
            <v>3</v>
          </cell>
          <cell r="K64">
            <v>2</v>
          </cell>
          <cell r="L64">
            <v>2</v>
          </cell>
          <cell r="M64">
            <v>3</v>
          </cell>
          <cell r="N64">
            <v>4</v>
          </cell>
          <cell r="O64">
            <v>3</v>
          </cell>
        </row>
        <row r="65">
          <cell r="A65" t="str">
            <v>2024JULB00157</v>
          </cell>
          <cell r="B65" t="str">
            <v>Spandana Chandragiri</v>
          </cell>
          <cell r="C65">
            <v>2</v>
          </cell>
          <cell r="D65">
            <v>3</v>
          </cell>
          <cell r="E65">
            <v>3</v>
          </cell>
          <cell r="F65">
            <v>2</v>
          </cell>
          <cell r="G65">
            <v>3.5</v>
          </cell>
          <cell r="H65">
            <v>3</v>
          </cell>
          <cell r="I65">
            <v>2</v>
          </cell>
          <cell r="J65">
            <v>3</v>
          </cell>
          <cell r="K65">
            <v>2</v>
          </cell>
          <cell r="L65">
            <v>2</v>
          </cell>
          <cell r="M65">
            <v>3</v>
          </cell>
          <cell r="N65">
            <v>3</v>
          </cell>
          <cell r="O65">
            <v>3</v>
          </cell>
        </row>
        <row r="66">
          <cell r="A66" t="str">
            <v>2024AUGVPGP0032</v>
          </cell>
          <cell r="B66" t="str">
            <v>Tanul Amod Saxena</v>
          </cell>
          <cell r="C66">
            <v>3</v>
          </cell>
          <cell r="D66">
            <v>5</v>
          </cell>
          <cell r="E66">
            <v>4</v>
          </cell>
          <cell r="F66">
            <v>4</v>
          </cell>
          <cell r="G66">
            <v>3</v>
          </cell>
          <cell r="H66">
            <v>4</v>
          </cell>
          <cell r="I66">
            <v>3</v>
          </cell>
          <cell r="J66">
            <v>4</v>
          </cell>
          <cell r="K66">
            <v>4</v>
          </cell>
          <cell r="L66">
            <v>3</v>
          </cell>
          <cell r="M66">
            <v>3</v>
          </cell>
          <cell r="N66">
            <v>3</v>
          </cell>
          <cell r="O66">
            <v>3</v>
          </cell>
        </row>
        <row r="67">
          <cell r="A67" t="str">
            <v>2024AUGVPGP0035</v>
          </cell>
          <cell r="B67" t="str">
            <v>Vishwa Teja</v>
          </cell>
          <cell r="C67">
            <v>3</v>
          </cell>
          <cell r="D67">
            <v>5</v>
          </cell>
          <cell r="E67">
            <v>4</v>
          </cell>
          <cell r="F67">
            <v>3</v>
          </cell>
          <cell r="G67">
            <v>2.5</v>
          </cell>
          <cell r="H67">
            <v>3</v>
          </cell>
          <cell r="I67">
            <v>3</v>
          </cell>
          <cell r="J67">
            <v>4</v>
          </cell>
          <cell r="K67">
            <v>4</v>
          </cell>
          <cell r="L67">
            <v>3</v>
          </cell>
          <cell r="M67">
            <v>3</v>
          </cell>
          <cell r="N67">
            <v>3</v>
          </cell>
          <cell r="O67">
            <v>3</v>
          </cell>
        </row>
        <row r="68">
          <cell r="A68" t="str">
            <v>2024JULB00072</v>
          </cell>
          <cell r="B68" t="str">
            <v>Kajal Choudhary</v>
          </cell>
          <cell r="C68">
            <v>3</v>
          </cell>
          <cell r="D68">
            <v>3</v>
          </cell>
          <cell r="E68">
            <v>2</v>
          </cell>
          <cell r="F68">
            <v>4</v>
          </cell>
          <cell r="G68">
            <v>1.5</v>
          </cell>
          <cell r="H68">
            <v>2</v>
          </cell>
          <cell r="I68">
            <v>3</v>
          </cell>
          <cell r="J68">
            <v>3</v>
          </cell>
          <cell r="K68">
            <v>2</v>
          </cell>
          <cell r="L68">
            <v>3</v>
          </cell>
          <cell r="M68">
            <v>3</v>
          </cell>
          <cell r="N68">
            <v>4</v>
          </cell>
          <cell r="O68">
            <v>3</v>
          </cell>
        </row>
        <row r="69">
          <cell r="A69" t="str">
            <v>2024JULB00114</v>
          </cell>
          <cell r="B69" t="str">
            <v>Prince Kumar</v>
          </cell>
          <cell r="C69">
            <v>3</v>
          </cell>
          <cell r="D69">
            <v>2</v>
          </cell>
          <cell r="E69">
            <v>2</v>
          </cell>
          <cell r="F69">
            <v>3</v>
          </cell>
          <cell r="G69">
            <v>3.5</v>
          </cell>
          <cell r="H69">
            <v>2</v>
          </cell>
          <cell r="I69">
            <v>3</v>
          </cell>
          <cell r="J69">
            <v>3</v>
          </cell>
          <cell r="K69">
            <v>2</v>
          </cell>
          <cell r="L69">
            <v>4</v>
          </cell>
          <cell r="M69">
            <v>3</v>
          </cell>
          <cell r="N69">
            <v>2</v>
          </cell>
          <cell r="O69">
            <v>3</v>
          </cell>
        </row>
        <row r="70">
          <cell r="A70" t="str">
            <v>2024JULB00145</v>
          </cell>
          <cell r="B70" t="str">
            <v>Shruti Rajale</v>
          </cell>
          <cell r="C70">
            <v>3</v>
          </cell>
          <cell r="D70">
            <v>4</v>
          </cell>
          <cell r="E70">
            <v>4</v>
          </cell>
          <cell r="F70">
            <v>4</v>
          </cell>
          <cell r="G70">
            <v>4</v>
          </cell>
          <cell r="H70">
            <v>3</v>
          </cell>
          <cell r="I70">
            <v>4</v>
          </cell>
          <cell r="J70">
            <v>4</v>
          </cell>
          <cell r="K70">
            <v>4</v>
          </cell>
          <cell r="L70">
            <v>3</v>
          </cell>
          <cell r="M70">
            <v>3</v>
          </cell>
          <cell r="N70">
            <v>4</v>
          </cell>
          <cell r="O70">
            <v>4</v>
          </cell>
        </row>
        <row r="71">
          <cell r="A71" t="str">
            <v>2024JULB00272</v>
          </cell>
          <cell r="B71" t="str">
            <v>VIKASH KUMAR</v>
          </cell>
          <cell r="C71">
            <v>1</v>
          </cell>
          <cell r="D71">
            <v>1</v>
          </cell>
          <cell r="E71">
            <v>1</v>
          </cell>
          <cell r="F71">
            <v>1</v>
          </cell>
          <cell r="G71">
            <v>1.5</v>
          </cell>
          <cell r="H71">
            <v>1</v>
          </cell>
          <cell r="I71">
            <v>1</v>
          </cell>
          <cell r="J71">
            <v>1</v>
          </cell>
          <cell r="K71">
            <v>1</v>
          </cell>
          <cell r="L71">
            <v>1</v>
          </cell>
          <cell r="M71">
            <v>3</v>
          </cell>
          <cell r="N71">
            <v>1</v>
          </cell>
          <cell r="O71">
            <v>1</v>
          </cell>
        </row>
        <row r="72">
          <cell r="A72" t="str">
            <v>2024JULB00129</v>
          </cell>
          <cell r="B72" t="str">
            <v>Prithviraj Srinivasan</v>
          </cell>
          <cell r="C72">
            <v>3</v>
          </cell>
          <cell r="D72">
            <v>5</v>
          </cell>
          <cell r="E72">
            <v>4</v>
          </cell>
          <cell r="F72">
            <v>4</v>
          </cell>
          <cell r="G72">
            <v>3.5</v>
          </cell>
          <cell r="H72">
            <v>5</v>
          </cell>
          <cell r="I72">
            <v>3</v>
          </cell>
          <cell r="J72">
            <v>4</v>
          </cell>
          <cell r="K72">
            <v>3</v>
          </cell>
          <cell r="L72">
            <v>4</v>
          </cell>
          <cell r="M72">
            <v>3</v>
          </cell>
          <cell r="N72">
            <v>4</v>
          </cell>
          <cell r="O72">
            <v>4</v>
          </cell>
        </row>
        <row r="73">
          <cell r="A73" t="str">
            <v>2024JULB00243</v>
          </cell>
          <cell r="B73" t="str">
            <v>Sahil Gupta</v>
          </cell>
          <cell r="C73">
            <v>3</v>
          </cell>
          <cell r="D73">
            <v>3</v>
          </cell>
          <cell r="E73">
            <v>2</v>
          </cell>
          <cell r="F73">
            <v>4</v>
          </cell>
          <cell r="G73">
            <v>3</v>
          </cell>
          <cell r="H73">
            <v>2</v>
          </cell>
          <cell r="I73">
            <v>4</v>
          </cell>
          <cell r="J73">
            <v>3</v>
          </cell>
          <cell r="K73">
            <v>3</v>
          </cell>
          <cell r="L73">
            <v>4</v>
          </cell>
          <cell r="M73">
            <v>3</v>
          </cell>
          <cell r="N73">
            <v>3</v>
          </cell>
          <cell r="O73">
            <v>3</v>
          </cell>
        </row>
        <row r="74">
          <cell r="A74" t="str">
            <v>2024JULB00269</v>
          </cell>
          <cell r="B74" t="str">
            <v>Vrijendra Balaji</v>
          </cell>
          <cell r="C74">
            <v>2</v>
          </cell>
          <cell r="D74">
            <v>4</v>
          </cell>
          <cell r="E74">
            <v>2</v>
          </cell>
          <cell r="F74">
            <v>2</v>
          </cell>
          <cell r="G74">
            <v>1.5</v>
          </cell>
          <cell r="H74">
            <v>2</v>
          </cell>
          <cell r="I74">
            <v>3</v>
          </cell>
          <cell r="J74">
            <v>3</v>
          </cell>
          <cell r="K74">
            <v>2</v>
          </cell>
          <cell r="L74">
            <v>3</v>
          </cell>
          <cell r="M74">
            <v>3</v>
          </cell>
          <cell r="N74">
            <v>2</v>
          </cell>
          <cell r="O74">
            <v>3</v>
          </cell>
        </row>
        <row r="75">
          <cell r="A75" t="str">
            <v>2024JULB00123</v>
          </cell>
          <cell r="B75" t="str">
            <v>Rishik Chandra Pasupuleti</v>
          </cell>
          <cell r="C75">
            <v>1</v>
          </cell>
          <cell r="D75">
            <v>3</v>
          </cell>
          <cell r="E75">
            <v>2</v>
          </cell>
          <cell r="F75">
            <v>1</v>
          </cell>
          <cell r="G75">
            <v>0</v>
          </cell>
          <cell r="H75">
            <v>1</v>
          </cell>
          <cell r="I75">
            <v>1</v>
          </cell>
          <cell r="J75">
            <v>2</v>
          </cell>
          <cell r="K75">
            <v>1</v>
          </cell>
          <cell r="L75">
            <v>2</v>
          </cell>
          <cell r="M75">
            <v>3</v>
          </cell>
          <cell r="N75">
            <v>1</v>
          </cell>
          <cell r="O75">
            <v>1</v>
          </cell>
        </row>
        <row r="76">
          <cell r="A76" t="str">
            <v>2024JULB00139</v>
          </cell>
          <cell r="B76" t="str">
            <v>Shaswat Mishra</v>
          </cell>
          <cell r="C76">
            <v>2</v>
          </cell>
          <cell r="D76">
            <v>3</v>
          </cell>
          <cell r="E76">
            <v>3</v>
          </cell>
          <cell r="F76">
            <v>3</v>
          </cell>
          <cell r="G76">
            <v>3.5</v>
          </cell>
          <cell r="H76">
            <v>3</v>
          </cell>
          <cell r="I76">
            <v>3</v>
          </cell>
          <cell r="J76">
            <v>3</v>
          </cell>
          <cell r="K76">
            <v>3</v>
          </cell>
          <cell r="L76">
            <v>3</v>
          </cell>
          <cell r="M76">
            <v>3</v>
          </cell>
          <cell r="N76">
            <v>3</v>
          </cell>
          <cell r="O76">
            <v>3</v>
          </cell>
        </row>
        <row r="77">
          <cell r="A77" t="str">
            <v>2024JULB00248</v>
          </cell>
          <cell r="B77" t="str">
            <v>Shivam Ratnani</v>
          </cell>
          <cell r="C77">
            <v>3</v>
          </cell>
          <cell r="D77">
            <v>3</v>
          </cell>
          <cell r="E77">
            <v>3</v>
          </cell>
          <cell r="F77">
            <v>3</v>
          </cell>
          <cell r="G77">
            <v>2</v>
          </cell>
          <cell r="H77">
            <v>2</v>
          </cell>
          <cell r="I77">
            <v>3</v>
          </cell>
          <cell r="J77">
            <v>2</v>
          </cell>
          <cell r="K77">
            <v>3</v>
          </cell>
          <cell r="L77">
            <v>3</v>
          </cell>
          <cell r="M77">
            <v>3</v>
          </cell>
          <cell r="N77">
            <v>3</v>
          </cell>
          <cell r="O77">
            <v>3</v>
          </cell>
        </row>
        <row r="78">
          <cell r="A78" t="str">
            <v>2024AUGVPGP0020</v>
          </cell>
          <cell r="B78" t="str">
            <v>Roopesh Soni</v>
          </cell>
          <cell r="C78">
            <v>1</v>
          </cell>
          <cell r="D78">
            <v>2</v>
          </cell>
          <cell r="E78">
            <v>2</v>
          </cell>
          <cell r="F78">
            <v>2</v>
          </cell>
          <cell r="G78">
            <v>1</v>
          </cell>
          <cell r="H78">
            <v>2</v>
          </cell>
          <cell r="I78">
            <v>2</v>
          </cell>
          <cell r="J78">
            <v>1</v>
          </cell>
          <cell r="K78">
            <v>1</v>
          </cell>
          <cell r="L78">
            <v>2</v>
          </cell>
          <cell r="M78">
            <v>3</v>
          </cell>
          <cell r="N78">
            <v>2</v>
          </cell>
          <cell r="O78">
            <v>2</v>
          </cell>
        </row>
        <row r="79">
          <cell r="A79" t="str">
            <v>2024JULB00233</v>
          </cell>
          <cell r="B79" t="str">
            <v>Riya Batra</v>
          </cell>
          <cell r="C79">
            <v>2</v>
          </cell>
          <cell r="D79">
            <v>2</v>
          </cell>
          <cell r="E79">
            <v>2</v>
          </cell>
          <cell r="F79">
            <v>2</v>
          </cell>
          <cell r="G79">
            <v>3.5</v>
          </cell>
          <cell r="H79">
            <v>1</v>
          </cell>
          <cell r="I79">
            <v>2</v>
          </cell>
          <cell r="J79">
            <v>2</v>
          </cell>
          <cell r="K79">
            <v>2</v>
          </cell>
          <cell r="L79">
            <v>2</v>
          </cell>
          <cell r="M79">
            <v>3</v>
          </cell>
          <cell r="N79">
            <v>2</v>
          </cell>
          <cell r="O79">
            <v>3</v>
          </cell>
        </row>
        <row r="80">
          <cell r="A80" t="str">
            <v>2024JULB00179</v>
          </cell>
          <cell r="B80" t="str">
            <v>Veeraj Vasu Poojari</v>
          </cell>
          <cell r="C80">
            <v>3</v>
          </cell>
          <cell r="D80">
            <v>3</v>
          </cell>
          <cell r="E80">
            <v>3</v>
          </cell>
          <cell r="F80">
            <v>3</v>
          </cell>
          <cell r="G80">
            <v>2</v>
          </cell>
          <cell r="H80">
            <v>2</v>
          </cell>
          <cell r="I80">
            <v>3</v>
          </cell>
          <cell r="J80">
            <v>3</v>
          </cell>
          <cell r="K80">
            <v>4</v>
          </cell>
          <cell r="L80">
            <v>2</v>
          </cell>
          <cell r="M80">
            <v>3</v>
          </cell>
          <cell r="N80">
            <v>3</v>
          </cell>
          <cell r="O80">
            <v>2</v>
          </cell>
        </row>
        <row r="81">
          <cell r="A81" t="str">
            <v>2024JULB00227</v>
          </cell>
          <cell r="B81" t="str">
            <v>Sumit Sharma</v>
          </cell>
          <cell r="C81">
            <v>3</v>
          </cell>
          <cell r="D81">
            <v>3</v>
          </cell>
          <cell r="E81">
            <v>3</v>
          </cell>
          <cell r="F81">
            <v>2</v>
          </cell>
          <cell r="G81">
            <v>2</v>
          </cell>
          <cell r="H81">
            <v>3</v>
          </cell>
          <cell r="I81">
            <v>3</v>
          </cell>
          <cell r="J81">
            <v>4</v>
          </cell>
          <cell r="K81">
            <v>3</v>
          </cell>
          <cell r="L81">
            <v>4</v>
          </cell>
          <cell r="M81">
            <v>3</v>
          </cell>
          <cell r="N81">
            <v>2</v>
          </cell>
          <cell r="O81">
            <v>3</v>
          </cell>
        </row>
        <row r="82">
          <cell r="A82" t="str">
            <v>2024JULB00255</v>
          </cell>
          <cell r="B82" t="str">
            <v>Saisrita Rao</v>
          </cell>
          <cell r="C82">
            <v>3</v>
          </cell>
          <cell r="D82">
            <v>5</v>
          </cell>
          <cell r="E82">
            <v>4</v>
          </cell>
          <cell r="F82">
            <v>4</v>
          </cell>
          <cell r="G82">
            <v>2</v>
          </cell>
          <cell r="H82">
            <v>5</v>
          </cell>
          <cell r="I82">
            <v>3</v>
          </cell>
          <cell r="J82">
            <v>3</v>
          </cell>
          <cell r="K82">
            <v>3</v>
          </cell>
          <cell r="L82">
            <v>3</v>
          </cell>
          <cell r="M82">
            <v>3</v>
          </cell>
          <cell r="N82">
            <v>4</v>
          </cell>
          <cell r="O82">
            <v>4</v>
          </cell>
        </row>
        <row r="83">
          <cell r="A83" t="str">
            <v>2024JULB00270</v>
          </cell>
          <cell r="B83" t="str">
            <v>Rahul Gupta</v>
          </cell>
          <cell r="C83">
            <v>2</v>
          </cell>
          <cell r="D83">
            <v>3</v>
          </cell>
          <cell r="E83">
            <v>2</v>
          </cell>
          <cell r="F83">
            <v>4</v>
          </cell>
          <cell r="G83">
            <v>2</v>
          </cell>
          <cell r="H83">
            <v>2</v>
          </cell>
          <cell r="I83">
            <v>3</v>
          </cell>
          <cell r="J83">
            <v>3</v>
          </cell>
          <cell r="K83">
            <v>3</v>
          </cell>
          <cell r="L83">
            <v>2</v>
          </cell>
          <cell r="M83">
            <v>3</v>
          </cell>
          <cell r="N83">
            <v>3</v>
          </cell>
          <cell r="O83">
            <v>3</v>
          </cell>
        </row>
        <row r="84">
          <cell r="A84" t="str">
            <v>2024JULB00218</v>
          </cell>
          <cell r="B84" t="str">
            <v>Yash Kataruka</v>
          </cell>
          <cell r="C84">
            <v>3</v>
          </cell>
          <cell r="D84">
            <v>4</v>
          </cell>
          <cell r="E84">
            <v>3</v>
          </cell>
          <cell r="F84">
            <v>2</v>
          </cell>
          <cell r="G84">
            <v>2.5</v>
          </cell>
          <cell r="H84">
            <v>3</v>
          </cell>
          <cell r="I84">
            <v>3</v>
          </cell>
          <cell r="J84">
            <v>4</v>
          </cell>
          <cell r="K84">
            <v>3</v>
          </cell>
          <cell r="L84">
            <v>4</v>
          </cell>
          <cell r="M84">
            <v>3</v>
          </cell>
          <cell r="N84">
            <v>2</v>
          </cell>
          <cell r="O84">
            <v>4</v>
          </cell>
        </row>
        <row r="85">
          <cell r="A85" t="str">
            <v>2024JULB00151</v>
          </cell>
          <cell r="B85" t="str">
            <v>Sivaraman S</v>
          </cell>
          <cell r="C85">
            <v>3</v>
          </cell>
          <cell r="D85">
            <v>4</v>
          </cell>
          <cell r="E85">
            <v>3</v>
          </cell>
          <cell r="F85">
            <v>2</v>
          </cell>
          <cell r="G85">
            <v>2</v>
          </cell>
          <cell r="H85">
            <v>3</v>
          </cell>
          <cell r="I85">
            <v>3</v>
          </cell>
          <cell r="J85">
            <v>4</v>
          </cell>
          <cell r="K85">
            <v>3</v>
          </cell>
          <cell r="L85">
            <v>3</v>
          </cell>
          <cell r="M85">
            <v>3</v>
          </cell>
          <cell r="N85">
            <v>2</v>
          </cell>
          <cell r="O85">
            <v>4</v>
          </cell>
        </row>
        <row r="86">
          <cell r="A86" t="str">
            <v>2024JULB00133</v>
          </cell>
          <cell r="B86" t="str">
            <v>S Sandeep</v>
          </cell>
          <cell r="C86">
            <v>2</v>
          </cell>
          <cell r="D86">
            <v>3</v>
          </cell>
          <cell r="E86">
            <v>2</v>
          </cell>
          <cell r="F86">
            <v>2</v>
          </cell>
          <cell r="G86">
            <v>3</v>
          </cell>
          <cell r="H86">
            <v>1</v>
          </cell>
          <cell r="I86">
            <v>2</v>
          </cell>
          <cell r="J86">
            <v>4</v>
          </cell>
          <cell r="K86">
            <v>2</v>
          </cell>
          <cell r="L86">
            <v>2</v>
          </cell>
          <cell r="M86">
            <v>3</v>
          </cell>
          <cell r="N86">
            <v>2</v>
          </cell>
          <cell r="O86">
            <v>3</v>
          </cell>
        </row>
        <row r="87">
          <cell r="A87" t="str">
            <v>2024JULB00167</v>
          </cell>
          <cell r="B87" t="str">
            <v>Sukhman Sandhu</v>
          </cell>
          <cell r="C87">
            <v>2</v>
          </cell>
          <cell r="D87">
            <v>3</v>
          </cell>
          <cell r="E87">
            <v>2</v>
          </cell>
          <cell r="F87">
            <v>4</v>
          </cell>
          <cell r="G87">
            <v>3.5</v>
          </cell>
          <cell r="H87">
            <v>3</v>
          </cell>
          <cell r="I87">
            <v>2</v>
          </cell>
          <cell r="J87">
            <v>3</v>
          </cell>
          <cell r="K87">
            <v>2</v>
          </cell>
          <cell r="L87">
            <v>2</v>
          </cell>
          <cell r="M87">
            <v>3</v>
          </cell>
          <cell r="N87">
            <v>3</v>
          </cell>
          <cell r="O87">
            <v>3</v>
          </cell>
        </row>
        <row r="88">
          <cell r="A88" t="str">
            <v>2024JULB00169</v>
          </cell>
          <cell r="B88" t="str">
            <v>Syed Sofia Mehazabeen</v>
          </cell>
          <cell r="C88">
            <v>3</v>
          </cell>
          <cell r="D88">
            <v>3</v>
          </cell>
          <cell r="E88">
            <v>2</v>
          </cell>
          <cell r="F88">
            <v>3</v>
          </cell>
          <cell r="G88">
            <v>3.5</v>
          </cell>
          <cell r="H88">
            <v>3</v>
          </cell>
          <cell r="I88">
            <v>3</v>
          </cell>
          <cell r="J88">
            <v>3</v>
          </cell>
          <cell r="K88">
            <v>3</v>
          </cell>
          <cell r="L88">
            <v>3</v>
          </cell>
          <cell r="M88">
            <v>3</v>
          </cell>
          <cell r="N88">
            <v>4</v>
          </cell>
          <cell r="O88">
            <v>3</v>
          </cell>
        </row>
        <row r="89">
          <cell r="A89" t="str">
            <v>2024JULB00231</v>
          </cell>
          <cell r="B89" t="str">
            <v>Sanskar Dixit</v>
          </cell>
          <cell r="C89">
            <v>2</v>
          </cell>
          <cell r="D89">
            <v>3</v>
          </cell>
          <cell r="E89">
            <v>3</v>
          </cell>
          <cell r="F89">
            <v>2</v>
          </cell>
          <cell r="G89">
            <v>3</v>
          </cell>
          <cell r="H89">
            <v>2</v>
          </cell>
          <cell r="I89">
            <v>2</v>
          </cell>
          <cell r="J89">
            <v>3</v>
          </cell>
          <cell r="K89">
            <v>2</v>
          </cell>
          <cell r="L89">
            <v>2</v>
          </cell>
          <cell r="M89">
            <v>3</v>
          </cell>
          <cell r="N89">
            <v>2</v>
          </cell>
          <cell r="O89">
            <v>2</v>
          </cell>
        </row>
        <row r="90">
          <cell r="A90" t="str">
            <v>2024JULB00178</v>
          </cell>
          <cell r="B90" t="str">
            <v>Varsha Saji</v>
          </cell>
          <cell r="C90">
            <v>4</v>
          </cell>
          <cell r="D90">
            <v>4</v>
          </cell>
          <cell r="E90">
            <v>4</v>
          </cell>
          <cell r="F90">
            <v>5</v>
          </cell>
          <cell r="G90">
            <v>4.5</v>
          </cell>
          <cell r="H90">
            <v>5</v>
          </cell>
          <cell r="I90">
            <v>4</v>
          </cell>
          <cell r="J90">
            <v>5</v>
          </cell>
          <cell r="K90">
            <v>5</v>
          </cell>
          <cell r="L90">
            <v>4</v>
          </cell>
          <cell r="M90">
            <v>3</v>
          </cell>
          <cell r="N90">
            <v>5</v>
          </cell>
          <cell r="O90">
            <v>5</v>
          </cell>
        </row>
        <row r="91">
          <cell r="A91" t="str">
            <v>2024JULB00126</v>
          </cell>
          <cell r="B91" t="str">
            <v>Riya Rose</v>
          </cell>
          <cell r="C91">
            <v>2</v>
          </cell>
          <cell r="D91">
            <v>3</v>
          </cell>
          <cell r="E91">
            <v>2</v>
          </cell>
          <cell r="F91">
            <v>2</v>
          </cell>
          <cell r="G91">
            <v>2.5</v>
          </cell>
          <cell r="H91">
            <v>2</v>
          </cell>
          <cell r="I91">
            <v>3</v>
          </cell>
          <cell r="J91">
            <v>2</v>
          </cell>
          <cell r="K91">
            <v>3</v>
          </cell>
          <cell r="L91">
            <v>2</v>
          </cell>
          <cell r="M91">
            <v>3</v>
          </cell>
          <cell r="N91">
            <v>4</v>
          </cell>
          <cell r="O91">
            <v>2</v>
          </cell>
        </row>
        <row r="92">
          <cell r="A92" t="str">
            <v>2024AUGVPGP0024</v>
          </cell>
          <cell r="B92" t="str">
            <v>Shubham Kumar</v>
          </cell>
          <cell r="C92">
            <v>3</v>
          </cell>
          <cell r="D92">
            <v>3</v>
          </cell>
          <cell r="E92">
            <v>2</v>
          </cell>
          <cell r="F92">
            <v>2</v>
          </cell>
          <cell r="G92">
            <v>2.5</v>
          </cell>
          <cell r="H92">
            <v>2</v>
          </cell>
          <cell r="I92">
            <v>3</v>
          </cell>
          <cell r="J92">
            <v>2</v>
          </cell>
          <cell r="K92">
            <v>2</v>
          </cell>
          <cell r="L92">
            <v>4</v>
          </cell>
          <cell r="M92">
            <v>3</v>
          </cell>
          <cell r="N92">
            <v>2</v>
          </cell>
          <cell r="O92">
            <v>2</v>
          </cell>
        </row>
        <row r="93">
          <cell r="A93" t="str">
            <v>2024JULB00254</v>
          </cell>
          <cell r="B93" t="str">
            <v>Reshu Sharma</v>
          </cell>
          <cell r="C93">
            <v>3</v>
          </cell>
          <cell r="D93">
            <v>4</v>
          </cell>
          <cell r="E93">
            <v>3</v>
          </cell>
          <cell r="F93">
            <v>3</v>
          </cell>
          <cell r="G93">
            <v>2.5</v>
          </cell>
          <cell r="H93">
            <v>3</v>
          </cell>
          <cell r="I93">
            <v>4</v>
          </cell>
          <cell r="J93">
            <v>4</v>
          </cell>
          <cell r="K93">
            <v>3</v>
          </cell>
          <cell r="L93">
            <v>4</v>
          </cell>
          <cell r="M93">
            <v>3</v>
          </cell>
          <cell r="N93">
            <v>4</v>
          </cell>
          <cell r="O93">
            <v>3</v>
          </cell>
        </row>
        <row r="94">
          <cell r="A94" t="str">
            <v>2024JULB00148</v>
          </cell>
          <cell r="B94" t="str">
            <v>Shubham Goel</v>
          </cell>
          <cell r="C94">
            <v>2</v>
          </cell>
          <cell r="D94">
            <v>2</v>
          </cell>
          <cell r="E94">
            <v>2</v>
          </cell>
          <cell r="F94">
            <v>2</v>
          </cell>
          <cell r="G94">
            <v>1.5</v>
          </cell>
          <cell r="H94">
            <v>2</v>
          </cell>
          <cell r="I94">
            <v>3</v>
          </cell>
          <cell r="J94">
            <v>4</v>
          </cell>
          <cell r="K94">
            <v>2</v>
          </cell>
          <cell r="L94">
            <v>3</v>
          </cell>
          <cell r="M94">
            <v>3</v>
          </cell>
          <cell r="N94">
            <v>2</v>
          </cell>
          <cell r="O94">
            <v>2</v>
          </cell>
        </row>
        <row r="95">
          <cell r="A95" t="str">
            <v>2024JULB00160</v>
          </cell>
          <cell r="B95" t="str">
            <v>Srishti</v>
          </cell>
          <cell r="C95">
            <v>3</v>
          </cell>
          <cell r="D95">
            <v>2</v>
          </cell>
          <cell r="E95">
            <v>2</v>
          </cell>
          <cell r="F95">
            <v>3</v>
          </cell>
          <cell r="G95">
            <v>2</v>
          </cell>
          <cell r="H95">
            <v>2</v>
          </cell>
          <cell r="I95">
            <v>3</v>
          </cell>
          <cell r="J95">
            <v>3</v>
          </cell>
          <cell r="K95">
            <v>2</v>
          </cell>
          <cell r="L95">
            <v>2</v>
          </cell>
          <cell r="M95">
            <v>3</v>
          </cell>
          <cell r="N95">
            <v>3</v>
          </cell>
          <cell r="O95">
            <v>2</v>
          </cell>
        </row>
        <row r="96">
          <cell r="A96" t="str">
            <v>2024JULB00009</v>
          </cell>
          <cell r="B96" t="str">
            <v>Aditi Kumari</v>
          </cell>
          <cell r="C96">
            <v>3</v>
          </cell>
          <cell r="D96">
            <v>3</v>
          </cell>
          <cell r="E96">
            <v>3.5</v>
          </cell>
          <cell r="F96">
            <v>3.5</v>
          </cell>
          <cell r="G96">
            <v>3.25</v>
          </cell>
          <cell r="H96">
            <v>3</v>
          </cell>
          <cell r="I96">
            <v>3.5</v>
          </cell>
          <cell r="J96">
            <v>3.5</v>
          </cell>
          <cell r="K96">
            <v>3.5</v>
          </cell>
          <cell r="L96">
            <v>3.5</v>
          </cell>
          <cell r="M96">
            <v>3.5</v>
          </cell>
          <cell r="N96">
            <v>3.5</v>
          </cell>
          <cell r="O96">
            <v>3.5</v>
          </cell>
        </row>
        <row r="97">
          <cell r="A97" t="str">
            <v>2024JULB00014</v>
          </cell>
          <cell r="B97" t="str">
            <v>Amal Shibu Balan</v>
          </cell>
          <cell r="C97">
            <v>3</v>
          </cell>
          <cell r="D97">
            <v>3</v>
          </cell>
          <cell r="E97">
            <v>3</v>
          </cell>
          <cell r="F97">
            <v>3</v>
          </cell>
          <cell r="G97">
            <v>3</v>
          </cell>
          <cell r="H97">
            <v>3</v>
          </cell>
          <cell r="I97">
            <v>3</v>
          </cell>
          <cell r="J97">
            <v>3</v>
          </cell>
          <cell r="K97">
            <v>2.5</v>
          </cell>
          <cell r="L97">
            <v>3</v>
          </cell>
          <cell r="M97">
            <v>3</v>
          </cell>
          <cell r="N97">
            <v>3</v>
          </cell>
          <cell r="O97">
            <v>3</v>
          </cell>
        </row>
        <row r="98">
          <cell r="A98" t="str">
            <v>2024JULB00019</v>
          </cell>
          <cell r="B98" t="str">
            <v>Ananta Paul</v>
          </cell>
          <cell r="C98">
            <v>3.5</v>
          </cell>
          <cell r="D98">
            <v>3.5</v>
          </cell>
          <cell r="E98">
            <v>4</v>
          </cell>
          <cell r="F98">
            <v>3</v>
          </cell>
          <cell r="G98">
            <v>3.75</v>
          </cell>
          <cell r="H98">
            <v>3.5</v>
          </cell>
          <cell r="I98">
            <v>4</v>
          </cell>
          <cell r="J98">
            <v>4</v>
          </cell>
          <cell r="K98">
            <v>3.5</v>
          </cell>
          <cell r="L98">
            <v>3</v>
          </cell>
          <cell r="M98">
            <v>4</v>
          </cell>
          <cell r="N98">
            <v>4</v>
          </cell>
          <cell r="O98">
            <v>4</v>
          </cell>
        </row>
        <row r="99">
          <cell r="A99" t="str">
            <v>2024JULB00028</v>
          </cell>
          <cell r="B99" t="str">
            <v>Aryan Balapure</v>
          </cell>
          <cell r="C99">
            <v>2.5</v>
          </cell>
          <cell r="D99">
            <v>2.5</v>
          </cell>
          <cell r="E99">
            <v>3</v>
          </cell>
          <cell r="F99">
            <v>3</v>
          </cell>
          <cell r="G99">
            <v>2.75</v>
          </cell>
          <cell r="H99">
            <v>2.5</v>
          </cell>
          <cell r="I99">
            <v>3</v>
          </cell>
          <cell r="J99">
            <v>3</v>
          </cell>
          <cell r="K99">
            <v>3</v>
          </cell>
          <cell r="L99">
            <v>3</v>
          </cell>
          <cell r="M99">
            <v>3</v>
          </cell>
          <cell r="N99">
            <v>3</v>
          </cell>
          <cell r="O99">
            <v>3</v>
          </cell>
        </row>
        <row r="100">
          <cell r="A100" t="str">
            <v>2024JULB00032</v>
          </cell>
          <cell r="B100" t="str">
            <v>Ashutosh Sharan</v>
          </cell>
          <cell r="C100">
            <v>4</v>
          </cell>
          <cell r="D100">
            <v>4</v>
          </cell>
          <cell r="E100">
            <v>4</v>
          </cell>
          <cell r="F100">
            <v>4</v>
          </cell>
          <cell r="G100">
            <v>4</v>
          </cell>
          <cell r="H100">
            <v>4</v>
          </cell>
          <cell r="I100">
            <v>4</v>
          </cell>
          <cell r="J100">
            <v>4</v>
          </cell>
          <cell r="K100">
            <v>3.5</v>
          </cell>
          <cell r="L100">
            <v>4</v>
          </cell>
          <cell r="M100">
            <v>4</v>
          </cell>
          <cell r="N100">
            <v>4</v>
          </cell>
          <cell r="O100">
            <v>4</v>
          </cell>
        </row>
        <row r="101">
          <cell r="A101" t="str">
            <v>2024JULB00040</v>
          </cell>
          <cell r="B101" t="str">
            <v>Bonula Pravallika</v>
          </cell>
          <cell r="C101">
            <v>3</v>
          </cell>
          <cell r="D101">
            <v>3</v>
          </cell>
          <cell r="E101">
            <v>3</v>
          </cell>
          <cell r="F101">
            <v>2.5</v>
          </cell>
          <cell r="G101">
            <v>3</v>
          </cell>
          <cell r="H101">
            <v>3</v>
          </cell>
          <cell r="I101">
            <v>3</v>
          </cell>
          <cell r="J101">
            <v>3</v>
          </cell>
          <cell r="K101">
            <v>3</v>
          </cell>
          <cell r="L101">
            <v>2.5</v>
          </cell>
          <cell r="M101">
            <v>3</v>
          </cell>
          <cell r="N101">
            <v>3</v>
          </cell>
          <cell r="O101">
            <v>3</v>
          </cell>
        </row>
        <row r="102">
          <cell r="A102" t="str">
            <v>2024JULB00075</v>
          </cell>
          <cell r="B102" t="str">
            <v>Kartheek Surya Devarapalli</v>
          </cell>
          <cell r="C102">
            <v>2.5</v>
          </cell>
          <cell r="D102">
            <v>2.5</v>
          </cell>
          <cell r="E102">
            <v>3</v>
          </cell>
          <cell r="F102">
            <v>3</v>
          </cell>
          <cell r="G102">
            <v>2.75</v>
          </cell>
          <cell r="H102">
            <v>2.5</v>
          </cell>
          <cell r="I102">
            <v>3</v>
          </cell>
          <cell r="J102">
            <v>3</v>
          </cell>
          <cell r="K102">
            <v>3</v>
          </cell>
          <cell r="L102">
            <v>3</v>
          </cell>
          <cell r="M102">
            <v>3</v>
          </cell>
          <cell r="N102">
            <v>3</v>
          </cell>
          <cell r="O102">
            <v>3</v>
          </cell>
        </row>
        <row r="103">
          <cell r="A103" t="str">
            <v>2024JULB00090</v>
          </cell>
          <cell r="B103" t="str">
            <v>M.Maureen Mandy</v>
          </cell>
          <cell r="C103">
            <v>2</v>
          </cell>
          <cell r="D103">
            <v>2</v>
          </cell>
          <cell r="E103">
            <v>2.5</v>
          </cell>
          <cell r="F103">
            <v>2</v>
          </cell>
          <cell r="G103">
            <v>2.25</v>
          </cell>
          <cell r="H103">
            <v>2</v>
          </cell>
          <cell r="I103">
            <v>2.5</v>
          </cell>
          <cell r="J103">
            <v>2.5</v>
          </cell>
          <cell r="K103">
            <v>2</v>
          </cell>
          <cell r="L103">
            <v>2</v>
          </cell>
          <cell r="M103">
            <v>2.5</v>
          </cell>
          <cell r="N103">
            <v>2.5</v>
          </cell>
          <cell r="O103">
            <v>2.5</v>
          </cell>
        </row>
        <row r="104">
          <cell r="A104" t="str">
            <v>2024JULB00142</v>
          </cell>
          <cell r="B104" t="str">
            <v>Shivang Mishra</v>
          </cell>
          <cell r="C104">
            <v>2.5</v>
          </cell>
          <cell r="D104">
            <v>2.5</v>
          </cell>
          <cell r="E104">
            <v>2.5</v>
          </cell>
          <cell r="F104">
            <v>2.5</v>
          </cell>
          <cell r="G104">
            <v>2.5</v>
          </cell>
          <cell r="H104">
            <v>2.5</v>
          </cell>
          <cell r="I104">
            <v>2.5</v>
          </cell>
          <cell r="J104">
            <v>2.5</v>
          </cell>
          <cell r="K104">
            <v>2.5</v>
          </cell>
          <cell r="L104">
            <v>2.5</v>
          </cell>
          <cell r="M104">
            <v>2.5</v>
          </cell>
          <cell r="N104">
            <v>2.5</v>
          </cell>
          <cell r="O104">
            <v>2.5</v>
          </cell>
        </row>
        <row r="105">
          <cell r="A105" t="str">
            <v>2024JULB00152</v>
          </cell>
          <cell r="B105" t="str">
            <v>Snehith Samala</v>
          </cell>
          <cell r="C105">
            <v>3</v>
          </cell>
          <cell r="D105">
            <v>3</v>
          </cell>
          <cell r="E105">
            <v>3.5</v>
          </cell>
          <cell r="F105">
            <v>3</v>
          </cell>
          <cell r="G105">
            <v>3.25</v>
          </cell>
          <cell r="H105">
            <v>3</v>
          </cell>
          <cell r="I105">
            <v>3.5</v>
          </cell>
          <cell r="J105">
            <v>3.5</v>
          </cell>
          <cell r="K105">
            <v>3.5</v>
          </cell>
          <cell r="L105">
            <v>3</v>
          </cell>
          <cell r="M105">
            <v>3.5</v>
          </cell>
          <cell r="N105">
            <v>3.5</v>
          </cell>
          <cell r="O105">
            <v>3.5</v>
          </cell>
        </row>
        <row r="106">
          <cell r="A106" t="str">
            <v>2024JULB00155</v>
          </cell>
          <cell r="B106" t="str">
            <v>Sonali Agarwal</v>
          </cell>
          <cell r="C106">
            <v>2.5</v>
          </cell>
          <cell r="D106">
            <v>2.5</v>
          </cell>
          <cell r="E106">
            <v>2</v>
          </cell>
          <cell r="F106">
            <v>2.5</v>
          </cell>
          <cell r="G106">
            <v>2.25</v>
          </cell>
          <cell r="H106">
            <v>2.5</v>
          </cell>
          <cell r="I106">
            <v>2</v>
          </cell>
          <cell r="J106">
            <v>2</v>
          </cell>
          <cell r="K106">
            <v>2</v>
          </cell>
          <cell r="L106">
            <v>2.5</v>
          </cell>
          <cell r="M106">
            <v>2</v>
          </cell>
          <cell r="N106">
            <v>2</v>
          </cell>
          <cell r="O106">
            <v>2</v>
          </cell>
        </row>
        <row r="107">
          <cell r="A107" t="str">
            <v>2024JULB00062</v>
          </cell>
          <cell r="B107" t="str">
            <v>Harish Kumar R</v>
          </cell>
          <cell r="C107">
            <v>2</v>
          </cell>
          <cell r="D107">
            <v>2</v>
          </cell>
          <cell r="E107">
            <v>2.5</v>
          </cell>
          <cell r="F107">
            <v>1.5</v>
          </cell>
          <cell r="G107">
            <v>2.25</v>
          </cell>
          <cell r="H107">
            <v>2</v>
          </cell>
          <cell r="I107">
            <v>2.5</v>
          </cell>
          <cell r="J107">
            <v>2.5</v>
          </cell>
          <cell r="K107">
            <v>2</v>
          </cell>
          <cell r="L107">
            <v>1.5</v>
          </cell>
          <cell r="M107">
            <v>2.5</v>
          </cell>
          <cell r="N107">
            <v>2.5</v>
          </cell>
          <cell r="O107">
            <v>2.5</v>
          </cell>
        </row>
        <row r="108">
          <cell r="A108" t="str">
            <v>2024JULB00158</v>
          </cell>
          <cell r="B108" t="str">
            <v>Sree Nithish R</v>
          </cell>
          <cell r="C108">
            <v>3.5</v>
          </cell>
          <cell r="D108">
            <v>3.5</v>
          </cell>
          <cell r="E108">
            <v>3.5</v>
          </cell>
          <cell r="F108">
            <v>3</v>
          </cell>
          <cell r="G108">
            <v>3.5</v>
          </cell>
          <cell r="H108">
            <v>3.5</v>
          </cell>
          <cell r="I108">
            <v>3.5</v>
          </cell>
          <cell r="J108">
            <v>3.5</v>
          </cell>
          <cell r="K108">
            <v>3.5</v>
          </cell>
          <cell r="L108">
            <v>3</v>
          </cell>
          <cell r="M108">
            <v>3.5</v>
          </cell>
          <cell r="N108">
            <v>3.5</v>
          </cell>
          <cell r="O108">
            <v>3.5</v>
          </cell>
        </row>
        <row r="109">
          <cell r="A109" t="str">
            <v>2024JULB00161</v>
          </cell>
          <cell r="B109" t="str">
            <v>Shubham Kumar Sahana</v>
          </cell>
          <cell r="C109">
            <v>2</v>
          </cell>
          <cell r="D109">
            <v>2</v>
          </cell>
          <cell r="E109">
            <v>2.5</v>
          </cell>
          <cell r="F109">
            <v>2</v>
          </cell>
          <cell r="G109">
            <v>2.25</v>
          </cell>
          <cell r="H109">
            <v>2</v>
          </cell>
          <cell r="I109">
            <v>2</v>
          </cell>
          <cell r="J109">
            <v>2.5</v>
          </cell>
          <cell r="K109">
            <v>2</v>
          </cell>
          <cell r="L109">
            <v>2</v>
          </cell>
          <cell r="M109">
            <v>2</v>
          </cell>
          <cell r="N109">
            <v>2</v>
          </cell>
          <cell r="O109">
            <v>2.5</v>
          </cell>
        </row>
        <row r="110">
          <cell r="A110" t="str">
            <v>2024JULB00177</v>
          </cell>
          <cell r="B110" t="str">
            <v>Vanshika Bihani</v>
          </cell>
          <cell r="C110">
            <v>3</v>
          </cell>
          <cell r="D110">
            <v>3</v>
          </cell>
          <cell r="E110">
            <v>3</v>
          </cell>
          <cell r="F110">
            <v>2.5</v>
          </cell>
          <cell r="G110">
            <v>3</v>
          </cell>
          <cell r="H110">
            <v>3</v>
          </cell>
          <cell r="I110">
            <v>3</v>
          </cell>
          <cell r="J110">
            <v>3</v>
          </cell>
          <cell r="K110">
            <v>2.5</v>
          </cell>
          <cell r="L110">
            <v>2.5</v>
          </cell>
          <cell r="M110">
            <v>3</v>
          </cell>
          <cell r="N110">
            <v>3</v>
          </cell>
          <cell r="O110">
            <v>3</v>
          </cell>
        </row>
        <row r="111">
          <cell r="A111" t="str">
            <v>2024JULB00201</v>
          </cell>
          <cell r="B111" t="str">
            <v>Varun V Thampi</v>
          </cell>
          <cell r="C111">
            <v>3</v>
          </cell>
          <cell r="D111">
            <v>3</v>
          </cell>
          <cell r="E111">
            <v>2.5</v>
          </cell>
          <cell r="F111">
            <v>2.5</v>
          </cell>
          <cell r="G111">
            <v>2.75</v>
          </cell>
          <cell r="H111">
            <v>3</v>
          </cell>
          <cell r="I111">
            <v>2.5</v>
          </cell>
          <cell r="J111">
            <v>2.5</v>
          </cell>
          <cell r="K111">
            <v>2.5</v>
          </cell>
          <cell r="L111">
            <v>2.5</v>
          </cell>
          <cell r="M111">
            <v>2.5</v>
          </cell>
          <cell r="N111">
            <v>2.5</v>
          </cell>
          <cell r="O111">
            <v>2.5</v>
          </cell>
        </row>
        <row r="112">
          <cell r="A112" t="str">
            <v>2024JULB00213</v>
          </cell>
          <cell r="B112" t="str">
            <v>Govinda Rajulu Boya</v>
          </cell>
          <cell r="C112">
            <v>2</v>
          </cell>
          <cell r="D112">
            <v>2</v>
          </cell>
          <cell r="E112">
            <v>2</v>
          </cell>
          <cell r="F112">
            <v>2</v>
          </cell>
          <cell r="G112">
            <v>2</v>
          </cell>
          <cell r="H112">
            <v>2</v>
          </cell>
          <cell r="I112">
            <v>2</v>
          </cell>
          <cell r="J112">
            <v>2</v>
          </cell>
          <cell r="K112">
            <v>2.5</v>
          </cell>
          <cell r="L112">
            <v>2</v>
          </cell>
          <cell r="M112">
            <v>2</v>
          </cell>
          <cell r="N112">
            <v>2</v>
          </cell>
          <cell r="O112">
            <v>2</v>
          </cell>
        </row>
        <row r="113">
          <cell r="A113" t="str">
            <v>2024JULB00234</v>
          </cell>
          <cell r="B113" t="str">
            <v>U Pratheek M Bhatt</v>
          </cell>
          <cell r="C113">
            <v>2</v>
          </cell>
          <cell r="D113">
            <v>2</v>
          </cell>
          <cell r="E113">
            <v>2.5</v>
          </cell>
          <cell r="F113">
            <v>2</v>
          </cell>
          <cell r="G113">
            <v>2.25</v>
          </cell>
          <cell r="H113">
            <v>2</v>
          </cell>
          <cell r="I113">
            <v>2.5</v>
          </cell>
          <cell r="J113">
            <v>2.5</v>
          </cell>
          <cell r="K113">
            <v>2</v>
          </cell>
          <cell r="L113">
            <v>2</v>
          </cell>
          <cell r="M113">
            <v>2.5</v>
          </cell>
          <cell r="N113">
            <v>2.5</v>
          </cell>
          <cell r="O113">
            <v>2.5</v>
          </cell>
        </row>
        <row r="114">
          <cell r="A114" t="str">
            <v>2024JULB00232</v>
          </cell>
          <cell r="B114" t="str">
            <v>Ankita Anand</v>
          </cell>
          <cell r="C114">
            <v>2</v>
          </cell>
          <cell r="D114">
            <v>2</v>
          </cell>
          <cell r="E114">
            <v>2.5</v>
          </cell>
          <cell r="F114">
            <v>2</v>
          </cell>
          <cell r="G114">
            <v>2.25</v>
          </cell>
          <cell r="H114">
            <v>2</v>
          </cell>
          <cell r="I114">
            <v>2.5</v>
          </cell>
          <cell r="J114">
            <v>2.5</v>
          </cell>
          <cell r="K114">
            <v>2</v>
          </cell>
          <cell r="L114">
            <v>2</v>
          </cell>
          <cell r="M114">
            <v>2.5</v>
          </cell>
          <cell r="N114">
            <v>2.5</v>
          </cell>
          <cell r="O114">
            <v>2.5</v>
          </cell>
        </row>
        <row r="115">
          <cell r="A115" t="str">
            <v>2024JULB00257</v>
          </cell>
          <cell r="B115" t="str">
            <v>Saurav Singh</v>
          </cell>
          <cell r="C115">
            <v>2.5</v>
          </cell>
          <cell r="D115">
            <v>2.5</v>
          </cell>
          <cell r="E115">
            <v>3</v>
          </cell>
          <cell r="F115">
            <v>2.5</v>
          </cell>
          <cell r="G115">
            <v>2.75</v>
          </cell>
          <cell r="H115">
            <v>2.5</v>
          </cell>
          <cell r="I115">
            <v>3</v>
          </cell>
          <cell r="J115">
            <v>3</v>
          </cell>
          <cell r="K115">
            <v>2.5</v>
          </cell>
          <cell r="L115">
            <v>2.5</v>
          </cell>
          <cell r="M115">
            <v>3</v>
          </cell>
          <cell r="N115">
            <v>3</v>
          </cell>
          <cell r="O115">
            <v>3</v>
          </cell>
        </row>
        <row r="116">
          <cell r="A116" t="str">
            <v>2024AUGVPGP0002</v>
          </cell>
          <cell r="B116" t="str">
            <v>Aditya Mohanan</v>
          </cell>
          <cell r="C116">
            <v>2.5</v>
          </cell>
          <cell r="D116">
            <v>2.5</v>
          </cell>
          <cell r="E116">
            <v>3</v>
          </cell>
          <cell r="F116">
            <v>3</v>
          </cell>
          <cell r="G116">
            <v>2.75</v>
          </cell>
          <cell r="H116">
            <v>2.5</v>
          </cell>
          <cell r="I116">
            <v>3</v>
          </cell>
          <cell r="J116">
            <v>3</v>
          </cell>
          <cell r="K116">
            <v>3</v>
          </cell>
          <cell r="L116">
            <v>3</v>
          </cell>
          <cell r="M116">
            <v>3</v>
          </cell>
          <cell r="N116">
            <v>3</v>
          </cell>
          <cell r="O116">
            <v>3</v>
          </cell>
        </row>
        <row r="117">
          <cell r="A117" t="str">
            <v>2024AUGVPGP0007</v>
          </cell>
          <cell r="B117" t="str">
            <v>Archita Kannan</v>
          </cell>
          <cell r="C117">
            <v>3</v>
          </cell>
          <cell r="D117">
            <v>3</v>
          </cell>
          <cell r="E117">
            <v>4</v>
          </cell>
          <cell r="F117">
            <v>3.5</v>
          </cell>
          <cell r="G117">
            <v>3.5</v>
          </cell>
          <cell r="H117">
            <v>3</v>
          </cell>
          <cell r="I117">
            <v>4</v>
          </cell>
          <cell r="J117">
            <v>4</v>
          </cell>
          <cell r="K117">
            <v>3.5</v>
          </cell>
          <cell r="L117">
            <v>3.5</v>
          </cell>
          <cell r="M117">
            <v>4</v>
          </cell>
          <cell r="N117">
            <v>4</v>
          </cell>
          <cell r="O117">
            <v>4</v>
          </cell>
        </row>
        <row r="118">
          <cell r="A118" t="str">
            <v>2024AUGVPGP0009</v>
          </cell>
          <cell r="B118" t="str">
            <v>Deepika Bhatt</v>
          </cell>
          <cell r="C118">
            <v>2.5</v>
          </cell>
          <cell r="D118">
            <v>2.5</v>
          </cell>
          <cell r="E118">
            <v>3.5</v>
          </cell>
          <cell r="F118">
            <v>3</v>
          </cell>
          <cell r="G118">
            <v>3</v>
          </cell>
          <cell r="H118">
            <v>2.5</v>
          </cell>
          <cell r="I118">
            <v>3.5</v>
          </cell>
          <cell r="J118">
            <v>3.5</v>
          </cell>
          <cell r="K118">
            <v>3</v>
          </cell>
          <cell r="L118">
            <v>3</v>
          </cell>
          <cell r="M118">
            <v>3.5</v>
          </cell>
          <cell r="N118">
            <v>3.5</v>
          </cell>
          <cell r="O118">
            <v>3.5</v>
          </cell>
        </row>
        <row r="119">
          <cell r="A119" t="str">
            <v>2024AUGVPGP0013</v>
          </cell>
          <cell r="B119" t="str">
            <v>Kushal Trivedi</v>
          </cell>
          <cell r="C119">
            <v>2.5</v>
          </cell>
          <cell r="D119">
            <v>2.5</v>
          </cell>
          <cell r="E119">
            <v>2.5</v>
          </cell>
          <cell r="F119">
            <v>2.5</v>
          </cell>
          <cell r="G119">
            <v>2.5</v>
          </cell>
          <cell r="H119">
            <v>2.5</v>
          </cell>
          <cell r="I119">
            <v>2.5</v>
          </cell>
          <cell r="J119">
            <v>2.5</v>
          </cell>
          <cell r="K119">
            <v>2</v>
          </cell>
          <cell r="L119">
            <v>2.5</v>
          </cell>
          <cell r="M119">
            <v>2.5</v>
          </cell>
          <cell r="N119">
            <v>2.5</v>
          </cell>
          <cell r="O119">
            <v>2.5</v>
          </cell>
        </row>
        <row r="120">
          <cell r="A120" t="str">
            <v>2024AUGVPGP0029</v>
          </cell>
          <cell r="B120" t="str">
            <v>Saraswati Gowda</v>
          </cell>
          <cell r="C120">
            <v>3</v>
          </cell>
          <cell r="D120">
            <v>3</v>
          </cell>
          <cell r="E120">
            <v>4</v>
          </cell>
          <cell r="F120">
            <v>3</v>
          </cell>
          <cell r="G120">
            <v>3.5</v>
          </cell>
          <cell r="H120">
            <v>3</v>
          </cell>
          <cell r="I120">
            <v>4</v>
          </cell>
          <cell r="J120">
            <v>4</v>
          </cell>
          <cell r="K120">
            <v>3</v>
          </cell>
          <cell r="L120">
            <v>3</v>
          </cell>
          <cell r="M120">
            <v>4</v>
          </cell>
          <cell r="N120">
            <v>4</v>
          </cell>
          <cell r="O120">
            <v>4</v>
          </cell>
        </row>
        <row r="121">
          <cell r="A121" t="str">
            <v>2024AUGVPGP0033</v>
          </cell>
          <cell r="B121" t="str">
            <v>Tarun Marwadi</v>
          </cell>
          <cell r="C121">
            <v>3.5</v>
          </cell>
          <cell r="D121">
            <v>3.5</v>
          </cell>
          <cell r="E121">
            <v>3.5</v>
          </cell>
          <cell r="F121">
            <v>3</v>
          </cell>
          <cell r="G121">
            <v>3.5</v>
          </cell>
          <cell r="H121">
            <v>3.5</v>
          </cell>
          <cell r="I121">
            <v>3.5</v>
          </cell>
          <cell r="J121">
            <v>3.5</v>
          </cell>
          <cell r="K121">
            <v>3</v>
          </cell>
          <cell r="L121">
            <v>3</v>
          </cell>
          <cell r="M121">
            <v>3.5</v>
          </cell>
          <cell r="N121">
            <v>3.5</v>
          </cell>
          <cell r="O121">
            <v>3.5</v>
          </cell>
        </row>
        <row r="122">
          <cell r="A122" t="str">
            <v>2024JULB00024</v>
          </cell>
          <cell r="B122" t="str">
            <v>Apoorwa Mishra</v>
          </cell>
          <cell r="C122">
            <v>4</v>
          </cell>
          <cell r="D122">
            <v>3.5</v>
          </cell>
          <cell r="E122">
            <v>4</v>
          </cell>
          <cell r="F122">
            <v>4</v>
          </cell>
          <cell r="G122">
            <v>3.75</v>
          </cell>
          <cell r="H122">
            <v>3.5</v>
          </cell>
          <cell r="I122">
            <v>3.5</v>
          </cell>
          <cell r="J122">
            <v>3.5</v>
          </cell>
          <cell r="K122">
            <v>4</v>
          </cell>
          <cell r="L122">
            <v>3.5</v>
          </cell>
          <cell r="M122">
            <v>3.5</v>
          </cell>
          <cell r="N122">
            <v>4</v>
          </cell>
          <cell r="O122">
            <v>4</v>
          </cell>
        </row>
        <row r="123">
          <cell r="A123" t="str">
            <v>2024JULB00047</v>
          </cell>
          <cell r="B123" t="str">
            <v>Debotree Roy</v>
          </cell>
          <cell r="C123">
            <v>3.5</v>
          </cell>
          <cell r="D123">
            <v>2.5</v>
          </cell>
          <cell r="E123">
            <v>3.5</v>
          </cell>
          <cell r="F123">
            <v>3</v>
          </cell>
          <cell r="G123">
            <v>3</v>
          </cell>
          <cell r="H123">
            <v>2.5</v>
          </cell>
          <cell r="I123">
            <v>2.5</v>
          </cell>
          <cell r="J123">
            <v>3</v>
          </cell>
          <cell r="K123">
            <v>3.5</v>
          </cell>
          <cell r="L123">
            <v>2.5</v>
          </cell>
          <cell r="M123">
            <v>3</v>
          </cell>
          <cell r="N123">
            <v>3.5</v>
          </cell>
          <cell r="O123">
            <v>3.5</v>
          </cell>
        </row>
        <row r="124">
          <cell r="A124" t="str">
            <v>2024JULB00048</v>
          </cell>
          <cell r="B124" t="str">
            <v>Deekshitha S</v>
          </cell>
          <cell r="C124">
            <v>4</v>
          </cell>
          <cell r="D124">
            <v>3</v>
          </cell>
          <cell r="E124">
            <v>4</v>
          </cell>
          <cell r="F124">
            <v>3.5</v>
          </cell>
          <cell r="G124">
            <v>3.5</v>
          </cell>
          <cell r="H124">
            <v>3</v>
          </cell>
          <cell r="I124">
            <v>3</v>
          </cell>
          <cell r="J124">
            <v>3.5</v>
          </cell>
          <cell r="K124">
            <v>4</v>
          </cell>
          <cell r="L124">
            <v>3</v>
          </cell>
          <cell r="M124">
            <v>3.5</v>
          </cell>
          <cell r="N124">
            <v>4</v>
          </cell>
          <cell r="O124">
            <v>4</v>
          </cell>
        </row>
        <row r="125">
          <cell r="A125" t="str">
            <v>2024JULB00053</v>
          </cell>
          <cell r="B125" t="str">
            <v>Disha Baid</v>
          </cell>
          <cell r="C125">
            <v>3</v>
          </cell>
          <cell r="D125">
            <v>3</v>
          </cell>
          <cell r="E125">
            <v>3</v>
          </cell>
          <cell r="F125">
            <v>3.5</v>
          </cell>
          <cell r="G125">
            <v>3</v>
          </cell>
          <cell r="H125">
            <v>3</v>
          </cell>
          <cell r="I125">
            <v>3</v>
          </cell>
          <cell r="J125">
            <v>3</v>
          </cell>
          <cell r="K125">
            <v>3</v>
          </cell>
          <cell r="L125">
            <v>3</v>
          </cell>
          <cell r="M125">
            <v>3</v>
          </cell>
          <cell r="N125">
            <v>3</v>
          </cell>
          <cell r="O125">
            <v>3</v>
          </cell>
        </row>
        <row r="126">
          <cell r="A126" t="str">
            <v>2024JULB00054</v>
          </cell>
          <cell r="B126" t="str">
            <v>Divya Ashok</v>
          </cell>
          <cell r="C126">
            <v>3</v>
          </cell>
          <cell r="D126">
            <v>2.5</v>
          </cell>
          <cell r="E126">
            <v>3</v>
          </cell>
          <cell r="F126">
            <v>3</v>
          </cell>
          <cell r="G126">
            <v>2.75</v>
          </cell>
          <cell r="H126">
            <v>2.5</v>
          </cell>
          <cell r="I126">
            <v>2.5</v>
          </cell>
          <cell r="J126">
            <v>2.5</v>
          </cell>
          <cell r="K126">
            <v>3</v>
          </cell>
          <cell r="L126">
            <v>2.5</v>
          </cell>
          <cell r="M126">
            <v>2.5</v>
          </cell>
          <cell r="N126">
            <v>3</v>
          </cell>
          <cell r="O126">
            <v>3</v>
          </cell>
        </row>
        <row r="127">
          <cell r="A127" t="str">
            <v>2024JULB00060</v>
          </cell>
          <cell r="B127" t="str">
            <v>Gagan C S</v>
          </cell>
          <cell r="C127">
            <v>2.5</v>
          </cell>
          <cell r="D127">
            <v>2.5</v>
          </cell>
          <cell r="E127">
            <v>2.5</v>
          </cell>
          <cell r="F127">
            <v>3</v>
          </cell>
          <cell r="G127">
            <v>2.75</v>
          </cell>
          <cell r="H127">
            <v>2.5</v>
          </cell>
          <cell r="I127">
            <v>2.5</v>
          </cell>
          <cell r="J127">
            <v>2</v>
          </cell>
          <cell r="K127">
            <v>2.5</v>
          </cell>
          <cell r="L127">
            <v>3</v>
          </cell>
          <cell r="M127">
            <v>2</v>
          </cell>
          <cell r="N127">
            <v>2.5</v>
          </cell>
          <cell r="O127">
            <v>2.5</v>
          </cell>
        </row>
        <row r="128">
          <cell r="A128" t="str">
            <v>2024JULB00094</v>
          </cell>
          <cell r="B128" t="str">
            <v>Megha Prajapati</v>
          </cell>
          <cell r="C128">
            <v>2.5</v>
          </cell>
          <cell r="D128">
            <v>2</v>
          </cell>
          <cell r="E128">
            <v>2.5</v>
          </cell>
          <cell r="F128">
            <v>2.5</v>
          </cell>
          <cell r="G128">
            <v>2.25</v>
          </cell>
          <cell r="H128">
            <v>2</v>
          </cell>
          <cell r="I128">
            <v>2</v>
          </cell>
          <cell r="J128">
            <v>2</v>
          </cell>
          <cell r="K128">
            <v>2.5</v>
          </cell>
          <cell r="L128">
            <v>2</v>
          </cell>
          <cell r="M128">
            <v>2</v>
          </cell>
          <cell r="N128">
            <v>2.5</v>
          </cell>
          <cell r="O128">
            <v>2.5</v>
          </cell>
        </row>
        <row r="129">
          <cell r="A129" t="str">
            <v>2024JULB00102</v>
          </cell>
          <cell r="B129" t="str">
            <v>Niranjana Hari</v>
          </cell>
          <cell r="C129">
            <v>4.5</v>
          </cell>
          <cell r="D129">
            <v>3</v>
          </cell>
          <cell r="E129">
            <v>4.5</v>
          </cell>
          <cell r="F129">
            <v>3.5</v>
          </cell>
          <cell r="G129">
            <v>3.5</v>
          </cell>
          <cell r="H129">
            <v>3</v>
          </cell>
          <cell r="I129">
            <v>3</v>
          </cell>
          <cell r="J129">
            <v>4</v>
          </cell>
          <cell r="K129">
            <v>4.5</v>
          </cell>
          <cell r="L129">
            <v>2.5</v>
          </cell>
          <cell r="M129">
            <v>4</v>
          </cell>
          <cell r="N129">
            <v>4.5</v>
          </cell>
          <cell r="O129">
            <v>4.5</v>
          </cell>
        </row>
        <row r="130">
          <cell r="A130" t="str">
            <v>2024JULB00120</v>
          </cell>
          <cell r="B130" t="str">
            <v>Ramya H</v>
          </cell>
          <cell r="C130">
            <v>3.5</v>
          </cell>
          <cell r="D130">
            <v>3</v>
          </cell>
          <cell r="E130">
            <v>3.5</v>
          </cell>
          <cell r="F130">
            <v>3.5</v>
          </cell>
          <cell r="G130">
            <v>3.25</v>
          </cell>
          <cell r="H130">
            <v>3</v>
          </cell>
          <cell r="I130">
            <v>3</v>
          </cell>
          <cell r="J130">
            <v>3</v>
          </cell>
          <cell r="K130">
            <v>3.5</v>
          </cell>
          <cell r="L130">
            <v>3</v>
          </cell>
          <cell r="M130">
            <v>3</v>
          </cell>
          <cell r="N130">
            <v>3.5</v>
          </cell>
          <cell r="O130">
            <v>3.5</v>
          </cell>
        </row>
        <row r="131">
          <cell r="A131" t="str">
            <v>2024JULB00147</v>
          </cell>
          <cell r="B131" t="str">
            <v>Shruti Buchasia</v>
          </cell>
          <cell r="C131">
            <v>4</v>
          </cell>
          <cell r="D131">
            <v>3.5</v>
          </cell>
          <cell r="E131">
            <v>4</v>
          </cell>
          <cell r="F131">
            <v>4</v>
          </cell>
          <cell r="G131">
            <v>3.75</v>
          </cell>
          <cell r="H131">
            <v>3.5</v>
          </cell>
          <cell r="I131">
            <v>3.5</v>
          </cell>
          <cell r="J131">
            <v>3.5</v>
          </cell>
          <cell r="K131">
            <v>4</v>
          </cell>
          <cell r="L131">
            <v>3.5</v>
          </cell>
          <cell r="M131">
            <v>3.5</v>
          </cell>
          <cell r="N131">
            <v>4</v>
          </cell>
          <cell r="O131">
            <v>4</v>
          </cell>
        </row>
        <row r="132">
          <cell r="A132" t="str">
            <v>2024JULB00153</v>
          </cell>
          <cell r="B132" t="str">
            <v>Sofia Do Carmo Rodrigues</v>
          </cell>
          <cell r="C132">
            <v>3.5</v>
          </cell>
          <cell r="D132">
            <v>3</v>
          </cell>
          <cell r="E132">
            <v>3.5</v>
          </cell>
          <cell r="F132">
            <v>4</v>
          </cell>
          <cell r="G132">
            <v>3.5</v>
          </cell>
          <cell r="H132">
            <v>3</v>
          </cell>
          <cell r="I132">
            <v>3</v>
          </cell>
          <cell r="J132">
            <v>3.5</v>
          </cell>
          <cell r="K132">
            <v>3.5</v>
          </cell>
          <cell r="L132">
            <v>3.5</v>
          </cell>
          <cell r="M132">
            <v>3.5</v>
          </cell>
          <cell r="N132">
            <v>3.5</v>
          </cell>
          <cell r="O132">
            <v>3.5</v>
          </cell>
        </row>
        <row r="133">
          <cell r="A133" t="str">
            <v>2024JULB00173</v>
          </cell>
          <cell r="B133" t="str">
            <v>Tushar Kant Panda</v>
          </cell>
          <cell r="C133">
            <v>3.5</v>
          </cell>
          <cell r="D133">
            <v>2.5</v>
          </cell>
          <cell r="E133">
            <v>3.5</v>
          </cell>
          <cell r="F133">
            <v>3</v>
          </cell>
          <cell r="G133">
            <v>3</v>
          </cell>
          <cell r="H133">
            <v>2.5</v>
          </cell>
          <cell r="I133">
            <v>2.5</v>
          </cell>
          <cell r="J133">
            <v>3</v>
          </cell>
          <cell r="K133">
            <v>3.5</v>
          </cell>
          <cell r="L133">
            <v>2.5</v>
          </cell>
          <cell r="M133">
            <v>3</v>
          </cell>
          <cell r="N133">
            <v>3.5</v>
          </cell>
          <cell r="O133">
            <v>3.5</v>
          </cell>
        </row>
        <row r="134">
          <cell r="A134" t="str">
            <v>2024JULB00195</v>
          </cell>
          <cell r="B134" t="str">
            <v>Nikhitha Sriya Pottangi</v>
          </cell>
          <cell r="C134">
            <v>2.5</v>
          </cell>
          <cell r="D134">
            <v>2.5</v>
          </cell>
          <cell r="E134">
            <v>2.5</v>
          </cell>
          <cell r="F134">
            <v>3</v>
          </cell>
          <cell r="G134">
            <v>2.75</v>
          </cell>
          <cell r="H134">
            <v>2.5</v>
          </cell>
          <cell r="I134">
            <v>2.5</v>
          </cell>
          <cell r="J134">
            <v>2.5</v>
          </cell>
          <cell r="K134">
            <v>2.5</v>
          </cell>
          <cell r="L134">
            <v>3</v>
          </cell>
          <cell r="M134">
            <v>2.5</v>
          </cell>
          <cell r="N134">
            <v>2.5</v>
          </cell>
          <cell r="O134">
            <v>2.5</v>
          </cell>
        </row>
        <row r="135">
          <cell r="A135" t="str">
            <v>2024JULB00244</v>
          </cell>
          <cell r="B135" t="str">
            <v>Harshita Chauhan</v>
          </cell>
          <cell r="C135">
            <v>2</v>
          </cell>
          <cell r="D135">
            <v>2</v>
          </cell>
          <cell r="E135">
            <v>2</v>
          </cell>
          <cell r="F135">
            <v>2.5</v>
          </cell>
          <cell r="G135">
            <v>2</v>
          </cell>
          <cell r="H135">
            <v>2</v>
          </cell>
          <cell r="I135">
            <v>2</v>
          </cell>
          <cell r="J135">
            <v>2.5</v>
          </cell>
          <cell r="K135">
            <v>2</v>
          </cell>
          <cell r="L135">
            <v>2</v>
          </cell>
          <cell r="M135">
            <v>2.5</v>
          </cell>
          <cell r="N135">
            <v>2</v>
          </cell>
          <cell r="O135">
            <v>2</v>
          </cell>
        </row>
        <row r="136">
          <cell r="A136" t="str">
            <v>2024JULB00256</v>
          </cell>
          <cell r="B136" t="str">
            <v>Riya Kumari</v>
          </cell>
          <cell r="C136">
            <v>4</v>
          </cell>
          <cell r="D136">
            <v>3.5</v>
          </cell>
          <cell r="E136">
            <v>4</v>
          </cell>
          <cell r="F136">
            <v>3.5</v>
          </cell>
          <cell r="G136">
            <v>3.75</v>
          </cell>
          <cell r="H136">
            <v>3.5</v>
          </cell>
          <cell r="I136">
            <v>3.5</v>
          </cell>
          <cell r="J136">
            <v>3.5</v>
          </cell>
          <cell r="K136">
            <v>4</v>
          </cell>
          <cell r="L136">
            <v>3.5</v>
          </cell>
          <cell r="M136">
            <v>3.5</v>
          </cell>
          <cell r="N136">
            <v>4</v>
          </cell>
          <cell r="O136">
            <v>4</v>
          </cell>
        </row>
        <row r="137">
          <cell r="A137" t="str">
            <v>2024JULB00263</v>
          </cell>
          <cell r="B137" t="str">
            <v>Soumya Roy</v>
          </cell>
          <cell r="C137">
            <v>3.5</v>
          </cell>
          <cell r="D137">
            <v>2.5</v>
          </cell>
          <cell r="E137">
            <v>3.5</v>
          </cell>
          <cell r="F137">
            <v>3</v>
          </cell>
          <cell r="G137">
            <v>3</v>
          </cell>
          <cell r="H137">
            <v>2.5</v>
          </cell>
          <cell r="I137">
            <v>2.5</v>
          </cell>
          <cell r="J137">
            <v>3</v>
          </cell>
          <cell r="K137">
            <v>3.5</v>
          </cell>
          <cell r="L137">
            <v>2.5</v>
          </cell>
          <cell r="M137">
            <v>3</v>
          </cell>
          <cell r="N137">
            <v>3.5</v>
          </cell>
          <cell r="O137">
            <v>3.5</v>
          </cell>
        </row>
        <row r="138">
          <cell r="A138" t="str">
            <v>2024AUGVPGP0008</v>
          </cell>
          <cell r="B138" t="str">
            <v>Avantika Pal</v>
          </cell>
          <cell r="C138">
            <v>3.5</v>
          </cell>
          <cell r="D138">
            <v>3</v>
          </cell>
          <cell r="E138">
            <v>3.5</v>
          </cell>
          <cell r="F138">
            <v>3.5</v>
          </cell>
          <cell r="G138">
            <v>3.25</v>
          </cell>
          <cell r="H138">
            <v>3</v>
          </cell>
          <cell r="I138">
            <v>3</v>
          </cell>
          <cell r="J138">
            <v>3.5</v>
          </cell>
          <cell r="K138">
            <v>3.5</v>
          </cell>
          <cell r="L138">
            <v>3</v>
          </cell>
          <cell r="M138">
            <v>3.5</v>
          </cell>
          <cell r="N138">
            <v>3.5</v>
          </cell>
          <cell r="O138">
            <v>3.5</v>
          </cell>
        </row>
        <row r="139">
          <cell r="A139" t="str">
            <v>2024AUGVPGP0010</v>
          </cell>
          <cell r="B139" t="str">
            <v>Gomathi G Bagewadi</v>
          </cell>
          <cell r="C139">
            <v>3.5</v>
          </cell>
          <cell r="D139">
            <v>2.5</v>
          </cell>
          <cell r="E139">
            <v>3.5</v>
          </cell>
          <cell r="F139">
            <v>3</v>
          </cell>
          <cell r="G139">
            <v>3.25</v>
          </cell>
          <cell r="H139">
            <v>2.5</v>
          </cell>
          <cell r="I139">
            <v>2.5</v>
          </cell>
          <cell r="J139">
            <v>3</v>
          </cell>
          <cell r="K139">
            <v>3.5</v>
          </cell>
          <cell r="L139">
            <v>3</v>
          </cell>
          <cell r="M139">
            <v>3</v>
          </cell>
          <cell r="N139">
            <v>3.5</v>
          </cell>
          <cell r="O139">
            <v>3.5</v>
          </cell>
        </row>
        <row r="140">
          <cell r="A140" t="str">
            <v>2024AUGVPGP0030</v>
          </cell>
          <cell r="B140" t="str">
            <v>Spruha Narendra Bhagde</v>
          </cell>
          <cell r="C140">
            <v>3</v>
          </cell>
          <cell r="D140">
            <v>3</v>
          </cell>
          <cell r="E140">
            <v>3</v>
          </cell>
          <cell r="F140">
            <v>3</v>
          </cell>
          <cell r="G140">
            <v>3</v>
          </cell>
          <cell r="H140">
            <v>3</v>
          </cell>
          <cell r="I140">
            <v>3</v>
          </cell>
          <cell r="J140">
            <v>3</v>
          </cell>
          <cell r="K140">
            <v>3</v>
          </cell>
          <cell r="L140">
            <v>3</v>
          </cell>
          <cell r="M140">
            <v>3</v>
          </cell>
          <cell r="N140">
            <v>3</v>
          </cell>
          <cell r="O140">
            <v>3</v>
          </cell>
        </row>
        <row r="141">
          <cell r="A141" t="str">
            <v>2024AUGVPGP0034</v>
          </cell>
          <cell r="B141" t="str">
            <v>Tulasi Venkatesh Vaidya</v>
          </cell>
          <cell r="C141">
            <v>3</v>
          </cell>
          <cell r="D141">
            <v>2.5</v>
          </cell>
          <cell r="E141">
            <v>3</v>
          </cell>
          <cell r="F141">
            <v>2.5</v>
          </cell>
          <cell r="G141">
            <v>3</v>
          </cell>
          <cell r="H141">
            <v>2.5</v>
          </cell>
          <cell r="I141">
            <v>2.5</v>
          </cell>
          <cell r="J141">
            <v>3</v>
          </cell>
          <cell r="K141">
            <v>3</v>
          </cell>
          <cell r="L141">
            <v>3</v>
          </cell>
          <cell r="M141">
            <v>3</v>
          </cell>
          <cell r="N141">
            <v>3</v>
          </cell>
          <cell r="O141">
            <v>3</v>
          </cell>
        </row>
        <row r="142">
          <cell r="A142" t="str">
            <v>2024JULB00135</v>
          </cell>
          <cell r="B142" t="str">
            <v>Saqib Kalandar Attar</v>
          </cell>
          <cell r="C142">
            <v>2</v>
          </cell>
          <cell r="D142">
            <v>2</v>
          </cell>
          <cell r="E142">
            <v>2</v>
          </cell>
          <cell r="F142">
            <v>2</v>
          </cell>
          <cell r="G142">
            <v>2.5</v>
          </cell>
          <cell r="H142">
            <v>2</v>
          </cell>
          <cell r="I142">
            <v>2</v>
          </cell>
          <cell r="J142">
            <v>3</v>
          </cell>
          <cell r="K142">
            <v>2</v>
          </cell>
          <cell r="L142">
            <v>2</v>
          </cell>
          <cell r="M142">
            <v>2</v>
          </cell>
          <cell r="N142">
            <v>2</v>
          </cell>
          <cell r="O142">
            <v>2</v>
          </cell>
        </row>
        <row r="143">
          <cell r="A143" t="str">
            <v>2024JULB00220</v>
          </cell>
          <cell r="B143" t="str">
            <v>Rohan Agrawal</v>
          </cell>
          <cell r="C143">
            <v>2</v>
          </cell>
          <cell r="D143">
            <v>3</v>
          </cell>
          <cell r="E143">
            <v>3</v>
          </cell>
          <cell r="F143">
            <v>3</v>
          </cell>
          <cell r="G143">
            <v>2.5</v>
          </cell>
          <cell r="H143">
            <v>2</v>
          </cell>
          <cell r="I143">
            <v>2</v>
          </cell>
          <cell r="J143">
            <v>2</v>
          </cell>
          <cell r="K143">
            <v>3</v>
          </cell>
          <cell r="L143">
            <v>1</v>
          </cell>
          <cell r="M143">
            <v>3</v>
          </cell>
          <cell r="N143">
            <v>3</v>
          </cell>
          <cell r="O143">
            <v>3</v>
          </cell>
        </row>
        <row r="144">
          <cell r="A144" t="str">
            <v>2024JULB00150</v>
          </cell>
          <cell r="B144" t="str">
            <v>Siddharth Singh</v>
          </cell>
          <cell r="C144">
            <v>3</v>
          </cell>
          <cell r="D144">
            <v>4</v>
          </cell>
          <cell r="E144">
            <v>4</v>
          </cell>
          <cell r="F144">
            <v>4</v>
          </cell>
          <cell r="G144">
            <v>3.5</v>
          </cell>
          <cell r="H144">
            <v>4</v>
          </cell>
          <cell r="I144">
            <v>3</v>
          </cell>
          <cell r="J144">
            <v>4</v>
          </cell>
          <cell r="K144">
            <v>4</v>
          </cell>
          <cell r="L144">
            <v>4</v>
          </cell>
          <cell r="M144">
            <v>3</v>
          </cell>
          <cell r="N144">
            <v>3</v>
          </cell>
          <cell r="O144">
            <v>4</v>
          </cell>
        </row>
        <row r="145">
          <cell r="A145" t="str">
            <v>2024JULB00091</v>
          </cell>
          <cell r="B145" t="str">
            <v>Madhav Sharma</v>
          </cell>
          <cell r="C145">
            <v>3</v>
          </cell>
          <cell r="D145">
            <v>3</v>
          </cell>
          <cell r="E145">
            <v>3</v>
          </cell>
          <cell r="F145">
            <v>3</v>
          </cell>
          <cell r="G145">
            <v>3.5</v>
          </cell>
          <cell r="H145">
            <v>2</v>
          </cell>
          <cell r="I145">
            <v>4</v>
          </cell>
          <cell r="J145">
            <v>3</v>
          </cell>
          <cell r="K145">
            <v>3</v>
          </cell>
          <cell r="L145">
            <v>3</v>
          </cell>
          <cell r="M145">
            <v>3</v>
          </cell>
          <cell r="N145">
            <v>4</v>
          </cell>
          <cell r="O145">
            <v>4</v>
          </cell>
        </row>
        <row r="146">
          <cell r="A146" t="str">
            <v>2024JULB00077</v>
          </cell>
          <cell r="B146" t="str">
            <v>V L S Kavya Devarapalli</v>
          </cell>
          <cell r="C146">
            <v>2</v>
          </cell>
          <cell r="D146">
            <v>2</v>
          </cell>
          <cell r="E146">
            <v>3</v>
          </cell>
          <cell r="F146">
            <v>1</v>
          </cell>
          <cell r="G146">
            <v>2.5</v>
          </cell>
          <cell r="H146">
            <v>1</v>
          </cell>
          <cell r="I146">
            <v>2</v>
          </cell>
          <cell r="J146">
            <v>4</v>
          </cell>
          <cell r="K146">
            <v>2</v>
          </cell>
          <cell r="L146">
            <v>2</v>
          </cell>
          <cell r="M146">
            <v>3</v>
          </cell>
          <cell r="N146">
            <v>3</v>
          </cell>
          <cell r="O146">
            <v>3</v>
          </cell>
        </row>
        <row r="147">
          <cell r="A147" t="str">
            <v>2024JULB00207</v>
          </cell>
          <cell r="B147" t="str">
            <v>Ayushi Mohanty</v>
          </cell>
          <cell r="C147">
            <v>3</v>
          </cell>
          <cell r="D147">
            <v>3</v>
          </cell>
          <cell r="E147">
            <v>3</v>
          </cell>
          <cell r="F147">
            <v>3</v>
          </cell>
          <cell r="G147">
            <v>3</v>
          </cell>
          <cell r="H147">
            <v>3</v>
          </cell>
          <cell r="I147">
            <v>2</v>
          </cell>
          <cell r="J147">
            <v>3</v>
          </cell>
          <cell r="K147">
            <v>3</v>
          </cell>
          <cell r="L147">
            <v>3</v>
          </cell>
          <cell r="M147">
            <v>3</v>
          </cell>
          <cell r="N147">
            <v>3</v>
          </cell>
          <cell r="O147">
            <v>3</v>
          </cell>
        </row>
        <row r="148">
          <cell r="A148" t="str">
            <v>2024JULB00176</v>
          </cell>
          <cell r="B148" t="str">
            <v>Vaibhav Pandey</v>
          </cell>
          <cell r="C148">
            <v>3</v>
          </cell>
          <cell r="D148">
            <v>3</v>
          </cell>
          <cell r="E148">
            <v>4</v>
          </cell>
          <cell r="F148">
            <v>3</v>
          </cell>
          <cell r="G148">
            <v>3</v>
          </cell>
          <cell r="H148">
            <v>3</v>
          </cell>
          <cell r="I148">
            <v>3</v>
          </cell>
          <cell r="J148">
            <v>4</v>
          </cell>
          <cell r="K148">
            <v>3</v>
          </cell>
          <cell r="L148">
            <v>3</v>
          </cell>
          <cell r="M148">
            <v>3</v>
          </cell>
          <cell r="N148">
            <v>3</v>
          </cell>
          <cell r="O148">
            <v>3</v>
          </cell>
        </row>
        <row r="149">
          <cell r="A149" t="str">
            <v>2024JULB00186</v>
          </cell>
          <cell r="B149" t="str">
            <v>Pasumurty Vineeth Kumar</v>
          </cell>
          <cell r="C149">
            <v>2</v>
          </cell>
          <cell r="D149">
            <v>3</v>
          </cell>
          <cell r="E149">
            <v>2</v>
          </cell>
          <cell r="F149">
            <v>2</v>
          </cell>
          <cell r="G149">
            <v>2.5</v>
          </cell>
          <cell r="H149">
            <v>2</v>
          </cell>
          <cell r="I149">
            <v>2</v>
          </cell>
          <cell r="J149">
            <v>3</v>
          </cell>
          <cell r="K149">
            <v>3</v>
          </cell>
          <cell r="L149">
            <v>2</v>
          </cell>
          <cell r="M149">
            <v>2</v>
          </cell>
          <cell r="N149">
            <v>3</v>
          </cell>
          <cell r="O149">
            <v>3</v>
          </cell>
        </row>
        <row r="150">
          <cell r="A150" t="str">
            <v>2024JULB00175</v>
          </cell>
          <cell r="B150" t="str">
            <v>Vaibhav Laldas</v>
          </cell>
          <cell r="C150">
            <v>3</v>
          </cell>
          <cell r="D150">
            <v>3</v>
          </cell>
          <cell r="E150">
            <v>3</v>
          </cell>
          <cell r="F150">
            <v>3</v>
          </cell>
          <cell r="G150">
            <v>3</v>
          </cell>
          <cell r="H150">
            <v>3</v>
          </cell>
          <cell r="I150">
            <v>3</v>
          </cell>
          <cell r="J150">
            <v>3</v>
          </cell>
          <cell r="K150">
            <v>3</v>
          </cell>
          <cell r="L150">
            <v>3</v>
          </cell>
          <cell r="M150">
            <v>3</v>
          </cell>
          <cell r="N150">
            <v>3</v>
          </cell>
          <cell r="O150">
            <v>3</v>
          </cell>
        </row>
        <row r="151">
          <cell r="A151" t="str">
            <v>2024JULB00217</v>
          </cell>
          <cell r="B151" t="str">
            <v>Vittika Dnyaneshwar Chavhan</v>
          </cell>
          <cell r="C151">
            <v>3</v>
          </cell>
          <cell r="D151">
            <v>3</v>
          </cell>
          <cell r="E151">
            <v>3</v>
          </cell>
          <cell r="F151">
            <v>3</v>
          </cell>
          <cell r="G151">
            <v>3</v>
          </cell>
          <cell r="H151">
            <v>3</v>
          </cell>
          <cell r="I151">
            <v>3</v>
          </cell>
          <cell r="J151">
            <v>3</v>
          </cell>
          <cell r="K151">
            <v>3</v>
          </cell>
          <cell r="L151">
            <v>3</v>
          </cell>
          <cell r="M151">
            <v>3</v>
          </cell>
          <cell r="N151">
            <v>3</v>
          </cell>
          <cell r="O151">
            <v>3</v>
          </cell>
        </row>
        <row r="152">
          <cell r="A152" t="str">
            <v>2024JULB00252</v>
          </cell>
          <cell r="B152" t="str">
            <v>Ronak Agarwal</v>
          </cell>
          <cell r="C152">
            <v>2</v>
          </cell>
          <cell r="D152">
            <v>2</v>
          </cell>
          <cell r="E152">
            <v>2</v>
          </cell>
          <cell r="F152">
            <v>2</v>
          </cell>
          <cell r="G152">
            <v>2</v>
          </cell>
          <cell r="H152">
            <v>2</v>
          </cell>
          <cell r="I152">
            <v>2</v>
          </cell>
          <cell r="J152">
            <v>2</v>
          </cell>
          <cell r="K152">
            <v>2</v>
          </cell>
          <cell r="L152">
            <v>2</v>
          </cell>
          <cell r="M152">
            <v>2</v>
          </cell>
          <cell r="N152">
            <v>2</v>
          </cell>
          <cell r="O152">
            <v>2</v>
          </cell>
        </row>
        <row r="153">
          <cell r="A153" t="str">
            <v>2024JULB00140</v>
          </cell>
          <cell r="B153" t="str">
            <v>Shatabarta Chanda</v>
          </cell>
          <cell r="C153">
            <v>2</v>
          </cell>
          <cell r="D153">
            <v>2</v>
          </cell>
          <cell r="E153">
            <v>2</v>
          </cell>
          <cell r="F153">
            <v>2</v>
          </cell>
          <cell r="G153">
            <v>1</v>
          </cell>
          <cell r="H153">
            <v>2</v>
          </cell>
          <cell r="I153">
            <v>2</v>
          </cell>
          <cell r="J153">
            <v>2</v>
          </cell>
          <cell r="K153">
            <v>2</v>
          </cell>
          <cell r="L153">
            <v>2</v>
          </cell>
          <cell r="M153">
            <v>2</v>
          </cell>
          <cell r="N153">
            <v>2</v>
          </cell>
          <cell r="O153">
            <v>2</v>
          </cell>
        </row>
        <row r="154">
          <cell r="A154" t="str">
            <v>2024JULB00215</v>
          </cell>
          <cell r="B154" t="str">
            <v>Sanjib Kumar Bhagabati</v>
          </cell>
          <cell r="C154">
            <v>3</v>
          </cell>
          <cell r="D154">
            <v>3</v>
          </cell>
          <cell r="E154">
            <v>3</v>
          </cell>
          <cell r="F154">
            <v>3</v>
          </cell>
          <cell r="G154">
            <v>1.5</v>
          </cell>
          <cell r="H154">
            <v>3</v>
          </cell>
          <cell r="I154">
            <v>3</v>
          </cell>
          <cell r="J154">
            <v>3</v>
          </cell>
          <cell r="K154">
            <v>3</v>
          </cell>
          <cell r="L154">
            <v>3</v>
          </cell>
          <cell r="M154">
            <v>3</v>
          </cell>
          <cell r="N154">
            <v>3</v>
          </cell>
          <cell r="O154">
            <v>3</v>
          </cell>
        </row>
        <row r="155">
          <cell r="A155" t="str">
            <v>2024JULB00039</v>
          </cell>
          <cell r="B155" t="str">
            <v>Bipasha Mandal</v>
          </cell>
          <cell r="C155">
            <v>3</v>
          </cell>
          <cell r="D155">
            <v>3</v>
          </cell>
          <cell r="E155">
            <v>3</v>
          </cell>
          <cell r="F155">
            <v>3</v>
          </cell>
          <cell r="G155">
            <v>3</v>
          </cell>
          <cell r="H155">
            <v>3</v>
          </cell>
          <cell r="I155">
            <v>3</v>
          </cell>
          <cell r="J155">
            <v>2</v>
          </cell>
          <cell r="K155">
            <v>3</v>
          </cell>
          <cell r="L155">
            <v>4</v>
          </cell>
          <cell r="M155">
            <v>3</v>
          </cell>
          <cell r="N155">
            <v>3</v>
          </cell>
          <cell r="O155">
            <v>3</v>
          </cell>
        </row>
        <row r="156">
          <cell r="A156" t="str">
            <v>2024JULB00154</v>
          </cell>
          <cell r="B156" t="str">
            <v>Somya Sahoo</v>
          </cell>
          <cell r="C156">
            <v>2</v>
          </cell>
          <cell r="D156">
            <v>2</v>
          </cell>
          <cell r="E156">
            <v>2</v>
          </cell>
          <cell r="F156">
            <v>2</v>
          </cell>
          <cell r="G156">
            <v>2</v>
          </cell>
          <cell r="H156">
            <v>2</v>
          </cell>
          <cell r="I156">
            <v>2</v>
          </cell>
          <cell r="J156">
            <v>2</v>
          </cell>
          <cell r="K156">
            <v>2</v>
          </cell>
          <cell r="L156">
            <v>2</v>
          </cell>
          <cell r="M156">
            <v>2</v>
          </cell>
          <cell r="N156">
            <v>2</v>
          </cell>
          <cell r="O156">
            <v>2</v>
          </cell>
        </row>
        <row r="157">
          <cell r="A157" t="str">
            <v>2024JULB00194</v>
          </cell>
          <cell r="B157" t="str">
            <v>Aditya Yuvraj Singh Ranawat</v>
          </cell>
          <cell r="C157">
            <v>3</v>
          </cell>
          <cell r="D157">
            <v>3</v>
          </cell>
          <cell r="E157">
            <v>3</v>
          </cell>
          <cell r="F157">
            <v>3</v>
          </cell>
          <cell r="G157">
            <v>3</v>
          </cell>
          <cell r="H157">
            <v>3</v>
          </cell>
          <cell r="I157">
            <v>3</v>
          </cell>
          <cell r="J157">
            <v>3</v>
          </cell>
          <cell r="K157">
            <v>3</v>
          </cell>
          <cell r="L157">
            <v>3</v>
          </cell>
          <cell r="M157">
            <v>3</v>
          </cell>
          <cell r="N157">
            <v>3</v>
          </cell>
          <cell r="O157">
            <v>3</v>
          </cell>
        </row>
        <row r="158">
          <cell r="A158" t="str">
            <v>2024JULB00095</v>
          </cell>
          <cell r="B158" t="str">
            <v>Melvin Roche. A</v>
          </cell>
          <cell r="C158">
            <v>3</v>
          </cell>
          <cell r="D158">
            <v>5</v>
          </cell>
          <cell r="E158">
            <v>4</v>
          </cell>
          <cell r="F158">
            <v>4</v>
          </cell>
          <cell r="G158">
            <v>3</v>
          </cell>
          <cell r="H158">
            <v>4</v>
          </cell>
          <cell r="I158">
            <v>4</v>
          </cell>
          <cell r="J158">
            <v>4</v>
          </cell>
          <cell r="K158">
            <v>4</v>
          </cell>
          <cell r="L158">
            <v>4</v>
          </cell>
          <cell r="M158">
            <v>3</v>
          </cell>
          <cell r="N158">
            <v>4</v>
          </cell>
          <cell r="O158">
            <v>4</v>
          </cell>
        </row>
        <row r="159">
          <cell r="A159" t="str">
            <v>2024JULB00205</v>
          </cell>
          <cell r="B159" t="str">
            <v>Archa S Lal</v>
          </cell>
          <cell r="C159">
            <v>3</v>
          </cell>
          <cell r="D159">
            <v>3</v>
          </cell>
          <cell r="E159">
            <v>3</v>
          </cell>
          <cell r="F159">
            <v>3</v>
          </cell>
          <cell r="G159">
            <v>3</v>
          </cell>
          <cell r="H159">
            <v>3</v>
          </cell>
          <cell r="I159">
            <v>3</v>
          </cell>
          <cell r="J159">
            <v>3</v>
          </cell>
          <cell r="K159">
            <v>3</v>
          </cell>
          <cell r="L159">
            <v>3</v>
          </cell>
          <cell r="M159">
            <v>3</v>
          </cell>
          <cell r="N159">
            <v>3</v>
          </cell>
          <cell r="O159">
            <v>3</v>
          </cell>
        </row>
        <row r="160">
          <cell r="A160" t="str">
            <v>2024JULB00061</v>
          </cell>
          <cell r="B160" t="str">
            <v>Gaurav Gaur</v>
          </cell>
          <cell r="C160">
            <v>5</v>
          </cell>
          <cell r="D160">
            <v>5</v>
          </cell>
          <cell r="E160">
            <v>5</v>
          </cell>
          <cell r="F160">
            <v>5</v>
          </cell>
          <cell r="G160">
            <v>5</v>
          </cell>
          <cell r="H160">
            <v>4</v>
          </cell>
          <cell r="I160">
            <v>5</v>
          </cell>
          <cell r="J160">
            <v>4</v>
          </cell>
          <cell r="K160">
            <v>5</v>
          </cell>
          <cell r="L160">
            <v>5</v>
          </cell>
          <cell r="M160">
            <v>5</v>
          </cell>
          <cell r="N160">
            <v>4</v>
          </cell>
          <cell r="O160">
            <v>4</v>
          </cell>
        </row>
        <row r="161">
          <cell r="A161" t="str">
            <v>2024JULB00134</v>
          </cell>
          <cell r="B161" t="str">
            <v>Sanjay Baliga</v>
          </cell>
          <cell r="C161">
            <v>2</v>
          </cell>
          <cell r="D161">
            <v>3</v>
          </cell>
          <cell r="E161">
            <v>2</v>
          </cell>
          <cell r="F161">
            <v>4</v>
          </cell>
          <cell r="G161">
            <v>3.5</v>
          </cell>
          <cell r="H161">
            <v>2</v>
          </cell>
          <cell r="I161">
            <v>2</v>
          </cell>
          <cell r="J161">
            <v>3</v>
          </cell>
          <cell r="K161">
            <v>4</v>
          </cell>
          <cell r="L161">
            <v>3</v>
          </cell>
          <cell r="M161">
            <v>3</v>
          </cell>
          <cell r="N161">
            <v>3</v>
          </cell>
          <cell r="O161">
            <v>3</v>
          </cell>
        </row>
        <row r="162">
          <cell r="A162" t="str">
            <v>2024JULB00069</v>
          </cell>
          <cell r="B162" t="str">
            <v>Jay Dwivedi</v>
          </cell>
          <cell r="C162">
            <v>2</v>
          </cell>
          <cell r="D162">
            <v>4</v>
          </cell>
          <cell r="E162">
            <v>2</v>
          </cell>
          <cell r="F162">
            <v>4</v>
          </cell>
          <cell r="G162">
            <v>2.5</v>
          </cell>
          <cell r="H162">
            <v>2</v>
          </cell>
          <cell r="I162">
            <v>2</v>
          </cell>
          <cell r="J162">
            <v>4</v>
          </cell>
          <cell r="K162">
            <v>4</v>
          </cell>
          <cell r="L162">
            <v>3</v>
          </cell>
          <cell r="M162">
            <v>3</v>
          </cell>
          <cell r="N162">
            <v>3</v>
          </cell>
          <cell r="O162">
            <v>3</v>
          </cell>
        </row>
        <row r="163">
          <cell r="A163" t="str">
            <v>2024JULB00066</v>
          </cell>
          <cell r="B163" t="str">
            <v>Himanshu Upadhyay</v>
          </cell>
          <cell r="C163">
            <v>2</v>
          </cell>
          <cell r="D163">
            <v>2</v>
          </cell>
          <cell r="E163">
            <v>2</v>
          </cell>
          <cell r="F163">
            <v>2</v>
          </cell>
          <cell r="G163">
            <v>3</v>
          </cell>
          <cell r="H163">
            <v>1</v>
          </cell>
          <cell r="I163">
            <v>2</v>
          </cell>
          <cell r="J163">
            <v>3</v>
          </cell>
          <cell r="K163">
            <v>4</v>
          </cell>
          <cell r="L163">
            <v>3</v>
          </cell>
          <cell r="M163">
            <v>3</v>
          </cell>
          <cell r="N163">
            <v>2</v>
          </cell>
          <cell r="O163">
            <v>3</v>
          </cell>
        </row>
        <row r="164">
          <cell r="A164" t="str">
            <v>2024JULB00119</v>
          </cell>
          <cell r="B164" t="str">
            <v>Rahul Lal P. P</v>
          </cell>
          <cell r="C164">
            <v>2</v>
          </cell>
          <cell r="D164">
            <v>3</v>
          </cell>
          <cell r="E164">
            <v>2</v>
          </cell>
          <cell r="F164">
            <v>3</v>
          </cell>
          <cell r="G164">
            <v>2.5</v>
          </cell>
          <cell r="H164">
            <v>2</v>
          </cell>
          <cell r="I164">
            <v>2</v>
          </cell>
          <cell r="J164">
            <v>3</v>
          </cell>
          <cell r="K164">
            <v>4</v>
          </cell>
          <cell r="L164">
            <v>3</v>
          </cell>
          <cell r="M164">
            <v>3</v>
          </cell>
          <cell r="N164">
            <v>2</v>
          </cell>
          <cell r="O164">
            <v>2</v>
          </cell>
        </row>
        <row r="165">
          <cell r="A165" t="str">
            <v>2024JULB00235</v>
          </cell>
          <cell r="B165" t="str">
            <v>Abhinav Dubey</v>
          </cell>
          <cell r="C165">
            <v>3</v>
          </cell>
          <cell r="D165">
            <v>3</v>
          </cell>
          <cell r="E165">
            <v>3</v>
          </cell>
          <cell r="F165">
            <v>3</v>
          </cell>
          <cell r="G165">
            <v>3</v>
          </cell>
          <cell r="H165">
            <v>3</v>
          </cell>
          <cell r="I165">
            <v>3</v>
          </cell>
          <cell r="J165">
            <v>3</v>
          </cell>
          <cell r="K165">
            <v>2</v>
          </cell>
          <cell r="L165">
            <v>3</v>
          </cell>
          <cell r="M165">
            <v>3</v>
          </cell>
          <cell r="N165">
            <v>3</v>
          </cell>
          <cell r="O165">
            <v>3</v>
          </cell>
        </row>
        <row r="166">
          <cell r="A166" t="str">
            <v>2024JULB00188</v>
          </cell>
          <cell r="B166" t="str">
            <v>Jigyasa Singh</v>
          </cell>
          <cell r="C166">
            <v>3</v>
          </cell>
          <cell r="D166">
            <v>2</v>
          </cell>
          <cell r="E166">
            <v>3</v>
          </cell>
          <cell r="F166">
            <v>3</v>
          </cell>
          <cell r="G166">
            <v>2.5</v>
          </cell>
          <cell r="H166">
            <v>3</v>
          </cell>
          <cell r="I166">
            <v>3</v>
          </cell>
          <cell r="J166">
            <v>2</v>
          </cell>
          <cell r="K166">
            <v>3</v>
          </cell>
          <cell r="L166">
            <v>2</v>
          </cell>
          <cell r="M166">
            <v>3</v>
          </cell>
          <cell r="N166">
            <v>3</v>
          </cell>
          <cell r="O166">
            <v>3</v>
          </cell>
        </row>
        <row r="167">
          <cell r="A167" t="str">
            <v>2024JULB00162</v>
          </cell>
          <cell r="B167" t="str">
            <v>Subhrojit Ghosh</v>
          </cell>
          <cell r="C167">
            <v>2</v>
          </cell>
          <cell r="D167">
            <v>3</v>
          </cell>
          <cell r="E167">
            <v>3</v>
          </cell>
          <cell r="F167">
            <v>3</v>
          </cell>
          <cell r="G167">
            <v>1.5</v>
          </cell>
          <cell r="H167">
            <v>3</v>
          </cell>
          <cell r="I167">
            <v>2</v>
          </cell>
          <cell r="J167">
            <v>2</v>
          </cell>
          <cell r="K167">
            <v>2</v>
          </cell>
          <cell r="L167">
            <v>2</v>
          </cell>
          <cell r="M167">
            <v>3</v>
          </cell>
          <cell r="N167">
            <v>3</v>
          </cell>
          <cell r="O167">
            <v>3</v>
          </cell>
        </row>
        <row r="168">
          <cell r="A168" t="str">
            <v>2024JULB00022</v>
          </cell>
          <cell r="B168" t="str">
            <v>Anupa Maheshwari</v>
          </cell>
          <cell r="C168">
            <v>2</v>
          </cell>
          <cell r="D168">
            <v>4</v>
          </cell>
          <cell r="E168">
            <v>4</v>
          </cell>
          <cell r="F168">
            <v>4</v>
          </cell>
          <cell r="G168">
            <v>3</v>
          </cell>
          <cell r="H168">
            <v>4</v>
          </cell>
          <cell r="I168">
            <v>4</v>
          </cell>
          <cell r="J168">
            <v>4</v>
          </cell>
          <cell r="K168">
            <v>4</v>
          </cell>
          <cell r="L168">
            <v>4</v>
          </cell>
          <cell r="M168">
            <v>3</v>
          </cell>
          <cell r="N168">
            <v>3</v>
          </cell>
          <cell r="O168">
            <v>3</v>
          </cell>
        </row>
        <row r="169">
          <cell r="A169" t="str">
            <v>2024JULB00225</v>
          </cell>
          <cell r="B169" t="str">
            <v>Abhishek Kumar Nema</v>
          </cell>
          <cell r="C169">
            <v>3</v>
          </cell>
          <cell r="D169">
            <v>2</v>
          </cell>
          <cell r="E169">
            <v>3</v>
          </cell>
          <cell r="F169">
            <v>2</v>
          </cell>
          <cell r="G169">
            <v>1.5</v>
          </cell>
          <cell r="H169">
            <v>3</v>
          </cell>
          <cell r="I169">
            <v>3</v>
          </cell>
          <cell r="J169">
            <v>3</v>
          </cell>
          <cell r="K169">
            <v>3</v>
          </cell>
          <cell r="L169">
            <v>3</v>
          </cell>
          <cell r="M169">
            <v>3</v>
          </cell>
          <cell r="N169">
            <v>3</v>
          </cell>
          <cell r="O169">
            <v>3</v>
          </cell>
        </row>
        <row r="170">
          <cell r="A170" t="str">
            <v>2024JULB00031</v>
          </cell>
          <cell r="B170" t="str">
            <v>Ashita Roshan Kumar</v>
          </cell>
          <cell r="C170">
            <v>3</v>
          </cell>
          <cell r="D170">
            <v>3</v>
          </cell>
          <cell r="E170">
            <v>2</v>
          </cell>
          <cell r="F170">
            <v>3</v>
          </cell>
          <cell r="G170">
            <v>2</v>
          </cell>
          <cell r="H170">
            <v>2</v>
          </cell>
          <cell r="I170">
            <v>2</v>
          </cell>
          <cell r="J170">
            <v>2</v>
          </cell>
          <cell r="K170">
            <v>3</v>
          </cell>
          <cell r="L170">
            <v>2</v>
          </cell>
          <cell r="M170">
            <v>3</v>
          </cell>
          <cell r="N170">
            <v>3</v>
          </cell>
          <cell r="O170">
            <v>3</v>
          </cell>
        </row>
        <row r="171">
          <cell r="A171" t="str">
            <v>2024JULB00241</v>
          </cell>
          <cell r="B171" t="str">
            <v>Anu Kumari</v>
          </cell>
          <cell r="C171">
            <v>3</v>
          </cell>
          <cell r="D171">
            <v>3</v>
          </cell>
          <cell r="E171">
            <v>3</v>
          </cell>
          <cell r="F171">
            <v>3</v>
          </cell>
          <cell r="G171">
            <v>3</v>
          </cell>
          <cell r="H171">
            <v>3</v>
          </cell>
          <cell r="I171">
            <v>3</v>
          </cell>
          <cell r="J171">
            <v>3</v>
          </cell>
          <cell r="K171">
            <v>3</v>
          </cell>
          <cell r="L171">
            <v>3</v>
          </cell>
          <cell r="M171">
            <v>3</v>
          </cell>
          <cell r="N171">
            <v>3</v>
          </cell>
          <cell r="O171">
            <v>3</v>
          </cell>
        </row>
        <row r="172">
          <cell r="A172" t="str">
            <v>2024JULB00229</v>
          </cell>
          <cell r="B172" t="str">
            <v>Malvika sinha</v>
          </cell>
          <cell r="C172">
            <v>3</v>
          </cell>
          <cell r="D172">
            <v>3</v>
          </cell>
          <cell r="E172">
            <v>4</v>
          </cell>
          <cell r="F172">
            <v>3</v>
          </cell>
          <cell r="G172">
            <v>3</v>
          </cell>
          <cell r="H172">
            <v>3</v>
          </cell>
          <cell r="I172">
            <v>3</v>
          </cell>
          <cell r="J172">
            <v>3</v>
          </cell>
          <cell r="K172">
            <v>3</v>
          </cell>
          <cell r="L172">
            <v>3</v>
          </cell>
          <cell r="M172">
            <v>3</v>
          </cell>
          <cell r="N172">
            <v>3</v>
          </cell>
          <cell r="O172">
            <v>3</v>
          </cell>
        </row>
        <row r="173">
          <cell r="A173" t="str">
            <v>2024JULB00118</v>
          </cell>
          <cell r="B173" t="str">
            <v>Rahul Ghosh</v>
          </cell>
          <cell r="C173">
            <v>2</v>
          </cell>
          <cell r="D173">
            <v>3</v>
          </cell>
          <cell r="E173">
            <v>3</v>
          </cell>
          <cell r="F173">
            <v>3</v>
          </cell>
          <cell r="G173">
            <v>1.5</v>
          </cell>
          <cell r="H173">
            <v>3</v>
          </cell>
          <cell r="I173">
            <v>3</v>
          </cell>
          <cell r="J173">
            <v>3</v>
          </cell>
          <cell r="K173">
            <v>3</v>
          </cell>
          <cell r="L173">
            <v>3</v>
          </cell>
          <cell r="M173">
            <v>3</v>
          </cell>
          <cell r="N173">
            <v>3</v>
          </cell>
          <cell r="O173">
            <v>3</v>
          </cell>
        </row>
        <row r="174">
          <cell r="A174" t="str">
            <v>2024JULB00034</v>
          </cell>
          <cell r="B174" t="str">
            <v>Ayush Anand</v>
          </cell>
          <cell r="C174">
            <v>2</v>
          </cell>
          <cell r="D174">
            <v>2</v>
          </cell>
          <cell r="E174">
            <v>2</v>
          </cell>
          <cell r="F174">
            <v>2</v>
          </cell>
          <cell r="G174">
            <v>2</v>
          </cell>
          <cell r="H174">
            <v>2</v>
          </cell>
          <cell r="I174">
            <v>2</v>
          </cell>
          <cell r="J174">
            <v>2</v>
          </cell>
          <cell r="K174">
            <v>2</v>
          </cell>
          <cell r="L174">
            <v>1</v>
          </cell>
          <cell r="M174">
            <v>2</v>
          </cell>
          <cell r="N174">
            <v>2</v>
          </cell>
          <cell r="O174">
            <v>2</v>
          </cell>
        </row>
        <row r="175">
          <cell r="A175" t="str">
            <v>2024JULB00030</v>
          </cell>
          <cell r="B175" t="str">
            <v>Ashish Abraham John</v>
          </cell>
          <cell r="C175">
            <v>3</v>
          </cell>
          <cell r="D175">
            <v>3</v>
          </cell>
          <cell r="E175">
            <v>3</v>
          </cell>
          <cell r="F175">
            <v>3</v>
          </cell>
          <cell r="G175">
            <v>1.5</v>
          </cell>
          <cell r="H175">
            <v>3</v>
          </cell>
          <cell r="I175">
            <v>3</v>
          </cell>
          <cell r="J175">
            <v>4</v>
          </cell>
          <cell r="K175">
            <v>4</v>
          </cell>
          <cell r="L175">
            <v>4</v>
          </cell>
          <cell r="M175">
            <v>3</v>
          </cell>
          <cell r="N175">
            <v>3</v>
          </cell>
          <cell r="O175">
            <v>3</v>
          </cell>
        </row>
        <row r="176">
          <cell r="A176" t="str">
            <v>2024JULB00131</v>
          </cell>
          <cell r="B176" t="str">
            <v>Sai Krishna Kaveti</v>
          </cell>
          <cell r="C176">
            <v>3</v>
          </cell>
          <cell r="D176">
            <v>3</v>
          </cell>
          <cell r="E176">
            <v>3</v>
          </cell>
          <cell r="F176">
            <v>3</v>
          </cell>
          <cell r="G176">
            <v>1.5</v>
          </cell>
          <cell r="H176">
            <v>3</v>
          </cell>
          <cell r="I176">
            <v>3</v>
          </cell>
          <cell r="J176">
            <v>3</v>
          </cell>
          <cell r="K176">
            <v>3</v>
          </cell>
          <cell r="L176">
            <v>3</v>
          </cell>
          <cell r="M176">
            <v>3</v>
          </cell>
          <cell r="N176">
            <v>4</v>
          </cell>
          <cell r="O176">
            <v>4</v>
          </cell>
        </row>
        <row r="177">
          <cell r="A177" t="str">
            <v>2024JULB00200</v>
          </cell>
          <cell r="B177" t="str">
            <v>Meghana Jaya Satuluri</v>
          </cell>
          <cell r="C177">
            <v>3</v>
          </cell>
          <cell r="D177">
            <v>3</v>
          </cell>
          <cell r="E177">
            <v>4</v>
          </cell>
          <cell r="F177">
            <v>3</v>
          </cell>
          <cell r="G177">
            <v>3.5</v>
          </cell>
          <cell r="H177">
            <v>3</v>
          </cell>
          <cell r="I177">
            <v>3</v>
          </cell>
          <cell r="J177">
            <v>3</v>
          </cell>
          <cell r="K177">
            <v>3</v>
          </cell>
          <cell r="L177">
            <v>3</v>
          </cell>
          <cell r="M177">
            <v>3</v>
          </cell>
          <cell r="N177">
            <v>3</v>
          </cell>
          <cell r="O177">
            <v>3</v>
          </cell>
        </row>
        <row r="178">
          <cell r="A178" t="str">
            <v>2024JULB00209</v>
          </cell>
          <cell r="B178" t="str">
            <v>Isha Gera</v>
          </cell>
          <cell r="C178">
            <v>2</v>
          </cell>
          <cell r="D178">
            <v>2</v>
          </cell>
          <cell r="E178">
            <v>2</v>
          </cell>
          <cell r="F178">
            <v>2</v>
          </cell>
          <cell r="G178">
            <v>2</v>
          </cell>
          <cell r="H178">
            <v>2</v>
          </cell>
          <cell r="I178">
            <v>2</v>
          </cell>
          <cell r="J178">
            <v>2</v>
          </cell>
          <cell r="K178">
            <v>2</v>
          </cell>
          <cell r="L178">
            <v>2</v>
          </cell>
          <cell r="M178">
            <v>2</v>
          </cell>
          <cell r="N178">
            <v>2</v>
          </cell>
          <cell r="O178">
            <v>2</v>
          </cell>
        </row>
        <row r="179">
          <cell r="A179" t="str">
            <v>2024JULB00163</v>
          </cell>
          <cell r="B179" t="str">
            <v>Sudharsan B</v>
          </cell>
          <cell r="C179">
            <v>2</v>
          </cell>
          <cell r="D179">
            <v>3</v>
          </cell>
          <cell r="E179">
            <v>3</v>
          </cell>
          <cell r="F179">
            <v>2</v>
          </cell>
          <cell r="G179">
            <v>0.5</v>
          </cell>
          <cell r="H179">
            <v>2</v>
          </cell>
          <cell r="I179">
            <v>2</v>
          </cell>
          <cell r="J179">
            <v>3</v>
          </cell>
          <cell r="K179">
            <v>2</v>
          </cell>
          <cell r="L179">
            <v>3</v>
          </cell>
          <cell r="M179">
            <v>3</v>
          </cell>
          <cell r="N179">
            <v>2</v>
          </cell>
          <cell r="O179">
            <v>2</v>
          </cell>
        </row>
        <row r="180">
          <cell r="A180" t="str">
            <v>2024JULB00146</v>
          </cell>
          <cell r="B180" t="str">
            <v>Shruti Sharma</v>
          </cell>
          <cell r="C180">
            <v>2</v>
          </cell>
          <cell r="D180">
            <v>3</v>
          </cell>
          <cell r="E180">
            <v>3</v>
          </cell>
          <cell r="F180">
            <v>2</v>
          </cell>
          <cell r="G180">
            <v>2.5</v>
          </cell>
          <cell r="H180">
            <v>2</v>
          </cell>
          <cell r="I180">
            <v>3</v>
          </cell>
          <cell r="J180">
            <v>3</v>
          </cell>
          <cell r="K180">
            <v>2</v>
          </cell>
          <cell r="L180">
            <v>3</v>
          </cell>
          <cell r="M180">
            <v>3</v>
          </cell>
          <cell r="N180">
            <v>2</v>
          </cell>
          <cell r="O180">
            <v>2</v>
          </cell>
        </row>
        <row r="181">
          <cell r="A181" t="str">
            <v>2024JULB00137</v>
          </cell>
          <cell r="B181" t="str">
            <v>Saurav Kumar</v>
          </cell>
          <cell r="C181">
            <v>2</v>
          </cell>
          <cell r="D181">
            <v>3</v>
          </cell>
          <cell r="E181">
            <v>2</v>
          </cell>
          <cell r="F181">
            <v>2</v>
          </cell>
          <cell r="G181">
            <v>2</v>
          </cell>
          <cell r="H181">
            <v>2</v>
          </cell>
          <cell r="I181">
            <v>3</v>
          </cell>
          <cell r="J181">
            <v>2</v>
          </cell>
          <cell r="K181">
            <v>3</v>
          </cell>
          <cell r="L181">
            <v>2</v>
          </cell>
          <cell r="M181">
            <v>2</v>
          </cell>
          <cell r="N181">
            <v>2</v>
          </cell>
          <cell r="O181">
            <v>2</v>
          </cell>
        </row>
        <row r="182">
          <cell r="A182" t="str">
            <v>2024JULB00107</v>
          </cell>
          <cell r="B182" t="str">
            <v>Pavitra V</v>
          </cell>
          <cell r="C182">
            <v>4</v>
          </cell>
          <cell r="D182">
            <v>4</v>
          </cell>
          <cell r="E182">
            <v>3</v>
          </cell>
          <cell r="F182">
            <v>4</v>
          </cell>
          <cell r="G182">
            <v>2.5</v>
          </cell>
          <cell r="H182">
            <v>3</v>
          </cell>
          <cell r="I182">
            <v>4</v>
          </cell>
          <cell r="J182">
            <v>3</v>
          </cell>
          <cell r="K182">
            <v>4</v>
          </cell>
          <cell r="L182">
            <v>3</v>
          </cell>
          <cell r="M182">
            <v>4</v>
          </cell>
          <cell r="N182">
            <v>4</v>
          </cell>
          <cell r="O182">
            <v>4</v>
          </cell>
        </row>
        <row r="183">
          <cell r="A183" t="str">
            <v>2024JULB00174</v>
          </cell>
          <cell r="B183" t="str">
            <v>Urvi Verma</v>
          </cell>
          <cell r="C183">
            <v>3</v>
          </cell>
          <cell r="D183">
            <v>3</v>
          </cell>
          <cell r="E183">
            <v>3</v>
          </cell>
          <cell r="F183">
            <v>3</v>
          </cell>
          <cell r="G183">
            <v>4</v>
          </cell>
          <cell r="H183">
            <v>3</v>
          </cell>
          <cell r="I183">
            <v>3</v>
          </cell>
          <cell r="J183">
            <v>3</v>
          </cell>
          <cell r="K183">
            <v>3</v>
          </cell>
          <cell r="L183">
            <v>3</v>
          </cell>
          <cell r="M183">
            <v>3</v>
          </cell>
          <cell r="N183">
            <v>3</v>
          </cell>
          <cell r="O183">
            <v>3</v>
          </cell>
        </row>
        <row r="184">
          <cell r="A184" t="str">
            <v>2024JULB00025</v>
          </cell>
          <cell r="B184" t="str">
            <v>Arit Roy</v>
          </cell>
          <cell r="C184">
            <v>4</v>
          </cell>
          <cell r="D184">
            <v>4</v>
          </cell>
          <cell r="E184">
            <v>4</v>
          </cell>
          <cell r="F184">
            <v>4</v>
          </cell>
          <cell r="G184">
            <v>3.5</v>
          </cell>
          <cell r="H184">
            <v>4</v>
          </cell>
          <cell r="I184">
            <v>3</v>
          </cell>
          <cell r="J184">
            <v>4</v>
          </cell>
          <cell r="K184">
            <v>4</v>
          </cell>
          <cell r="L184">
            <v>4</v>
          </cell>
          <cell r="M184">
            <v>3</v>
          </cell>
          <cell r="N184">
            <v>4</v>
          </cell>
          <cell r="O184">
            <v>3</v>
          </cell>
        </row>
        <row r="185">
          <cell r="A185" t="str">
            <v>2024JULB00104</v>
          </cell>
          <cell r="B185" t="str">
            <v>Nitesh Ramniwas Saini</v>
          </cell>
          <cell r="C185">
            <v>3</v>
          </cell>
          <cell r="D185">
            <v>3</v>
          </cell>
          <cell r="E185">
            <v>3</v>
          </cell>
          <cell r="F185">
            <v>3</v>
          </cell>
          <cell r="G185">
            <v>3</v>
          </cell>
          <cell r="H185">
            <v>3</v>
          </cell>
          <cell r="I185">
            <v>3</v>
          </cell>
          <cell r="J185">
            <v>3</v>
          </cell>
          <cell r="K185">
            <v>3</v>
          </cell>
          <cell r="L185">
            <v>3</v>
          </cell>
          <cell r="M185">
            <v>3</v>
          </cell>
          <cell r="N185">
            <v>3</v>
          </cell>
          <cell r="O185">
            <v>3</v>
          </cell>
        </row>
        <row r="186">
          <cell r="A186" t="str">
            <v>2024JULB00008</v>
          </cell>
          <cell r="B186" t="str">
            <v>Adarsh Raj Barman</v>
          </cell>
          <cell r="C186">
            <v>3</v>
          </cell>
          <cell r="D186">
            <v>3</v>
          </cell>
          <cell r="E186">
            <v>4</v>
          </cell>
          <cell r="F186">
            <v>3</v>
          </cell>
          <cell r="G186">
            <v>2.5</v>
          </cell>
          <cell r="H186">
            <v>2</v>
          </cell>
          <cell r="I186">
            <v>4</v>
          </cell>
          <cell r="J186">
            <v>4</v>
          </cell>
          <cell r="K186">
            <v>2</v>
          </cell>
          <cell r="L186">
            <v>3</v>
          </cell>
          <cell r="M186">
            <v>3</v>
          </cell>
          <cell r="N186">
            <v>3</v>
          </cell>
          <cell r="O186">
            <v>4</v>
          </cell>
        </row>
        <row r="187">
          <cell r="A187" t="str">
            <v>2024JULB00159</v>
          </cell>
          <cell r="B187" t="str">
            <v>Sreya Sivadas</v>
          </cell>
          <cell r="C187">
            <v>4</v>
          </cell>
          <cell r="D187">
            <v>4</v>
          </cell>
          <cell r="E187">
            <v>4</v>
          </cell>
          <cell r="F187">
            <v>4</v>
          </cell>
          <cell r="G187">
            <v>2</v>
          </cell>
          <cell r="H187">
            <v>4</v>
          </cell>
          <cell r="I187">
            <v>4</v>
          </cell>
          <cell r="J187">
            <v>4</v>
          </cell>
          <cell r="K187">
            <v>4</v>
          </cell>
          <cell r="L187">
            <v>4</v>
          </cell>
          <cell r="M187">
            <v>4</v>
          </cell>
          <cell r="N187">
            <v>4</v>
          </cell>
          <cell r="O187">
            <v>4</v>
          </cell>
        </row>
        <row r="188">
          <cell r="A188" t="str">
            <v>2024JULB00098</v>
          </cell>
          <cell r="B188" t="str">
            <v>Naitik Roy</v>
          </cell>
          <cell r="C188">
            <v>3</v>
          </cell>
          <cell r="D188">
            <v>3</v>
          </cell>
          <cell r="E188">
            <v>3</v>
          </cell>
          <cell r="F188">
            <v>3</v>
          </cell>
          <cell r="G188">
            <v>1.5</v>
          </cell>
          <cell r="H188">
            <v>3</v>
          </cell>
          <cell r="I188">
            <v>3</v>
          </cell>
          <cell r="J188">
            <v>3</v>
          </cell>
          <cell r="K188">
            <v>3</v>
          </cell>
          <cell r="L188">
            <v>3</v>
          </cell>
          <cell r="M188">
            <v>3</v>
          </cell>
          <cell r="N188">
            <v>3</v>
          </cell>
          <cell r="O188">
            <v>3</v>
          </cell>
        </row>
        <row r="189">
          <cell r="A189" t="str">
            <v>2024JULB00198</v>
          </cell>
          <cell r="B189" t="str">
            <v>Suvam Basak</v>
          </cell>
          <cell r="C189">
            <v>3</v>
          </cell>
          <cell r="D189">
            <v>3</v>
          </cell>
          <cell r="E189">
            <v>3</v>
          </cell>
          <cell r="F189">
            <v>3</v>
          </cell>
          <cell r="G189">
            <v>3</v>
          </cell>
          <cell r="H189">
            <v>3</v>
          </cell>
          <cell r="I189">
            <v>3</v>
          </cell>
          <cell r="J189">
            <v>3</v>
          </cell>
          <cell r="K189">
            <v>3</v>
          </cell>
          <cell r="L189">
            <v>3</v>
          </cell>
          <cell r="M189">
            <v>3</v>
          </cell>
          <cell r="N189">
            <v>3</v>
          </cell>
          <cell r="O189">
            <v>3</v>
          </cell>
        </row>
        <row r="190">
          <cell r="A190" t="str">
            <v>2024JULB00064</v>
          </cell>
          <cell r="B190" t="str">
            <v>Hemant Prajapat</v>
          </cell>
          <cell r="C190">
            <v>3</v>
          </cell>
          <cell r="D190">
            <v>4</v>
          </cell>
          <cell r="E190">
            <v>3</v>
          </cell>
          <cell r="F190">
            <v>3</v>
          </cell>
          <cell r="G190">
            <v>3</v>
          </cell>
          <cell r="H190">
            <v>3</v>
          </cell>
          <cell r="I190">
            <v>3</v>
          </cell>
          <cell r="J190">
            <v>3</v>
          </cell>
          <cell r="K190">
            <v>4</v>
          </cell>
          <cell r="L190">
            <v>3</v>
          </cell>
          <cell r="M190">
            <v>3</v>
          </cell>
          <cell r="N190">
            <v>3</v>
          </cell>
          <cell r="O190">
            <v>3</v>
          </cell>
        </row>
        <row r="191">
          <cell r="A191" t="str">
            <v>2024JULB00149</v>
          </cell>
          <cell r="B191" t="str">
            <v>Shubham Kumar</v>
          </cell>
          <cell r="C191">
            <v>2</v>
          </cell>
          <cell r="D191">
            <v>2</v>
          </cell>
          <cell r="E191">
            <v>2</v>
          </cell>
          <cell r="F191">
            <v>1</v>
          </cell>
          <cell r="G191">
            <v>0.5</v>
          </cell>
          <cell r="H191">
            <v>2</v>
          </cell>
          <cell r="I191">
            <v>2</v>
          </cell>
          <cell r="J191">
            <v>2</v>
          </cell>
          <cell r="K191">
            <v>1</v>
          </cell>
          <cell r="L191">
            <v>2</v>
          </cell>
          <cell r="M191">
            <v>3</v>
          </cell>
          <cell r="N191">
            <v>2</v>
          </cell>
          <cell r="O191">
            <v>2</v>
          </cell>
        </row>
        <row r="192">
          <cell r="A192" t="str">
            <v>2024JULB00101</v>
          </cell>
          <cell r="B192" t="str">
            <v>Nimisha Baruah</v>
          </cell>
          <cell r="C192">
            <v>2</v>
          </cell>
          <cell r="D192">
            <v>2</v>
          </cell>
          <cell r="E192">
            <v>2</v>
          </cell>
          <cell r="F192">
            <v>3</v>
          </cell>
          <cell r="G192">
            <v>4</v>
          </cell>
          <cell r="H192">
            <v>2</v>
          </cell>
          <cell r="I192">
            <v>2</v>
          </cell>
          <cell r="J192">
            <v>3</v>
          </cell>
          <cell r="K192">
            <v>2</v>
          </cell>
          <cell r="L192">
            <v>3</v>
          </cell>
          <cell r="M192">
            <v>3</v>
          </cell>
          <cell r="N192">
            <v>2</v>
          </cell>
          <cell r="O192">
            <v>3</v>
          </cell>
        </row>
        <row r="193">
          <cell r="A193" t="str">
            <v>2024JULB00224</v>
          </cell>
          <cell r="B193" t="str">
            <v>Aniket Raj</v>
          </cell>
          <cell r="C193">
            <v>2</v>
          </cell>
          <cell r="D193">
            <v>3</v>
          </cell>
          <cell r="E193">
            <v>3</v>
          </cell>
          <cell r="F193">
            <v>4</v>
          </cell>
          <cell r="G193">
            <v>4</v>
          </cell>
          <cell r="H193">
            <v>3</v>
          </cell>
          <cell r="I193">
            <v>3</v>
          </cell>
          <cell r="J193">
            <v>3</v>
          </cell>
          <cell r="K193">
            <v>3</v>
          </cell>
          <cell r="L193">
            <v>2</v>
          </cell>
          <cell r="M193">
            <v>3</v>
          </cell>
          <cell r="N193">
            <v>3</v>
          </cell>
          <cell r="O193">
            <v>3</v>
          </cell>
        </row>
        <row r="194">
          <cell r="A194" t="str">
            <v>2024JULB00196</v>
          </cell>
          <cell r="B194" t="str">
            <v>Piyush Kumar</v>
          </cell>
          <cell r="C194">
            <v>3</v>
          </cell>
          <cell r="D194">
            <v>4</v>
          </cell>
          <cell r="E194">
            <v>3</v>
          </cell>
          <cell r="F194">
            <v>3</v>
          </cell>
          <cell r="G194">
            <v>3.5</v>
          </cell>
          <cell r="H194">
            <v>2</v>
          </cell>
          <cell r="I194">
            <v>3</v>
          </cell>
          <cell r="J194">
            <v>4</v>
          </cell>
          <cell r="K194">
            <v>3</v>
          </cell>
          <cell r="L194">
            <v>4</v>
          </cell>
          <cell r="M194">
            <v>3</v>
          </cell>
          <cell r="N194">
            <v>4</v>
          </cell>
          <cell r="O194">
            <v>3</v>
          </cell>
        </row>
        <row r="195">
          <cell r="A195" t="str">
            <v>2024JULB00096</v>
          </cell>
          <cell r="B195" t="str">
            <v>Milan Krishna N E</v>
          </cell>
          <cell r="C195">
            <v>3</v>
          </cell>
          <cell r="D195">
            <v>3</v>
          </cell>
          <cell r="E195">
            <v>2</v>
          </cell>
          <cell r="F195">
            <v>2</v>
          </cell>
          <cell r="G195">
            <v>3</v>
          </cell>
          <cell r="H195">
            <v>2</v>
          </cell>
          <cell r="I195">
            <v>3</v>
          </cell>
          <cell r="J195">
            <v>4</v>
          </cell>
          <cell r="K195">
            <v>2</v>
          </cell>
          <cell r="L195">
            <v>3</v>
          </cell>
          <cell r="M195">
            <v>3</v>
          </cell>
          <cell r="N195">
            <v>3</v>
          </cell>
          <cell r="O195">
            <v>3</v>
          </cell>
        </row>
        <row r="196">
          <cell r="A196" t="str">
            <v>2024JULB00026</v>
          </cell>
          <cell r="B196" t="str">
            <v>Arush Mangal</v>
          </cell>
          <cell r="C196">
            <v>2</v>
          </cell>
          <cell r="D196">
            <v>2</v>
          </cell>
          <cell r="E196">
            <v>3</v>
          </cell>
          <cell r="F196">
            <v>3</v>
          </cell>
          <cell r="G196">
            <v>2.5</v>
          </cell>
          <cell r="H196">
            <v>4</v>
          </cell>
          <cell r="I196">
            <v>2</v>
          </cell>
          <cell r="J196">
            <v>2</v>
          </cell>
          <cell r="K196">
            <v>2</v>
          </cell>
          <cell r="L196">
            <v>2</v>
          </cell>
          <cell r="M196">
            <v>3</v>
          </cell>
          <cell r="N196">
            <v>3</v>
          </cell>
          <cell r="O196">
            <v>3</v>
          </cell>
        </row>
        <row r="197">
          <cell r="A197" t="str">
            <v>2024JULB00124</v>
          </cell>
          <cell r="B197" t="str">
            <v>Ritaban Roy</v>
          </cell>
          <cell r="C197">
            <v>4</v>
          </cell>
          <cell r="D197">
            <v>4</v>
          </cell>
          <cell r="E197">
            <v>3</v>
          </cell>
          <cell r="F197">
            <v>4</v>
          </cell>
          <cell r="G197">
            <v>4</v>
          </cell>
          <cell r="H197">
            <v>4</v>
          </cell>
          <cell r="I197">
            <v>2</v>
          </cell>
          <cell r="J197">
            <v>3</v>
          </cell>
          <cell r="K197">
            <v>4</v>
          </cell>
          <cell r="L197">
            <v>3</v>
          </cell>
          <cell r="M197">
            <v>3</v>
          </cell>
          <cell r="N197">
            <v>4</v>
          </cell>
          <cell r="O197">
            <v>4</v>
          </cell>
        </row>
        <row r="198">
          <cell r="A198" t="str">
            <v>2024JULB00211</v>
          </cell>
          <cell r="B198" t="str">
            <v>Purnita Gupta</v>
          </cell>
          <cell r="C198">
            <v>3</v>
          </cell>
          <cell r="D198">
            <v>2</v>
          </cell>
          <cell r="E198">
            <v>3</v>
          </cell>
          <cell r="F198">
            <v>3</v>
          </cell>
          <cell r="G198">
            <v>2.5</v>
          </cell>
          <cell r="H198">
            <v>2</v>
          </cell>
          <cell r="I198">
            <v>3</v>
          </cell>
          <cell r="J198">
            <v>2</v>
          </cell>
          <cell r="K198">
            <v>2</v>
          </cell>
          <cell r="L198">
            <v>2</v>
          </cell>
          <cell r="M198">
            <v>3</v>
          </cell>
          <cell r="N198">
            <v>3</v>
          </cell>
          <cell r="O198">
            <v>3</v>
          </cell>
        </row>
        <row r="199">
          <cell r="A199" t="str">
            <v>2024JULB00189</v>
          </cell>
          <cell r="B199" t="str">
            <v>Rahul Kumar Mallick</v>
          </cell>
          <cell r="C199">
            <v>4</v>
          </cell>
          <cell r="D199">
            <v>4</v>
          </cell>
          <cell r="E199">
            <v>4</v>
          </cell>
          <cell r="F199">
            <v>4</v>
          </cell>
          <cell r="G199">
            <v>3</v>
          </cell>
          <cell r="H199">
            <v>4</v>
          </cell>
          <cell r="I199">
            <v>4</v>
          </cell>
          <cell r="J199">
            <v>4</v>
          </cell>
          <cell r="K199">
            <v>4</v>
          </cell>
          <cell r="L199">
            <v>4</v>
          </cell>
          <cell r="M199">
            <v>3</v>
          </cell>
          <cell r="N199">
            <v>4</v>
          </cell>
          <cell r="O199">
            <v>4</v>
          </cell>
        </row>
        <row r="200">
          <cell r="A200" t="str">
            <v>2024JULB00073</v>
          </cell>
          <cell r="B200" t="str">
            <v>K Balaji Reddy</v>
          </cell>
          <cell r="C200">
            <v>2</v>
          </cell>
          <cell r="D200">
            <v>2</v>
          </cell>
          <cell r="E200">
            <v>2</v>
          </cell>
          <cell r="F200">
            <v>2</v>
          </cell>
          <cell r="G200">
            <v>2</v>
          </cell>
          <cell r="H200">
            <v>2</v>
          </cell>
          <cell r="I200">
            <v>2</v>
          </cell>
          <cell r="J200">
            <v>2</v>
          </cell>
          <cell r="K200">
            <v>2</v>
          </cell>
          <cell r="L200">
            <v>2</v>
          </cell>
          <cell r="M200">
            <v>2</v>
          </cell>
          <cell r="N200">
            <v>3</v>
          </cell>
          <cell r="O200">
            <v>3</v>
          </cell>
        </row>
        <row r="201">
          <cell r="A201" t="str">
            <v>2024JULB00115</v>
          </cell>
          <cell r="B201" t="str">
            <v>Pujarchana Nayak</v>
          </cell>
          <cell r="C201">
            <v>2</v>
          </cell>
          <cell r="D201">
            <v>2</v>
          </cell>
          <cell r="E201">
            <v>2</v>
          </cell>
          <cell r="F201">
            <v>2</v>
          </cell>
          <cell r="G201">
            <v>2</v>
          </cell>
          <cell r="H201">
            <v>3</v>
          </cell>
          <cell r="I201">
            <v>2</v>
          </cell>
          <cell r="J201">
            <v>2</v>
          </cell>
          <cell r="K201">
            <v>2</v>
          </cell>
          <cell r="L201">
            <v>2</v>
          </cell>
          <cell r="M201">
            <v>3</v>
          </cell>
          <cell r="N201">
            <v>2</v>
          </cell>
          <cell r="O201">
            <v>2</v>
          </cell>
        </row>
        <row r="202">
          <cell r="A202" t="str">
            <v>2024JULB00007</v>
          </cell>
          <cell r="B202" t="str">
            <v>Adarsh G</v>
          </cell>
          <cell r="C202">
            <v>2</v>
          </cell>
          <cell r="D202">
            <v>3</v>
          </cell>
          <cell r="E202">
            <v>3</v>
          </cell>
          <cell r="F202">
            <v>3</v>
          </cell>
          <cell r="G202">
            <v>2.5</v>
          </cell>
          <cell r="H202">
            <v>2</v>
          </cell>
          <cell r="I202">
            <v>3</v>
          </cell>
          <cell r="J202">
            <v>3</v>
          </cell>
          <cell r="K202">
            <v>2</v>
          </cell>
          <cell r="L202">
            <v>2</v>
          </cell>
          <cell r="M202">
            <v>3</v>
          </cell>
          <cell r="N202">
            <v>4</v>
          </cell>
          <cell r="O202">
            <v>3</v>
          </cell>
        </row>
        <row r="203">
          <cell r="A203" t="str">
            <v>2024JULB00171</v>
          </cell>
          <cell r="B203" t="str">
            <v>Thribhuvan Gowda</v>
          </cell>
          <cell r="C203">
            <v>2</v>
          </cell>
          <cell r="D203">
            <v>3</v>
          </cell>
          <cell r="E203">
            <v>3</v>
          </cell>
          <cell r="F203">
            <v>2</v>
          </cell>
          <cell r="G203">
            <v>2.5</v>
          </cell>
          <cell r="H203">
            <v>3</v>
          </cell>
          <cell r="I203">
            <v>2</v>
          </cell>
          <cell r="J203">
            <v>3</v>
          </cell>
          <cell r="K203">
            <v>2</v>
          </cell>
          <cell r="L203">
            <v>2</v>
          </cell>
          <cell r="M203">
            <v>3</v>
          </cell>
          <cell r="N203">
            <v>3</v>
          </cell>
          <cell r="O203">
            <v>3</v>
          </cell>
        </row>
        <row r="204">
          <cell r="A204" t="str">
            <v>2024JULB00251</v>
          </cell>
          <cell r="B204" t="str">
            <v>Rishi Raj Yadav</v>
          </cell>
          <cell r="C204">
            <v>3</v>
          </cell>
          <cell r="D204">
            <v>5</v>
          </cell>
          <cell r="E204">
            <v>4</v>
          </cell>
          <cell r="F204">
            <v>4</v>
          </cell>
          <cell r="G204">
            <v>3</v>
          </cell>
          <cell r="H204">
            <v>4</v>
          </cell>
          <cell r="I204">
            <v>3</v>
          </cell>
          <cell r="J204">
            <v>4</v>
          </cell>
          <cell r="K204">
            <v>4</v>
          </cell>
          <cell r="L204">
            <v>3</v>
          </cell>
          <cell r="M204">
            <v>3</v>
          </cell>
          <cell r="N204">
            <v>3</v>
          </cell>
          <cell r="O204">
            <v>3</v>
          </cell>
        </row>
        <row r="205">
          <cell r="A205" t="str">
            <v>2024JULB00041</v>
          </cell>
          <cell r="B205" t="str">
            <v>C Divyashree</v>
          </cell>
          <cell r="C205">
            <v>3</v>
          </cell>
          <cell r="D205">
            <v>5</v>
          </cell>
          <cell r="E205">
            <v>4</v>
          </cell>
          <cell r="F205">
            <v>3</v>
          </cell>
          <cell r="G205">
            <v>2.5</v>
          </cell>
          <cell r="H205">
            <v>3</v>
          </cell>
          <cell r="I205">
            <v>3</v>
          </cell>
          <cell r="J205">
            <v>4</v>
          </cell>
          <cell r="K205">
            <v>4</v>
          </cell>
          <cell r="L205">
            <v>3</v>
          </cell>
          <cell r="M205">
            <v>3</v>
          </cell>
          <cell r="N205">
            <v>3</v>
          </cell>
          <cell r="O205">
            <v>3</v>
          </cell>
        </row>
        <row r="206">
          <cell r="A206" t="str">
            <v>2024JULB00002</v>
          </cell>
          <cell r="B206" t="str">
            <v>Aaditya K</v>
          </cell>
          <cell r="C206">
            <v>3</v>
          </cell>
          <cell r="D206">
            <v>3</v>
          </cell>
          <cell r="E206">
            <v>2</v>
          </cell>
          <cell r="F206">
            <v>4</v>
          </cell>
          <cell r="G206">
            <v>1.5</v>
          </cell>
          <cell r="H206">
            <v>2</v>
          </cell>
          <cell r="I206">
            <v>3</v>
          </cell>
          <cell r="J206">
            <v>3</v>
          </cell>
          <cell r="K206">
            <v>2</v>
          </cell>
          <cell r="L206">
            <v>3</v>
          </cell>
          <cell r="M206">
            <v>3</v>
          </cell>
          <cell r="N206">
            <v>4</v>
          </cell>
          <cell r="O206">
            <v>3</v>
          </cell>
        </row>
        <row r="207">
          <cell r="A207" t="str">
            <v>2024JULB00023</v>
          </cell>
          <cell r="B207" t="str">
            <v>Anushk Goel</v>
          </cell>
          <cell r="C207">
            <v>3</v>
          </cell>
          <cell r="D207">
            <v>2</v>
          </cell>
          <cell r="E207">
            <v>2</v>
          </cell>
          <cell r="F207">
            <v>3</v>
          </cell>
          <cell r="G207">
            <v>3.5</v>
          </cell>
          <cell r="H207">
            <v>2</v>
          </cell>
          <cell r="I207">
            <v>3</v>
          </cell>
          <cell r="J207">
            <v>3</v>
          </cell>
          <cell r="K207">
            <v>2</v>
          </cell>
          <cell r="L207">
            <v>4</v>
          </cell>
          <cell r="M207">
            <v>3</v>
          </cell>
          <cell r="N207">
            <v>2</v>
          </cell>
          <cell r="O207">
            <v>3</v>
          </cell>
        </row>
        <row r="208">
          <cell r="A208" t="str">
            <v>2024JULB00017</v>
          </cell>
          <cell r="B208" t="str">
            <v>Anamitra Dutta</v>
          </cell>
          <cell r="C208">
            <v>3</v>
          </cell>
          <cell r="D208">
            <v>4</v>
          </cell>
          <cell r="E208">
            <v>4</v>
          </cell>
          <cell r="F208">
            <v>4</v>
          </cell>
          <cell r="G208">
            <v>4</v>
          </cell>
          <cell r="H208">
            <v>3</v>
          </cell>
          <cell r="I208">
            <v>4</v>
          </cell>
          <cell r="J208">
            <v>4</v>
          </cell>
          <cell r="K208">
            <v>4</v>
          </cell>
          <cell r="L208">
            <v>3</v>
          </cell>
          <cell r="M208">
            <v>3</v>
          </cell>
          <cell r="N208">
            <v>4</v>
          </cell>
          <cell r="O208">
            <v>4</v>
          </cell>
        </row>
        <row r="209">
          <cell r="A209" t="str">
            <v>2024JULB00260</v>
          </cell>
          <cell r="B209" t="str">
            <v>Vishal Durga Rao Gandu</v>
          </cell>
          <cell r="C209">
            <v>1</v>
          </cell>
          <cell r="D209">
            <v>1</v>
          </cell>
          <cell r="E209">
            <v>1</v>
          </cell>
          <cell r="F209">
            <v>1</v>
          </cell>
          <cell r="G209">
            <v>1.5</v>
          </cell>
          <cell r="H209">
            <v>1</v>
          </cell>
          <cell r="I209">
            <v>1</v>
          </cell>
          <cell r="J209">
            <v>1</v>
          </cell>
          <cell r="K209">
            <v>1</v>
          </cell>
          <cell r="L209">
            <v>1</v>
          </cell>
          <cell r="M209">
            <v>3</v>
          </cell>
          <cell r="N209">
            <v>1</v>
          </cell>
          <cell r="O209">
            <v>1</v>
          </cell>
        </row>
        <row r="210">
          <cell r="A210" t="str">
            <v>2024JULB00103</v>
          </cell>
          <cell r="B210" t="str">
            <v>Nishant Mishra</v>
          </cell>
          <cell r="C210">
            <v>3</v>
          </cell>
          <cell r="D210">
            <v>2</v>
          </cell>
          <cell r="E210">
            <v>2</v>
          </cell>
          <cell r="F210">
            <v>2</v>
          </cell>
          <cell r="G210">
            <v>2</v>
          </cell>
          <cell r="H210">
            <v>2</v>
          </cell>
          <cell r="I210">
            <v>3</v>
          </cell>
          <cell r="J210">
            <v>3</v>
          </cell>
          <cell r="K210">
            <v>3</v>
          </cell>
          <cell r="L210">
            <v>2</v>
          </cell>
          <cell r="M210">
            <v>3</v>
          </cell>
          <cell r="N210">
            <v>2</v>
          </cell>
          <cell r="O210">
            <v>2</v>
          </cell>
        </row>
        <row r="211">
          <cell r="A211" t="str">
            <v>2024JULB00071</v>
          </cell>
          <cell r="B211" t="str">
            <v>Jyoti Sahoo</v>
          </cell>
          <cell r="C211">
            <v>3</v>
          </cell>
          <cell r="D211">
            <v>3</v>
          </cell>
          <cell r="E211">
            <v>2</v>
          </cell>
          <cell r="F211">
            <v>4</v>
          </cell>
          <cell r="G211">
            <v>3</v>
          </cell>
          <cell r="H211">
            <v>2</v>
          </cell>
          <cell r="I211">
            <v>4</v>
          </cell>
          <cell r="J211">
            <v>3</v>
          </cell>
          <cell r="K211">
            <v>3</v>
          </cell>
          <cell r="L211">
            <v>4</v>
          </cell>
          <cell r="M211">
            <v>3</v>
          </cell>
          <cell r="N211">
            <v>3</v>
          </cell>
          <cell r="O211">
            <v>3</v>
          </cell>
        </row>
        <row r="212">
          <cell r="A212" t="str">
            <v>2024JULB00033</v>
          </cell>
          <cell r="B212" t="str">
            <v>Ashwin Bhaskar</v>
          </cell>
          <cell r="C212">
            <v>2</v>
          </cell>
          <cell r="D212">
            <v>3</v>
          </cell>
          <cell r="E212">
            <v>2</v>
          </cell>
          <cell r="F212">
            <v>2</v>
          </cell>
          <cell r="G212">
            <v>1.5</v>
          </cell>
          <cell r="H212">
            <v>2</v>
          </cell>
          <cell r="I212">
            <v>3</v>
          </cell>
          <cell r="J212">
            <v>3</v>
          </cell>
          <cell r="K212">
            <v>2</v>
          </cell>
          <cell r="L212">
            <v>3</v>
          </cell>
          <cell r="M212">
            <v>3</v>
          </cell>
          <cell r="N212">
            <v>2</v>
          </cell>
          <cell r="O212">
            <v>3</v>
          </cell>
        </row>
        <row r="213">
          <cell r="A213" t="str">
            <v>2024JULB00044</v>
          </cell>
          <cell r="B213" t="str">
            <v>Chirag Bhardwaj</v>
          </cell>
          <cell r="C213">
            <v>3</v>
          </cell>
          <cell r="D213">
            <v>3</v>
          </cell>
          <cell r="E213">
            <v>3</v>
          </cell>
          <cell r="F213">
            <v>3</v>
          </cell>
          <cell r="G213">
            <v>3</v>
          </cell>
          <cell r="H213">
            <v>3</v>
          </cell>
          <cell r="I213">
            <v>3</v>
          </cell>
          <cell r="J213">
            <v>3</v>
          </cell>
          <cell r="K213">
            <v>3</v>
          </cell>
          <cell r="L213">
            <v>3</v>
          </cell>
          <cell r="M213">
            <v>3</v>
          </cell>
          <cell r="N213">
            <v>4</v>
          </cell>
          <cell r="O213">
            <v>3</v>
          </cell>
        </row>
        <row r="214">
          <cell r="A214" t="str">
            <v>2024JULB00253</v>
          </cell>
          <cell r="B214" t="str">
            <v>Pritam Raju Shet</v>
          </cell>
          <cell r="C214">
            <v>2</v>
          </cell>
          <cell r="D214">
            <v>3</v>
          </cell>
          <cell r="E214">
            <v>3</v>
          </cell>
          <cell r="F214">
            <v>3</v>
          </cell>
          <cell r="G214">
            <v>3.5</v>
          </cell>
          <cell r="H214">
            <v>3</v>
          </cell>
          <cell r="I214">
            <v>3</v>
          </cell>
          <cell r="J214">
            <v>3</v>
          </cell>
          <cell r="K214">
            <v>3</v>
          </cell>
          <cell r="L214">
            <v>3</v>
          </cell>
          <cell r="M214">
            <v>3</v>
          </cell>
          <cell r="N214">
            <v>3</v>
          </cell>
          <cell r="O214">
            <v>3</v>
          </cell>
        </row>
        <row r="215">
          <cell r="A215" t="str">
            <v>2024JULB00003</v>
          </cell>
          <cell r="B215" t="str">
            <v>Aanchal Sapra</v>
          </cell>
          <cell r="C215">
            <v>3</v>
          </cell>
          <cell r="D215">
            <v>3</v>
          </cell>
          <cell r="E215">
            <v>3</v>
          </cell>
          <cell r="F215">
            <v>3</v>
          </cell>
          <cell r="G215">
            <v>2</v>
          </cell>
          <cell r="H215">
            <v>2</v>
          </cell>
          <cell r="I215">
            <v>3</v>
          </cell>
          <cell r="J215">
            <v>2</v>
          </cell>
          <cell r="K215">
            <v>3</v>
          </cell>
          <cell r="L215">
            <v>3</v>
          </cell>
          <cell r="M215">
            <v>3</v>
          </cell>
          <cell r="N215">
            <v>3</v>
          </cell>
          <cell r="O215">
            <v>3</v>
          </cell>
        </row>
        <row r="216">
          <cell r="A216" t="str">
            <v>2024JULB00049</v>
          </cell>
          <cell r="B216" t="str">
            <v>Deepak Birthre</v>
          </cell>
          <cell r="C216">
            <v>4</v>
          </cell>
          <cell r="D216">
            <v>4</v>
          </cell>
          <cell r="E216">
            <v>3</v>
          </cell>
          <cell r="F216">
            <v>4</v>
          </cell>
          <cell r="G216">
            <v>4</v>
          </cell>
          <cell r="H216">
            <v>4</v>
          </cell>
          <cell r="I216">
            <v>4</v>
          </cell>
          <cell r="J216">
            <v>3</v>
          </cell>
          <cell r="K216">
            <v>4</v>
          </cell>
          <cell r="L216">
            <v>3</v>
          </cell>
          <cell r="M216">
            <v>4</v>
          </cell>
          <cell r="N216">
            <v>4</v>
          </cell>
          <cell r="O216">
            <v>4</v>
          </cell>
        </row>
        <row r="217">
          <cell r="A217" t="str">
            <v>2024JULB00105</v>
          </cell>
          <cell r="B217" t="str">
            <v>Nithish Yuvaraj</v>
          </cell>
          <cell r="C217">
            <v>4</v>
          </cell>
          <cell r="D217">
            <v>4</v>
          </cell>
          <cell r="E217">
            <v>4</v>
          </cell>
          <cell r="F217">
            <v>4</v>
          </cell>
          <cell r="G217">
            <v>4</v>
          </cell>
          <cell r="H217">
            <v>4</v>
          </cell>
          <cell r="I217">
            <v>4</v>
          </cell>
          <cell r="J217">
            <v>4</v>
          </cell>
          <cell r="K217">
            <v>4</v>
          </cell>
          <cell r="L217">
            <v>4</v>
          </cell>
          <cell r="M217">
            <v>4</v>
          </cell>
          <cell r="N217">
            <v>4</v>
          </cell>
          <cell r="O217">
            <v>4</v>
          </cell>
        </row>
        <row r="218">
          <cell r="A218" t="str">
            <v>2024JULB00086</v>
          </cell>
          <cell r="B218" t="str">
            <v>Lakshita Chandak</v>
          </cell>
          <cell r="C218">
            <v>3</v>
          </cell>
          <cell r="D218">
            <v>3</v>
          </cell>
          <cell r="E218">
            <v>3</v>
          </cell>
          <cell r="F218">
            <v>3</v>
          </cell>
          <cell r="G218">
            <v>2</v>
          </cell>
          <cell r="H218">
            <v>2</v>
          </cell>
          <cell r="I218">
            <v>3</v>
          </cell>
          <cell r="J218">
            <v>3</v>
          </cell>
          <cell r="K218">
            <v>4</v>
          </cell>
          <cell r="L218">
            <v>2</v>
          </cell>
          <cell r="M218">
            <v>3</v>
          </cell>
          <cell r="N218">
            <v>3</v>
          </cell>
          <cell r="O218">
            <v>2</v>
          </cell>
        </row>
        <row r="219">
          <cell r="A219" t="str">
            <v>2024JULB00037</v>
          </cell>
          <cell r="B219" t="str">
            <v>Bhavik Puri</v>
          </cell>
          <cell r="C219">
            <v>3</v>
          </cell>
          <cell r="D219">
            <v>3</v>
          </cell>
          <cell r="E219">
            <v>3</v>
          </cell>
          <cell r="F219">
            <v>2</v>
          </cell>
          <cell r="G219">
            <v>2</v>
          </cell>
          <cell r="H219">
            <v>3</v>
          </cell>
          <cell r="I219">
            <v>3</v>
          </cell>
          <cell r="J219">
            <v>4</v>
          </cell>
          <cell r="K219">
            <v>3</v>
          </cell>
          <cell r="L219">
            <v>4</v>
          </cell>
          <cell r="M219">
            <v>3</v>
          </cell>
          <cell r="N219">
            <v>2</v>
          </cell>
          <cell r="O219">
            <v>3</v>
          </cell>
        </row>
        <row r="220">
          <cell r="A220" t="str">
            <v>2024JULB00081</v>
          </cell>
          <cell r="B220" t="str">
            <v>Krish Chakraborty</v>
          </cell>
          <cell r="C220">
            <v>3</v>
          </cell>
          <cell r="D220">
            <v>5</v>
          </cell>
          <cell r="E220">
            <v>4</v>
          </cell>
          <cell r="F220">
            <v>4</v>
          </cell>
          <cell r="G220">
            <v>2</v>
          </cell>
          <cell r="H220">
            <v>5</v>
          </cell>
          <cell r="I220">
            <v>3</v>
          </cell>
          <cell r="J220">
            <v>3</v>
          </cell>
          <cell r="K220">
            <v>3</v>
          </cell>
          <cell r="L220">
            <v>3</v>
          </cell>
          <cell r="M220">
            <v>3</v>
          </cell>
          <cell r="N220">
            <v>4</v>
          </cell>
          <cell r="O220">
            <v>4</v>
          </cell>
        </row>
        <row r="221">
          <cell r="A221" t="str">
            <v>2024JULB00088</v>
          </cell>
          <cell r="B221" t="str">
            <v>Leena D</v>
          </cell>
        </row>
        <row r="222">
          <cell r="A222" t="str">
            <v>2024JULB00074</v>
          </cell>
          <cell r="B222" t="str">
            <v>Karan Kashyap</v>
          </cell>
          <cell r="C222">
            <v>3</v>
          </cell>
          <cell r="D222">
            <v>4</v>
          </cell>
          <cell r="E222">
            <v>3</v>
          </cell>
          <cell r="F222">
            <v>2</v>
          </cell>
          <cell r="G222">
            <v>2.5</v>
          </cell>
          <cell r="H222">
            <v>3</v>
          </cell>
          <cell r="I222">
            <v>3</v>
          </cell>
          <cell r="J222">
            <v>4</v>
          </cell>
          <cell r="K222">
            <v>3</v>
          </cell>
          <cell r="L222">
            <v>4</v>
          </cell>
          <cell r="M222">
            <v>3</v>
          </cell>
          <cell r="N222">
            <v>2</v>
          </cell>
          <cell r="O222">
            <v>4</v>
          </cell>
        </row>
        <row r="223">
          <cell r="A223" t="str">
            <v>2024JULB00116</v>
          </cell>
          <cell r="B223" t="str">
            <v>Pushkar Dey</v>
          </cell>
          <cell r="C223">
            <v>3</v>
          </cell>
          <cell r="D223">
            <v>4</v>
          </cell>
          <cell r="E223">
            <v>3</v>
          </cell>
          <cell r="F223">
            <v>2</v>
          </cell>
          <cell r="G223">
            <v>2</v>
          </cell>
          <cell r="H223">
            <v>3</v>
          </cell>
          <cell r="I223">
            <v>3</v>
          </cell>
          <cell r="J223">
            <v>4</v>
          </cell>
          <cell r="K223">
            <v>3</v>
          </cell>
          <cell r="L223">
            <v>3</v>
          </cell>
          <cell r="M223">
            <v>3</v>
          </cell>
          <cell r="N223">
            <v>2</v>
          </cell>
          <cell r="O223">
            <v>4</v>
          </cell>
        </row>
        <row r="224">
          <cell r="A224" t="str">
            <v>2024JULB00184</v>
          </cell>
          <cell r="B224" t="str">
            <v>Yash Sen</v>
          </cell>
          <cell r="C224">
            <v>3</v>
          </cell>
          <cell r="D224">
            <v>3</v>
          </cell>
          <cell r="E224">
            <v>3</v>
          </cell>
          <cell r="F224">
            <v>3</v>
          </cell>
          <cell r="G224">
            <v>3.5</v>
          </cell>
          <cell r="H224">
            <v>3</v>
          </cell>
          <cell r="I224">
            <v>3</v>
          </cell>
          <cell r="J224">
            <v>4</v>
          </cell>
          <cell r="K224">
            <v>3</v>
          </cell>
          <cell r="L224">
            <v>3</v>
          </cell>
          <cell r="M224">
            <v>3</v>
          </cell>
          <cell r="N224">
            <v>3</v>
          </cell>
          <cell r="O224">
            <v>3</v>
          </cell>
        </row>
        <row r="225">
          <cell r="A225" t="str">
            <v>2024JULB00185</v>
          </cell>
          <cell r="B225" t="str">
            <v>Souvik Biswas</v>
          </cell>
          <cell r="C225">
            <v>4</v>
          </cell>
          <cell r="D225">
            <v>3</v>
          </cell>
          <cell r="E225">
            <v>4</v>
          </cell>
          <cell r="F225">
            <v>4</v>
          </cell>
          <cell r="G225">
            <v>3.5</v>
          </cell>
          <cell r="H225">
            <v>3</v>
          </cell>
          <cell r="I225">
            <v>4</v>
          </cell>
          <cell r="J225">
            <v>3</v>
          </cell>
          <cell r="K225">
            <v>4</v>
          </cell>
          <cell r="L225">
            <v>4</v>
          </cell>
          <cell r="M225">
            <v>3</v>
          </cell>
          <cell r="N225">
            <v>3</v>
          </cell>
          <cell r="O225">
            <v>3</v>
          </cell>
        </row>
        <row r="226">
          <cell r="A226" t="str">
            <v>2024JULB00109</v>
          </cell>
          <cell r="B226" t="str">
            <v>Poulami Sarkar</v>
          </cell>
          <cell r="C226">
            <v>4</v>
          </cell>
          <cell r="D226">
            <v>4</v>
          </cell>
          <cell r="E226">
            <v>4</v>
          </cell>
          <cell r="F226">
            <v>4</v>
          </cell>
          <cell r="G226">
            <v>4</v>
          </cell>
          <cell r="H226">
            <v>4</v>
          </cell>
          <cell r="I226">
            <v>4</v>
          </cell>
          <cell r="J226">
            <v>4</v>
          </cell>
          <cell r="K226">
            <v>4</v>
          </cell>
          <cell r="L226">
            <v>4</v>
          </cell>
          <cell r="M226">
            <v>4</v>
          </cell>
          <cell r="N226">
            <v>4</v>
          </cell>
          <cell r="O226">
            <v>3</v>
          </cell>
        </row>
        <row r="227">
          <cell r="A227" t="str">
            <v>2024JULB00221</v>
          </cell>
          <cell r="B227" t="str">
            <v>Dhruban Talukdar</v>
          </cell>
          <cell r="C227">
            <v>4</v>
          </cell>
          <cell r="D227">
            <v>4</v>
          </cell>
          <cell r="E227">
            <v>4</v>
          </cell>
          <cell r="F227">
            <v>4</v>
          </cell>
          <cell r="G227">
            <v>4</v>
          </cell>
          <cell r="H227">
            <v>4</v>
          </cell>
          <cell r="I227">
            <v>4</v>
          </cell>
          <cell r="J227">
            <v>4</v>
          </cell>
          <cell r="K227">
            <v>4</v>
          </cell>
          <cell r="L227">
            <v>4</v>
          </cell>
          <cell r="M227">
            <v>3</v>
          </cell>
          <cell r="N227">
            <v>4</v>
          </cell>
          <cell r="O227">
            <v>2</v>
          </cell>
        </row>
        <row r="228">
          <cell r="A228" t="str">
            <v>2024JULB00202</v>
          </cell>
          <cell r="B228" t="str">
            <v>Arnav Rastogi</v>
          </cell>
          <cell r="C228">
            <v>2</v>
          </cell>
          <cell r="D228">
            <v>3</v>
          </cell>
          <cell r="E228">
            <v>3</v>
          </cell>
          <cell r="F228">
            <v>3</v>
          </cell>
          <cell r="G228">
            <v>2</v>
          </cell>
          <cell r="H228">
            <v>3</v>
          </cell>
          <cell r="I228">
            <v>2</v>
          </cell>
          <cell r="J228">
            <v>2</v>
          </cell>
          <cell r="K228">
            <v>3</v>
          </cell>
          <cell r="L228">
            <v>2</v>
          </cell>
          <cell r="M228">
            <v>2</v>
          </cell>
          <cell r="N228">
            <v>2</v>
          </cell>
          <cell r="O228">
            <v>2</v>
          </cell>
        </row>
        <row r="229">
          <cell r="A229" t="str">
            <v>2024JULB00055</v>
          </cell>
          <cell r="B229" t="str">
            <v>Divyam Sood</v>
          </cell>
          <cell r="C229">
            <v>3</v>
          </cell>
          <cell r="D229">
            <v>4</v>
          </cell>
          <cell r="E229">
            <v>4</v>
          </cell>
          <cell r="F229">
            <v>4</v>
          </cell>
          <cell r="G229">
            <v>3</v>
          </cell>
          <cell r="H229">
            <v>4</v>
          </cell>
          <cell r="I229">
            <v>3</v>
          </cell>
          <cell r="J229">
            <v>4</v>
          </cell>
          <cell r="K229">
            <v>4</v>
          </cell>
          <cell r="L229">
            <v>4</v>
          </cell>
          <cell r="M229">
            <v>3</v>
          </cell>
          <cell r="N229">
            <v>4</v>
          </cell>
          <cell r="O229">
            <v>2</v>
          </cell>
        </row>
        <row r="230">
          <cell r="A230" t="str">
            <v>2024JULB00265</v>
          </cell>
          <cell r="B230" t="str">
            <v>Srijan Dobhal</v>
          </cell>
          <cell r="C230">
            <v>3</v>
          </cell>
          <cell r="D230">
            <v>3</v>
          </cell>
          <cell r="E230">
            <v>2</v>
          </cell>
          <cell r="F230">
            <v>2</v>
          </cell>
          <cell r="G230">
            <v>2.5</v>
          </cell>
          <cell r="H230">
            <v>2</v>
          </cell>
          <cell r="I230">
            <v>3</v>
          </cell>
          <cell r="J230">
            <v>2</v>
          </cell>
          <cell r="K230">
            <v>2</v>
          </cell>
          <cell r="L230">
            <v>4</v>
          </cell>
          <cell r="M230">
            <v>3</v>
          </cell>
          <cell r="N230">
            <v>2</v>
          </cell>
          <cell r="O230">
            <v>2</v>
          </cell>
        </row>
        <row r="231">
          <cell r="A231" t="str">
            <v>2024JULB00108</v>
          </cell>
          <cell r="B231" t="str">
            <v>Pooja S</v>
          </cell>
          <cell r="C231">
            <v>3</v>
          </cell>
          <cell r="D231">
            <v>4</v>
          </cell>
          <cell r="E231">
            <v>3</v>
          </cell>
          <cell r="F231">
            <v>3</v>
          </cell>
          <cell r="G231">
            <v>2.5</v>
          </cell>
          <cell r="H231">
            <v>3</v>
          </cell>
          <cell r="I231">
            <v>4</v>
          </cell>
          <cell r="J231">
            <v>4</v>
          </cell>
          <cell r="K231">
            <v>3</v>
          </cell>
          <cell r="L231">
            <v>4</v>
          </cell>
          <cell r="M231">
            <v>3</v>
          </cell>
          <cell r="N231">
            <v>4</v>
          </cell>
          <cell r="O231">
            <v>3</v>
          </cell>
        </row>
        <row r="232">
          <cell r="A232" t="str">
            <v>2024JULB00268</v>
          </cell>
          <cell r="B232" t="str">
            <v>Soumya</v>
          </cell>
          <cell r="C232">
            <v>2</v>
          </cell>
          <cell r="D232">
            <v>2</v>
          </cell>
          <cell r="E232">
            <v>2</v>
          </cell>
          <cell r="F232">
            <v>2</v>
          </cell>
          <cell r="G232">
            <v>1.5</v>
          </cell>
          <cell r="H232">
            <v>2</v>
          </cell>
          <cell r="I232">
            <v>3</v>
          </cell>
          <cell r="J232">
            <v>4</v>
          </cell>
          <cell r="K232">
            <v>2</v>
          </cell>
          <cell r="L232">
            <v>3</v>
          </cell>
          <cell r="M232">
            <v>3</v>
          </cell>
          <cell r="N232">
            <v>2</v>
          </cell>
          <cell r="O232">
            <v>2</v>
          </cell>
        </row>
        <row r="233">
          <cell r="A233" t="str">
            <v>2024JULB00216</v>
          </cell>
          <cell r="B233" t="str">
            <v>Vanshita Bali</v>
          </cell>
          <cell r="C233">
            <v>3</v>
          </cell>
          <cell r="D233">
            <v>4</v>
          </cell>
          <cell r="E233">
            <v>4</v>
          </cell>
          <cell r="F233">
            <v>3</v>
          </cell>
          <cell r="G233">
            <v>2</v>
          </cell>
          <cell r="H233">
            <v>4</v>
          </cell>
          <cell r="I233">
            <v>3</v>
          </cell>
          <cell r="J233">
            <v>3</v>
          </cell>
          <cell r="K233">
            <v>4</v>
          </cell>
          <cell r="L233">
            <v>2</v>
          </cell>
          <cell r="M233">
            <v>3</v>
          </cell>
          <cell r="N233">
            <v>3</v>
          </cell>
          <cell r="O233">
            <v>2</v>
          </cell>
        </row>
        <row r="234">
          <cell r="A234" t="str">
            <v>2024JULB00250</v>
          </cell>
          <cell r="B234" t="str">
            <v>Sanjana Manishkumar Kapadia</v>
          </cell>
          <cell r="C234">
            <v>2</v>
          </cell>
          <cell r="D234">
            <v>3</v>
          </cell>
          <cell r="E234">
            <v>3</v>
          </cell>
          <cell r="F234">
            <v>3</v>
          </cell>
          <cell r="G234">
            <v>2.5</v>
          </cell>
          <cell r="H234">
            <v>2</v>
          </cell>
          <cell r="I234">
            <v>3</v>
          </cell>
          <cell r="J234">
            <v>3</v>
          </cell>
          <cell r="K234">
            <v>2</v>
          </cell>
          <cell r="L234">
            <v>2</v>
          </cell>
          <cell r="M234">
            <v>3</v>
          </cell>
          <cell r="N234">
            <v>4</v>
          </cell>
          <cell r="O234">
            <v>3</v>
          </cell>
        </row>
        <row r="235">
          <cell r="A235" t="str">
            <v>2024JULB00056</v>
          </cell>
          <cell r="B235" t="str">
            <v>Elina Mahanta</v>
          </cell>
          <cell r="C235">
            <v>4</v>
          </cell>
          <cell r="D235">
            <v>4</v>
          </cell>
          <cell r="E235">
            <v>3</v>
          </cell>
          <cell r="F235">
            <v>2</v>
          </cell>
          <cell r="G235">
            <v>3.5</v>
          </cell>
          <cell r="H235">
            <v>3</v>
          </cell>
          <cell r="I235">
            <v>4</v>
          </cell>
          <cell r="J235">
            <v>3</v>
          </cell>
          <cell r="K235">
            <v>4</v>
          </cell>
          <cell r="L235">
            <v>4</v>
          </cell>
          <cell r="M235">
            <v>3</v>
          </cell>
          <cell r="N235">
            <v>3</v>
          </cell>
          <cell r="O235">
            <v>3</v>
          </cell>
        </row>
        <row r="236">
          <cell r="A236" t="str">
            <v>2024JULB00130</v>
          </cell>
          <cell r="B236" t="str">
            <v>Sadya Anwar</v>
          </cell>
          <cell r="C236">
            <v>3</v>
          </cell>
          <cell r="D236">
            <v>5</v>
          </cell>
          <cell r="E236">
            <v>4</v>
          </cell>
          <cell r="F236">
            <v>4</v>
          </cell>
          <cell r="G236">
            <v>3</v>
          </cell>
          <cell r="H236">
            <v>4</v>
          </cell>
          <cell r="I236">
            <v>3</v>
          </cell>
          <cell r="J236">
            <v>4</v>
          </cell>
          <cell r="K236">
            <v>4</v>
          </cell>
          <cell r="L236">
            <v>3</v>
          </cell>
          <cell r="M236">
            <v>3</v>
          </cell>
          <cell r="N236">
            <v>3</v>
          </cell>
          <cell r="O236">
            <v>3</v>
          </cell>
        </row>
        <row r="237">
          <cell r="A237" t="str">
            <v>2024JULB00264</v>
          </cell>
          <cell r="B237" t="str">
            <v>Nikita Sehgal</v>
          </cell>
          <cell r="C237">
            <v>2</v>
          </cell>
          <cell r="D237">
            <v>2</v>
          </cell>
          <cell r="E237">
            <v>2</v>
          </cell>
          <cell r="F237">
            <v>2</v>
          </cell>
          <cell r="G237">
            <v>2.5</v>
          </cell>
          <cell r="H237">
            <v>2</v>
          </cell>
          <cell r="I237">
            <v>3</v>
          </cell>
          <cell r="J237">
            <v>2</v>
          </cell>
          <cell r="K237">
            <v>3</v>
          </cell>
          <cell r="L237">
            <v>2</v>
          </cell>
          <cell r="M237">
            <v>2</v>
          </cell>
          <cell r="N237">
            <v>2</v>
          </cell>
          <cell r="O237">
            <v>3</v>
          </cell>
        </row>
        <row r="238">
          <cell r="A238" t="str">
            <v>2024JULB00187</v>
          </cell>
          <cell r="B238" t="str">
            <v>Sejal Negi</v>
          </cell>
          <cell r="C238">
            <v>3</v>
          </cell>
          <cell r="D238">
            <v>3</v>
          </cell>
          <cell r="E238">
            <v>2</v>
          </cell>
          <cell r="F238">
            <v>4</v>
          </cell>
          <cell r="G238">
            <v>1.5</v>
          </cell>
          <cell r="H238">
            <v>2</v>
          </cell>
          <cell r="I238">
            <v>3</v>
          </cell>
          <cell r="J238">
            <v>3</v>
          </cell>
          <cell r="K238">
            <v>2</v>
          </cell>
          <cell r="L238">
            <v>3</v>
          </cell>
          <cell r="M238">
            <v>3</v>
          </cell>
          <cell r="N238">
            <v>3</v>
          </cell>
          <cell r="O238">
            <v>3</v>
          </cell>
        </row>
        <row r="239">
          <cell r="A239" t="str">
            <v>2024JULB00262</v>
          </cell>
          <cell r="B239" t="str">
            <v>Aman Kumar</v>
          </cell>
          <cell r="C239">
            <v>3</v>
          </cell>
          <cell r="D239">
            <v>2</v>
          </cell>
          <cell r="E239">
            <v>2</v>
          </cell>
          <cell r="F239">
            <v>3</v>
          </cell>
          <cell r="G239">
            <v>2</v>
          </cell>
          <cell r="H239">
            <v>2</v>
          </cell>
          <cell r="I239">
            <v>3</v>
          </cell>
          <cell r="J239">
            <v>3</v>
          </cell>
          <cell r="K239">
            <v>2</v>
          </cell>
          <cell r="L239">
            <v>2</v>
          </cell>
          <cell r="M239">
            <v>3</v>
          </cell>
          <cell r="N239">
            <v>2</v>
          </cell>
          <cell r="O239">
            <v>3</v>
          </cell>
        </row>
        <row r="240">
          <cell r="A240" t="str">
            <v>2024JULB00027</v>
          </cell>
          <cell r="B240" t="str">
            <v>Aryan Atreya</v>
          </cell>
          <cell r="C240">
            <v>3</v>
          </cell>
          <cell r="D240">
            <v>3</v>
          </cell>
          <cell r="E240">
            <v>3</v>
          </cell>
          <cell r="F240">
            <v>3</v>
          </cell>
          <cell r="G240">
            <v>3</v>
          </cell>
          <cell r="H240">
            <v>3</v>
          </cell>
          <cell r="I240">
            <v>3</v>
          </cell>
          <cell r="J240">
            <v>3</v>
          </cell>
          <cell r="K240">
            <v>3</v>
          </cell>
          <cell r="L240">
            <v>3</v>
          </cell>
          <cell r="M240">
            <v>3</v>
          </cell>
          <cell r="N240">
            <v>3</v>
          </cell>
          <cell r="O240">
            <v>4</v>
          </cell>
        </row>
        <row r="241">
          <cell r="A241" t="str">
            <v>2024JULB00182</v>
          </cell>
          <cell r="B241" t="str">
            <v>Weslinraj Weslin Raj</v>
          </cell>
          <cell r="C241">
            <v>3</v>
          </cell>
          <cell r="D241">
            <v>2</v>
          </cell>
          <cell r="E241">
            <v>2</v>
          </cell>
          <cell r="F241">
            <v>2</v>
          </cell>
          <cell r="G241">
            <v>3</v>
          </cell>
          <cell r="H241">
            <v>3</v>
          </cell>
          <cell r="I241">
            <v>3</v>
          </cell>
          <cell r="J241">
            <v>2</v>
          </cell>
          <cell r="K241">
            <v>3</v>
          </cell>
          <cell r="L241">
            <v>2</v>
          </cell>
          <cell r="M241">
            <v>3</v>
          </cell>
          <cell r="N241">
            <v>3</v>
          </cell>
          <cell r="O241">
            <v>3</v>
          </cell>
        </row>
        <row r="242">
          <cell r="A242" t="str">
            <v>2024JULB00245</v>
          </cell>
          <cell r="B242" t="str">
            <v>Harshvardhan Patidar</v>
          </cell>
          <cell r="C242">
            <v>1</v>
          </cell>
          <cell r="D242">
            <v>1</v>
          </cell>
          <cell r="E242">
            <v>1</v>
          </cell>
          <cell r="F242">
            <v>1</v>
          </cell>
          <cell r="G242">
            <v>2</v>
          </cell>
          <cell r="H242">
            <v>2</v>
          </cell>
          <cell r="I242">
            <v>2</v>
          </cell>
          <cell r="J242">
            <v>1</v>
          </cell>
          <cell r="K242">
            <v>1</v>
          </cell>
          <cell r="L242">
            <v>1</v>
          </cell>
          <cell r="M242">
            <v>2</v>
          </cell>
          <cell r="N242">
            <v>1</v>
          </cell>
          <cell r="O242">
            <v>1</v>
          </cell>
        </row>
        <row r="243">
          <cell r="A243" t="str">
            <v>2024JULB00004</v>
          </cell>
          <cell r="B243" t="str">
            <v>Abhinav B</v>
          </cell>
          <cell r="C243">
            <v>3</v>
          </cell>
          <cell r="D243">
            <v>3</v>
          </cell>
          <cell r="E243">
            <v>2</v>
          </cell>
          <cell r="F243">
            <v>4</v>
          </cell>
          <cell r="G243">
            <v>3</v>
          </cell>
          <cell r="H243">
            <v>2</v>
          </cell>
          <cell r="I243">
            <v>4</v>
          </cell>
          <cell r="J243">
            <v>3</v>
          </cell>
          <cell r="K243">
            <v>3</v>
          </cell>
          <cell r="L243">
            <v>4</v>
          </cell>
          <cell r="M243">
            <v>3</v>
          </cell>
          <cell r="N243">
            <v>3</v>
          </cell>
          <cell r="O243">
            <v>3</v>
          </cell>
        </row>
        <row r="244">
          <cell r="A244" t="str">
            <v>2024JULB00059</v>
          </cell>
          <cell r="B244" t="str">
            <v>G Tharnath Reddy</v>
          </cell>
          <cell r="C244">
            <v>2</v>
          </cell>
          <cell r="D244">
            <v>3</v>
          </cell>
          <cell r="E244">
            <v>2</v>
          </cell>
          <cell r="F244">
            <v>2</v>
          </cell>
          <cell r="G244">
            <v>1.5</v>
          </cell>
          <cell r="H244">
            <v>2</v>
          </cell>
          <cell r="I244">
            <v>3</v>
          </cell>
          <cell r="J244">
            <v>2</v>
          </cell>
          <cell r="K244">
            <v>2</v>
          </cell>
          <cell r="L244">
            <v>2</v>
          </cell>
          <cell r="M244">
            <v>3</v>
          </cell>
          <cell r="N244">
            <v>2</v>
          </cell>
          <cell r="O244">
            <v>3</v>
          </cell>
        </row>
        <row r="245">
          <cell r="A245" t="str">
            <v>2024JULB00038</v>
          </cell>
          <cell r="B245" t="str">
            <v>Bibek Kumar Muduli</v>
          </cell>
          <cell r="C245">
            <v>3</v>
          </cell>
          <cell r="D245">
            <v>3</v>
          </cell>
          <cell r="E245">
            <v>3</v>
          </cell>
          <cell r="F245">
            <v>3</v>
          </cell>
          <cell r="G245">
            <v>3</v>
          </cell>
          <cell r="H245">
            <v>4</v>
          </cell>
          <cell r="I245">
            <v>3</v>
          </cell>
          <cell r="J245">
            <v>3</v>
          </cell>
          <cell r="K245">
            <v>4</v>
          </cell>
          <cell r="L245">
            <v>3</v>
          </cell>
          <cell r="M245">
            <v>3</v>
          </cell>
          <cell r="N245">
            <v>3</v>
          </cell>
          <cell r="O245">
            <v>3</v>
          </cell>
        </row>
        <row r="246">
          <cell r="A246" t="str">
            <v>2024JULB00005</v>
          </cell>
          <cell r="B246" t="str">
            <v>Abhirup Choudhury</v>
          </cell>
          <cell r="C246">
            <v>1</v>
          </cell>
          <cell r="D246">
            <v>1</v>
          </cell>
          <cell r="E246">
            <v>1</v>
          </cell>
          <cell r="F246">
            <v>1</v>
          </cell>
          <cell r="G246">
            <v>1</v>
          </cell>
          <cell r="H246">
            <v>1</v>
          </cell>
          <cell r="I246">
            <v>1</v>
          </cell>
          <cell r="J246">
            <v>1</v>
          </cell>
          <cell r="K246">
            <v>1</v>
          </cell>
          <cell r="L246">
            <v>1</v>
          </cell>
          <cell r="M246">
            <v>1</v>
          </cell>
          <cell r="N246">
            <v>1</v>
          </cell>
          <cell r="O246">
            <v>1</v>
          </cell>
        </row>
        <row r="247">
          <cell r="A247" t="str">
            <v xml:space="preserve">2024JULB00273 </v>
          </cell>
          <cell r="B247" t="str">
            <v>Harshit Gopawat</v>
          </cell>
          <cell r="C247">
            <v>1</v>
          </cell>
          <cell r="D247">
            <v>1</v>
          </cell>
          <cell r="E247">
            <v>1</v>
          </cell>
          <cell r="F247">
            <v>1</v>
          </cell>
          <cell r="G247">
            <v>1</v>
          </cell>
          <cell r="H247">
            <v>1</v>
          </cell>
          <cell r="I247">
            <v>1</v>
          </cell>
          <cell r="J247">
            <v>1</v>
          </cell>
          <cell r="K247">
            <v>1</v>
          </cell>
          <cell r="L247">
            <v>1</v>
          </cell>
          <cell r="M247">
            <v>1</v>
          </cell>
          <cell r="N247">
            <v>1</v>
          </cell>
          <cell r="O247">
            <v>1</v>
          </cell>
        </row>
        <row r="248">
          <cell r="A248" t="str">
            <v>2023MARVUGP0001</v>
          </cell>
          <cell r="B248" t="str">
            <v>Vijay Sundar Rajan</v>
          </cell>
          <cell r="C248">
            <v>4</v>
          </cell>
          <cell r="D248">
            <v>3</v>
          </cell>
          <cell r="E248">
            <v>4</v>
          </cell>
          <cell r="F248">
            <v>4</v>
          </cell>
          <cell r="G248">
            <v>3</v>
          </cell>
          <cell r="H248">
            <v>4</v>
          </cell>
          <cell r="I248">
            <v>3</v>
          </cell>
          <cell r="J248">
            <v>3</v>
          </cell>
          <cell r="K248">
            <v>3</v>
          </cell>
          <cell r="L248">
            <v>3</v>
          </cell>
          <cell r="M248">
            <v>3</v>
          </cell>
          <cell r="N248">
            <v>3</v>
          </cell>
          <cell r="O248">
            <v>3</v>
          </cell>
        </row>
        <row r="249">
          <cell r="A249" t="str">
            <v>2024AUGVPGP0031</v>
          </cell>
          <cell r="B249" t="str">
            <v>Sujan Senthil Kumar</v>
          </cell>
          <cell r="C249">
            <v>3</v>
          </cell>
          <cell r="D249">
            <v>3</v>
          </cell>
          <cell r="E249">
            <v>3</v>
          </cell>
          <cell r="F249">
            <v>3</v>
          </cell>
          <cell r="G249">
            <v>3</v>
          </cell>
          <cell r="H249">
            <v>3</v>
          </cell>
          <cell r="I249">
            <v>3</v>
          </cell>
          <cell r="J249">
            <v>3</v>
          </cell>
          <cell r="K249">
            <v>3</v>
          </cell>
          <cell r="L249">
            <v>3</v>
          </cell>
          <cell r="M249">
            <v>3</v>
          </cell>
          <cell r="N249">
            <v>3</v>
          </cell>
          <cell r="O249">
            <v>3</v>
          </cell>
        </row>
        <row r="250">
          <cell r="A250" t="str">
            <v>2024AUGVPGP0036</v>
          </cell>
          <cell r="B250" t="str">
            <v>Amulya Singh</v>
          </cell>
          <cell r="C250">
            <v>3</v>
          </cell>
          <cell r="D250">
            <v>3</v>
          </cell>
          <cell r="E250">
            <v>3</v>
          </cell>
          <cell r="F250">
            <v>3</v>
          </cell>
          <cell r="G250">
            <v>2</v>
          </cell>
          <cell r="H250">
            <v>2</v>
          </cell>
          <cell r="I250">
            <v>3</v>
          </cell>
          <cell r="J250">
            <v>3</v>
          </cell>
          <cell r="K250">
            <v>4</v>
          </cell>
          <cell r="L250">
            <v>2</v>
          </cell>
          <cell r="M250">
            <v>3</v>
          </cell>
          <cell r="N250">
            <v>3</v>
          </cell>
          <cell r="O250">
            <v>2</v>
          </cell>
        </row>
        <row r="251">
          <cell r="A251" t="str">
            <v>2024AUGVPGP0017</v>
          </cell>
          <cell r="B251" t="str">
            <v>Pradyumna Kumar</v>
          </cell>
          <cell r="C251">
            <v>3</v>
          </cell>
          <cell r="D251">
            <v>3</v>
          </cell>
          <cell r="E251">
            <v>3</v>
          </cell>
          <cell r="F251">
            <v>2</v>
          </cell>
          <cell r="G251">
            <v>2</v>
          </cell>
          <cell r="H251">
            <v>3</v>
          </cell>
          <cell r="I251">
            <v>3</v>
          </cell>
          <cell r="J251">
            <v>4</v>
          </cell>
          <cell r="K251">
            <v>4</v>
          </cell>
          <cell r="L251">
            <v>4</v>
          </cell>
          <cell r="M251">
            <v>3</v>
          </cell>
          <cell r="N251">
            <v>2</v>
          </cell>
          <cell r="O251">
            <v>3</v>
          </cell>
        </row>
        <row r="252">
          <cell r="A252" t="str">
            <v>2024AUGVPGP0027</v>
          </cell>
          <cell r="B252" t="str">
            <v>Sayan Mukherjee</v>
          </cell>
          <cell r="C252">
            <v>3</v>
          </cell>
          <cell r="D252">
            <v>5</v>
          </cell>
          <cell r="E252">
            <v>4</v>
          </cell>
          <cell r="F252">
            <v>4</v>
          </cell>
          <cell r="G252">
            <v>2</v>
          </cell>
          <cell r="H252">
            <v>5</v>
          </cell>
          <cell r="I252">
            <v>3</v>
          </cell>
          <cell r="J252">
            <v>3</v>
          </cell>
          <cell r="K252">
            <v>3</v>
          </cell>
          <cell r="L252">
            <v>3</v>
          </cell>
          <cell r="M252">
            <v>3</v>
          </cell>
          <cell r="N252">
            <v>4</v>
          </cell>
          <cell r="O252">
            <v>4</v>
          </cell>
        </row>
        <row r="253">
          <cell r="A253" t="str">
            <v>2024AUGVPGP0025</v>
          </cell>
          <cell r="B253" t="str">
            <v>Saumya Kumari</v>
          </cell>
          <cell r="C253">
            <v>2</v>
          </cell>
          <cell r="D253">
            <v>3</v>
          </cell>
          <cell r="E253">
            <v>2</v>
          </cell>
          <cell r="F253">
            <v>4</v>
          </cell>
          <cell r="G253">
            <v>2</v>
          </cell>
          <cell r="H253">
            <v>2</v>
          </cell>
          <cell r="I253">
            <v>3</v>
          </cell>
          <cell r="J253">
            <v>3</v>
          </cell>
          <cell r="K253">
            <v>3</v>
          </cell>
          <cell r="L253">
            <v>2</v>
          </cell>
          <cell r="M253">
            <v>3</v>
          </cell>
          <cell r="N253">
            <v>3</v>
          </cell>
          <cell r="O253">
            <v>3</v>
          </cell>
        </row>
        <row r="254">
          <cell r="A254" t="str">
            <v>2024AUGVPGP0012</v>
          </cell>
          <cell r="B254" t="str">
            <v>Himanshu Bagzai</v>
          </cell>
          <cell r="C254">
            <v>3</v>
          </cell>
          <cell r="D254">
            <v>4</v>
          </cell>
          <cell r="E254">
            <v>3</v>
          </cell>
          <cell r="F254">
            <v>2</v>
          </cell>
          <cell r="G254">
            <v>2.5</v>
          </cell>
          <cell r="H254">
            <v>3</v>
          </cell>
          <cell r="I254">
            <v>3</v>
          </cell>
          <cell r="J254">
            <v>4</v>
          </cell>
          <cell r="K254">
            <v>3</v>
          </cell>
          <cell r="L254">
            <v>4</v>
          </cell>
          <cell r="M254">
            <v>3</v>
          </cell>
          <cell r="N254">
            <v>2</v>
          </cell>
          <cell r="O254">
            <v>4</v>
          </cell>
        </row>
        <row r="255">
          <cell r="A255" t="str">
            <v>2024AUGVPGP0006</v>
          </cell>
          <cell r="B255" t="str">
            <v>Anjali Singh</v>
          </cell>
          <cell r="C255">
            <v>3</v>
          </cell>
          <cell r="D255">
            <v>3</v>
          </cell>
          <cell r="E255">
            <v>3</v>
          </cell>
          <cell r="F255">
            <v>2</v>
          </cell>
          <cell r="G255">
            <v>1.5</v>
          </cell>
          <cell r="H255">
            <v>3</v>
          </cell>
          <cell r="I255">
            <v>3</v>
          </cell>
          <cell r="J255">
            <v>3</v>
          </cell>
          <cell r="K255">
            <v>3</v>
          </cell>
          <cell r="L255">
            <v>3</v>
          </cell>
          <cell r="M255">
            <v>3</v>
          </cell>
          <cell r="N255">
            <v>2</v>
          </cell>
          <cell r="O255">
            <v>3</v>
          </cell>
        </row>
        <row r="256">
          <cell r="A256" t="str">
            <v>2024AUGVPGP0023</v>
          </cell>
          <cell r="B256" t="str">
            <v>Sankalp Sharma</v>
          </cell>
          <cell r="C256">
            <v>2</v>
          </cell>
          <cell r="D256">
            <v>3</v>
          </cell>
          <cell r="E256">
            <v>2</v>
          </cell>
          <cell r="F256">
            <v>2</v>
          </cell>
          <cell r="G256">
            <v>3</v>
          </cell>
          <cell r="H256">
            <v>1</v>
          </cell>
          <cell r="I256">
            <v>2</v>
          </cell>
          <cell r="J256">
            <v>4</v>
          </cell>
          <cell r="K256">
            <v>2</v>
          </cell>
          <cell r="L256">
            <v>2</v>
          </cell>
          <cell r="M256">
            <v>3</v>
          </cell>
          <cell r="N256">
            <v>2</v>
          </cell>
          <cell r="O256">
            <v>3</v>
          </cell>
        </row>
        <row r="257">
          <cell r="A257" t="str">
            <v>2024AUGVPGP0019</v>
          </cell>
          <cell r="B257" t="str">
            <v>Ramaneni Sridhar Naidu</v>
          </cell>
          <cell r="C257">
            <v>2</v>
          </cell>
          <cell r="D257">
            <v>3</v>
          </cell>
          <cell r="E257">
            <v>2</v>
          </cell>
          <cell r="F257">
            <v>4</v>
          </cell>
          <cell r="G257">
            <v>3.5</v>
          </cell>
          <cell r="H257">
            <v>3</v>
          </cell>
          <cell r="I257">
            <v>2</v>
          </cell>
          <cell r="J257">
            <v>3</v>
          </cell>
          <cell r="K257">
            <v>2</v>
          </cell>
          <cell r="L257">
            <v>2</v>
          </cell>
          <cell r="M257">
            <v>3</v>
          </cell>
          <cell r="N257">
            <v>3</v>
          </cell>
          <cell r="O257">
            <v>3</v>
          </cell>
        </row>
        <row r="258">
          <cell r="A258" t="str">
            <v>2024AUGVPGP0022</v>
          </cell>
          <cell r="B258" t="str">
            <v>Sakshi Rajesh Ranalkar</v>
          </cell>
          <cell r="C258">
            <v>3</v>
          </cell>
          <cell r="D258">
            <v>3</v>
          </cell>
          <cell r="E258">
            <v>2</v>
          </cell>
          <cell r="F258">
            <v>3</v>
          </cell>
          <cell r="G258">
            <v>3.5</v>
          </cell>
          <cell r="H258">
            <v>3</v>
          </cell>
          <cell r="I258">
            <v>3</v>
          </cell>
          <cell r="J258">
            <v>3</v>
          </cell>
          <cell r="K258">
            <v>3</v>
          </cell>
          <cell r="L258">
            <v>3</v>
          </cell>
          <cell r="M258">
            <v>3</v>
          </cell>
          <cell r="N258">
            <v>4</v>
          </cell>
          <cell r="O258">
            <v>3</v>
          </cell>
        </row>
        <row r="259">
          <cell r="A259" t="str">
            <v>2024AUGVPGP0018</v>
          </cell>
          <cell r="B259" t="str">
            <v>Prathamesh Lalit Dangre</v>
          </cell>
          <cell r="C259">
            <v>2</v>
          </cell>
          <cell r="D259">
            <v>3</v>
          </cell>
          <cell r="E259">
            <v>3</v>
          </cell>
          <cell r="F259">
            <v>2</v>
          </cell>
          <cell r="G259">
            <v>3</v>
          </cell>
          <cell r="H259">
            <v>2</v>
          </cell>
          <cell r="I259">
            <v>2</v>
          </cell>
          <cell r="J259">
            <v>3</v>
          </cell>
          <cell r="K259">
            <v>2</v>
          </cell>
          <cell r="L259">
            <v>2</v>
          </cell>
          <cell r="M259">
            <v>3</v>
          </cell>
          <cell r="N259">
            <v>2</v>
          </cell>
          <cell r="O259">
            <v>2</v>
          </cell>
        </row>
        <row r="260">
          <cell r="A260" t="str">
            <v>2024AUGVPGP0005</v>
          </cell>
          <cell r="B260" t="str">
            <v>Animesh Priyadarshan</v>
          </cell>
          <cell r="C260">
            <v>4</v>
          </cell>
          <cell r="D260">
            <v>4</v>
          </cell>
          <cell r="E260">
            <v>4</v>
          </cell>
          <cell r="F260">
            <v>5</v>
          </cell>
          <cell r="G260">
            <v>4.5</v>
          </cell>
          <cell r="H260">
            <v>5</v>
          </cell>
          <cell r="I260">
            <v>4</v>
          </cell>
          <cell r="J260">
            <v>5</v>
          </cell>
          <cell r="K260">
            <v>5</v>
          </cell>
          <cell r="L260">
            <v>4</v>
          </cell>
          <cell r="M260">
            <v>3</v>
          </cell>
          <cell r="N260">
            <v>5</v>
          </cell>
          <cell r="O260">
            <v>5</v>
          </cell>
        </row>
        <row r="261">
          <cell r="A261" t="str">
            <v>2024AUGVPGP0003</v>
          </cell>
          <cell r="B261" t="str">
            <v>Akiksha Pradhan</v>
          </cell>
          <cell r="C261">
            <v>2</v>
          </cell>
          <cell r="D261">
            <v>3</v>
          </cell>
          <cell r="E261">
            <v>2</v>
          </cell>
          <cell r="F261">
            <v>2</v>
          </cell>
          <cell r="G261">
            <v>2.5</v>
          </cell>
          <cell r="H261">
            <v>2</v>
          </cell>
          <cell r="I261">
            <v>3</v>
          </cell>
          <cell r="J261">
            <v>2</v>
          </cell>
          <cell r="K261">
            <v>3</v>
          </cell>
          <cell r="L261">
            <v>2</v>
          </cell>
          <cell r="M261">
            <v>3</v>
          </cell>
          <cell r="N261">
            <v>4</v>
          </cell>
          <cell r="O261">
            <v>2</v>
          </cell>
        </row>
        <row r="262">
          <cell r="A262" t="str">
            <v>2024AUGVPGP0016</v>
          </cell>
          <cell r="B262" t="str">
            <v>Nikhil Jaywant Pawar</v>
          </cell>
          <cell r="C262">
            <v>3</v>
          </cell>
          <cell r="D262">
            <v>3</v>
          </cell>
          <cell r="E262">
            <v>2</v>
          </cell>
          <cell r="F262">
            <v>2</v>
          </cell>
          <cell r="G262">
            <v>2.5</v>
          </cell>
          <cell r="H262">
            <v>2</v>
          </cell>
          <cell r="I262">
            <v>3</v>
          </cell>
          <cell r="J262">
            <v>2</v>
          </cell>
          <cell r="K262">
            <v>2</v>
          </cell>
          <cell r="L262">
            <v>4</v>
          </cell>
          <cell r="M262">
            <v>3</v>
          </cell>
          <cell r="N262">
            <v>2</v>
          </cell>
          <cell r="O262">
            <v>2</v>
          </cell>
        </row>
      </sheetData>
      <sheetData sheetId="2"/>
      <sheetData sheetId="3"/>
      <sheetData sheetId="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0F81F3B-C07B-4562-A149-10E0DE417EE5}" name="Table12" displayName="Table12" ref="A4:BB232" totalsRowShown="0" tableBorderDxfId="357">
  <autoFilter ref="A4:BB232" xr:uid="{60F81F3B-C07B-4562-A149-10E0DE417EE5}"/>
  <tableColumns count="54">
    <tableColumn id="1" xr3:uid="{B54EBAF0-009D-4232-A154-4FB7199A6998}" name="Column1" dataDxfId="356"/>
    <tableColumn id="2" xr3:uid="{8556817A-C7F9-4CA0-8645-99E3FD9C1A71}" name="Column2" dataDxfId="355"/>
    <tableColumn id="3" xr3:uid="{784CBA96-7C37-4866-A223-C18F1F02DF3B}" name="Column3" dataDxfId="354"/>
    <tableColumn id="4" xr3:uid="{B0F4F612-7D13-489F-854B-6A701CC2827F}" name="Column4" dataDxfId="353"/>
    <tableColumn id="5" xr3:uid="{C84D0906-B332-4783-B764-F094F47D72EB}" name="Column5" dataDxfId="352"/>
    <tableColumn id="6" xr3:uid="{5E092FC5-E363-4DC0-8A7C-D722326F68FA}" name="Column6" dataDxfId="351">
      <calculatedColumnFormula>REPT(CHAR(160),10)&amp;Working!$E5</calculatedColumnFormula>
    </tableColumn>
    <tableColumn id="7" xr3:uid="{03C7900B-8AFB-4E9C-BC18-711A1A6E4DA6}" name="Column7" dataDxfId="350"/>
    <tableColumn id="8" xr3:uid="{2AF304D9-D628-446E-AC72-E4239AA0A268}" name="Column8" dataDxfId="349"/>
    <tableColumn id="9" xr3:uid="{8243B10B-7844-4A3D-AFE7-330B446B89E3}" name="Column9" dataDxfId="348"/>
    <tableColumn id="10" xr3:uid="{EEA502D9-6051-4CEC-BEF2-68792677EB34}" name="Column10" dataDxfId="347"/>
    <tableColumn id="11" xr3:uid="{E3BD5360-A409-4CC8-9F15-D924505DD359}" name="Column11" dataDxfId="346"/>
    <tableColumn id="12" xr3:uid="{69BB0B50-28D6-4E4B-9A96-DCB6DD09B55C}" name="Column12" dataDxfId="345"/>
    <tableColumn id="13" xr3:uid="{27AB8E2F-38C2-411C-BBFE-69E58A4CAFC3}" name="Column13" dataDxfId="344"/>
    <tableColumn id="14" xr3:uid="{A1B655D3-2810-47F2-BBCC-93384BE11F31}" name="Column14" dataDxfId="343"/>
    <tableColumn id="15" xr3:uid="{963E3A0C-AA6B-459B-AC0B-4F057CB62D1F}" name="Column15" dataDxfId="342"/>
    <tableColumn id="16" xr3:uid="{03480696-0039-422A-9208-E2E2E947CBFD}" name="Column16"/>
    <tableColumn id="17" xr3:uid="{AEB814D7-BAC9-4809-BBCB-C57E51D4FE0B}" name="Column17"/>
    <tableColumn id="18" xr3:uid="{E93D94EF-6666-4E23-92D7-2F5CF9D4AAF7}" name="Column18" dataDxfId="341"/>
    <tableColumn id="19" xr3:uid="{8E2A2719-8DE0-4A6F-887F-27CC4C7AF1A3}" name="Column19" dataDxfId="340"/>
    <tableColumn id="20" xr3:uid="{37A4DDE5-56CD-4984-A64E-C59A3AA2752A}" name="Column20" dataDxfId="339"/>
    <tableColumn id="21" xr3:uid="{37E1028B-FA34-4447-8EDF-B03047DF49CF}" name="Column21"/>
    <tableColumn id="22" xr3:uid="{DDA4D9F0-5FCC-48DE-A187-08E25C92AE8F}" name="Column22" dataDxfId="338"/>
    <tableColumn id="23" xr3:uid="{ADC0798E-634C-47ED-B39B-52CD0DDC74F9}" name="Column23" dataDxfId="337"/>
    <tableColumn id="24" xr3:uid="{8ECCBCA2-464F-4221-B8A2-EE2BA5469BA0}" name="Column24" dataDxfId="336"/>
    <tableColumn id="25" xr3:uid="{7A1B94E5-0327-4073-9480-1FA172B082F1}" name="Column25" dataDxfId="335"/>
    <tableColumn id="26" xr3:uid="{EC622CC3-F52E-4638-829A-5057D2DF7060}" name="Column26" dataDxfId="334"/>
    <tableColumn id="27" xr3:uid="{D0D8F2DC-54A4-42A5-B2E0-DD76423D61EC}" name="Column27" dataDxfId="333"/>
    <tableColumn id="28" xr3:uid="{1260B3C0-7F88-445A-BF6F-C08424A926F8}" name="Column28" dataDxfId="332"/>
    <tableColumn id="29" xr3:uid="{24E2FCD1-0A87-4035-B276-11E6ABBBD089}" name="Column29" dataDxfId="331"/>
    <tableColumn id="30" xr3:uid="{B7D26A37-4303-4B7E-9D17-7D90DC9038B4}" name="Column30" dataDxfId="330"/>
    <tableColumn id="31" xr3:uid="{E0AFD206-A035-4FA3-B73B-ACCEE2ABA35F}" name="Column31" dataDxfId="329"/>
    <tableColumn id="32" xr3:uid="{CB40B812-4C4D-403B-83FC-31A99D578A2D}" name="Column32" dataDxfId="328"/>
    <tableColumn id="33" xr3:uid="{0AE76675-7804-4248-A1B8-35CC685EAD97}" name="Column33" dataDxfId="327"/>
    <tableColumn id="34" xr3:uid="{297806DC-7199-4172-97FA-06EA9FDCA712}" name="Column34" dataDxfId="326"/>
    <tableColumn id="35" xr3:uid="{6B9541B5-CF52-4700-A3FE-DB3D85F9F834}" name="Column35" dataDxfId="325"/>
    <tableColumn id="36" xr3:uid="{2A073D3E-B0FD-4576-9A98-6AE17E35841B}" name="Column36" dataDxfId="324"/>
    <tableColumn id="37" xr3:uid="{829D8C0F-15AE-4D5F-A9CA-1BAD929A18F1}" name="Column37"/>
    <tableColumn id="38" xr3:uid="{FDEDA4D3-FF7F-46AE-B05F-8FDFC11609B9}" name="Column38"/>
    <tableColumn id="39" xr3:uid="{5EA96100-D20A-47BD-B275-B5680D599563}" name="Column39"/>
    <tableColumn id="40" xr3:uid="{654C9A4A-0A8A-4049-9917-06B16341D17D}" name="Column40"/>
    <tableColumn id="41" xr3:uid="{720170FA-5F3E-4E88-9C99-727205073356}" name="Column41" dataDxfId="323"/>
    <tableColumn id="42" xr3:uid="{2DB44771-CCF0-4396-8D2A-340ADB7E4711}" name="Column42" dataDxfId="322"/>
    <tableColumn id="43" xr3:uid="{64A83597-4AE8-40A2-A6A0-E16334913679}" name="Column43" dataDxfId="321"/>
    <tableColumn id="44" xr3:uid="{C790E9A7-4F7F-49BA-B380-5C928A6A3423}" name="Column44" dataDxfId="320"/>
    <tableColumn id="45" xr3:uid="{FEC02759-39FB-4CD9-B271-71CBF1D1E1BE}" name="Column45"/>
    <tableColumn id="46" xr3:uid="{278BDB8E-CF26-4A40-B2A7-6EF2B616ABAE}" name="Column46" dataDxfId="319"/>
    <tableColumn id="47" xr3:uid="{CCDED007-F67B-484A-A056-E08869FEA0C8}" name="Column47" dataDxfId="318"/>
    <tableColumn id="48" xr3:uid="{F1DB528B-E697-4BD1-883B-6899DCFA9ACC}" name="Column48" dataDxfId="317"/>
    <tableColumn id="49" xr3:uid="{6C44CA68-4E5F-4F2C-AF3F-33F7A4AA7A7A}" name="Column49" dataDxfId="316"/>
    <tableColumn id="50" xr3:uid="{B05CDF65-1F58-4341-A4D2-EEB13984D7AA}" name="Column50" dataDxfId="315"/>
    <tableColumn id="51" xr3:uid="{AAD3BEAF-2DF8-4BD9-965A-C554EC4E0421}" name="Column51" dataDxfId="314"/>
    <tableColumn id="52" xr3:uid="{6EB20A7D-A0EC-4881-BB40-204D32B4838A}" name="Column52" dataDxfId="313"/>
    <tableColumn id="53" xr3:uid="{2B31051D-1F91-4CF5-BAA2-633C92E4AB27}" name="Column53" dataDxfId="312"/>
    <tableColumn id="54" xr3:uid="{58637CC3-A797-45AF-B113-77419BAEAD13}" name="Column54" dataDxfId="3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89168F7-171D-4B06-B38E-8AF610AAB9D7}" name="Table1215" displayName="Table1215" ref="A4:BB231" headerRowCount="0" totalsRowShown="0" tableBorderDxfId="310">
  <tableColumns count="54">
    <tableColumn id="1" xr3:uid="{E9EA9B0D-25FE-4E79-8240-06349C8E6B14}" name="Column1" headerRowDxfId="309" dataDxfId="308"/>
    <tableColumn id="2" xr3:uid="{72992594-651A-43DD-A464-837CD3EE4BC8}" name="Column2" headerRowDxfId="307" dataDxfId="306"/>
    <tableColumn id="3" xr3:uid="{C711EE01-77D8-4F18-9016-E78B26EF6F9D}" name="Column3" headerRowDxfId="305" dataDxfId="304"/>
    <tableColumn id="4" xr3:uid="{AE96C249-F62C-4F16-BE04-A10105770642}" name="Column4" headerRowDxfId="303" dataDxfId="302"/>
    <tableColumn id="5" xr3:uid="{2E4CF2EF-9062-4B35-9F32-35EF3699686D}" name="Column5" headerRowDxfId="301" dataDxfId="300"/>
    <tableColumn id="6" xr3:uid="{6934C686-FE13-4FDF-AE88-AC70140E47FF}" name="Column6" headerRowDxfId="299" dataDxfId="298">
      <calculatedColumnFormula>REPT(CHAR(160),10)&amp;Working!$E5</calculatedColumnFormula>
    </tableColumn>
    <tableColumn id="7" xr3:uid="{23793982-4C0D-4D69-9C77-CD5C51E55E0C}" name="Column7" headerRowDxfId="297" dataDxfId="296">
      <calculatedColumnFormula>IFERROR(VLOOKUP(Table1215[[#This Row],[Column2]],Table12[[Column2]:[Column54]],6,FALSE),"0")</calculatedColumnFormula>
    </tableColumn>
    <tableColumn id="8" xr3:uid="{C0701E64-F561-4EDF-8BE1-FEAE87912112}" name="Column8" headerRowDxfId="295" dataDxfId="294">
      <calculatedColumnFormula>IFERROR(VLOOKUP(Table1215[[#This Row],[Column2]],Table12[[Column2]:[Column54]],7,FALSE),"0")</calculatedColumnFormula>
    </tableColumn>
    <tableColumn id="9" xr3:uid="{4A3DFEEE-E042-4181-9DCC-3AD0545AB118}" name="Column9" headerRowDxfId="293" dataDxfId="292">
      <calculatedColumnFormula>IFERROR(VLOOKUP(Table1215[[#This Row],[Column2]],Table12[[Column2]:[Column54]],8,FALSE),"0")</calculatedColumnFormula>
    </tableColumn>
    <tableColumn id="10" xr3:uid="{A9EAACCF-E087-46E7-92EE-858F626EE22A}" name="Column10" headerRowDxfId="291" dataDxfId="290">
      <calculatedColumnFormula>IFERROR(VLOOKUP(Table1215[[#This Row],[Column2]],Table12[[Column2]:[Column54]],9,FALSE),"0")</calculatedColumnFormula>
    </tableColumn>
    <tableColumn id="11" xr3:uid="{47A9B7B9-1491-4498-A7A3-1599E7137033}" name="Column11" headerRowDxfId="289" dataDxfId="288">
      <calculatedColumnFormula>IFERROR(VLOOKUP(Table1215[[#This Row],[Column2]],Table12[[Column2]:[Column54]],10,FALSE),"0")</calculatedColumnFormula>
    </tableColumn>
    <tableColumn id="12" xr3:uid="{0855C7EC-C136-470F-9808-7221B4B79D2B}" name="Column12" headerRowDxfId="287" dataDxfId="286">
      <calculatedColumnFormula>Table1215[[#This Row],[Column9]]</calculatedColumnFormula>
    </tableColumn>
    <tableColumn id="13" xr3:uid="{A8B472AC-F015-41C8-959C-783BA48A8290}" name="Column13" headerRowDxfId="285" dataDxfId="284">
      <calculatedColumnFormula>IFERROR(VLOOKUP(Table1215[[#This Row],[Column2]],Table12[[Column2]:[Column54]],12,FALSE),"0")</calculatedColumnFormula>
    </tableColumn>
    <tableColumn id="14" xr3:uid="{1C5F3A9E-7067-4302-8C70-F992C719D755}" name="Column14" headerRowDxfId="283" dataDxfId="282">
      <calculatedColumnFormula>IFERROR(VLOOKUP(Table1215[[#This Row],[Column2]],Table12[[Column2]:[Column54]],13,FALSE),"0")</calculatedColumnFormula>
    </tableColumn>
    <tableColumn id="15" xr3:uid="{6954F36A-5549-4262-94D4-4B3600DFDAC5}" name="Column15" headerRowDxfId="281" dataDxfId="280">
      <calculatedColumnFormula>IFERROR(VLOOKUP(Table1215[[#This Row],[Column2]],Table12[[Column2]:[Column54]],14,FALSE),"0")</calculatedColumnFormula>
    </tableColumn>
    <tableColumn id="16" xr3:uid="{10B3FBDA-FDFB-4D03-853D-3A4559B72139}" name="Column16" headerRowDxfId="279" dataDxfId="278">
      <calculatedColumnFormula>IFERROR(VLOOKUP(Table1215[[#This Row],[Column2]],Table12[[Column2]:[Column54]],10,FALSE),"0")</calculatedColumnFormula>
    </tableColumn>
    <tableColumn id="17" xr3:uid="{902EEEBE-AEDD-46CF-820A-1B913FC396E1}" name="Column17" headerRowDxfId="277" dataDxfId="276">
      <calculatedColumnFormula>IFERROR(VLOOKUP(Table1215[[#This Row],[Column2]],Table12[[Column2]:[Column54]],16,FALSE),"0")</calculatedColumnFormula>
    </tableColumn>
    <tableColumn id="18" xr3:uid="{7473679F-ECC1-4171-B87B-7FA3D9A9041A}" name="Column18" headerRowDxfId="275" dataDxfId="274">
      <calculatedColumnFormula>AVERAGE(Table1215[[#This Row],[Column14]],Table1215[[#This Row],[Column15]],Table1215[[#This Row],[Column17]])</calculatedColumnFormula>
    </tableColumn>
    <tableColumn id="19" xr3:uid="{8E22DDC5-D11B-4CA3-812C-DC1F77FA3976}" name="Column19" headerRowDxfId="273" dataDxfId="272">
      <calculatedColumnFormula>IFERROR(VLOOKUP(Table1215[[#This Row],[Column2]],Table12[[Column2]:[Column54]],18,FALSE),"0")</calculatedColumnFormula>
    </tableColumn>
    <tableColumn id="20" xr3:uid="{2AA62DE0-65BB-4065-BCD8-625A01EB8ED6}" name="Column20" headerRowDxfId="271" dataDxfId="270">
      <calculatedColumnFormula>IFERROR(VLOOKUP(Table1215[[#This Row],[Column2]],Table12[[Column2]:[Column54]],19,FALSE),"0")</calculatedColumnFormula>
    </tableColumn>
    <tableColumn id="21" xr3:uid="{268F52E9-AA81-4191-A96B-D8902EBB2F14}" name="Column21" headerRowDxfId="269" dataDxfId="268">
      <calculatedColumnFormula>IFERROR(VLOOKUP(Table1215[[#This Row],[Column2]],Table12[[Column2]:[Column54]],20,FALSE),"0")</calculatedColumnFormula>
    </tableColumn>
    <tableColumn id="22" xr3:uid="{5CDE5926-150C-4930-AC97-AEB569D84C0A}" name="Column22" headerRowDxfId="267" dataDxfId="266">
      <calculatedColumnFormula>IFERROR(VLOOKUP(Table1215[[#This Row],[Column2]],Table12[[Column2]:[Column54]],21,FALSE),"0")</calculatedColumnFormula>
    </tableColumn>
    <tableColumn id="23" xr3:uid="{1A4FF297-1D18-4FC9-BB2B-758907F959E2}" name="Column23" headerRowDxfId="265" dataDxfId="264">
      <calculatedColumnFormula>IFERROR(VLOOKUP(Table1215[[#This Row],[Column2]],Table12[[Column2]:[Column54]],22,FALSE),"0")</calculatedColumnFormula>
    </tableColumn>
    <tableColumn id="24" xr3:uid="{DC67741E-E3B9-4938-BD00-2C276B7DBC49}" name="Column24" headerRowDxfId="263" dataDxfId="262">
      <calculatedColumnFormula>Table1215[[#This Row],[Column19]]</calculatedColumnFormula>
    </tableColumn>
    <tableColumn id="25" xr3:uid="{E60BF953-CDBB-461E-9F89-5DE503626954}" name="Column25" headerRowDxfId="261" dataDxfId="260">
      <calculatedColumnFormula>IFERROR(VLOOKUP(Table1215[[#This Row],[Column2]],Table12[[Column2]:[Column54]],24,FALSE),"0")</calculatedColumnFormula>
    </tableColumn>
    <tableColumn id="26" xr3:uid="{C1D80860-34AB-4256-8BB7-4D015E147749}" name="Column26" headerRowDxfId="259" dataDxfId="258">
      <calculatedColumnFormula>IFERROR(VLOOKUP(Table1215[[#This Row],[Column2]],Table12[[Column2]:[Column54]],25,FALSE),"0")</calculatedColumnFormula>
    </tableColumn>
    <tableColumn id="27" xr3:uid="{0FEF6F58-4417-4B8F-8E36-1AF727CF08D0}" name="Column27" headerRowDxfId="257" dataDxfId="256">
      <calculatedColumnFormula>IFERROR(VLOOKUP(Table1215[[#This Row],[Column2]],Table12[[Column2]:[Column54]],26,FALSE),"0")</calculatedColumnFormula>
    </tableColumn>
    <tableColumn id="28" xr3:uid="{A617DEE8-B0BE-49F5-A2AC-1165AB5A606B}" name="Column28" headerRowDxfId="255" dataDxfId="254">
      <calculatedColumnFormula>IFERROR(VLOOKUP(Table1215[[#This Row],[Column2]],Table12[[Column2]:[Column54]],27,FALSE),"0")</calculatedColumnFormula>
    </tableColumn>
    <tableColumn id="29" xr3:uid="{5B4C8C5B-4431-4EF6-A67F-CCF4CFFC4738}" name="Column29" headerRowDxfId="253" dataDxfId="252">
      <calculatedColumnFormula>IFERROR(VLOOKUP(Table1215[[#This Row],[Column2]],Table12[[Column2]:[Column54]],28,FALSE),"0")</calculatedColumnFormula>
    </tableColumn>
    <tableColumn id="30" xr3:uid="{F9778F56-8DDD-4C85-A1A9-1B076088726D}" name="Column30" headerRowDxfId="251" dataDxfId="250">
      <calculatedColumnFormula>Table1215[[#This Row],[Column25]]</calculatedColumnFormula>
    </tableColumn>
    <tableColumn id="31" xr3:uid="{889F2D47-04F3-40C9-AFA9-3BF2F55111A8}" name="Column31" headerRowDxfId="249" dataDxfId="248">
      <calculatedColumnFormula>IFERROR(VLOOKUP(Table1215[[#This Row],[Column2]],Table12[[Column2]:[Column54]],30,FALSE),"0")</calculatedColumnFormula>
    </tableColumn>
    <tableColumn id="32" xr3:uid="{4B8A9C0A-9634-403B-897E-4C7F645C7042}" name="Column32" headerRowDxfId="247" dataDxfId="246">
      <calculatedColumnFormula>IFERROR(VLOOKUP(Table1215[[#This Row],[Column2]],Table12[[Column2]:[Column54]],31,FALSE),"0")</calculatedColumnFormula>
    </tableColumn>
    <tableColumn id="33" xr3:uid="{BD1B6C09-5006-436D-A086-53C453A1A36A}" name="Column33" headerRowDxfId="245" dataDxfId="244">
      <calculatedColumnFormula>IFERROR(VLOOKUP(Table1215[[#This Row],[Column2]],Table12[[Column2]:[Column54]],32,FALSE),"0")</calculatedColumnFormula>
    </tableColumn>
    <tableColumn id="34" xr3:uid="{E31823FD-6A99-440B-B5A0-ABC28A95D7FE}" name="Column34" headerRowDxfId="243" dataDxfId="242">
      <calculatedColumnFormula>IFERROR(VLOOKUP(Table1215[[#This Row],[Column2]],Table12[[Column2]:[Column54]],33,FALSE),"0")</calculatedColumnFormula>
    </tableColumn>
    <tableColumn id="35" xr3:uid="{D5488D73-6AA0-4DC9-AE6B-2B8E3ADF6A43}" name="Column35" headerRowDxfId="241" dataDxfId="240">
      <calculatedColumnFormula>IFERROR(VLOOKUP(Table1215[[#This Row],[Column2]],Table12[[Column2]:[Column54]],34,FALSE),"0")</calculatedColumnFormula>
    </tableColumn>
    <tableColumn id="36" xr3:uid="{9D8E6948-02BF-42C4-A8FD-80A14E77E02A}" name="Column36" headerRowDxfId="239" dataDxfId="238">
      <calculatedColumnFormula>AVERAGE(Table1215[[#This Row],[Column31]],Table1215[[#This Row],[Column32]],Table1215[[#This Row],[Column33]])</calculatedColumnFormula>
    </tableColumn>
    <tableColumn id="37" xr3:uid="{E908292B-B3EA-45D0-B82D-40F268D996F3}" name="Column37" headerRowDxfId="237" dataDxfId="236">
      <calculatedColumnFormula>IFERROR(VLOOKUP(Table1215[[#This Row],[Column2]],Table12[[Column2]:[Column54]],36,FALSE),"0")</calculatedColumnFormula>
    </tableColumn>
    <tableColumn id="38" xr3:uid="{EC4B4777-ED1A-40A4-9349-667D29231315}" name="Column38" headerRowDxfId="235" dataDxfId="234">
      <calculatedColumnFormula>IFERROR(VLOOKUP(Table1215[[#This Row],[Column2]],Table12[[Column2]:[Column54]],37,FALSE),"0")</calculatedColumnFormula>
    </tableColumn>
    <tableColumn id="39" xr3:uid="{CD322653-479C-4605-A92E-26642A403331}" name="Column39" headerRowDxfId="233" dataDxfId="232">
      <calculatedColumnFormula>IFERROR(VLOOKUP(Table1215[[#This Row],[Column2]],Table12[[Column2]:[Column54]],38,FALSE),"0")</calculatedColumnFormula>
    </tableColumn>
    <tableColumn id="40" xr3:uid="{C44C475C-97C0-4EAC-A24D-B87F65DF6294}" name="Column40" headerRowDxfId="231" dataDxfId="230">
      <calculatedColumnFormula>IFERROR(VLOOKUP(Table1215[[#This Row],[Column2]],Table12[[Column2]:[Column54]],39,FALSE),"0")</calculatedColumnFormula>
    </tableColumn>
    <tableColumn id="41" xr3:uid="{CC8F8642-F48D-4F09-8256-5ECFC255733B}" name="Column41" headerRowDxfId="229" dataDxfId="228">
      <calculatedColumnFormula>IFERROR(VLOOKUP(Table1215[[#This Row],[Column2]],Table12[[Column2]:[Column54]],40,FALSE),"0")</calculatedColumnFormula>
    </tableColumn>
    <tableColumn id="42" xr3:uid="{885CEC16-20F3-40FD-8896-2800D1959493}" name="Column42" headerRowDxfId="227" dataDxfId="226">
      <calculatedColumnFormula>AVERAGE(Table1215[[#This Row],[Column37]],Table1215[[#This Row],[Column38]],Table1215[[#This Row],[Column40]])</calculatedColumnFormula>
    </tableColumn>
    <tableColumn id="43" xr3:uid="{B0808D6C-312F-4692-9976-03BA9545E43A}" name="Column43" headerRowDxfId="225" dataDxfId="224">
      <calculatedColumnFormula>IFERROR(VLOOKUP(Table1215[[#This Row],[Column2]],Table12[[Column2]:[Column54]],42,FALSE),"0")</calculatedColumnFormula>
    </tableColumn>
    <tableColumn id="44" xr3:uid="{E9BB857A-6BF2-4FA9-ADD5-AE99AABEA748}" name="Column44" headerRowDxfId="223" dataDxfId="222">
      <calculatedColumnFormula>IFERROR(VLOOKUP(Table1215[[#This Row],[Column2]],Table12[[Column2]:[Column54]],43,FALSE),"0")</calculatedColumnFormula>
    </tableColumn>
    <tableColumn id="45" xr3:uid="{0A1833B8-BD52-447F-B11F-40A7E9108A57}" name="Column45" headerRowDxfId="221" dataDxfId="220">
      <calculatedColumnFormula>IFERROR(VLOOKUP(Table1215[[#This Row],[Column2]],Table12[[Column2]:[Column54]],44,FALSE),"0")</calculatedColumnFormula>
    </tableColumn>
    <tableColumn id="46" xr3:uid="{8B387C50-C1F4-462D-B758-9D96C9A9DB32}" name="Column46" headerRowDxfId="219" dataDxfId="218">
      <calculatedColumnFormula>IFERROR(VLOOKUP(Table1215[[#This Row],[Column2]],Table12[[Column2]:[Column54]],45,FALSE),"0")</calculatedColumnFormula>
    </tableColumn>
    <tableColumn id="47" xr3:uid="{EE3BD0C0-545D-4039-B61F-191490D8E156}" name="Column47" headerRowDxfId="217" dataDxfId="216">
      <calculatedColumnFormula>IFERROR(VLOOKUP(Table1215[[#This Row],[Column2]],Table12[[Column2]:[Column54]],46,FALSE),"0")</calculatedColumnFormula>
    </tableColumn>
    <tableColumn id="48" xr3:uid="{42C0EE9F-1AFA-4BAF-A822-414D74DF42E7}" name="Column48" headerRowDxfId="215" dataDxfId="214">
      <calculatedColumnFormula>Table1215[[#This Row],[Column43]]</calculatedColumnFormula>
    </tableColumn>
    <tableColumn id="49" xr3:uid="{A08A8B1E-82D6-4129-B9E0-EE1D6454C743}" name="Column49" headerRowDxfId="213" dataDxfId="212">
      <calculatedColumnFormula>IFERROR(VLOOKUP(Table1215[[#This Row],[Column2]],Table12[[Column2]:[Column54]],48,FALSE),"0")</calculatedColumnFormula>
    </tableColumn>
    <tableColumn id="50" xr3:uid="{9CC67929-3C55-4348-B412-2434D62694C5}" name="Column50" headerRowDxfId="211" dataDxfId="210">
      <calculatedColumnFormula>IFERROR(VLOOKUP(Table1215[[#This Row],[Column2]],Table12[[Column2]:[Column54]],49,FALSE),"0")</calculatedColumnFormula>
    </tableColumn>
    <tableColumn id="51" xr3:uid="{5EE7C8EE-BE66-4376-BAC5-71D9BD066BA8}" name="Column51" headerRowDxfId="209" dataDxfId="208">
      <calculatedColumnFormula>IFERROR(VLOOKUP(Table1215[[#This Row],[Column2]],Table12[[Column2]:[Column54]],50,FALSE),"0")</calculatedColumnFormula>
    </tableColumn>
    <tableColumn id="52" xr3:uid="{F073918C-1E8D-4893-A717-7206958549A7}" name="Column52" headerRowDxfId="207" dataDxfId="206">
      <calculatedColumnFormula>IFERROR(VLOOKUP(Table1215[[#This Row],[Column2]],Table12[[Column2]:[Column54]],51,FALSE),"0")</calculatedColumnFormula>
    </tableColumn>
    <tableColumn id="53" xr3:uid="{74D2C1C9-6CDC-4B81-A107-C7FD373B7F5C}" name="Column53" headerRowDxfId="205" dataDxfId="204">
      <calculatedColumnFormula>IFERROR(VLOOKUP(Table1215[[#This Row],[Column2]],Table12[[Column2]:[Column54]],52,FALSE),"0")</calculatedColumnFormula>
    </tableColumn>
    <tableColumn id="54" xr3:uid="{7CC68837-AAC4-4259-88A1-680FD2D216E6}" name="Column54" headerRowDxfId="203" dataDxfId="202">
      <calculatedColumnFormula>AVERAGE(Table1215[[#This Row],[Column52]],Table1215[[#This Row],[Column53]])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15A36B12-95F4-41EF-8222-0B9E39FBF75A}" name="Table110461117" displayName="Table110461117" ref="A3:BD230" headerRowCount="0" headerRowDxfId="201" dataDxfId="199" headerRowBorderDxfId="200" tableBorderDxfId="198">
  <tableColumns count="56">
    <tableColumn id="1" xr3:uid="{A63090A2-9220-409A-9F3F-297BC12B97C2}" name="Sr#" totalsRowLabel="Total" headerRowDxfId="197" dataDxfId="196"/>
    <tableColumn id="2" xr3:uid="{BC840D94-13CB-40CE-9D35-B963E0A145F5}" name="Roll Number" headerRowDxfId="195" dataDxfId="194"/>
    <tableColumn id="3" xr3:uid="{DFBEBFCB-2DE0-473E-99DC-D452FF1D2A83}" name="Name" headerRowDxfId="193" dataDxfId="192"/>
    <tableColumn id="4" xr3:uid="{78FA2D9D-3809-4663-AF15-BDEE94E01C0C}" name="Gender" headerRowDxfId="191" dataDxfId="190"/>
    <tableColumn id="12" xr3:uid="{3A70F502-29E4-45C2-8A3D-254F7854897D}" name="Column1" headerRowDxfId="189" dataDxfId="188"/>
    <tableColumn id="6" xr3:uid="{C6361F18-8187-4587-A3CA-1A292BFC8B6E}" name="Column2" headerRowDxfId="187" dataDxfId="15">
      <calculatedColumnFormula>'Book Review'!K3</calculatedColumnFormula>
    </tableColumn>
    <tableColumn id="7" xr3:uid="{9F4D31A5-DD8A-4235-A4A0-3DC900A6FC84}" name="Column3" headerRowDxfId="186" dataDxfId="185">
      <calculatedColumnFormula>'Book Review'!Q3</calculatedColumnFormula>
    </tableColumn>
    <tableColumn id="8" xr3:uid="{6EF77134-C352-47F4-8B08-FCBC1B0B377D}" name="Column4" headerRowDxfId="184" dataDxfId="183">
      <calculatedColumnFormula>'Book Review'!W3</calculatedColumnFormula>
    </tableColumn>
    <tableColumn id="9" xr3:uid="{5070EC3A-133B-40E4-BD06-D743286DCA0F}" name="Column5" headerRowDxfId="182" dataDxfId="181"/>
    <tableColumn id="10" xr3:uid="{CD3722C1-0953-46B3-A61D-0A9A0B12F406}" name="Column6" headerRowDxfId="180" dataDxfId="179"/>
    <tableColumn id="11" xr3:uid="{D140AB9F-4B44-440F-B359-04C25ABAE7E2}" name="Column7" headerRowDxfId="178" dataDxfId="14">
      <calculatedColumnFormula>'Book Review'!AO3</calculatedColumnFormula>
    </tableColumn>
    <tableColumn id="13" xr3:uid="{0BB68C32-8841-474D-8785-686B727D860C}" name="Column8" headerRowDxfId="177" dataDxfId="176">
      <calculatedColumnFormula>'Book Review'!AU3</calculatedColumnFormula>
    </tableColumn>
    <tableColumn id="15" xr3:uid="{E35DB3F0-7B5F-4AF6-B36E-5DA186D9ED9F}" name="Column10" headerRowDxfId="175" dataDxfId="174"/>
    <tableColumn id="16" xr3:uid="{0F8A221A-279B-46DD-87DB-F21445481809}" name="Column11" headerRowDxfId="173" dataDxfId="13">
      <calculatedColumnFormula>Debate!K3</calculatedColumnFormula>
    </tableColumn>
    <tableColumn id="17" xr3:uid="{0CFDB70A-AC00-464D-8705-85721F819753}" name="Column12" headerRowDxfId="172" dataDxfId="171">
      <calculatedColumnFormula>Debate!Q3</calculatedColumnFormula>
    </tableColumn>
    <tableColumn id="18" xr3:uid="{230A3DCA-56D7-422D-BA3F-81920CCCB868}" name="Column13" headerRowDxfId="170" dataDxfId="169"/>
    <tableColumn id="19" xr3:uid="{CB422E39-8010-4BC8-9C0D-5845C7C40F83}" name="Column14" headerRowDxfId="168" dataDxfId="167">
      <calculatedColumnFormula>Debate!AC3</calculatedColumnFormula>
    </tableColumn>
    <tableColumn id="20" xr3:uid="{33A8E727-141F-45BF-A330-D9A395B0095A}" name="Column15" headerRowDxfId="166" dataDxfId="165"/>
    <tableColumn id="21" xr3:uid="{C0267558-7A6F-4FB4-8B20-D0AA6C3316C8}" name="Column16" headerRowDxfId="164" dataDxfId="12">
      <calculatedColumnFormula>Debate!AO3</calculatedColumnFormula>
    </tableColumn>
    <tableColumn id="22" xr3:uid="{05CC1F8D-2EE4-41DC-BC9F-2202E9310F4C}" name="Column17" headerRowDxfId="163" dataDxfId="162">
      <calculatedColumnFormula>Debate!AU3</calculatedColumnFormula>
    </tableColumn>
    <tableColumn id="24" xr3:uid="{B119E8B3-5873-49C6-AA75-175C1AE0B0F9}" name="Column19" headerRowDxfId="161" dataDxfId="160"/>
    <tableColumn id="25" xr3:uid="{2AE8EDC3-BFE8-4D9F-9A3F-347BD4FE1161}" name="Column20" headerRowDxfId="159" dataDxfId="158"/>
    <tableColumn id="26" xr3:uid="{E99D9A4E-178E-4024-9F85-1E23DE94EFC3}" name="Column21" headerRowDxfId="157" dataDxfId="156">
      <calculatedColumnFormula>GD!Q3</calculatedColumnFormula>
    </tableColumn>
    <tableColumn id="27" xr3:uid="{B84ECF9E-A507-47EE-8959-E23A26F0C4F3}" name="Column22" headerRowDxfId="155" dataDxfId="154">
      <calculatedColumnFormula>GD!W3</calculatedColumnFormula>
    </tableColumn>
    <tableColumn id="28" xr3:uid="{AD004EF5-19FB-4C98-B021-8426C7554B12}" name="Column23" headerRowDxfId="153" dataDxfId="152"/>
    <tableColumn id="29" xr3:uid="{0CA1E3DD-24DB-448C-A644-EC84B6AB94C0}" name="Column24" headerRowDxfId="151" dataDxfId="150"/>
    <tableColumn id="30" xr3:uid="{37359A73-B1BE-4BCD-9677-A95E1D3E5E99}" name="Column25" headerRowDxfId="149" dataDxfId="148"/>
    <tableColumn id="31" xr3:uid="{FD527538-967E-46E5-BB73-05B2FCFAD85F}" name="Column26" headerRowDxfId="147" dataDxfId="146"/>
    <tableColumn id="33" xr3:uid="{2FA3D2F5-0922-4C1E-B918-AB8F113344DA}" name="Column28" headerRowDxfId="145" dataDxfId="144"/>
    <tableColumn id="34" xr3:uid="{16F52E9A-572A-4B44-8798-EB85D395F261}" name="Column29" headerRowDxfId="143" dataDxfId="11">
      <calculatedColumnFormula>'Case study'!K3</calculatedColumnFormula>
    </tableColumn>
    <tableColumn id="35" xr3:uid="{1F706800-1EDF-4BF7-8083-EA5DEAAE5F5E}" name="Column30" headerRowDxfId="142" dataDxfId="141">
      <calculatedColumnFormula>'Case study'!Q3</calculatedColumnFormula>
    </tableColumn>
    <tableColumn id="36" xr3:uid="{20193C32-8E7B-4375-ABED-B1DA4C3F6705}" name="Column31" headerRowDxfId="140" dataDxfId="139">
      <calculatedColumnFormula>'Case study'!W3</calculatedColumnFormula>
    </tableColumn>
    <tableColumn id="37" xr3:uid="{1F49B09F-ED4F-4D70-B727-2300EACCB08D}" name="Column32" headerRowDxfId="138" dataDxfId="137"/>
    <tableColumn id="38" xr3:uid="{E392EAA6-1545-4280-BE93-B971290EC7D5}" name="Column33" headerRowDxfId="136" dataDxfId="135"/>
    <tableColumn id="39" xr3:uid="{0DB346C6-8D29-4AAF-855E-2543E86BF54F}" name="Column34" headerRowDxfId="134" dataDxfId="10">
      <calculatedColumnFormula>'Case study'!AO3</calculatedColumnFormula>
    </tableColumn>
    <tableColumn id="40" xr3:uid="{52BDCBC1-E9B2-4CED-84AE-D92B2068D440}" name="Column35" headerRowDxfId="133" dataDxfId="132">
      <calculatedColumnFormula>'Case study'!AU3</calculatedColumnFormula>
    </tableColumn>
    <tableColumn id="69" xr3:uid="{386D1691-AC10-49D2-AD50-81A03A3867B6}" name="Column64" headerRowDxfId="131" dataDxfId="130" totalsRowDxfId="129"/>
    <tableColumn id="70" xr3:uid="{81A58D3B-2FA4-4519-AF87-FF74346CA4D9}" name="Column65" headerRowDxfId="128" dataDxfId="9" totalsRowDxfId="127">
      <calculatedColumnFormula>Capstone!K3</calculatedColumnFormula>
    </tableColumn>
    <tableColumn id="71" xr3:uid="{A9F0A416-D7E8-4349-8ADC-DF586A1CA211}" name="Column66" headerRowDxfId="126" dataDxfId="125" totalsRowDxfId="124">
      <calculatedColumnFormula>Capstone!Q4</calculatedColumnFormula>
    </tableColumn>
    <tableColumn id="72" xr3:uid="{EE01925E-C303-419F-8FF1-25B03B28CEDC}" name="Column67" headerRowDxfId="123" dataDxfId="122" totalsRowDxfId="121">
      <calculatedColumnFormula>Capstone!W4</calculatedColumnFormula>
    </tableColumn>
    <tableColumn id="73" xr3:uid="{C9AC9E2E-8E49-4AF7-9019-6459E5E45663}" name="Column68" headerRowDxfId="120" dataDxfId="119" totalsRowDxfId="118"/>
    <tableColumn id="74" xr3:uid="{D9F6F8BE-F58D-47C7-A530-7F695CD1784B}" name="Column69" headerRowDxfId="117" dataDxfId="116" totalsRowDxfId="115"/>
    <tableColumn id="75" xr3:uid="{641C444A-FB8A-43FE-9696-8332E51250C1}" name="Column70" headerRowDxfId="114" dataDxfId="113" totalsRowDxfId="112">
      <calculatedColumnFormula>Capstone!AO4</calculatedColumnFormula>
    </tableColumn>
    <tableColumn id="76" xr3:uid="{D42DD66F-6994-400B-8A25-69413B6FEDA9}" name="Column71" headerRowDxfId="111" dataDxfId="110" totalsRowDxfId="109"/>
    <tableColumn id="78" xr3:uid="{2FC52248-CC4D-4EE5-8289-B8F13DDB1D36}" name="Column73" headerRowDxfId="108" dataDxfId="107" totalsRowDxfId="106"/>
    <tableColumn id="79" xr3:uid="{7787925D-7BD2-41A2-84F3-D71476199CF4}" name="Column74" headerRowDxfId="105" dataDxfId="5">
      <calculatedColumnFormula>IFERROR(AVERAGE(Table110461117[[#This Row],[Column2]],Table110461117[[#This Row],[Column11]],Table110461117[[#This Row],[Column29]]),"0")</calculatedColumnFormula>
    </tableColumn>
    <tableColumn id="80" xr3:uid="{E53A210F-9763-4CBB-A7E1-123EFE58846D}" name="Column75" headerRowDxfId="104" dataDxfId="4" totalsRowDxfId="103">
      <calculatedColumnFormula>IFERROR(AVERAGE(Table110461117[[#This Row],[Column3]],Table110461117[[#This Row],[Column12]],Table110461117[[#This Row],[Column21]],Table110461117[[#This Row],[Column30]]),"0")</calculatedColumnFormula>
    </tableColumn>
    <tableColumn id="81" xr3:uid="{74520944-D800-4335-8A77-FEB2454FFEAF}" name="Column76" headerRowDxfId="102" dataDxfId="3" totalsRowDxfId="101">
      <calculatedColumnFormula>IFERROR(AVERAGE(Table110461117[[#This Row],[Column31]],Table110461117[[#This Row],[Column22]],Table110461117[[#This Row],[Column4]]),"0")</calculatedColumnFormula>
    </tableColumn>
    <tableColumn id="82" xr3:uid="{4A9DE722-FDCD-4B2C-91C2-A32FEFC4C2E8}" name="Column77" headerRowDxfId="100" dataDxfId="2" totalsRowDxfId="99">
      <calculatedColumnFormula>IFERROR(AVERAGE(Table110461117[[#This Row],[Column14]]),"0")</calculatedColumnFormula>
    </tableColumn>
    <tableColumn id="83" xr3:uid="{D2B28415-10C6-44F9-8B77-8893AA2E5B65}" name="Column78" headerRowDxfId="98" dataDxfId="97" totalsRowDxfId="96"/>
    <tableColumn id="84" xr3:uid="{4EEFED86-96F3-4B75-B8B9-59E0FEC626B2}" name="Column79" headerRowDxfId="95" dataDxfId="1" totalsRowDxfId="94">
      <calculatedColumnFormula>IFERROR(AVERAGE(Table110461117[[#This Row],[Column34]],Table110461117[[#This Row],[Column16]],Table110461117[[#This Row],[Column7]]),"0")</calculatedColumnFormula>
    </tableColumn>
    <tableColumn id="85" xr3:uid="{6A14C6FC-2475-4357-BD87-F9C76EE3625E}" name="Column80" headerRowDxfId="93" dataDxfId="0" totalsRowDxfId="92">
      <calculatedColumnFormula>IFERROR(AVERAGE(Table110461117[[#This Row],[Column35]],Table110461117[[#This Row],[Column17]],Table110461117[[#This Row],[Column8]]),"0")</calculatedColumnFormula>
    </tableColumn>
    <tableColumn id="87" xr3:uid="{9615B317-FE88-4380-AAD5-88546841CB5F}" name="Column82" headerRowDxfId="91" dataDxfId="90" totalsRowDxfId="89"/>
    <tableColumn id="90" xr3:uid="{68D68BDD-AD3F-4BA6-AB08-AA522E075017}" name="Column85" headerRowDxfId="88" dataDxfId="8" totalsRowDxfId="87"/>
    <tableColumn id="88" xr3:uid="{736EF468-8AFA-4A4F-9F10-19ABFEA0A15B}" name="Column83" headerRowDxfId="86" dataDxfId="7" totalsRowDxfId="85">
      <calculatedColumnFormula>IFERROR(AVERAGE('Book Review'!AY3,Debate!AY3,'Case study'!AY3,Capstone!AY3),"A")</calculatedColumnFormula>
    </tableColumn>
    <tableColumn id="89" xr3:uid="{4A4CA263-FF4B-4819-B284-7F86C87F1438}" name="Column84" headerRowDxfId="84" dataDxfId="6">
      <calculatedColumnFormula>IFERROR(AVERAGE('Book Review'!AZ3,Debate!AZ3,'Case study'!AZ3),"A")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62D00-BC75-4C03-B237-31C34B279B7E}">
  <dimension ref="A1:AC30"/>
  <sheetViews>
    <sheetView zoomScale="9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AH9" sqref="AH9"/>
    </sheetView>
  </sheetViews>
  <sheetFormatPr defaultRowHeight="14.4" x14ac:dyDescent="0.3"/>
  <cols>
    <col min="1" max="1" width="6.5546875" customWidth="1"/>
    <col min="2" max="2" width="19.109375" style="11" customWidth="1"/>
    <col min="3" max="3" width="31.109375" style="11" customWidth="1"/>
    <col min="4" max="4" width="21.88671875" style="11" bestFit="1" customWidth="1"/>
    <col min="5" max="7" width="16.88671875" customWidth="1"/>
    <col min="8" max="8" width="16.88671875" style="12" customWidth="1"/>
    <col min="9" max="9" width="14.88671875" style="12" customWidth="1"/>
    <col min="10" max="10" width="17.109375" style="11" customWidth="1"/>
    <col min="11" max="27" width="8.88671875" style="12"/>
    <col min="29" max="29" width="26.6640625" customWidth="1"/>
  </cols>
  <sheetData>
    <row r="1" spans="1:29" s="3" customFormat="1" ht="35.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19" t="s">
        <v>10</v>
      </c>
      <c r="L1" s="119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2" t="s">
        <v>11</v>
      </c>
    </row>
    <row r="2" spans="1:29" ht="23.1" customHeight="1" x14ac:dyDescent="0.3">
      <c r="A2" s="4"/>
      <c r="B2" s="5" t="s">
        <v>576</v>
      </c>
      <c r="C2" s="11" t="s">
        <v>552</v>
      </c>
      <c r="D2" s="21" t="s">
        <v>553</v>
      </c>
      <c r="E2" s="30" t="s">
        <v>12</v>
      </c>
      <c r="F2" s="10" t="s">
        <v>13</v>
      </c>
      <c r="G2" s="10" t="s">
        <v>14</v>
      </c>
      <c r="H2" s="23">
        <v>2</v>
      </c>
      <c r="I2" s="23">
        <v>3</v>
      </c>
      <c r="J2" s="31">
        <v>3</v>
      </c>
      <c r="K2" s="8" t="s">
        <v>554</v>
      </c>
      <c r="L2" s="8" t="s">
        <v>18</v>
      </c>
      <c r="M2" s="8" t="s">
        <v>19</v>
      </c>
      <c r="N2" s="8" t="s">
        <v>21</v>
      </c>
      <c r="O2" s="8" t="s">
        <v>555</v>
      </c>
      <c r="P2" s="8" t="s">
        <v>556</v>
      </c>
      <c r="Q2" s="8" t="s">
        <v>557</v>
      </c>
      <c r="R2" s="8" t="s">
        <v>558</v>
      </c>
      <c r="S2" s="8" t="s">
        <v>559</v>
      </c>
      <c r="T2" s="8" t="s">
        <v>20</v>
      </c>
      <c r="U2" s="12" t="s">
        <v>560</v>
      </c>
      <c r="V2" s="8" t="s">
        <v>561</v>
      </c>
      <c r="W2" s="8" t="s">
        <v>562</v>
      </c>
      <c r="X2" s="8" t="s">
        <v>23</v>
      </c>
      <c r="Y2" s="8" t="s">
        <v>17</v>
      </c>
      <c r="Z2" s="8" t="s">
        <v>577</v>
      </c>
      <c r="AA2" s="8" t="s">
        <v>15</v>
      </c>
      <c r="AB2" s="4" t="s">
        <v>16</v>
      </c>
      <c r="AC2" s="4"/>
    </row>
    <row r="3" spans="1:29" ht="23.1" customHeight="1" x14ac:dyDescent="0.3">
      <c r="A3" s="4"/>
      <c r="B3" s="5" t="s">
        <v>576</v>
      </c>
      <c r="C3" s="11" t="s">
        <v>552</v>
      </c>
      <c r="D3" s="7" t="s">
        <v>563</v>
      </c>
      <c r="E3" s="30" t="s">
        <v>12</v>
      </c>
      <c r="F3" s="10" t="s">
        <v>13</v>
      </c>
      <c r="G3" s="10" t="s">
        <v>14</v>
      </c>
      <c r="H3" s="31">
        <v>2</v>
      </c>
      <c r="I3" s="31">
        <v>3</v>
      </c>
      <c r="J3" s="31">
        <v>3</v>
      </c>
      <c r="K3" s="33" t="s">
        <v>554</v>
      </c>
      <c r="L3" s="33" t="s">
        <v>18</v>
      </c>
      <c r="M3" s="8" t="s">
        <v>19</v>
      </c>
      <c r="N3" s="8" t="s">
        <v>21</v>
      </c>
      <c r="O3" s="8" t="s">
        <v>555</v>
      </c>
      <c r="P3" s="8" t="s">
        <v>556</v>
      </c>
      <c r="Q3" s="8" t="s">
        <v>557</v>
      </c>
      <c r="R3" s="8" t="s">
        <v>558</v>
      </c>
      <c r="S3" s="8" t="s">
        <v>559</v>
      </c>
      <c r="T3" s="8" t="s">
        <v>20</v>
      </c>
      <c r="U3" s="12" t="s">
        <v>560</v>
      </c>
      <c r="V3" s="8" t="s">
        <v>561</v>
      </c>
      <c r="W3" s="8" t="s">
        <v>562</v>
      </c>
      <c r="X3" s="8" t="s">
        <v>23</v>
      </c>
      <c r="Y3" s="8" t="s">
        <v>17</v>
      </c>
      <c r="Z3" s="8" t="s">
        <v>577</v>
      </c>
      <c r="AA3" s="8" t="s">
        <v>15</v>
      </c>
      <c r="AB3" s="4" t="s">
        <v>16</v>
      </c>
      <c r="AC3" s="4"/>
    </row>
    <row r="4" spans="1:29" ht="23.1" customHeight="1" x14ac:dyDescent="0.3">
      <c r="A4" s="4"/>
      <c r="B4" s="5" t="s">
        <v>576</v>
      </c>
      <c r="C4" s="7" t="s">
        <v>564</v>
      </c>
      <c r="D4" s="30"/>
      <c r="E4" s="30" t="s">
        <v>12</v>
      </c>
      <c r="F4" s="10" t="s">
        <v>13</v>
      </c>
      <c r="G4" s="10" t="s">
        <v>14</v>
      </c>
      <c r="H4" s="31">
        <v>2</v>
      </c>
      <c r="I4" s="31">
        <v>2</v>
      </c>
      <c r="J4" s="34">
        <v>2</v>
      </c>
      <c r="K4" s="9"/>
      <c r="L4" s="9"/>
      <c r="M4" s="35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4"/>
      <c r="AC4" s="4"/>
    </row>
    <row r="5" spans="1:29" ht="23.1" customHeight="1" x14ac:dyDescent="0.3">
      <c r="A5" s="4"/>
      <c r="B5" s="5" t="s">
        <v>576</v>
      </c>
      <c r="C5" s="7" t="s">
        <v>565</v>
      </c>
      <c r="D5" s="32"/>
      <c r="E5" s="30" t="s">
        <v>12</v>
      </c>
      <c r="F5" s="10" t="s">
        <v>13</v>
      </c>
      <c r="G5" s="10" t="s">
        <v>14</v>
      </c>
      <c r="H5" s="31">
        <v>2</v>
      </c>
      <c r="I5" s="31">
        <v>2</v>
      </c>
      <c r="J5" s="31">
        <v>1</v>
      </c>
      <c r="K5" s="36" t="s">
        <v>566</v>
      </c>
      <c r="L5" s="36" t="s">
        <v>567</v>
      </c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 t="s">
        <v>577</v>
      </c>
      <c r="AA5" s="8" t="s">
        <v>15</v>
      </c>
      <c r="AB5" s="4" t="s">
        <v>16</v>
      </c>
      <c r="AC5" s="4"/>
    </row>
    <row r="6" spans="1:29" ht="23.1" customHeight="1" x14ac:dyDescent="0.3">
      <c r="A6" s="4"/>
      <c r="B6" s="5" t="s">
        <v>576</v>
      </c>
      <c r="C6" s="7" t="s">
        <v>568</v>
      </c>
      <c r="D6" s="32"/>
      <c r="E6" s="30" t="s">
        <v>12</v>
      </c>
      <c r="F6" s="10" t="s">
        <v>13</v>
      </c>
      <c r="G6" s="10" t="s">
        <v>14</v>
      </c>
      <c r="H6" s="31">
        <v>2</v>
      </c>
      <c r="I6" s="31">
        <v>4</v>
      </c>
      <c r="J6" s="31">
        <v>4</v>
      </c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4"/>
      <c r="AC6" s="4"/>
    </row>
    <row r="7" spans="1:29" ht="23.1" customHeight="1" x14ac:dyDescent="0.3">
      <c r="A7" s="4"/>
      <c r="B7" s="5" t="s">
        <v>576</v>
      </c>
      <c r="D7" s="7" t="s">
        <v>569</v>
      </c>
      <c r="E7" s="30" t="s">
        <v>12</v>
      </c>
      <c r="F7" s="10" t="s">
        <v>13</v>
      </c>
      <c r="G7" s="10" t="s">
        <v>14</v>
      </c>
      <c r="H7" s="23">
        <v>2</v>
      </c>
      <c r="I7" s="23">
        <v>0</v>
      </c>
      <c r="J7" s="31">
        <v>0</v>
      </c>
      <c r="K7" s="12" t="s">
        <v>560</v>
      </c>
      <c r="L7" s="8" t="s">
        <v>561</v>
      </c>
      <c r="M7" s="8" t="s">
        <v>562</v>
      </c>
      <c r="N7" s="8" t="s">
        <v>23</v>
      </c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 t="s">
        <v>577</v>
      </c>
      <c r="AA7" s="8" t="s">
        <v>15</v>
      </c>
      <c r="AB7" s="4" t="s">
        <v>16</v>
      </c>
      <c r="AC7" s="4"/>
    </row>
    <row r="8" spans="1:29" ht="23.1" customHeight="1" x14ac:dyDescent="0.3">
      <c r="A8" s="4"/>
      <c r="B8" s="5" t="s">
        <v>576</v>
      </c>
      <c r="C8" s="7" t="s">
        <v>570</v>
      </c>
      <c r="D8" s="32"/>
      <c r="E8" s="30" t="s">
        <v>12</v>
      </c>
      <c r="F8" s="10" t="s">
        <v>13</v>
      </c>
      <c r="G8" s="10" t="s">
        <v>14</v>
      </c>
      <c r="H8" s="31">
        <v>2</v>
      </c>
      <c r="I8" s="31">
        <v>1</v>
      </c>
      <c r="J8" s="31">
        <v>1</v>
      </c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4"/>
      <c r="AC8" s="4"/>
    </row>
    <row r="9" spans="1:29" ht="23.1" customHeight="1" x14ac:dyDescent="0.3">
      <c r="A9" s="4"/>
      <c r="B9" s="5" t="s">
        <v>576</v>
      </c>
      <c r="C9" s="32"/>
      <c r="D9" s="7" t="s">
        <v>571</v>
      </c>
      <c r="E9" s="30" t="s">
        <v>12</v>
      </c>
      <c r="F9" s="10" t="s">
        <v>13</v>
      </c>
      <c r="G9" s="10" t="s">
        <v>14</v>
      </c>
      <c r="H9" s="31">
        <v>2</v>
      </c>
      <c r="I9" s="31">
        <v>2</v>
      </c>
      <c r="J9" s="31">
        <v>2</v>
      </c>
      <c r="K9" s="8" t="s">
        <v>554</v>
      </c>
      <c r="L9" s="8" t="s">
        <v>557</v>
      </c>
      <c r="M9" s="8" t="s">
        <v>558</v>
      </c>
      <c r="N9" s="8" t="s">
        <v>559</v>
      </c>
      <c r="O9" s="8" t="s">
        <v>20</v>
      </c>
      <c r="P9" s="8" t="s">
        <v>555</v>
      </c>
      <c r="Q9" s="8" t="s">
        <v>560</v>
      </c>
      <c r="R9" s="8" t="s">
        <v>561</v>
      </c>
      <c r="S9" s="8" t="s">
        <v>562</v>
      </c>
      <c r="T9" s="8" t="s">
        <v>23</v>
      </c>
      <c r="U9" s="8"/>
      <c r="V9" s="8"/>
      <c r="W9" s="8"/>
      <c r="X9" s="8"/>
      <c r="Y9" s="8"/>
      <c r="Z9" s="8" t="s">
        <v>577</v>
      </c>
      <c r="AA9" s="8" t="s">
        <v>15</v>
      </c>
      <c r="AB9" s="4" t="s">
        <v>16</v>
      </c>
      <c r="AC9" s="4"/>
    </row>
    <row r="10" spans="1:29" ht="23.1" customHeight="1" x14ac:dyDescent="0.3">
      <c r="A10" s="4"/>
      <c r="B10" s="5" t="s">
        <v>576</v>
      </c>
      <c r="C10" s="7" t="s">
        <v>572</v>
      </c>
      <c r="D10" s="32"/>
      <c r="E10" s="30" t="s">
        <v>12</v>
      </c>
      <c r="F10" s="10" t="s">
        <v>13</v>
      </c>
      <c r="G10" s="10" t="s">
        <v>14</v>
      </c>
      <c r="H10" s="23">
        <v>2</v>
      </c>
      <c r="I10" s="23">
        <v>1</v>
      </c>
      <c r="J10" s="31">
        <v>1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4"/>
      <c r="AC10" s="4"/>
    </row>
    <row r="11" spans="1:29" ht="23.1" customHeight="1" x14ac:dyDescent="0.3">
      <c r="A11" s="4"/>
      <c r="B11" s="5" t="s">
        <v>576</v>
      </c>
      <c r="C11" s="32"/>
      <c r="D11" s="7" t="s">
        <v>572</v>
      </c>
      <c r="E11" s="30" t="s">
        <v>12</v>
      </c>
      <c r="F11" s="10" t="s">
        <v>13</v>
      </c>
      <c r="G11" s="10" t="s">
        <v>14</v>
      </c>
      <c r="H11" s="23">
        <v>2</v>
      </c>
      <c r="I11" s="23">
        <v>2</v>
      </c>
      <c r="J11" s="31">
        <v>2</v>
      </c>
      <c r="K11" s="8" t="s">
        <v>573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 t="s">
        <v>577</v>
      </c>
      <c r="AA11" s="8" t="s">
        <v>15</v>
      </c>
      <c r="AB11" s="4" t="s">
        <v>16</v>
      </c>
      <c r="AC11" s="4"/>
    </row>
    <row r="12" spans="1:29" ht="23.1" customHeight="1" x14ac:dyDescent="0.3">
      <c r="A12" s="4"/>
      <c r="B12" s="5" t="s">
        <v>576</v>
      </c>
      <c r="C12" s="13" t="s">
        <v>574</v>
      </c>
      <c r="D12" s="13"/>
      <c r="E12" s="30" t="s">
        <v>12</v>
      </c>
      <c r="F12" s="10" t="s">
        <v>13</v>
      </c>
      <c r="G12" s="10" t="s">
        <v>14</v>
      </c>
      <c r="H12" s="14">
        <v>2</v>
      </c>
      <c r="I12" s="14">
        <v>1</v>
      </c>
      <c r="J12" s="13">
        <v>1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4"/>
      <c r="AC12" s="4"/>
    </row>
    <row r="13" spans="1:29" ht="23.1" customHeight="1" x14ac:dyDescent="0.3">
      <c r="A13" s="4"/>
      <c r="B13" s="7"/>
      <c r="C13" s="13"/>
      <c r="D13" s="13" t="s">
        <v>575</v>
      </c>
      <c r="E13" s="30" t="s">
        <v>12</v>
      </c>
      <c r="F13" s="10" t="s">
        <v>13</v>
      </c>
      <c r="G13" s="10" t="s">
        <v>14</v>
      </c>
      <c r="H13" s="14">
        <v>2</v>
      </c>
      <c r="I13" s="14">
        <v>3</v>
      </c>
      <c r="J13" s="13">
        <v>3</v>
      </c>
      <c r="K13" s="8" t="s">
        <v>554</v>
      </c>
      <c r="L13" s="8" t="s">
        <v>18</v>
      </c>
      <c r="M13" s="8" t="s">
        <v>19</v>
      </c>
      <c r="N13" s="8" t="s">
        <v>21</v>
      </c>
      <c r="O13" s="8" t="s">
        <v>557</v>
      </c>
      <c r="P13" s="8" t="s">
        <v>558</v>
      </c>
      <c r="Q13" s="8" t="s">
        <v>559</v>
      </c>
      <c r="R13" s="8" t="s">
        <v>20</v>
      </c>
      <c r="S13" s="8" t="s">
        <v>22</v>
      </c>
      <c r="T13" s="8" t="s">
        <v>17</v>
      </c>
      <c r="U13" s="8"/>
      <c r="V13" s="8"/>
      <c r="W13" s="8"/>
      <c r="X13" s="8"/>
      <c r="Y13" s="8"/>
      <c r="Z13" s="8" t="s">
        <v>577</v>
      </c>
      <c r="AA13" s="8" t="s">
        <v>15</v>
      </c>
      <c r="AB13" s="4" t="s">
        <v>16</v>
      </c>
      <c r="AC13" s="4"/>
    </row>
    <row r="14" spans="1:29" ht="23.1" customHeight="1" x14ac:dyDescent="0.3">
      <c r="A14" s="4"/>
      <c r="B14" s="7"/>
      <c r="C14" s="13"/>
      <c r="D14" s="13"/>
      <c r="E14" s="15"/>
      <c r="F14" s="15"/>
      <c r="G14" s="15"/>
      <c r="H14" s="14"/>
      <c r="I14" s="14"/>
      <c r="J14" s="13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4"/>
      <c r="AC14" s="4"/>
    </row>
    <row r="15" spans="1:29" ht="23.1" customHeight="1" x14ac:dyDescent="0.3">
      <c r="A15" s="4"/>
      <c r="B15" s="7"/>
      <c r="C15" s="13"/>
      <c r="D15" s="13"/>
      <c r="E15" s="15"/>
      <c r="F15" s="15"/>
      <c r="G15" s="15"/>
      <c r="H15" s="14"/>
      <c r="I15" s="14"/>
      <c r="J15" s="13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4"/>
      <c r="AC15" s="4"/>
    </row>
    <row r="16" spans="1:29" ht="23.1" customHeight="1" x14ac:dyDescent="0.3">
      <c r="A16" s="4"/>
      <c r="B16" s="7"/>
      <c r="C16" s="13"/>
      <c r="D16" s="13"/>
      <c r="E16" s="15"/>
      <c r="F16" s="15"/>
      <c r="G16" s="15"/>
      <c r="H16" s="14"/>
      <c r="I16" s="14"/>
      <c r="J16" s="13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4"/>
      <c r="AC16" s="4"/>
    </row>
    <row r="17" spans="1:29" ht="23.1" customHeight="1" x14ac:dyDescent="0.3">
      <c r="A17" s="4"/>
      <c r="B17" s="7"/>
      <c r="C17" s="7"/>
      <c r="D17" s="7"/>
      <c r="E17" s="4"/>
      <c r="F17" s="4"/>
      <c r="G17" s="4"/>
      <c r="H17" s="8"/>
      <c r="I17" s="8"/>
      <c r="J17" s="7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4"/>
      <c r="AC17" s="4"/>
    </row>
    <row r="18" spans="1:29" ht="23.1" customHeight="1" x14ac:dyDescent="0.3">
      <c r="A18" s="4"/>
      <c r="B18" s="7"/>
      <c r="C18" s="7"/>
      <c r="D18" s="7"/>
      <c r="E18" s="4"/>
      <c r="F18" s="4"/>
      <c r="G18" s="4"/>
      <c r="H18" s="8"/>
      <c r="I18" s="8"/>
      <c r="J18" s="7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4"/>
      <c r="AC18" s="4"/>
    </row>
    <row r="19" spans="1:29" ht="23.1" customHeight="1" x14ac:dyDescent="0.3">
      <c r="A19" s="4"/>
      <c r="B19" s="7"/>
      <c r="C19" s="7"/>
      <c r="D19" s="7"/>
      <c r="E19" s="4"/>
      <c r="F19" s="4"/>
      <c r="G19" s="4"/>
      <c r="H19" s="8"/>
      <c r="I19" s="8"/>
      <c r="J19" s="7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4"/>
      <c r="AC19" s="4"/>
    </row>
    <row r="20" spans="1:29" ht="23.1" customHeight="1" x14ac:dyDescent="0.3">
      <c r="A20" s="4"/>
      <c r="B20" s="7"/>
      <c r="C20" s="7"/>
      <c r="D20" s="7"/>
      <c r="E20" s="4"/>
      <c r="F20" s="4"/>
      <c r="G20" s="4"/>
      <c r="H20" s="8"/>
      <c r="I20" s="8"/>
      <c r="J20" s="7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4"/>
      <c r="AC20" s="4"/>
    </row>
    <row r="21" spans="1:29" ht="23.1" customHeight="1" x14ac:dyDescent="0.3">
      <c r="A21" s="4"/>
      <c r="B21" s="7"/>
      <c r="C21" s="7"/>
      <c r="D21" s="7"/>
      <c r="E21" s="4"/>
      <c r="F21" s="4"/>
      <c r="G21" s="4"/>
      <c r="H21" s="8"/>
      <c r="I21" s="8"/>
      <c r="J21" s="7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4"/>
      <c r="AC21" s="4"/>
    </row>
    <row r="22" spans="1:29" ht="23.1" customHeight="1" x14ac:dyDescent="0.3">
      <c r="A22" s="4"/>
      <c r="B22" s="7"/>
      <c r="C22" s="7"/>
      <c r="D22" s="7"/>
      <c r="E22" s="4"/>
      <c r="F22" s="4"/>
      <c r="G22" s="4"/>
      <c r="H22" s="8"/>
      <c r="I22" s="8"/>
      <c r="J22" s="7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4"/>
      <c r="AC22" s="4"/>
    </row>
    <row r="23" spans="1:29" ht="23.1" customHeight="1" x14ac:dyDescent="0.3">
      <c r="A23" s="4"/>
      <c r="B23" s="7"/>
      <c r="C23" s="7"/>
      <c r="D23" s="7"/>
      <c r="E23" s="4"/>
      <c r="F23" s="4"/>
      <c r="G23" s="4"/>
      <c r="H23" s="8"/>
      <c r="I23" s="8"/>
      <c r="J23" s="7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4"/>
      <c r="AC23" s="4"/>
    </row>
    <row r="24" spans="1:29" ht="23.1" customHeight="1" x14ac:dyDescent="0.3">
      <c r="A24" s="4"/>
      <c r="B24" s="7"/>
      <c r="C24" s="7"/>
      <c r="D24" s="7"/>
      <c r="E24" s="4"/>
      <c r="F24" s="4"/>
      <c r="G24" s="4"/>
      <c r="H24" s="8"/>
      <c r="I24" s="8"/>
      <c r="J24" s="7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4"/>
      <c r="AC24" s="4"/>
    </row>
    <row r="25" spans="1:29" ht="23.1" customHeight="1" x14ac:dyDescent="0.3">
      <c r="A25" s="4"/>
      <c r="B25" s="7"/>
      <c r="C25" s="7"/>
      <c r="D25" s="7"/>
      <c r="E25" s="4"/>
      <c r="F25" s="4"/>
      <c r="G25" s="4"/>
      <c r="H25" s="8"/>
      <c r="I25" s="8"/>
      <c r="J25" s="7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4"/>
      <c r="AC25" s="4"/>
    </row>
    <row r="26" spans="1:29" ht="23.1" customHeight="1" x14ac:dyDescent="0.3">
      <c r="A26" s="4"/>
      <c r="B26" s="7"/>
      <c r="C26" s="7"/>
      <c r="D26" s="7"/>
      <c r="E26" s="4"/>
      <c r="F26" s="4"/>
      <c r="G26" s="4"/>
      <c r="H26" s="8"/>
      <c r="I26" s="8"/>
      <c r="J26" s="7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4"/>
      <c r="AC26" s="4"/>
    </row>
    <row r="27" spans="1:29" ht="23.1" customHeight="1" x14ac:dyDescent="0.3">
      <c r="A27" s="4"/>
      <c r="B27" s="7"/>
      <c r="C27" s="7"/>
      <c r="D27" s="7"/>
      <c r="E27" s="4"/>
      <c r="F27" s="4"/>
      <c r="G27" s="4"/>
      <c r="H27" s="8"/>
      <c r="I27" s="8"/>
      <c r="J27" s="7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4"/>
      <c r="AC27" s="4"/>
    </row>
    <row r="28" spans="1:29" ht="23.1" customHeight="1" x14ac:dyDescent="0.3">
      <c r="A28" s="4"/>
      <c r="B28" s="7"/>
      <c r="C28" s="7"/>
      <c r="D28" s="7"/>
      <c r="E28" s="4"/>
      <c r="F28" s="4"/>
      <c r="G28" s="4"/>
      <c r="H28" s="8"/>
      <c r="I28" s="8"/>
      <c r="J28" s="7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4"/>
      <c r="AC28" s="4"/>
    </row>
    <row r="29" spans="1:29" ht="23.1" customHeight="1" x14ac:dyDescent="0.3">
      <c r="A29" s="4"/>
      <c r="B29" s="7"/>
      <c r="C29" s="7"/>
      <c r="D29" s="7"/>
      <c r="E29" s="4"/>
      <c r="F29" s="4"/>
      <c r="G29" s="4"/>
      <c r="H29" s="8"/>
      <c r="I29" s="8"/>
      <c r="J29" s="7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4"/>
      <c r="AC29" s="4"/>
    </row>
    <row r="30" spans="1:29" ht="23.1" customHeight="1" x14ac:dyDescent="0.3">
      <c r="A30" s="4"/>
      <c r="B30" s="7"/>
      <c r="C30" s="7"/>
      <c r="D30" s="7"/>
      <c r="E30" s="4"/>
      <c r="F30" s="4"/>
      <c r="G30" s="4"/>
      <c r="H30" s="8"/>
      <c r="I30" s="8"/>
      <c r="J30" s="7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4"/>
      <c r="AC30" s="4"/>
    </row>
  </sheetData>
  <mergeCells count="1">
    <mergeCell ref="K1:AB1"/>
  </mergeCells>
  <phoneticPr fontId="8" type="noConversion"/>
  <dataValidations count="2">
    <dataValidation type="list" allowBlank="1" showInputMessage="1" showErrorMessage="1" sqref="E1:E1048576" xr:uid="{6BCA972C-DE68-4E1D-910A-6B834A7ACBDF}">
      <formula1>"JAGSoM,IFIM College,IFIM Law School,VU"</formula1>
    </dataValidation>
    <dataValidation type="list" allowBlank="1" showInputMessage="1" showErrorMessage="1" sqref="B1:B1048576" xr:uid="{3C55E49D-14E7-46C2-A9F8-B880C40DC0BF}">
      <formula1>"Level 0,Level 1,Level 2,Level 3"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AA694-8601-45EA-A30B-1B5C163B944E}">
  <dimension ref="A1:BB380"/>
  <sheetViews>
    <sheetView zoomScale="90" zoomScaleNormal="90" workbookViewId="0">
      <pane xSplit="6" ySplit="3" topLeftCell="P4" activePane="bottomRight" state="frozen"/>
      <selection pane="topRight" activeCell="G1" sqref="G1"/>
      <selection pane="bottomLeft" activeCell="A5" sqref="A5"/>
      <selection pane="bottomRight" activeCell="G15" sqref="G15"/>
    </sheetView>
  </sheetViews>
  <sheetFormatPr defaultRowHeight="15.6" x14ac:dyDescent="0.3"/>
  <cols>
    <col min="1" max="1" width="11.109375" style="11" customWidth="1"/>
    <col min="2" max="2" width="21.6640625" style="11" customWidth="1"/>
    <col min="3" max="3" width="22.77734375" style="3" customWidth="1"/>
    <col min="4" max="5" width="12.44140625" style="11" customWidth="1"/>
    <col min="6" max="6" width="12.109375" style="11" customWidth="1"/>
    <col min="7" max="9" width="11.109375" style="11" customWidth="1"/>
    <col min="10" max="11" width="12.21875" customWidth="1"/>
    <col min="12" max="12" width="12.77734375" style="39" customWidth="1"/>
    <col min="13" max="13" width="13" customWidth="1"/>
    <col min="14" max="54" width="12.21875" customWidth="1"/>
  </cols>
  <sheetData>
    <row r="1" spans="1:54" ht="36.6" customHeight="1" x14ac:dyDescent="0.3">
      <c r="A1" s="124" t="s">
        <v>24</v>
      </c>
      <c r="B1" s="124"/>
      <c r="C1" s="125" t="s">
        <v>492</v>
      </c>
      <c r="D1" s="125"/>
      <c r="E1" s="17"/>
      <c r="F1" s="126"/>
      <c r="G1" s="126"/>
      <c r="H1" s="126"/>
      <c r="I1" s="126"/>
      <c r="J1" s="126"/>
      <c r="K1" s="126"/>
      <c r="L1" s="126"/>
      <c r="M1" s="18"/>
      <c r="O1" s="41" t="s">
        <v>554</v>
      </c>
      <c r="P1" s="41" t="s">
        <v>18</v>
      </c>
      <c r="Q1" s="41" t="s">
        <v>19</v>
      </c>
      <c r="R1" s="41" t="s">
        <v>21</v>
      </c>
      <c r="S1" s="42" t="s">
        <v>555</v>
      </c>
      <c r="T1" s="43" t="s">
        <v>557</v>
      </c>
      <c r="U1" s="43" t="s">
        <v>558</v>
      </c>
      <c r="V1" s="43" t="s">
        <v>559</v>
      </c>
      <c r="W1" s="43" t="s">
        <v>20</v>
      </c>
      <c r="X1" s="44" t="s">
        <v>560</v>
      </c>
      <c r="Y1" s="44" t="s">
        <v>561</v>
      </c>
      <c r="Z1" s="44" t="s">
        <v>23</v>
      </c>
      <c r="AA1" s="45" t="s">
        <v>17</v>
      </c>
      <c r="AB1" s="46" t="s">
        <v>15</v>
      </c>
      <c r="AC1" s="47" t="s">
        <v>16</v>
      </c>
    </row>
    <row r="2" spans="1:54" s="3" customFormat="1" ht="21.6" customHeight="1" x14ac:dyDescent="0.3">
      <c r="A2" s="127" t="s">
        <v>0</v>
      </c>
      <c r="B2" s="127" t="s">
        <v>26</v>
      </c>
      <c r="C2" s="129" t="s">
        <v>27</v>
      </c>
      <c r="D2" s="127" t="s">
        <v>489</v>
      </c>
      <c r="E2" s="127" t="s">
        <v>25</v>
      </c>
      <c r="F2" s="127" t="s">
        <v>25</v>
      </c>
      <c r="G2" s="121" t="s">
        <v>495</v>
      </c>
      <c r="H2" s="121"/>
      <c r="I2" s="121"/>
      <c r="J2" s="121"/>
      <c r="K2" s="121"/>
      <c r="L2" s="122" t="s">
        <v>28</v>
      </c>
      <c r="M2" s="121" t="s">
        <v>496</v>
      </c>
      <c r="N2" s="121"/>
      <c r="O2" s="121"/>
      <c r="P2" s="121"/>
      <c r="Q2" s="121"/>
      <c r="R2" s="131" t="s">
        <v>28</v>
      </c>
      <c r="S2" s="121" t="s">
        <v>497</v>
      </c>
      <c r="T2" s="121"/>
      <c r="U2" s="121"/>
      <c r="V2" s="121"/>
      <c r="W2" s="121"/>
      <c r="X2" s="131" t="s">
        <v>28</v>
      </c>
      <c r="Y2" s="121" t="s">
        <v>498</v>
      </c>
      <c r="Z2" s="121"/>
      <c r="AA2" s="121"/>
      <c r="AB2" s="121"/>
      <c r="AC2" s="121"/>
      <c r="AD2" s="131" t="s">
        <v>28</v>
      </c>
      <c r="AE2" s="121" t="s">
        <v>499</v>
      </c>
      <c r="AF2" s="121"/>
      <c r="AG2" s="121"/>
      <c r="AH2" s="121"/>
      <c r="AI2" s="121"/>
      <c r="AJ2" s="131" t="s">
        <v>28</v>
      </c>
      <c r="AK2" s="121" t="s">
        <v>500</v>
      </c>
      <c r="AL2" s="121"/>
      <c r="AM2" s="121"/>
      <c r="AN2" s="121"/>
      <c r="AO2" s="121"/>
      <c r="AP2" s="131" t="s">
        <v>28</v>
      </c>
      <c r="AQ2" s="121" t="s">
        <v>501</v>
      </c>
      <c r="AR2" s="121"/>
      <c r="AS2" s="121"/>
      <c r="AT2" s="121"/>
      <c r="AU2" s="121"/>
      <c r="AV2" s="131" t="s">
        <v>28</v>
      </c>
      <c r="AW2" s="121" t="s">
        <v>29</v>
      </c>
      <c r="AX2" s="121"/>
      <c r="AY2" s="121"/>
      <c r="AZ2" s="121"/>
      <c r="BA2" s="121"/>
      <c r="BB2" s="131" t="s">
        <v>28</v>
      </c>
    </row>
    <row r="3" spans="1:54" s="3" customFormat="1" ht="20.100000000000001" customHeight="1" x14ac:dyDescent="0.3">
      <c r="A3" s="128"/>
      <c r="B3" s="128"/>
      <c r="C3" s="130"/>
      <c r="D3" s="128"/>
      <c r="E3" s="128"/>
      <c r="F3" s="128"/>
      <c r="G3" s="99" t="s">
        <v>502</v>
      </c>
      <c r="H3" s="99" t="s">
        <v>503</v>
      </c>
      <c r="I3" s="99" t="s">
        <v>504</v>
      </c>
      <c r="J3" s="99" t="s">
        <v>505</v>
      </c>
      <c r="K3" s="100" t="s">
        <v>506</v>
      </c>
      <c r="L3" s="123"/>
      <c r="M3" s="96" t="s">
        <v>507</v>
      </c>
      <c r="N3" s="96" t="s">
        <v>508</v>
      </c>
      <c r="O3" s="96" t="s">
        <v>509</v>
      </c>
      <c r="P3" s="99" t="s">
        <v>510</v>
      </c>
      <c r="Q3" s="96" t="s">
        <v>511</v>
      </c>
      <c r="R3" s="132"/>
      <c r="S3" s="99" t="s">
        <v>512</v>
      </c>
      <c r="T3" s="100" t="s">
        <v>513</v>
      </c>
      <c r="U3" s="100" t="s">
        <v>514</v>
      </c>
      <c r="V3" s="100" t="s">
        <v>515</v>
      </c>
      <c r="W3" s="100" t="s">
        <v>516</v>
      </c>
      <c r="X3" s="132"/>
      <c r="Y3" s="100" t="s">
        <v>517</v>
      </c>
      <c r="Z3" s="100" t="s">
        <v>518</v>
      </c>
      <c r="AA3" s="100" t="s">
        <v>519</v>
      </c>
      <c r="AB3" s="100" t="s">
        <v>520</v>
      </c>
      <c r="AC3" s="100" t="s">
        <v>521</v>
      </c>
      <c r="AD3" s="132"/>
      <c r="AE3" s="100" t="s">
        <v>522</v>
      </c>
      <c r="AF3" s="100" t="s">
        <v>523</v>
      </c>
      <c r="AG3" s="100" t="s">
        <v>524</v>
      </c>
      <c r="AH3" s="100" t="s">
        <v>525</v>
      </c>
      <c r="AI3" s="100" t="s">
        <v>526</v>
      </c>
      <c r="AJ3" s="132"/>
      <c r="AK3" s="99" t="s">
        <v>527</v>
      </c>
      <c r="AL3" s="99" t="s">
        <v>528</v>
      </c>
      <c r="AM3" s="100" t="s">
        <v>529</v>
      </c>
      <c r="AN3" s="99" t="s">
        <v>530</v>
      </c>
      <c r="AO3" s="100" t="s">
        <v>531</v>
      </c>
      <c r="AP3" s="132"/>
      <c r="AQ3" s="99" t="s">
        <v>532</v>
      </c>
      <c r="AR3" s="100" t="s">
        <v>533</v>
      </c>
      <c r="AS3" s="100" t="s">
        <v>534</v>
      </c>
      <c r="AT3" s="100" t="s">
        <v>535</v>
      </c>
      <c r="AU3" s="100" t="s">
        <v>536</v>
      </c>
      <c r="AV3" s="132"/>
      <c r="AW3" s="100" t="s">
        <v>30</v>
      </c>
      <c r="AX3" s="100" t="s">
        <v>31</v>
      </c>
      <c r="AY3" s="100" t="s">
        <v>32</v>
      </c>
      <c r="AZ3" s="99" t="s">
        <v>33</v>
      </c>
      <c r="BA3" s="99" t="s">
        <v>34</v>
      </c>
      <c r="BB3" s="132"/>
    </row>
    <row r="4" spans="1:54" s="3" customFormat="1" ht="20.100000000000001" customHeight="1" x14ac:dyDescent="0.3">
      <c r="A4" s="97" t="s">
        <v>490</v>
      </c>
      <c r="B4" s="91" t="s">
        <v>546</v>
      </c>
      <c r="C4" s="92" t="s">
        <v>547</v>
      </c>
      <c r="D4" s="91" t="s">
        <v>548</v>
      </c>
      <c r="E4" s="91" t="s">
        <v>549</v>
      </c>
      <c r="F4" s="91" t="s">
        <v>550</v>
      </c>
      <c r="G4" s="93" t="s">
        <v>551</v>
      </c>
      <c r="H4" s="93" t="s">
        <v>578</v>
      </c>
      <c r="I4" s="93" t="s">
        <v>579</v>
      </c>
      <c r="J4" s="93" t="s">
        <v>580</v>
      </c>
      <c r="K4" s="94" t="s">
        <v>491</v>
      </c>
      <c r="L4" s="62" t="s">
        <v>582</v>
      </c>
      <c r="M4" s="95" t="s">
        <v>583</v>
      </c>
      <c r="N4" s="95" t="s">
        <v>584</v>
      </c>
      <c r="O4" s="95" t="s">
        <v>585</v>
      </c>
      <c r="P4" s="93" t="s">
        <v>586</v>
      </c>
      <c r="Q4" s="96" t="s">
        <v>587</v>
      </c>
      <c r="R4" s="40" t="s">
        <v>588</v>
      </c>
      <c r="S4" s="48" t="s">
        <v>589</v>
      </c>
      <c r="T4" s="19" t="s">
        <v>590</v>
      </c>
      <c r="U4" s="19" t="s">
        <v>591</v>
      </c>
      <c r="V4" s="19" t="s">
        <v>592</v>
      </c>
      <c r="W4" s="19" t="s">
        <v>593</v>
      </c>
      <c r="X4" s="40" t="s">
        <v>594</v>
      </c>
      <c r="Y4" s="19" t="s">
        <v>595</v>
      </c>
      <c r="Z4" s="19" t="s">
        <v>596</v>
      </c>
      <c r="AA4" s="19" t="s">
        <v>597</v>
      </c>
      <c r="AB4" s="19" t="s">
        <v>598</v>
      </c>
      <c r="AC4" s="19" t="s">
        <v>599</v>
      </c>
      <c r="AD4" s="40" t="s">
        <v>600</v>
      </c>
      <c r="AE4" s="19" t="s">
        <v>601</v>
      </c>
      <c r="AF4" s="19" t="s">
        <v>602</v>
      </c>
      <c r="AG4" s="19" t="s">
        <v>603</v>
      </c>
      <c r="AH4" s="19" t="s">
        <v>604</v>
      </c>
      <c r="AI4" s="19" t="s">
        <v>605</v>
      </c>
      <c r="AJ4" s="40" t="s">
        <v>606</v>
      </c>
      <c r="AK4" s="48" t="s">
        <v>607</v>
      </c>
      <c r="AL4" s="48" t="s">
        <v>608</v>
      </c>
      <c r="AM4" s="19" t="s">
        <v>609</v>
      </c>
      <c r="AN4" s="48" t="s">
        <v>610</v>
      </c>
      <c r="AO4" s="19" t="s">
        <v>611</v>
      </c>
      <c r="AP4" s="40" t="s">
        <v>612</v>
      </c>
      <c r="AQ4" s="48" t="s">
        <v>613</v>
      </c>
      <c r="AR4" s="19" t="s">
        <v>614</v>
      </c>
      <c r="AS4" s="19" t="s">
        <v>615</v>
      </c>
      <c r="AT4" s="19" t="s">
        <v>616</v>
      </c>
      <c r="AU4" s="19" t="s">
        <v>617</v>
      </c>
      <c r="AV4" s="40" t="s">
        <v>618</v>
      </c>
      <c r="AW4" s="19" t="s">
        <v>619</v>
      </c>
      <c r="AX4" s="19" t="s">
        <v>620</v>
      </c>
      <c r="AY4" s="19" t="s">
        <v>621</v>
      </c>
      <c r="AZ4" s="48" t="s">
        <v>622</v>
      </c>
      <c r="BA4" s="48" t="s">
        <v>623</v>
      </c>
      <c r="BB4" s="98" t="s">
        <v>624</v>
      </c>
    </row>
    <row r="5" spans="1:54" ht="23.1" customHeight="1" x14ac:dyDescent="0.3">
      <c r="A5" s="86">
        <v>1</v>
      </c>
      <c r="B5" s="63" t="s">
        <v>36</v>
      </c>
      <c r="C5" s="64" t="s">
        <v>37</v>
      </c>
      <c r="D5" s="63" t="s">
        <v>542</v>
      </c>
      <c r="E5" s="63" t="s">
        <v>35</v>
      </c>
      <c r="F5" s="63" t="str">
        <f>REPT(CHAR(160),10)&amp;Working!$E5</f>
        <v>          A</v>
      </c>
      <c r="G5" s="65">
        <v>0</v>
      </c>
      <c r="H5" s="65">
        <v>0</v>
      </c>
      <c r="I5" s="65">
        <v>5</v>
      </c>
      <c r="J5" s="65">
        <v>0</v>
      </c>
      <c r="K5" s="66">
        <v>0</v>
      </c>
      <c r="L5" s="67">
        <v>5</v>
      </c>
      <c r="M5" s="65">
        <v>0</v>
      </c>
      <c r="N5" s="65">
        <v>4</v>
      </c>
      <c r="O5" s="65">
        <v>4</v>
      </c>
      <c r="P5" s="68">
        <v>0</v>
      </c>
      <c r="Q5" s="69">
        <v>4</v>
      </c>
      <c r="R5" s="38">
        <v>4</v>
      </c>
      <c r="S5" s="27">
        <v>0</v>
      </c>
      <c r="T5" s="29">
        <v>0</v>
      </c>
      <c r="U5" s="50">
        <v>0</v>
      </c>
      <c r="V5" s="29">
        <v>0</v>
      </c>
      <c r="W5" s="29">
        <v>0</v>
      </c>
      <c r="X5" s="37">
        <v>0</v>
      </c>
      <c r="Y5" s="29">
        <v>4</v>
      </c>
      <c r="Z5" s="29">
        <v>0</v>
      </c>
      <c r="AA5" s="29">
        <v>0</v>
      </c>
      <c r="AB5" s="29">
        <v>0</v>
      </c>
      <c r="AC5" s="29">
        <v>0</v>
      </c>
      <c r="AD5" s="37">
        <v>4</v>
      </c>
      <c r="AE5" s="29">
        <v>0</v>
      </c>
      <c r="AF5" s="29">
        <v>0</v>
      </c>
      <c r="AG5" s="29">
        <v>0</v>
      </c>
      <c r="AH5" s="29">
        <v>0</v>
      </c>
      <c r="AI5" s="29">
        <v>4</v>
      </c>
      <c r="AJ5" s="37">
        <v>0</v>
      </c>
      <c r="AK5" s="27">
        <v>5</v>
      </c>
      <c r="AL5" s="27">
        <v>5</v>
      </c>
      <c r="AM5" s="50">
        <v>0</v>
      </c>
      <c r="AN5" s="27">
        <v>5</v>
      </c>
      <c r="AO5" s="29">
        <v>0</v>
      </c>
      <c r="AP5" s="38">
        <v>5</v>
      </c>
      <c r="AQ5" s="27">
        <v>5</v>
      </c>
      <c r="AR5" s="29">
        <v>0</v>
      </c>
      <c r="AS5" s="29">
        <v>0</v>
      </c>
      <c r="AT5" s="29">
        <v>0</v>
      </c>
      <c r="AU5" s="29">
        <v>0</v>
      </c>
      <c r="AV5" s="37">
        <v>5</v>
      </c>
      <c r="AW5" s="29">
        <v>0</v>
      </c>
      <c r="AX5" s="29">
        <v>0</v>
      </c>
      <c r="AY5" s="29">
        <v>0</v>
      </c>
      <c r="AZ5" s="27">
        <v>4</v>
      </c>
      <c r="BA5" s="57">
        <v>5</v>
      </c>
      <c r="BB5" s="85">
        <v>4.5</v>
      </c>
    </row>
    <row r="6" spans="1:54" ht="23.1" customHeight="1" x14ac:dyDescent="0.3">
      <c r="A6" s="87">
        <v>2</v>
      </c>
      <c r="B6" s="70" t="s">
        <v>75</v>
      </c>
      <c r="C6" s="71" t="s">
        <v>76</v>
      </c>
      <c r="D6" s="70" t="s">
        <v>450</v>
      </c>
      <c r="E6" s="70" t="s">
        <v>35</v>
      </c>
      <c r="F6" s="70" t="str">
        <f>REPT(CHAR(160),10)&amp;Working!$E6</f>
        <v>          A</v>
      </c>
      <c r="G6" s="61">
        <v>0</v>
      </c>
      <c r="H6" s="61">
        <v>0</v>
      </c>
      <c r="I6" s="61">
        <v>4</v>
      </c>
      <c r="J6" s="61">
        <v>0</v>
      </c>
      <c r="K6" s="72">
        <v>0</v>
      </c>
      <c r="L6" s="67">
        <v>4</v>
      </c>
      <c r="M6" s="61">
        <v>0</v>
      </c>
      <c r="N6" s="61">
        <v>4</v>
      </c>
      <c r="O6" s="61">
        <v>4</v>
      </c>
      <c r="P6" s="73">
        <v>0</v>
      </c>
      <c r="Q6" s="74">
        <v>4</v>
      </c>
      <c r="R6" s="38">
        <v>4</v>
      </c>
      <c r="S6" s="27">
        <v>0</v>
      </c>
      <c r="T6" s="16">
        <v>0</v>
      </c>
      <c r="U6" s="51">
        <v>0</v>
      </c>
      <c r="V6" s="16">
        <v>0</v>
      </c>
      <c r="W6" s="16">
        <v>0</v>
      </c>
      <c r="X6" s="37">
        <v>0</v>
      </c>
      <c r="Y6" s="16">
        <v>5</v>
      </c>
      <c r="Z6" s="16">
        <v>0</v>
      </c>
      <c r="AA6" s="16">
        <v>0</v>
      </c>
      <c r="AB6" s="16">
        <v>0</v>
      </c>
      <c r="AC6" s="16">
        <v>0</v>
      </c>
      <c r="AD6" s="37">
        <v>5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37">
        <v>0</v>
      </c>
      <c r="AK6" s="22">
        <v>4</v>
      </c>
      <c r="AL6" s="22">
        <v>4</v>
      </c>
      <c r="AM6" s="51">
        <v>0</v>
      </c>
      <c r="AN6" s="22">
        <v>4</v>
      </c>
      <c r="AO6" s="16">
        <v>0</v>
      </c>
      <c r="AP6" s="38">
        <v>4</v>
      </c>
      <c r="AQ6" s="27">
        <v>4</v>
      </c>
      <c r="AR6" s="16">
        <v>0</v>
      </c>
      <c r="AS6" s="16">
        <v>0</v>
      </c>
      <c r="AT6" s="16">
        <v>0</v>
      </c>
      <c r="AU6" s="16">
        <v>0</v>
      </c>
      <c r="AV6" s="37">
        <v>4</v>
      </c>
      <c r="AW6" s="16">
        <v>0</v>
      </c>
      <c r="AX6" s="16">
        <v>0</v>
      </c>
      <c r="AY6" s="29">
        <v>0</v>
      </c>
      <c r="AZ6" s="27">
        <v>4</v>
      </c>
      <c r="BA6" s="57">
        <v>4</v>
      </c>
      <c r="BB6" s="85">
        <v>4</v>
      </c>
    </row>
    <row r="7" spans="1:54" ht="23.1" customHeight="1" x14ac:dyDescent="0.3">
      <c r="A7" s="86">
        <v>3</v>
      </c>
      <c r="B7" s="63" t="s">
        <v>64</v>
      </c>
      <c r="C7" s="64" t="s">
        <v>65</v>
      </c>
      <c r="D7" s="63" t="s">
        <v>542</v>
      </c>
      <c r="E7" s="63" t="s">
        <v>35</v>
      </c>
      <c r="F7" s="63" t="str">
        <f>REPT(CHAR(160),10)&amp;Working!$E7</f>
        <v>          A</v>
      </c>
      <c r="G7" s="65">
        <v>0</v>
      </c>
      <c r="H7" s="65">
        <v>0</v>
      </c>
      <c r="I7" s="65">
        <v>4</v>
      </c>
      <c r="J7" s="65">
        <v>0</v>
      </c>
      <c r="K7" s="66">
        <v>0</v>
      </c>
      <c r="L7" s="67">
        <v>4</v>
      </c>
      <c r="M7" s="65">
        <v>0</v>
      </c>
      <c r="N7" s="65">
        <v>4</v>
      </c>
      <c r="O7" s="65">
        <v>4</v>
      </c>
      <c r="P7" s="68">
        <v>0</v>
      </c>
      <c r="Q7" s="69">
        <v>4</v>
      </c>
      <c r="R7" s="38">
        <v>4</v>
      </c>
      <c r="S7" s="27">
        <v>0</v>
      </c>
      <c r="T7" s="29">
        <v>0</v>
      </c>
      <c r="U7" s="52">
        <v>0</v>
      </c>
      <c r="V7" s="29">
        <v>0</v>
      </c>
      <c r="W7" s="29">
        <v>0</v>
      </c>
      <c r="X7" s="37">
        <v>0</v>
      </c>
      <c r="Y7" s="29">
        <v>4</v>
      </c>
      <c r="Z7" s="29">
        <v>0</v>
      </c>
      <c r="AA7" s="29">
        <v>0</v>
      </c>
      <c r="AB7" s="29">
        <v>0</v>
      </c>
      <c r="AC7" s="29">
        <v>0</v>
      </c>
      <c r="AD7" s="37">
        <v>4</v>
      </c>
      <c r="AE7" s="29">
        <v>0</v>
      </c>
      <c r="AF7" s="29">
        <v>0</v>
      </c>
      <c r="AG7" s="29">
        <v>0</v>
      </c>
      <c r="AH7" s="29">
        <v>0</v>
      </c>
      <c r="AI7" s="29">
        <v>0</v>
      </c>
      <c r="AJ7" s="37">
        <v>0</v>
      </c>
      <c r="AK7" s="28">
        <v>4</v>
      </c>
      <c r="AL7" s="28">
        <v>4</v>
      </c>
      <c r="AM7" s="52">
        <v>0</v>
      </c>
      <c r="AN7" s="28">
        <v>4</v>
      </c>
      <c r="AO7" s="29">
        <v>0</v>
      </c>
      <c r="AP7" s="38">
        <v>4</v>
      </c>
      <c r="AQ7" s="27">
        <v>4</v>
      </c>
      <c r="AR7" s="29">
        <v>0</v>
      </c>
      <c r="AS7" s="57">
        <v>0</v>
      </c>
      <c r="AT7" s="29">
        <v>0</v>
      </c>
      <c r="AU7" s="29">
        <v>0</v>
      </c>
      <c r="AV7" s="37">
        <v>4</v>
      </c>
      <c r="AW7" s="29">
        <v>0</v>
      </c>
      <c r="AX7" s="29">
        <v>0</v>
      </c>
      <c r="AY7" s="29">
        <v>0</v>
      </c>
      <c r="AZ7" s="27">
        <v>4</v>
      </c>
      <c r="BA7" s="57">
        <v>4</v>
      </c>
      <c r="BB7" s="85">
        <v>4</v>
      </c>
    </row>
    <row r="8" spans="1:54" ht="23.1" customHeight="1" x14ac:dyDescent="0.3">
      <c r="A8" s="87">
        <v>4</v>
      </c>
      <c r="B8" s="70" t="s">
        <v>99</v>
      </c>
      <c r="C8" s="71" t="s">
        <v>100</v>
      </c>
      <c r="D8" s="70" t="s">
        <v>450</v>
      </c>
      <c r="E8" s="70" t="s">
        <v>35</v>
      </c>
      <c r="F8" s="70" t="str">
        <f>REPT(CHAR(160),10)&amp;Working!$E8</f>
        <v>          A</v>
      </c>
      <c r="G8" s="61">
        <v>0</v>
      </c>
      <c r="H8" s="61">
        <v>0</v>
      </c>
      <c r="I8" s="61">
        <v>4</v>
      </c>
      <c r="J8" s="61">
        <v>0</v>
      </c>
      <c r="K8" s="72">
        <v>0</v>
      </c>
      <c r="L8" s="67">
        <v>4</v>
      </c>
      <c r="M8" s="61">
        <v>0</v>
      </c>
      <c r="N8" s="61">
        <v>4</v>
      </c>
      <c r="O8" s="61">
        <v>5</v>
      </c>
      <c r="P8" s="75">
        <v>0</v>
      </c>
      <c r="Q8" s="76">
        <v>5</v>
      </c>
      <c r="R8" s="38">
        <v>4.666666666666667</v>
      </c>
      <c r="S8" s="27">
        <v>0</v>
      </c>
      <c r="T8" s="16">
        <v>0</v>
      </c>
      <c r="U8" s="53">
        <v>0</v>
      </c>
      <c r="V8" s="16">
        <v>0</v>
      </c>
      <c r="W8" s="16">
        <v>0</v>
      </c>
      <c r="X8" s="37">
        <v>0</v>
      </c>
      <c r="Y8" s="16">
        <v>4</v>
      </c>
      <c r="Z8" s="16">
        <v>0</v>
      </c>
      <c r="AA8" s="16">
        <v>0</v>
      </c>
      <c r="AB8" s="16">
        <v>0</v>
      </c>
      <c r="AC8" s="16">
        <v>0</v>
      </c>
      <c r="AD8" s="37">
        <v>4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37">
        <v>0</v>
      </c>
      <c r="AK8" s="24">
        <v>5</v>
      </c>
      <c r="AL8" s="24">
        <v>4</v>
      </c>
      <c r="AM8" s="53">
        <v>0</v>
      </c>
      <c r="AN8" s="24">
        <v>4</v>
      </c>
      <c r="AO8" s="16">
        <v>0</v>
      </c>
      <c r="AP8" s="38">
        <v>4.333333333333333</v>
      </c>
      <c r="AQ8" s="27">
        <v>5</v>
      </c>
      <c r="AR8" s="16">
        <v>0</v>
      </c>
      <c r="AS8" s="25">
        <v>0</v>
      </c>
      <c r="AT8" s="16">
        <v>0</v>
      </c>
      <c r="AU8" s="16">
        <v>0</v>
      </c>
      <c r="AV8" s="37">
        <v>5</v>
      </c>
      <c r="AW8" s="16">
        <v>0</v>
      </c>
      <c r="AX8" s="16">
        <v>0</v>
      </c>
      <c r="AY8" s="29">
        <v>0</v>
      </c>
      <c r="AZ8" s="27">
        <v>4</v>
      </c>
      <c r="BA8" s="57">
        <v>4</v>
      </c>
      <c r="BB8" s="85">
        <v>4</v>
      </c>
    </row>
    <row r="9" spans="1:54" ht="23.1" customHeight="1" x14ac:dyDescent="0.3">
      <c r="A9" s="86">
        <v>5</v>
      </c>
      <c r="B9" s="63" t="s">
        <v>290</v>
      </c>
      <c r="C9" s="64" t="s">
        <v>538</v>
      </c>
      <c r="D9" s="63" t="s">
        <v>450</v>
      </c>
      <c r="E9" s="63" t="s">
        <v>289</v>
      </c>
      <c r="F9" s="63" t="str">
        <f>REPT(CHAR(160),10)&amp;Working!$E9</f>
        <v>          D</v>
      </c>
      <c r="G9" s="65">
        <v>0</v>
      </c>
      <c r="H9" s="65">
        <v>0</v>
      </c>
      <c r="I9" s="65" t="s">
        <v>35</v>
      </c>
      <c r="J9" s="65">
        <v>0</v>
      </c>
      <c r="K9" s="66">
        <v>0</v>
      </c>
      <c r="L9" s="67" t="s">
        <v>35</v>
      </c>
      <c r="M9" s="65">
        <v>0</v>
      </c>
      <c r="N9" s="65" t="s">
        <v>581</v>
      </c>
      <c r="O9" s="65" t="s">
        <v>581</v>
      </c>
      <c r="P9" s="68">
        <v>0</v>
      </c>
      <c r="Q9" s="69" t="s">
        <v>581</v>
      </c>
      <c r="R9" s="38">
        <v>0</v>
      </c>
      <c r="S9" s="27">
        <v>0</v>
      </c>
      <c r="T9" s="29">
        <v>0</v>
      </c>
      <c r="U9" s="52">
        <v>0</v>
      </c>
      <c r="V9" s="29">
        <v>0</v>
      </c>
      <c r="W9" s="29">
        <v>0</v>
      </c>
      <c r="X9" s="37">
        <v>0</v>
      </c>
      <c r="Y9" s="29" t="s">
        <v>581</v>
      </c>
      <c r="Z9" s="29">
        <v>0</v>
      </c>
      <c r="AA9" s="29">
        <v>0</v>
      </c>
      <c r="AB9" s="29">
        <v>0</v>
      </c>
      <c r="AC9" s="29">
        <v>0</v>
      </c>
      <c r="AD9" s="37" t="s">
        <v>581</v>
      </c>
      <c r="AE9" s="29">
        <v>0</v>
      </c>
      <c r="AF9" s="29">
        <v>0</v>
      </c>
      <c r="AG9" s="29">
        <v>0</v>
      </c>
      <c r="AH9" s="29">
        <v>0</v>
      </c>
      <c r="AI9" s="29">
        <v>0</v>
      </c>
      <c r="AJ9" s="37">
        <v>0</v>
      </c>
      <c r="AK9" s="28" t="s">
        <v>581</v>
      </c>
      <c r="AL9" s="28" t="s">
        <v>581</v>
      </c>
      <c r="AM9" s="52">
        <v>0</v>
      </c>
      <c r="AN9" s="28" t="s">
        <v>581</v>
      </c>
      <c r="AO9" s="29">
        <v>0</v>
      </c>
      <c r="AP9" s="38" t="e">
        <v>#DIV/0!</v>
      </c>
      <c r="AQ9" s="27" t="s">
        <v>581</v>
      </c>
      <c r="AR9" s="29">
        <v>0</v>
      </c>
      <c r="AS9" s="58">
        <v>0</v>
      </c>
      <c r="AT9" s="29">
        <v>0</v>
      </c>
      <c r="AU9" s="29">
        <v>0</v>
      </c>
      <c r="AV9" s="37" t="s">
        <v>581</v>
      </c>
      <c r="AW9" s="29">
        <v>0</v>
      </c>
      <c r="AX9" s="29">
        <v>0</v>
      </c>
      <c r="AY9" s="29">
        <v>0</v>
      </c>
      <c r="AZ9" s="27" t="s">
        <v>581</v>
      </c>
      <c r="BA9" s="57" t="s">
        <v>581</v>
      </c>
      <c r="BB9" s="85" t="e">
        <v>#DIV/0!</v>
      </c>
    </row>
    <row r="10" spans="1:54" ht="23.1" customHeight="1" x14ac:dyDescent="0.3">
      <c r="A10" s="87">
        <v>6</v>
      </c>
      <c r="B10" s="70" t="s">
        <v>101</v>
      </c>
      <c r="C10" s="71" t="s">
        <v>102</v>
      </c>
      <c r="D10" s="70" t="s">
        <v>450</v>
      </c>
      <c r="E10" s="70" t="s">
        <v>35</v>
      </c>
      <c r="F10" s="70" t="str">
        <f>REPT(CHAR(160),10)&amp;Working!$E10</f>
        <v>          A</v>
      </c>
      <c r="G10" s="61">
        <v>0</v>
      </c>
      <c r="H10" s="61">
        <v>0</v>
      </c>
      <c r="I10" s="61">
        <v>4</v>
      </c>
      <c r="J10" s="61">
        <v>0</v>
      </c>
      <c r="K10" s="72">
        <v>0</v>
      </c>
      <c r="L10" s="67">
        <v>4</v>
      </c>
      <c r="M10" s="61">
        <v>0</v>
      </c>
      <c r="N10" s="61">
        <v>5</v>
      </c>
      <c r="O10" s="61">
        <v>4</v>
      </c>
      <c r="P10" s="73">
        <v>0</v>
      </c>
      <c r="Q10" s="74">
        <v>4</v>
      </c>
      <c r="R10" s="38">
        <v>4.333333333333333</v>
      </c>
      <c r="S10" s="27">
        <v>0</v>
      </c>
      <c r="T10" s="16">
        <v>0</v>
      </c>
      <c r="U10" s="51">
        <v>0</v>
      </c>
      <c r="V10" s="16">
        <v>0</v>
      </c>
      <c r="W10" s="16">
        <v>0</v>
      </c>
      <c r="X10" s="37">
        <v>0</v>
      </c>
      <c r="Y10" s="16">
        <v>5</v>
      </c>
      <c r="Z10" s="16">
        <v>0</v>
      </c>
      <c r="AA10" s="16">
        <v>0</v>
      </c>
      <c r="AB10" s="16">
        <v>0</v>
      </c>
      <c r="AC10" s="16">
        <v>0</v>
      </c>
      <c r="AD10" s="37">
        <v>5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37">
        <v>0</v>
      </c>
      <c r="AK10" s="22">
        <v>5</v>
      </c>
      <c r="AL10" s="22">
        <v>5</v>
      </c>
      <c r="AM10" s="51">
        <v>0</v>
      </c>
      <c r="AN10" s="22">
        <v>5</v>
      </c>
      <c r="AO10" s="16">
        <v>0</v>
      </c>
      <c r="AP10" s="38">
        <v>5</v>
      </c>
      <c r="AQ10" s="27">
        <v>5</v>
      </c>
      <c r="AR10" s="16">
        <v>0</v>
      </c>
      <c r="AS10" s="26">
        <v>0</v>
      </c>
      <c r="AT10" s="16">
        <v>0</v>
      </c>
      <c r="AU10" s="16">
        <v>0</v>
      </c>
      <c r="AV10" s="37">
        <v>5</v>
      </c>
      <c r="AW10" s="16">
        <v>0</v>
      </c>
      <c r="AX10" s="16">
        <v>0</v>
      </c>
      <c r="AY10" s="29">
        <v>0</v>
      </c>
      <c r="AZ10" s="27">
        <v>5</v>
      </c>
      <c r="BA10" s="57">
        <v>5</v>
      </c>
      <c r="BB10" s="85">
        <v>5</v>
      </c>
    </row>
    <row r="11" spans="1:54" ht="23.1" customHeight="1" x14ac:dyDescent="0.3">
      <c r="A11" s="86">
        <v>7</v>
      </c>
      <c r="B11" s="63" t="s">
        <v>72</v>
      </c>
      <c r="C11" s="64" t="s">
        <v>73</v>
      </c>
      <c r="D11" s="63" t="s">
        <v>450</v>
      </c>
      <c r="E11" s="63" t="s">
        <v>35</v>
      </c>
      <c r="F11" s="63" t="str">
        <f>REPT(CHAR(160),10)&amp;Working!$E11</f>
        <v>          A</v>
      </c>
      <c r="G11" s="65">
        <v>0</v>
      </c>
      <c r="H11" s="65">
        <v>0</v>
      </c>
      <c r="I11" s="65">
        <v>5</v>
      </c>
      <c r="J11" s="65">
        <v>0</v>
      </c>
      <c r="K11" s="66">
        <v>0</v>
      </c>
      <c r="L11" s="67">
        <v>5</v>
      </c>
      <c r="M11" s="65">
        <v>0</v>
      </c>
      <c r="N11" s="65">
        <v>5</v>
      </c>
      <c r="O11" s="65">
        <v>5</v>
      </c>
      <c r="P11" s="68">
        <v>0</v>
      </c>
      <c r="Q11" s="69">
        <v>5</v>
      </c>
      <c r="R11" s="38">
        <v>5</v>
      </c>
      <c r="S11" s="27">
        <v>0</v>
      </c>
      <c r="T11" s="29">
        <v>0</v>
      </c>
      <c r="U11" s="52">
        <v>0</v>
      </c>
      <c r="V11" s="29">
        <v>0</v>
      </c>
      <c r="W11" s="29">
        <v>0</v>
      </c>
      <c r="X11" s="37">
        <v>0</v>
      </c>
      <c r="Y11" s="29">
        <v>5</v>
      </c>
      <c r="Z11" s="29">
        <v>0</v>
      </c>
      <c r="AA11" s="29">
        <v>0</v>
      </c>
      <c r="AB11" s="29">
        <v>0</v>
      </c>
      <c r="AC11" s="29">
        <v>0</v>
      </c>
      <c r="AD11" s="37">
        <v>5</v>
      </c>
      <c r="AE11" s="29">
        <v>0</v>
      </c>
      <c r="AF11" s="29">
        <v>0</v>
      </c>
      <c r="AG11" s="29">
        <v>0</v>
      </c>
      <c r="AH11" s="29">
        <v>0</v>
      </c>
      <c r="AI11" s="29">
        <v>0</v>
      </c>
      <c r="AJ11" s="37">
        <v>0</v>
      </c>
      <c r="AK11" s="28">
        <v>4</v>
      </c>
      <c r="AL11" s="28">
        <v>5</v>
      </c>
      <c r="AM11" s="52">
        <v>0</v>
      </c>
      <c r="AN11" s="28">
        <v>5</v>
      </c>
      <c r="AO11" s="29">
        <v>0</v>
      </c>
      <c r="AP11" s="38">
        <v>4.666666666666667</v>
      </c>
      <c r="AQ11" s="27">
        <v>5</v>
      </c>
      <c r="AR11" s="29">
        <v>0</v>
      </c>
      <c r="AS11" s="58">
        <v>0</v>
      </c>
      <c r="AT11" s="29">
        <v>0</v>
      </c>
      <c r="AU11" s="29">
        <v>0</v>
      </c>
      <c r="AV11" s="37">
        <v>5</v>
      </c>
      <c r="AW11" s="29">
        <v>0</v>
      </c>
      <c r="AX11" s="29">
        <v>0</v>
      </c>
      <c r="AY11" s="29">
        <v>0</v>
      </c>
      <c r="AZ11" s="27">
        <v>5</v>
      </c>
      <c r="BA11" s="57">
        <v>4</v>
      </c>
      <c r="BB11" s="85">
        <v>4.5</v>
      </c>
    </row>
    <row r="12" spans="1:54" ht="23.1" customHeight="1" x14ac:dyDescent="0.3">
      <c r="A12" s="87">
        <v>8</v>
      </c>
      <c r="B12" s="70" t="s">
        <v>291</v>
      </c>
      <c r="C12" s="71" t="s">
        <v>292</v>
      </c>
      <c r="D12" s="70" t="s">
        <v>450</v>
      </c>
      <c r="E12" s="70" t="s">
        <v>493</v>
      </c>
      <c r="F12" s="70" t="str">
        <f>REPT(CHAR(160),10)&amp;Working!$E12</f>
        <v>          C</v>
      </c>
      <c r="G12" s="61">
        <v>0</v>
      </c>
      <c r="H12" s="61">
        <v>0</v>
      </c>
      <c r="I12" s="61">
        <v>4</v>
      </c>
      <c r="J12" s="61">
        <v>0</v>
      </c>
      <c r="K12" s="72">
        <v>0</v>
      </c>
      <c r="L12" s="67">
        <v>4</v>
      </c>
      <c r="M12" s="61">
        <v>0</v>
      </c>
      <c r="N12" s="61">
        <v>4</v>
      </c>
      <c r="O12" s="61">
        <v>4</v>
      </c>
      <c r="P12" s="73">
        <v>0</v>
      </c>
      <c r="Q12" s="74">
        <v>4</v>
      </c>
      <c r="R12" s="38">
        <v>4</v>
      </c>
      <c r="S12" s="27">
        <v>0</v>
      </c>
      <c r="T12" s="16">
        <v>0</v>
      </c>
      <c r="U12" s="51">
        <v>0</v>
      </c>
      <c r="V12" s="16">
        <v>0</v>
      </c>
      <c r="W12" s="16">
        <v>0</v>
      </c>
      <c r="X12" s="37">
        <v>0</v>
      </c>
      <c r="Y12" s="16">
        <v>4</v>
      </c>
      <c r="Z12" s="16">
        <v>0</v>
      </c>
      <c r="AA12" s="16">
        <v>0</v>
      </c>
      <c r="AB12" s="16">
        <v>0</v>
      </c>
      <c r="AC12" s="16">
        <v>0</v>
      </c>
      <c r="AD12" s="37">
        <v>4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37">
        <v>0</v>
      </c>
      <c r="AK12" s="22">
        <v>4</v>
      </c>
      <c r="AL12" s="22">
        <v>5</v>
      </c>
      <c r="AM12" s="51">
        <v>0</v>
      </c>
      <c r="AN12" s="22">
        <v>5</v>
      </c>
      <c r="AO12" s="16">
        <v>0</v>
      </c>
      <c r="AP12" s="38">
        <v>4.666666666666667</v>
      </c>
      <c r="AQ12" s="27">
        <v>4</v>
      </c>
      <c r="AR12" s="16">
        <v>0</v>
      </c>
      <c r="AS12" s="25">
        <v>0</v>
      </c>
      <c r="AT12" s="16">
        <v>0</v>
      </c>
      <c r="AU12" s="16">
        <v>0</v>
      </c>
      <c r="AV12" s="37">
        <v>4</v>
      </c>
      <c r="AW12" s="16">
        <v>0</v>
      </c>
      <c r="AX12" s="16">
        <v>0</v>
      </c>
      <c r="AY12" s="29">
        <v>0</v>
      </c>
      <c r="AZ12" s="27">
        <v>4</v>
      </c>
      <c r="BA12" s="57">
        <v>4</v>
      </c>
      <c r="BB12" s="85">
        <v>4</v>
      </c>
    </row>
    <row r="13" spans="1:54" ht="23.1" customHeight="1" x14ac:dyDescent="0.3">
      <c r="A13" s="86">
        <v>9</v>
      </c>
      <c r="B13" s="63" t="s">
        <v>103</v>
      </c>
      <c r="C13" s="64" t="s">
        <v>104</v>
      </c>
      <c r="D13" s="63" t="s">
        <v>542</v>
      </c>
      <c r="E13" s="63" t="s">
        <v>35</v>
      </c>
      <c r="F13" s="63" t="str">
        <f>REPT(CHAR(160),10)&amp;Working!$E13</f>
        <v>          A</v>
      </c>
      <c r="G13" s="65">
        <v>0</v>
      </c>
      <c r="H13" s="65">
        <v>0</v>
      </c>
      <c r="I13" s="65">
        <v>4</v>
      </c>
      <c r="J13" s="65">
        <v>0</v>
      </c>
      <c r="K13" s="66">
        <v>0</v>
      </c>
      <c r="L13" s="67">
        <v>4</v>
      </c>
      <c r="M13" s="65">
        <v>0</v>
      </c>
      <c r="N13" s="65">
        <v>4</v>
      </c>
      <c r="O13" s="65">
        <v>4</v>
      </c>
      <c r="P13" s="68">
        <v>0</v>
      </c>
      <c r="Q13" s="69">
        <v>4</v>
      </c>
      <c r="R13" s="38">
        <v>4</v>
      </c>
      <c r="S13" s="27">
        <v>0</v>
      </c>
      <c r="T13" s="29">
        <v>0</v>
      </c>
      <c r="U13" s="52">
        <v>0</v>
      </c>
      <c r="V13" s="29">
        <v>0</v>
      </c>
      <c r="W13" s="29">
        <v>0</v>
      </c>
      <c r="X13" s="37">
        <v>0</v>
      </c>
      <c r="Y13" s="29">
        <v>4</v>
      </c>
      <c r="Z13" s="29">
        <v>0</v>
      </c>
      <c r="AA13" s="29">
        <v>0</v>
      </c>
      <c r="AB13" s="29">
        <v>0</v>
      </c>
      <c r="AC13" s="29">
        <v>0</v>
      </c>
      <c r="AD13" s="37">
        <v>4</v>
      </c>
      <c r="AE13" s="29">
        <v>0</v>
      </c>
      <c r="AF13" s="29">
        <v>0</v>
      </c>
      <c r="AG13" s="29">
        <v>0</v>
      </c>
      <c r="AH13" s="29">
        <v>0</v>
      </c>
      <c r="AI13" s="29">
        <v>0</v>
      </c>
      <c r="AJ13" s="37">
        <v>0</v>
      </c>
      <c r="AK13" s="28">
        <v>4</v>
      </c>
      <c r="AL13" s="28">
        <v>5</v>
      </c>
      <c r="AM13" s="52">
        <v>0</v>
      </c>
      <c r="AN13" s="28">
        <v>4</v>
      </c>
      <c r="AO13" s="29">
        <v>0</v>
      </c>
      <c r="AP13" s="38">
        <v>4.333333333333333</v>
      </c>
      <c r="AQ13" s="27">
        <v>5</v>
      </c>
      <c r="AR13" s="29">
        <v>0</v>
      </c>
      <c r="AS13" s="58">
        <v>0</v>
      </c>
      <c r="AT13" s="29">
        <v>0</v>
      </c>
      <c r="AU13" s="29">
        <v>0</v>
      </c>
      <c r="AV13" s="37">
        <v>5</v>
      </c>
      <c r="AW13" s="29">
        <v>0</v>
      </c>
      <c r="AX13" s="29">
        <v>0</v>
      </c>
      <c r="AY13" s="29">
        <v>0</v>
      </c>
      <c r="AZ13" s="27">
        <v>4</v>
      </c>
      <c r="BA13" s="57">
        <v>4</v>
      </c>
      <c r="BB13" s="85">
        <v>4</v>
      </c>
    </row>
    <row r="14" spans="1:54" ht="23.1" customHeight="1" x14ac:dyDescent="0.3">
      <c r="A14" s="87">
        <v>10</v>
      </c>
      <c r="B14" s="70" t="s">
        <v>68</v>
      </c>
      <c r="C14" s="71" t="s">
        <v>69</v>
      </c>
      <c r="D14" s="70" t="s">
        <v>450</v>
      </c>
      <c r="E14" s="70" t="s">
        <v>35</v>
      </c>
      <c r="F14" s="70" t="str">
        <f>REPT(CHAR(160),10)&amp;Working!$E14</f>
        <v>          A</v>
      </c>
      <c r="G14" s="61">
        <v>0</v>
      </c>
      <c r="H14" s="61">
        <v>0</v>
      </c>
      <c r="I14" s="61">
        <v>4</v>
      </c>
      <c r="J14" s="61">
        <v>0</v>
      </c>
      <c r="K14" s="72">
        <v>0</v>
      </c>
      <c r="L14" s="67">
        <v>4</v>
      </c>
      <c r="M14" s="61">
        <v>0</v>
      </c>
      <c r="N14" s="61">
        <v>4</v>
      </c>
      <c r="O14" s="61">
        <v>5</v>
      </c>
      <c r="P14" s="73">
        <v>0</v>
      </c>
      <c r="Q14" s="74">
        <v>5</v>
      </c>
      <c r="R14" s="38">
        <v>4.666666666666667</v>
      </c>
      <c r="S14" s="27">
        <v>0</v>
      </c>
      <c r="T14" s="16">
        <v>0</v>
      </c>
      <c r="U14" s="51">
        <v>0</v>
      </c>
      <c r="V14" s="16">
        <v>0</v>
      </c>
      <c r="W14" s="16">
        <v>0</v>
      </c>
      <c r="X14" s="37">
        <v>0</v>
      </c>
      <c r="Y14" s="16">
        <v>4</v>
      </c>
      <c r="Z14" s="16">
        <v>0</v>
      </c>
      <c r="AA14" s="16">
        <v>0</v>
      </c>
      <c r="AB14" s="16">
        <v>0</v>
      </c>
      <c r="AC14" s="16">
        <v>0</v>
      </c>
      <c r="AD14" s="37">
        <v>4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37">
        <v>0</v>
      </c>
      <c r="AK14" s="22">
        <v>5</v>
      </c>
      <c r="AL14" s="22">
        <v>4</v>
      </c>
      <c r="AM14" s="51">
        <v>0</v>
      </c>
      <c r="AN14" s="22">
        <v>5</v>
      </c>
      <c r="AO14" s="16">
        <v>0</v>
      </c>
      <c r="AP14" s="38">
        <v>4.666666666666667</v>
      </c>
      <c r="AQ14" s="27">
        <v>5</v>
      </c>
      <c r="AR14" s="16">
        <v>0</v>
      </c>
      <c r="AS14" s="25">
        <v>0</v>
      </c>
      <c r="AT14" s="16">
        <v>0</v>
      </c>
      <c r="AU14" s="16">
        <v>0</v>
      </c>
      <c r="AV14" s="37">
        <v>5</v>
      </c>
      <c r="AW14" s="16">
        <v>0</v>
      </c>
      <c r="AX14" s="16">
        <v>0</v>
      </c>
      <c r="AY14" s="29">
        <v>0</v>
      </c>
      <c r="AZ14" s="27">
        <v>4</v>
      </c>
      <c r="BA14" s="57">
        <v>5</v>
      </c>
      <c r="BB14" s="85">
        <v>4.5</v>
      </c>
    </row>
    <row r="15" spans="1:54" ht="23.1" customHeight="1" x14ac:dyDescent="0.3">
      <c r="A15" s="86">
        <v>11</v>
      </c>
      <c r="B15" s="63" t="s">
        <v>162</v>
      </c>
      <c r="C15" s="64" t="s">
        <v>163</v>
      </c>
      <c r="D15" s="63" t="s">
        <v>450</v>
      </c>
      <c r="E15" s="63" t="s">
        <v>161</v>
      </c>
      <c r="F15" s="63" t="str">
        <f>REPT(CHAR(160),10)&amp;Working!$E15</f>
        <v>          B</v>
      </c>
      <c r="G15" s="65">
        <v>0</v>
      </c>
      <c r="H15" s="65">
        <v>0</v>
      </c>
      <c r="I15" s="65">
        <v>4</v>
      </c>
      <c r="J15" s="65">
        <v>0</v>
      </c>
      <c r="K15" s="66">
        <v>0</v>
      </c>
      <c r="L15" s="67">
        <v>4</v>
      </c>
      <c r="M15" s="65">
        <v>0</v>
      </c>
      <c r="N15" s="65">
        <v>4</v>
      </c>
      <c r="O15" s="65">
        <v>5</v>
      </c>
      <c r="P15" s="68">
        <v>0</v>
      </c>
      <c r="Q15" s="69">
        <v>5</v>
      </c>
      <c r="R15" s="38">
        <v>4.666666666666667</v>
      </c>
      <c r="S15" s="27">
        <v>0</v>
      </c>
      <c r="T15" s="29">
        <v>0</v>
      </c>
      <c r="U15" s="52">
        <v>0</v>
      </c>
      <c r="V15" s="29">
        <v>0</v>
      </c>
      <c r="W15" s="29">
        <v>0</v>
      </c>
      <c r="X15" s="37">
        <v>0</v>
      </c>
      <c r="Y15" s="29">
        <v>5</v>
      </c>
      <c r="Z15" s="29">
        <v>0</v>
      </c>
      <c r="AA15" s="29">
        <v>0</v>
      </c>
      <c r="AB15" s="29">
        <v>0</v>
      </c>
      <c r="AC15" s="29">
        <v>0</v>
      </c>
      <c r="AD15" s="37">
        <v>5</v>
      </c>
      <c r="AE15" s="29">
        <v>0</v>
      </c>
      <c r="AF15" s="29">
        <v>0</v>
      </c>
      <c r="AG15" s="29">
        <v>0</v>
      </c>
      <c r="AH15" s="29">
        <v>0</v>
      </c>
      <c r="AI15" s="29">
        <v>0</v>
      </c>
      <c r="AJ15" s="37">
        <v>0</v>
      </c>
      <c r="AK15" s="28">
        <v>4</v>
      </c>
      <c r="AL15" s="28">
        <v>4</v>
      </c>
      <c r="AM15" s="52">
        <v>0</v>
      </c>
      <c r="AN15" s="28">
        <v>4</v>
      </c>
      <c r="AO15" s="29">
        <v>0</v>
      </c>
      <c r="AP15" s="38">
        <v>4</v>
      </c>
      <c r="AQ15" s="27">
        <v>3</v>
      </c>
      <c r="AR15" s="29">
        <v>0</v>
      </c>
      <c r="AS15" s="58">
        <v>0</v>
      </c>
      <c r="AT15" s="29">
        <v>0</v>
      </c>
      <c r="AU15" s="29">
        <v>0</v>
      </c>
      <c r="AV15" s="37">
        <v>3</v>
      </c>
      <c r="AW15" s="29">
        <v>0</v>
      </c>
      <c r="AX15" s="29">
        <v>0</v>
      </c>
      <c r="AY15" s="29">
        <v>0</v>
      </c>
      <c r="AZ15" s="27">
        <v>4</v>
      </c>
      <c r="BA15" s="57">
        <v>4</v>
      </c>
      <c r="BB15" s="85">
        <v>4</v>
      </c>
    </row>
    <row r="16" spans="1:54" ht="23.1" customHeight="1" x14ac:dyDescent="0.3">
      <c r="A16" s="87">
        <v>12</v>
      </c>
      <c r="B16" s="70" t="s">
        <v>178</v>
      </c>
      <c r="C16" s="71" t="s">
        <v>179</v>
      </c>
      <c r="D16" s="70" t="s">
        <v>450</v>
      </c>
      <c r="E16" s="70" t="s">
        <v>161</v>
      </c>
      <c r="F16" s="70" t="str">
        <f>REPT(CHAR(160),10)&amp;Working!$E16</f>
        <v>          B</v>
      </c>
      <c r="G16" s="61">
        <v>0</v>
      </c>
      <c r="H16" s="61">
        <v>0</v>
      </c>
      <c r="I16" s="61">
        <v>5</v>
      </c>
      <c r="J16" s="61">
        <v>0</v>
      </c>
      <c r="K16" s="72">
        <v>0</v>
      </c>
      <c r="L16" s="67">
        <v>5</v>
      </c>
      <c r="M16" s="61">
        <v>0</v>
      </c>
      <c r="N16" s="61">
        <v>4</v>
      </c>
      <c r="O16" s="61">
        <v>5</v>
      </c>
      <c r="P16" s="73">
        <v>0</v>
      </c>
      <c r="Q16" s="74">
        <v>5</v>
      </c>
      <c r="R16" s="38">
        <v>4.666666666666667</v>
      </c>
      <c r="S16" s="27">
        <v>0</v>
      </c>
      <c r="T16" s="16">
        <v>0</v>
      </c>
      <c r="U16" s="51">
        <v>0</v>
      </c>
      <c r="V16" s="16">
        <v>0</v>
      </c>
      <c r="W16" s="16">
        <v>0</v>
      </c>
      <c r="X16" s="37">
        <v>0</v>
      </c>
      <c r="Y16" s="16">
        <v>4</v>
      </c>
      <c r="Z16" s="16">
        <v>0</v>
      </c>
      <c r="AA16" s="16">
        <v>0</v>
      </c>
      <c r="AB16" s="16">
        <v>0</v>
      </c>
      <c r="AC16" s="16">
        <v>0</v>
      </c>
      <c r="AD16" s="37">
        <v>4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37">
        <v>0</v>
      </c>
      <c r="AK16" s="22">
        <v>4</v>
      </c>
      <c r="AL16" s="22">
        <v>3</v>
      </c>
      <c r="AM16" s="51">
        <v>0</v>
      </c>
      <c r="AN16" s="22">
        <v>4</v>
      </c>
      <c r="AO16" s="16">
        <v>0</v>
      </c>
      <c r="AP16" s="38">
        <v>3.6666666666666665</v>
      </c>
      <c r="AQ16" s="27">
        <v>4</v>
      </c>
      <c r="AR16" s="16">
        <v>0</v>
      </c>
      <c r="AS16" s="25">
        <v>0</v>
      </c>
      <c r="AT16" s="16">
        <v>0</v>
      </c>
      <c r="AU16" s="16">
        <v>0</v>
      </c>
      <c r="AV16" s="37">
        <v>4</v>
      </c>
      <c r="AW16" s="16">
        <v>0</v>
      </c>
      <c r="AX16" s="16">
        <v>0</v>
      </c>
      <c r="AY16" s="29">
        <v>0</v>
      </c>
      <c r="AZ16" s="27">
        <v>4</v>
      </c>
      <c r="BA16" s="57">
        <v>4</v>
      </c>
      <c r="BB16" s="85">
        <v>4</v>
      </c>
    </row>
    <row r="17" spans="1:54" ht="23.1" customHeight="1" x14ac:dyDescent="0.3">
      <c r="A17" s="86">
        <v>13</v>
      </c>
      <c r="B17" s="63" t="s">
        <v>87</v>
      </c>
      <c r="C17" s="64" t="s">
        <v>88</v>
      </c>
      <c r="D17" s="63" t="s">
        <v>450</v>
      </c>
      <c r="E17" s="63" t="s">
        <v>35</v>
      </c>
      <c r="F17" s="63" t="str">
        <f>REPT(CHAR(160),10)&amp;Working!$E17</f>
        <v>          A</v>
      </c>
      <c r="G17" s="65">
        <v>0</v>
      </c>
      <c r="H17" s="65">
        <v>0</v>
      </c>
      <c r="I17" s="65">
        <v>4</v>
      </c>
      <c r="J17" s="65">
        <v>0</v>
      </c>
      <c r="K17" s="66">
        <v>0</v>
      </c>
      <c r="L17" s="67">
        <v>4</v>
      </c>
      <c r="M17" s="65">
        <v>0</v>
      </c>
      <c r="N17" s="65">
        <v>4</v>
      </c>
      <c r="O17" s="65">
        <v>4</v>
      </c>
      <c r="P17" s="68">
        <v>0</v>
      </c>
      <c r="Q17" s="69">
        <v>4</v>
      </c>
      <c r="R17" s="38">
        <v>4</v>
      </c>
      <c r="S17" s="27">
        <v>0</v>
      </c>
      <c r="T17" s="29">
        <v>0</v>
      </c>
      <c r="U17" s="52">
        <v>0</v>
      </c>
      <c r="V17" s="29">
        <v>0</v>
      </c>
      <c r="W17" s="29">
        <v>0</v>
      </c>
      <c r="X17" s="37">
        <v>0</v>
      </c>
      <c r="Y17" s="29">
        <v>4</v>
      </c>
      <c r="Z17" s="29">
        <v>0</v>
      </c>
      <c r="AA17" s="29">
        <v>0</v>
      </c>
      <c r="AB17" s="29">
        <v>0</v>
      </c>
      <c r="AC17" s="29">
        <v>0</v>
      </c>
      <c r="AD17" s="37">
        <v>4</v>
      </c>
      <c r="AE17" s="29">
        <v>0</v>
      </c>
      <c r="AF17" s="29">
        <v>0</v>
      </c>
      <c r="AG17" s="29">
        <v>0</v>
      </c>
      <c r="AH17" s="29">
        <v>0</v>
      </c>
      <c r="AI17" s="29">
        <v>0</v>
      </c>
      <c r="AJ17" s="37">
        <v>0</v>
      </c>
      <c r="AK17" s="28">
        <v>4</v>
      </c>
      <c r="AL17" s="28">
        <v>4</v>
      </c>
      <c r="AM17" s="52">
        <v>0</v>
      </c>
      <c r="AN17" s="28">
        <v>4</v>
      </c>
      <c r="AO17" s="29">
        <v>0</v>
      </c>
      <c r="AP17" s="38">
        <v>4</v>
      </c>
      <c r="AQ17" s="27">
        <v>4</v>
      </c>
      <c r="AR17" s="29">
        <v>0</v>
      </c>
      <c r="AS17" s="58">
        <v>0</v>
      </c>
      <c r="AT17" s="29">
        <v>0</v>
      </c>
      <c r="AU17" s="29">
        <v>0</v>
      </c>
      <c r="AV17" s="37">
        <v>4</v>
      </c>
      <c r="AW17" s="29">
        <v>0</v>
      </c>
      <c r="AX17" s="29">
        <v>0</v>
      </c>
      <c r="AY17" s="29">
        <v>0</v>
      </c>
      <c r="AZ17" s="27">
        <v>4</v>
      </c>
      <c r="BA17" s="57">
        <v>4</v>
      </c>
      <c r="BB17" s="85">
        <v>4</v>
      </c>
    </row>
    <row r="18" spans="1:54" ht="23.1" customHeight="1" x14ac:dyDescent="0.3">
      <c r="A18" s="87">
        <v>14</v>
      </c>
      <c r="B18" s="70" t="s">
        <v>194</v>
      </c>
      <c r="C18" s="71" t="s">
        <v>195</v>
      </c>
      <c r="D18" s="70" t="s">
        <v>542</v>
      </c>
      <c r="E18" s="70" t="s">
        <v>161</v>
      </c>
      <c r="F18" s="70" t="str">
        <f>REPT(CHAR(160),10)&amp;Working!$E18</f>
        <v>          B</v>
      </c>
      <c r="G18" s="61">
        <v>0</v>
      </c>
      <c r="H18" s="61">
        <v>0</v>
      </c>
      <c r="I18" s="61">
        <v>4</v>
      </c>
      <c r="J18" s="61">
        <v>0</v>
      </c>
      <c r="K18" s="72">
        <v>0</v>
      </c>
      <c r="L18" s="67">
        <v>4</v>
      </c>
      <c r="M18" s="61">
        <v>0</v>
      </c>
      <c r="N18" s="61">
        <v>4</v>
      </c>
      <c r="O18" s="61">
        <v>4</v>
      </c>
      <c r="P18" s="73">
        <v>0</v>
      </c>
      <c r="Q18" s="74">
        <v>4</v>
      </c>
      <c r="R18" s="38">
        <v>4</v>
      </c>
      <c r="S18" s="27">
        <v>0</v>
      </c>
      <c r="T18" s="16">
        <v>0</v>
      </c>
      <c r="U18" s="51">
        <v>0</v>
      </c>
      <c r="V18" s="16">
        <v>0</v>
      </c>
      <c r="W18" s="16">
        <v>0</v>
      </c>
      <c r="X18" s="37">
        <v>0</v>
      </c>
      <c r="Y18" s="16">
        <v>5</v>
      </c>
      <c r="Z18" s="16">
        <v>0</v>
      </c>
      <c r="AA18" s="16">
        <v>0</v>
      </c>
      <c r="AB18" s="16">
        <v>0</v>
      </c>
      <c r="AC18" s="16">
        <v>0</v>
      </c>
      <c r="AD18" s="37">
        <v>5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37">
        <v>0</v>
      </c>
      <c r="AK18" s="22">
        <v>5</v>
      </c>
      <c r="AL18" s="22">
        <v>5</v>
      </c>
      <c r="AM18" s="51">
        <v>0</v>
      </c>
      <c r="AN18" s="22">
        <v>5</v>
      </c>
      <c r="AO18" s="16">
        <v>0</v>
      </c>
      <c r="AP18" s="38">
        <v>5</v>
      </c>
      <c r="AQ18" s="27">
        <v>0</v>
      </c>
      <c r="AR18" s="16">
        <v>0</v>
      </c>
      <c r="AS18" s="25">
        <v>0</v>
      </c>
      <c r="AT18" s="16">
        <v>0</v>
      </c>
      <c r="AU18" s="16">
        <v>0</v>
      </c>
      <c r="AV18" s="37">
        <v>0</v>
      </c>
      <c r="AW18" s="16">
        <v>0</v>
      </c>
      <c r="AX18" s="16">
        <v>0</v>
      </c>
      <c r="AY18" s="29">
        <v>0</v>
      </c>
      <c r="AZ18" s="27">
        <v>4</v>
      </c>
      <c r="BA18" s="57">
        <v>4</v>
      </c>
      <c r="BB18" s="85">
        <v>4</v>
      </c>
    </row>
    <row r="19" spans="1:54" ht="23.1" customHeight="1" x14ac:dyDescent="0.3">
      <c r="A19" s="86">
        <v>15</v>
      </c>
      <c r="B19" s="63" t="s">
        <v>293</v>
      </c>
      <c r="C19" s="64" t="s">
        <v>294</v>
      </c>
      <c r="D19" s="63" t="s">
        <v>542</v>
      </c>
      <c r="E19" s="63" t="s">
        <v>493</v>
      </c>
      <c r="F19" s="63" t="str">
        <f>REPT(CHAR(160),10)&amp;Working!$E19</f>
        <v>          C</v>
      </c>
      <c r="G19" s="65">
        <v>0</v>
      </c>
      <c r="H19" s="65">
        <v>0</v>
      </c>
      <c r="I19" s="65">
        <v>4</v>
      </c>
      <c r="J19" s="65">
        <v>0</v>
      </c>
      <c r="K19" s="66">
        <v>0</v>
      </c>
      <c r="L19" s="67">
        <v>4</v>
      </c>
      <c r="M19" s="65">
        <v>0</v>
      </c>
      <c r="N19" s="65">
        <v>4</v>
      </c>
      <c r="O19" s="65">
        <v>4</v>
      </c>
      <c r="P19" s="68">
        <v>0</v>
      </c>
      <c r="Q19" s="69">
        <v>4</v>
      </c>
      <c r="R19" s="38">
        <v>4</v>
      </c>
      <c r="S19" s="27">
        <v>0</v>
      </c>
      <c r="T19" s="29">
        <v>0</v>
      </c>
      <c r="U19" s="52">
        <v>0</v>
      </c>
      <c r="V19" s="29">
        <v>0</v>
      </c>
      <c r="W19" s="29">
        <v>0</v>
      </c>
      <c r="X19" s="37">
        <v>0</v>
      </c>
      <c r="Y19" s="29">
        <v>4</v>
      </c>
      <c r="Z19" s="29">
        <v>0</v>
      </c>
      <c r="AA19" s="29">
        <v>0</v>
      </c>
      <c r="AB19" s="29">
        <v>0</v>
      </c>
      <c r="AC19" s="29">
        <v>0</v>
      </c>
      <c r="AD19" s="37">
        <v>4</v>
      </c>
      <c r="AE19" s="29">
        <v>0</v>
      </c>
      <c r="AF19" s="29">
        <v>0</v>
      </c>
      <c r="AG19" s="29">
        <v>0</v>
      </c>
      <c r="AH19" s="29">
        <v>0</v>
      </c>
      <c r="AI19" s="29">
        <v>0</v>
      </c>
      <c r="AJ19" s="37">
        <v>0</v>
      </c>
      <c r="AK19" s="28">
        <v>4</v>
      </c>
      <c r="AL19" s="28">
        <v>4</v>
      </c>
      <c r="AM19" s="52">
        <v>0</v>
      </c>
      <c r="AN19" s="28">
        <v>4</v>
      </c>
      <c r="AO19" s="29">
        <v>0</v>
      </c>
      <c r="AP19" s="38">
        <v>4</v>
      </c>
      <c r="AQ19" s="27">
        <v>3</v>
      </c>
      <c r="AR19" s="29">
        <v>0</v>
      </c>
      <c r="AS19" s="58">
        <v>0</v>
      </c>
      <c r="AT19" s="29">
        <v>0</v>
      </c>
      <c r="AU19" s="29">
        <v>0</v>
      </c>
      <c r="AV19" s="37">
        <v>3</v>
      </c>
      <c r="AW19" s="29">
        <v>0</v>
      </c>
      <c r="AX19" s="29">
        <v>0</v>
      </c>
      <c r="AY19" s="29">
        <v>0</v>
      </c>
      <c r="AZ19" s="27">
        <v>4</v>
      </c>
      <c r="BA19" s="57">
        <v>4</v>
      </c>
      <c r="BB19" s="85">
        <v>4</v>
      </c>
    </row>
    <row r="20" spans="1:54" ht="23.1" customHeight="1" x14ac:dyDescent="0.3">
      <c r="A20" s="87">
        <v>16</v>
      </c>
      <c r="B20" s="70" t="s">
        <v>105</v>
      </c>
      <c r="C20" s="71" t="s">
        <v>106</v>
      </c>
      <c r="D20" s="70" t="s">
        <v>450</v>
      </c>
      <c r="E20" s="70" t="s">
        <v>35</v>
      </c>
      <c r="F20" s="70" t="str">
        <f>REPT(CHAR(160),10)&amp;Working!$E20</f>
        <v>          A</v>
      </c>
      <c r="G20" s="61">
        <v>0</v>
      </c>
      <c r="H20" s="61">
        <v>0</v>
      </c>
      <c r="I20" s="61">
        <v>4</v>
      </c>
      <c r="J20" s="61">
        <v>0</v>
      </c>
      <c r="K20" s="72">
        <v>0</v>
      </c>
      <c r="L20" s="67">
        <v>4</v>
      </c>
      <c r="M20" s="61">
        <v>0</v>
      </c>
      <c r="N20" s="61">
        <v>4</v>
      </c>
      <c r="O20" s="61">
        <v>4</v>
      </c>
      <c r="P20" s="73">
        <v>0</v>
      </c>
      <c r="Q20" s="74">
        <v>4</v>
      </c>
      <c r="R20" s="38">
        <v>4</v>
      </c>
      <c r="S20" s="27">
        <v>0</v>
      </c>
      <c r="T20" s="16">
        <v>0</v>
      </c>
      <c r="U20" s="51">
        <v>0</v>
      </c>
      <c r="V20" s="16">
        <v>0</v>
      </c>
      <c r="W20" s="16">
        <v>0</v>
      </c>
      <c r="X20" s="37">
        <v>0</v>
      </c>
      <c r="Y20" s="16">
        <v>3</v>
      </c>
      <c r="Z20" s="16">
        <v>0</v>
      </c>
      <c r="AA20" s="16">
        <v>0</v>
      </c>
      <c r="AB20" s="16">
        <v>0</v>
      </c>
      <c r="AC20" s="16">
        <v>0</v>
      </c>
      <c r="AD20" s="37">
        <v>3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37">
        <v>0</v>
      </c>
      <c r="AK20" s="22">
        <v>4</v>
      </c>
      <c r="AL20" s="22">
        <v>3</v>
      </c>
      <c r="AM20" s="51">
        <v>0</v>
      </c>
      <c r="AN20" s="22">
        <v>4</v>
      </c>
      <c r="AO20" s="16">
        <v>0</v>
      </c>
      <c r="AP20" s="38">
        <v>3.6666666666666665</v>
      </c>
      <c r="AQ20" s="27">
        <v>4</v>
      </c>
      <c r="AR20" s="16">
        <v>0</v>
      </c>
      <c r="AS20" s="25">
        <v>0</v>
      </c>
      <c r="AT20" s="16">
        <v>0</v>
      </c>
      <c r="AU20" s="16">
        <v>0</v>
      </c>
      <c r="AV20" s="37">
        <v>4</v>
      </c>
      <c r="AW20" s="16">
        <v>0</v>
      </c>
      <c r="AX20" s="16">
        <v>0</v>
      </c>
      <c r="AY20" s="29">
        <v>0</v>
      </c>
      <c r="AZ20" s="27">
        <v>4</v>
      </c>
      <c r="BA20" s="57">
        <v>4</v>
      </c>
      <c r="BB20" s="85">
        <v>4</v>
      </c>
    </row>
    <row r="21" spans="1:54" ht="23.1" customHeight="1" x14ac:dyDescent="0.3">
      <c r="A21" s="86">
        <v>17</v>
      </c>
      <c r="B21" s="63" t="s">
        <v>295</v>
      </c>
      <c r="C21" s="64" t="s">
        <v>296</v>
      </c>
      <c r="D21" s="63" t="s">
        <v>542</v>
      </c>
      <c r="E21" s="63" t="s">
        <v>493</v>
      </c>
      <c r="F21" s="63" t="str">
        <f>REPT(CHAR(160),10)&amp;Working!$E21</f>
        <v>          C</v>
      </c>
      <c r="G21" s="65">
        <v>0</v>
      </c>
      <c r="H21" s="65">
        <v>0</v>
      </c>
      <c r="I21" s="65">
        <v>4</v>
      </c>
      <c r="J21" s="65">
        <v>0</v>
      </c>
      <c r="K21" s="66">
        <v>0</v>
      </c>
      <c r="L21" s="67">
        <v>4</v>
      </c>
      <c r="M21" s="65">
        <v>0</v>
      </c>
      <c r="N21" s="65">
        <v>4</v>
      </c>
      <c r="O21" s="65">
        <v>4</v>
      </c>
      <c r="P21" s="68">
        <v>0</v>
      </c>
      <c r="Q21" s="69">
        <v>4</v>
      </c>
      <c r="R21" s="38">
        <v>4</v>
      </c>
      <c r="S21" s="27">
        <v>0</v>
      </c>
      <c r="T21" s="29">
        <v>0</v>
      </c>
      <c r="U21" s="52">
        <v>0</v>
      </c>
      <c r="V21" s="29">
        <v>0</v>
      </c>
      <c r="W21" s="29">
        <v>0</v>
      </c>
      <c r="X21" s="37">
        <v>0</v>
      </c>
      <c r="Y21" s="29">
        <v>4</v>
      </c>
      <c r="Z21" s="29">
        <v>0</v>
      </c>
      <c r="AA21" s="29">
        <v>0</v>
      </c>
      <c r="AB21" s="29">
        <v>0</v>
      </c>
      <c r="AC21" s="29">
        <v>0</v>
      </c>
      <c r="AD21" s="37">
        <v>4</v>
      </c>
      <c r="AE21" s="29">
        <v>0</v>
      </c>
      <c r="AF21" s="29">
        <v>0</v>
      </c>
      <c r="AG21" s="29">
        <v>0</v>
      </c>
      <c r="AH21" s="29">
        <v>0</v>
      </c>
      <c r="AI21" s="29">
        <v>0</v>
      </c>
      <c r="AJ21" s="37">
        <v>0</v>
      </c>
      <c r="AK21" s="28">
        <v>4</v>
      </c>
      <c r="AL21" s="28">
        <v>5</v>
      </c>
      <c r="AM21" s="52">
        <v>0</v>
      </c>
      <c r="AN21" s="28">
        <v>5</v>
      </c>
      <c r="AO21" s="29">
        <v>0</v>
      </c>
      <c r="AP21" s="38">
        <v>4.666666666666667</v>
      </c>
      <c r="AQ21" s="27">
        <v>5</v>
      </c>
      <c r="AR21" s="29">
        <v>0</v>
      </c>
      <c r="AS21" s="58">
        <v>0</v>
      </c>
      <c r="AT21" s="29">
        <v>0</v>
      </c>
      <c r="AU21" s="29">
        <v>0</v>
      </c>
      <c r="AV21" s="37">
        <v>5</v>
      </c>
      <c r="AW21" s="29">
        <v>0</v>
      </c>
      <c r="AX21" s="29">
        <v>0</v>
      </c>
      <c r="AY21" s="29">
        <v>0</v>
      </c>
      <c r="AZ21" s="27">
        <v>4</v>
      </c>
      <c r="BA21" s="57">
        <v>4</v>
      </c>
      <c r="BB21" s="85">
        <v>4</v>
      </c>
    </row>
    <row r="22" spans="1:54" ht="23.1" customHeight="1" x14ac:dyDescent="0.3">
      <c r="A22" s="87">
        <v>18</v>
      </c>
      <c r="B22" s="70" t="s">
        <v>107</v>
      </c>
      <c r="C22" s="71" t="s">
        <v>108</v>
      </c>
      <c r="D22" s="70" t="s">
        <v>543</v>
      </c>
      <c r="E22" s="70" t="s">
        <v>35</v>
      </c>
      <c r="F22" s="70" t="str">
        <f>REPT(CHAR(160),10)&amp;Working!$E22</f>
        <v>          A</v>
      </c>
      <c r="G22" s="61">
        <v>0</v>
      </c>
      <c r="H22" s="61">
        <v>0</v>
      </c>
      <c r="I22" s="61">
        <v>4</v>
      </c>
      <c r="J22" s="61">
        <v>0</v>
      </c>
      <c r="K22" s="72">
        <v>0</v>
      </c>
      <c r="L22" s="67">
        <v>4</v>
      </c>
      <c r="M22" s="61">
        <v>0</v>
      </c>
      <c r="N22" s="61">
        <v>5</v>
      </c>
      <c r="O22" s="61">
        <v>4</v>
      </c>
      <c r="P22" s="73">
        <v>0</v>
      </c>
      <c r="Q22" s="74">
        <v>4</v>
      </c>
      <c r="R22" s="38">
        <v>4.333333333333333</v>
      </c>
      <c r="S22" s="27">
        <v>0</v>
      </c>
      <c r="T22" s="16">
        <v>0</v>
      </c>
      <c r="U22" s="51">
        <v>0</v>
      </c>
      <c r="V22" s="16">
        <v>0</v>
      </c>
      <c r="W22" s="16">
        <v>0</v>
      </c>
      <c r="X22" s="37">
        <v>0</v>
      </c>
      <c r="Y22" s="16">
        <v>4</v>
      </c>
      <c r="Z22" s="16">
        <v>0</v>
      </c>
      <c r="AA22" s="16">
        <v>0</v>
      </c>
      <c r="AB22" s="16">
        <v>0</v>
      </c>
      <c r="AC22" s="16">
        <v>0</v>
      </c>
      <c r="AD22" s="37">
        <v>4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37">
        <v>0</v>
      </c>
      <c r="AK22" s="22">
        <v>4</v>
      </c>
      <c r="AL22" s="22">
        <v>4</v>
      </c>
      <c r="AM22" s="51">
        <v>0</v>
      </c>
      <c r="AN22" s="22">
        <v>4</v>
      </c>
      <c r="AO22" s="16">
        <v>0</v>
      </c>
      <c r="AP22" s="38">
        <v>4</v>
      </c>
      <c r="AQ22" s="27">
        <v>4</v>
      </c>
      <c r="AR22" s="16">
        <v>0</v>
      </c>
      <c r="AS22" s="25">
        <v>0</v>
      </c>
      <c r="AT22" s="16">
        <v>0</v>
      </c>
      <c r="AU22" s="16">
        <v>0</v>
      </c>
      <c r="AV22" s="37">
        <v>4</v>
      </c>
      <c r="AW22" s="16">
        <v>0</v>
      </c>
      <c r="AX22" s="16">
        <v>0</v>
      </c>
      <c r="AY22" s="29">
        <v>0</v>
      </c>
      <c r="AZ22" s="27">
        <v>4</v>
      </c>
      <c r="BA22" s="57">
        <v>4</v>
      </c>
      <c r="BB22" s="85">
        <v>4</v>
      </c>
    </row>
    <row r="23" spans="1:54" ht="23.1" customHeight="1" x14ac:dyDescent="0.3">
      <c r="A23" s="86">
        <v>19</v>
      </c>
      <c r="B23" s="63" t="s">
        <v>50</v>
      </c>
      <c r="C23" s="64" t="s">
        <v>51</v>
      </c>
      <c r="D23" s="63" t="s">
        <v>542</v>
      </c>
      <c r="E23" s="63" t="s">
        <v>35</v>
      </c>
      <c r="F23" s="63" t="str">
        <f>REPT(CHAR(160),10)&amp;Working!$E23</f>
        <v>          A</v>
      </c>
      <c r="G23" s="65">
        <v>0</v>
      </c>
      <c r="H23" s="65">
        <v>0</v>
      </c>
      <c r="I23" s="65">
        <v>5</v>
      </c>
      <c r="J23" s="65">
        <v>0</v>
      </c>
      <c r="K23" s="66">
        <v>0</v>
      </c>
      <c r="L23" s="67">
        <v>5</v>
      </c>
      <c r="M23" s="65">
        <v>0</v>
      </c>
      <c r="N23" s="65">
        <v>4</v>
      </c>
      <c r="O23" s="65">
        <v>5</v>
      </c>
      <c r="P23" s="68">
        <v>0</v>
      </c>
      <c r="Q23" s="69">
        <v>5</v>
      </c>
      <c r="R23" s="38">
        <v>4.666666666666667</v>
      </c>
      <c r="S23" s="27">
        <v>0</v>
      </c>
      <c r="T23" s="29">
        <v>0</v>
      </c>
      <c r="U23" s="52">
        <v>0</v>
      </c>
      <c r="V23" s="29">
        <v>0</v>
      </c>
      <c r="W23" s="29">
        <v>0</v>
      </c>
      <c r="X23" s="37">
        <v>0</v>
      </c>
      <c r="Y23" s="29">
        <v>5</v>
      </c>
      <c r="Z23" s="29">
        <v>0</v>
      </c>
      <c r="AA23" s="29">
        <v>0</v>
      </c>
      <c r="AB23" s="29">
        <v>0</v>
      </c>
      <c r="AC23" s="29">
        <v>0</v>
      </c>
      <c r="AD23" s="37">
        <v>5</v>
      </c>
      <c r="AE23" s="29">
        <v>0</v>
      </c>
      <c r="AF23" s="29">
        <v>0</v>
      </c>
      <c r="AG23" s="29">
        <v>0</v>
      </c>
      <c r="AH23" s="29">
        <v>0</v>
      </c>
      <c r="AI23" s="29">
        <v>0</v>
      </c>
      <c r="AJ23" s="37">
        <v>0</v>
      </c>
      <c r="AK23" s="28">
        <v>4</v>
      </c>
      <c r="AL23" s="28">
        <v>5</v>
      </c>
      <c r="AM23" s="52">
        <v>0</v>
      </c>
      <c r="AN23" s="28">
        <v>5</v>
      </c>
      <c r="AO23" s="29">
        <v>0</v>
      </c>
      <c r="AP23" s="38">
        <v>4.666666666666667</v>
      </c>
      <c r="AQ23" s="27">
        <v>5</v>
      </c>
      <c r="AR23" s="29">
        <v>0</v>
      </c>
      <c r="AS23" s="58">
        <v>0</v>
      </c>
      <c r="AT23" s="29">
        <v>0</v>
      </c>
      <c r="AU23" s="29">
        <v>0</v>
      </c>
      <c r="AV23" s="37">
        <v>5</v>
      </c>
      <c r="AW23" s="29">
        <v>0</v>
      </c>
      <c r="AX23" s="29">
        <v>0</v>
      </c>
      <c r="AY23" s="29">
        <v>0</v>
      </c>
      <c r="AZ23" s="27">
        <v>5</v>
      </c>
      <c r="BA23" s="57">
        <v>4</v>
      </c>
      <c r="BB23" s="85">
        <v>4.5</v>
      </c>
    </row>
    <row r="24" spans="1:54" ht="23.1" customHeight="1" x14ac:dyDescent="0.3">
      <c r="A24" s="87">
        <v>20</v>
      </c>
      <c r="B24" s="70" t="s">
        <v>196</v>
      </c>
      <c r="C24" s="71" t="s">
        <v>537</v>
      </c>
      <c r="D24" s="70" t="s">
        <v>450</v>
      </c>
      <c r="E24" s="70" t="s">
        <v>161</v>
      </c>
      <c r="F24" s="70" t="str">
        <f>REPT(CHAR(160),10)&amp;Working!$E24</f>
        <v>          B</v>
      </c>
      <c r="G24" s="61">
        <v>0</v>
      </c>
      <c r="H24" s="61">
        <v>0</v>
      </c>
      <c r="I24" s="61">
        <v>4</v>
      </c>
      <c r="J24" s="61">
        <v>0</v>
      </c>
      <c r="K24" s="72">
        <v>0</v>
      </c>
      <c r="L24" s="67">
        <v>4</v>
      </c>
      <c r="M24" s="61">
        <v>0</v>
      </c>
      <c r="N24" s="61">
        <v>4</v>
      </c>
      <c r="O24" s="61">
        <v>4</v>
      </c>
      <c r="P24" s="73">
        <v>0</v>
      </c>
      <c r="Q24" s="74">
        <v>4</v>
      </c>
      <c r="R24" s="38">
        <v>4</v>
      </c>
      <c r="S24" s="27">
        <v>0</v>
      </c>
      <c r="T24" s="16">
        <v>0</v>
      </c>
      <c r="U24" s="51">
        <v>0</v>
      </c>
      <c r="V24" s="16">
        <v>0</v>
      </c>
      <c r="W24" s="16">
        <v>0</v>
      </c>
      <c r="X24" s="37">
        <v>0</v>
      </c>
      <c r="Y24" s="16">
        <v>4</v>
      </c>
      <c r="Z24" s="16">
        <v>0</v>
      </c>
      <c r="AA24" s="16">
        <v>0</v>
      </c>
      <c r="AB24" s="16">
        <v>0</v>
      </c>
      <c r="AC24" s="16">
        <v>0</v>
      </c>
      <c r="AD24" s="37">
        <v>4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37">
        <v>0</v>
      </c>
      <c r="AK24" s="22">
        <v>5</v>
      </c>
      <c r="AL24" s="22">
        <v>4</v>
      </c>
      <c r="AM24" s="51">
        <v>0</v>
      </c>
      <c r="AN24" s="22">
        <v>5</v>
      </c>
      <c r="AO24" s="16">
        <v>0</v>
      </c>
      <c r="AP24" s="38">
        <v>4.666666666666667</v>
      </c>
      <c r="AQ24" s="27">
        <v>4</v>
      </c>
      <c r="AR24" s="16">
        <v>0</v>
      </c>
      <c r="AS24" s="25">
        <v>0</v>
      </c>
      <c r="AT24" s="16">
        <v>0</v>
      </c>
      <c r="AU24" s="16">
        <v>0</v>
      </c>
      <c r="AV24" s="37">
        <v>4</v>
      </c>
      <c r="AW24" s="16">
        <v>0</v>
      </c>
      <c r="AX24" s="16">
        <v>0</v>
      </c>
      <c r="AY24" s="29">
        <v>0</v>
      </c>
      <c r="AZ24" s="27">
        <v>4</v>
      </c>
      <c r="BA24" s="57">
        <v>4</v>
      </c>
      <c r="BB24" s="85">
        <v>4</v>
      </c>
    </row>
    <row r="25" spans="1:54" ht="23.1" customHeight="1" x14ac:dyDescent="0.3">
      <c r="A25" s="86">
        <v>21</v>
      </c>
      <c r="B25" s="63" t="s">
        <v>209</v>
      </c>
      <c r="C25" s="64" t="s">
        <v>210</v>
      </c>
      <c r="D25" s="63" t="s">
        <v>450</v>
      </c>
      <c r="E25" s="63" t="s">
        <v>161</v>
      </c>
      <c r="F25" s="63" t="str">
        <f>REPT(CHAR(160),10)&amp;Working!$E25</f>
        <v>          B</v>
      </c>
      <c r="G25" s="65">
        <v>0</v>
      </c>
      <c r="H25" s="65">
        <v>0</v>
      </c>
      <c r="I25" s="65">
        <v>4</v>
      </c>
      <c r="J25" s="65">
        <v>0</v>
      </c>
      <c r="K25" s="66">
        <v>0</v>
      </c>
      <c r="L25" s="67">
        <v>4</v>
      </c>
      <c r="M25" s="65">
        <v>0</v>
      </c>
      <c r="N25" s="65">
        <v>4</v>
      </c>
      <c r="O25" s="65">
        <v>4</v>
      </c>
      <c r="P25" s="68">
        <v>0</v>
      </c>
      <c r="Q25" s="69">
        <v>4</v>
      </c>
      <c r="R25" s="38">
        <v>4</v>
      </c>
      <c r="S25" s="27">
        <v>0</v>
      </c>
      <c r="T25" s="29">
        <v>0</v>
      </c>
      <c r="U25" s="52">
        <v>0</v>
      </c>
      <c r="V25" s="29">
        <v>0</v>
      </c>
      <c r="W25" s="29">
        <v>0</v>
      </c>
      <c r="X25" s="37">
        <v>0</v>
      </c>
      <c r="Y25" s="29">
        <v>4</v>
      </c>
      <c r="Z25" s="29">
        <v>0</v>
      </c>
      <c r="AA25" s="29">
        <v>0</v>
      </c>
      <c r="AB25" s="29">
        <v>0</v>
      </c>
      <c r="AC25" s="29">
        <v>0</v>
      </c>
      <c r="AD25" s="37">
        <v>4</v>
      </c>
      <c r="AE25" s="29">
        <v>0</v>
      </c>
      <c r="AF25" s="29">
        <v>0</v>
      </c>
      <c r="AG25" s="29">
        <v>0</v>
      </c>
      <c r="AH25" s="29">
        <v>0</v>
      </c>
      <c r="AI25" s="29">
        <v>0</v>
      </c>
      <c r="AJ25" s="37">
        <v>0</v>
      </c>
      <c r="AK25" s="28">
        <v>4</v>
      </c>
      <c r="AL25" s="28">
        <v>5</v>
      </c>
      <c r="AM25" s="52">
        <v>0</v>
      </c>
      <c r="AN25" s="28">
        <v>5</v>
      </c>
      <c r="AO25" s="29">
        <v>0</v>
      </c>
      <c r="AP25" s="38">
        <v>4.666666666666667</v>
      </c>
      <c r="AQ25" s="27">
        <v>4</v>
      </c>
      <c r="AR25" s="29">
        <v>0</v>
      </c>
      <c r="AS25" s="58">
        <v>0</v>
      </c>
      <c r="AT25" s="29">
        <v>0</v>
      </c>
      <c r="AU25" s="29">
        <v>0</v>
      </c>
      <c r="AV25" s="37">
        <v>4</v>
      </c>
      <c r="AW25" s="29">
        <v>0</v>
      </c>
      <c r="AX25" s="29">
        <v>0</v>
      </c>
      <c r="AY25" s="29">
        <v>0</v>
      </c>
      <c r="AZ25" s="27">
        <v>4</v>
      </c>
      <c r="BA25" s="57">
        <v>4</v>
      </c>
      <c r="BB25" s="85">
        <v>4</v>
      </c>
    </row>
    <row r="26" spans="1:54" ht="23.1" customHeight="1" x14ac:dyDescent="0.3">
      <c r="A26" s="87">
        <v>22</v>
      </c>
      <c r="B26" s="70" t="s">
        <v>58</v>
      </c>
      <c r="C26" s="71" t="s">
        <v>59</v>
      </c>
      <c r="D26" s="70" t="s">
        <v>450</v>
      </c>
      <c r="E26" s="70" t="s">
        <v>35</v>
      </c>
      <c r="F26" s="70" t="str">
        <f>REPT(CHAR(160),10)&amp;Working!$E26</f>
        <v>          A</v>
      </c>
      <c r="G26" s="61">
        <v>0</v>
      </c>
      <c r="H26" s="61">
        <v>0</v>
      </c>
      <c r="I26" s="61">
        <v>5</v>
      </c>
      <c r="J26" s="61">
        <v>0</v>
      </c>
      <c r="K26" s="72">
        <v>0</v>
      </c>
      <c r="L26" s="67">
        <v>5</v>
      </c>
      <c r="M26" s="61">
        <v>0</v>
      </c>
      <c r="N26" s="61">
        <v>4</v>
      </c>
      <c r="O26" s="61">
        <v>4</v>
      </c>
      <c r="P26" s="73">
        <v>0</v>
      </c>
      <c r="Q26" s="74">
        <v>4</v>
      </c>
      <c r="R26" s="38">
        <v>4</v>
      </c>
      <c r="S26" s="27">
        <v>0</v>
      </c>
      <c r="T26" s="16">
        <v>0</v>
      </c>
      <c r="U26" s="51">
        <v>0</v>
      </c>
      <c r="V26" s="16">
        <v>0</v>
      </c>
      <c r="W26" s="16">
        <v>0</v>
      </c>
      <c r="X26" s="37">
        <v>0</v>
      </c>
      <c r="Y26" s="16">
        <v>4</v>
      </c>
      <c r="Z26" s="16">
        <v>0</v>
      </c>
      <c r="AA26" s="16">
        <v>0</v>
      </c>
      <c r="AB26" s="16">
        <v>0</v>
      </c>
      <c r="AC26" s="16">
        <v>0</v>
      </c>
      <c r="AD26" s="37">
        <v>4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37">
        <v>0</v>
      </c>
      <c r="AK26" s="22">
        <v>4</v>
      </c>
      <c r="AL26" s="22">
        <v>4</v>
      </c>
      <c r="AM26" s="51">
        <v>0</v>
      </c>
      <c r="AN26" s="22">
        <v>4</v>
      </c>
      <c r="AO26" s="16">
        <v>0</v>
      </c>
      <c r="AP26" s="38">
        <v>4</v>
      </c>
      <c r="AQ26" s="27">
        <v>5</v>
      </c>
      <c r="AR26" s="16">
        <v>0</v>
      </c>
      <c r="AS26" s="25">
        <v>0</v>
      </c>
      <c r="AT26" s="16">
        <v>0</v>
      </c>
      <c r="AU26" s="16">
        <v>0</v>
      </c>
      <c r="AV26" s="37">
        <v>5</v>
      </c>
      <c r="AW26" s="16">
        <v>0</v>
      </c>
      <c r="AX26" s="16">
        <v>0</v>
      </c>
      <c r="AY26" s="29">
        <v>0</v>
      </c>
      <c r="AZ26" s="27">
        <v>4</v>
      </c>
      <c r="BA26" s="57">
        <v>4</v>
      </c>
      <c r="BB26" s="85">
        <v>4</v>
      </c>
    </row>
    <row r="27" spans="1:54" ht="23.1" customHeight="1" x14ac:dyDescent="0.3">
      <c r="A27" s="86">
        <v>23</v>
      </c>
      <c r="B27" s="63" t="s">
        <v>225</v>
      </c>
      <c r="C27" s="64" t="s">
        <v>226</v>
      </c>
      <c r="D27" s="63" t="s">
        <v>450</v>
      </c>
      <c r="E27" s="63" t="s">
        <v>161</v>
      </c>
      <c r="F27" s="63" t="str">
        <f>REPT(CHAR(160),10)&amp;Working!$E27</f>
        <v>          B</v>
      </c>
      <c r="G27" s="65">
        <v>0</v>
      </c>
      <c r="H27" s="65">
        <v>0</v>
      </c>
      <c r="I27" s="65">
        <v>3</v>
      </c>
      <c r="J27" s="65">
        <v>0</v>
      </c>
      <c r="K27" s="66">
        <v>0</v>
      </c>
      <c r="L27" s="67">
        <v>3</v>
      </c>
      <c r="M27" s="65">
        <v>0</v>
      </c>
      <c r="N27" s="65">
        <v>3</v>
      </c>
      <c r="O27" s="65">
        <v>3</v>
      </c>
      <c r="P27" s="68">
        <v>0</v>
      </c>
      <c r="Q27" s="69">
        <v>3</v>
      </c>
      <c r="R27" s="38">
        <v>3</v>
      </c>
      <c r="S27" s="27">
        <v>0</v>
      </c>
      <c r="T27" s="29">
        <v>0</v>
      </c>
      <c r="U27" s="52">
        <v>0</v>
      </c>
      <c r="V27" s="29">
        <v>0</v>
      </c>
      <c r="W27" s="29">
        <v>0</v>
      </c>
      <c r="X27" s="37">
        <v>0</v>
      </c>
      <c r="Y27" s="29">
        <v>3</v>
      </c>
      <c r="Z27" s="29">
        <v>0</v>
      </c>
      <c r="AA27" s="29">
        <v>0</v>
      </c>
      <c r="AB27" s="29">
        <v>0</v>
      </c>
      <c r="AC27" s="29">
        <v>0</v>
      </c>
      <c r="AD27" s="37">
        <v>3</v>
      </c>
      <c r="AE27" s="29">
        <v>0</v>
      </c>
      <c r="AF27" s="29">
        <v>0</v>
      </c>
      <c r="AG27" s="29">
        <v>0</v>
      </c>
      <c r="AH27" s="29">
        <v>0</v>
      </c>
      <c r="AI27" s="29">
        <v>0</v>
      </c>
      <c r="AJ27" s="37">
        <v>0</v>
      </c>
      <c r="AK27" s="28">
        <v>3</v>
      </c>
      <c r="AL27" s="28">
        <v>3</v>
      </c>
      <c r="AM27" s="52">
        <v>0</v>
      </c>
      <c r="AN27" s="28">
        <v>3</v>
      </c>
      <c r="AO27" s="29">
        <v>0</v>
      </c>
      <c r="AP27" s="38">
        <v>3</v>
      </c>
      <c r="AQ27" s="27">
        <v>3</v>
      </c>
      <c r="AR27" s="29">
        <v>0</v>
      </c>
      <c r="AS27" s="58">
        <v>0</v>
      </c>
      <c r="AT27" s="29">
        <v>0</v>
      </c>
      <c r="AU27" s="29">
        <v>0</v>
      </c>
      <c r="AV27" s="37">
        <v>3</v>
      </c>
      <c r="AW27" s="29">
        <v>0</v>
      </c>
      <c r="AX27" s="29">
        <v>0</v>
      </c>
      <c r="AY27" s="29">
        <v>0</v>
      </c>
      <c r="AZ27" s="27">
        <v>3</v>
      </c>
      <c r="BA27" s="57">
        <v>3</v>
      </c>
      <c r="BB27" s="85">
        <v>3</v>
      </c>
    </row>
    <row r="28" spans="1:54" ht="23.1" customHeight="1" x14ac:dyDescent="0.3">
      <c r="A28" s="87">
        <v>24</v>
      </c>
      <c r="B28" s="70" t="s">
        <v>297</v>
      </c>
      <c r="C28" s="71" t="s">
        <v>109</v>
      </c>
      <c r="D28" s="70" t="s">
        <v>450</v>
      </c>
      <c r="E28" s="70" t="s">
        <v>35</v>
      </c>
      <c r="F28" s="70" t="str">
        <f>REPT(CHAR(160),10)&amp;Working!$E28</f>
        <v>          A</v>
      </c>
      <c r="G28" s="61">
        <v>0</v>
      </c>
      <c r="H28" s="61">
        <v>0</v>
      </c>
      <c r="I28" s="61">
        <v>4</v>
      </c>
      <c r="J28" s="61">
        <v>0</v>
      </c>
      <c r="K28" s="72">
        <v>0</v>
      </c>
      <c r="L28" s="67">
        <v>4</v>
      </c>
      <c r="M28" s="61">
        <v>0</v>
      </c>
      <c r="N28" s="61">
        <v>4</v>
      </c>
      <c r="O28" s="61">
        <v>4</v>
      </c>
      <c r="P28" s="73">
        <v>0</v>
      </c>
      <c r="Q28" s="74">
        <v>4</v>
      </c>
      <c r="R28" s="38">
        <v>4</v>
      </c>
      <c r="S28" s="27">
        <v>0</v>
      </c>
      <c r="T28" s="16">
        <v>0</v>
      </c>
      <c r="U28" s="51">
        <v>0</v>
      </c>
      <c r="V28" s="16">
        <v>0</v>
      </c>
      <c r="W28" s="16">
        <v>0</v>
      </c>
      <c r="X28" s="37">
        <v>0</v>
      </c>
      <c r="Y28" s="16">
        <v>4</v>
      </c>
      <c r="Z28" s="16">
        <v>0</v>
      </c>
      <c r="AA28" s="16">
        <v>0</v>
      </c>
      <c r="AB28" s="16">
        <v>0</v>
      </c>
      <c r="AC28" s="16">
        <v>0</v>
      </c>
      <c r="AD28" s="37">
        <v>4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37">
        <v>0</v>
      </c>
      <c r="AK28" s="22">
        <v>5</v>
      </c>
      <c r="AL28" s="22">
        <v>4</v>
      </c>
      <c r="AM28" s="51">
        <v>0</v>
      </c>
      <c r="AN28" s="22">
        <v>4</v>
      </c>
      <c r="AO28" s="16">
        <v>0</v>
      </c>
      <c r="AP28" s="38">
        <v>4.333333333333333</v>
      </c>
      <c r="AQ28" s="27">
        <v>4</v>
      </c>
      <c r="AR28" s="16">
        <v>0</v>
      </c>
      <c r="AS28" s="25">
        <v>0</v>
      </c>
      <c r="AT28" s="16">
        <v>0</v>
      </c>
      <c r="AU28" s="16">
        <v>0</v>
      </c>
      <c r="AV28" s="37">
        <v>4</v>
      </c>
      <c r="AW28" s="16">
        <v>0</v>
      </c>
      <c r="AX28" s="16">
        <v>0</v>
      </c>
      <c r="AY28" s="29">
        <v>0</v>
      </c>
      <c r="AZ28" s="27">
        <v>4</v>
      </c>
      <c r="BA28" s="57">
        <v>4</v>
      </c>
      <c r="BB28" s="85">
        <v>4</v>
      </c>
    </row>
    <row r="29" spans="1:54" ht="23.1" customHeight="1" x14ac:dyDescent="0.3">
      <c r="A29" s="86">
        <v>25</v>
      </c>
      <c r="B29" s="63" t="s">
        <v>241</v>
      </c>
      <c r="C29" s="64" t="s">
        <v>242</v>
      </c>
      <c r="D29" s="63" t="s">
        <v>450</v>
      </c>
      <c r="E29" s="63" t="s">
        <v>161</v>
      </c>
      <c r="F29" s="63" t="str">
        <f>REPT(CHAR(160),10)&amp;Working!$E29</f>
        <v>          B</v>
      </c>
      <c r="G29" s="65">
        <v>0</v>
      </c>
      <c r="H29" s="65">
        <v>0</v>
      </c>
      <c r="I29" s="65">
        <v>4</v>
      </c>
      <c r="J29" s="65">
        <v>0</v>
      </c>
      <c r="K29" s="66">
        <v>0</v>
      </c>
      <c r="L29" s="67">
        <v>4</v>
      </c>
      <c r="M29" s="65">
        <v>0</v>
      </c>
      <c r="N29" s="65">
        <v>4</v>
      </c>
      <c r="O29" s="65">
        <v>4</v>
      </c>
      <c r="P29" s="68">
        <v>0</v>
      </c>
      <c r="Q29" s="69">
        <v>4</v>
      </c>
      <c r="R29" s="38">
        <v>4</v>
      </c>
      <c r="S29" s="27">
        <v>0</v>
      </c>
      <c r="T29" s="29">
        <v>0</v>
      </c>
      <c r="U29" s="52">
        <v>0</v>
      </c>
      <c r="V29" s="29">
        <v>0</v>
      </c>
      <c r="W29" s="29">
        <v>0</v>
      </c>
      <c r="X29" s="37">
        <v>0</v>
      </c>
      <c r="Y29" s="29">
        <v>4</v>
      </c>
      <c r="Z29" s="29">
        <v>0</v>
      </c>
      <c r="AA29" s="29">
        <v>0</v>
      </c>
      <c r="AB29" s="29">
        <v>0</v>
      </c>
      <c r="AC29" s="29">
        <v>0</v>
      </c>
      <c r="AD29" s="37">
        <v>4</v>
      </c>
      <c r="AE29" s="29">
        <v>0</v>
      </c>
      <c r="AF29" s="29">
        <v>0</v>
      </c>
      <c r="AG29" s="29">
        <v>0</v>
      </c>
      <c r="AH29" s="29">
        <v>0</v>
      </c>
      <c r="AI29" s="29">
        <v>0</v>
      </c>
      <c r="AJ29" s="37">
        <v>0</v>
      </c>
      <c r="AK29" s="28">
        <v>4</v>
      </c>
      <c r="AL29" s="28">
        <v>4</v>
      </c>
      <c r="AM29" s="52">
        <v>0</v>
      </c>
      <c r="AN29" s="28">
        <v>4</v>
      </c>
      <c r="AO29" s="29">
        <v>0</v>
      </c>
      <c r="AP29" s="38">
        <v>4</v>
      </c>
      <c r="AQ29" s="27">
        <v>4</v>
      </c>
      <c r="AR29" s="29">
        <v>0</v>
      </c>
      <c r="AS29" s="58">
        <v>0</v>
      </c>
      <c r="AT29" s="29">
        <v>0</v>
      </c>
      <c r="AU29" s="29">
        <v>0</v>
      </c>
      <c r="AV29" s="37">
        <v>4</v>
      </c>
      <c r="AW29" s="29">
        <v>0</v>
      </c>
      <c r="AX29" s="29">
        <v>0</v>
      </c>
      <c r="AY29" s="29">
        <v>0</v>
      </c>
      <c r="AZ29" s="27">
        <v>4</v>
      </c>
      <c r="BA29" s="57">
        <v>4</v>
      </c>
      <c r="BB29" s="85">
        <v>4</v>
      </c>
    </row>
    <row r="30" spans="1:54" ht="23.1" customHeight="1" x14ac:dyDescent="0.3">
      <c r="A30" s="87">
        <v>26</v>
      </c>
      <c r="B30" s="70" t="s">
        <v>298</v>
      </c>
      <c r="C30" s="71" t="s">
        <v>299</v>
      </c>
      <c r="D30" s="70" t="s">
        <v>542</v>
      </c>
      <c r="E30" s="70" t="s">
        <v>493</v>
      </c>
      <c r="F30" s="70" t="str">
        <f>REPT(CHAR(160),10)&amp;Working!$E30</f>
        <v>          C</v>
      </c>
      <c r="G30" s="61">
        <v>0</v>
      </c>
      <c r="H30" s="61">
        <v>0</v>
      </c>
      <c r="I30" s="61">
        <v>4</v>
      </c>
      <c r="J30" s="61">
        <v>0</v>
      </c>
      <c r="K30" s="72">
        <v>0</v>
      </c>
      <c r="L30" s="67">
        <v>4</v>
      </c>
      <c r="M30" s="61">
        <v>0</v>
      </c>
      <c r="N30" s="61">
        <v>5</v>
      </c>
      <c r="O30" s="61">
        <v>5</v>
      </c>
      <c r="P30" s="73">
        <v>0</v>
      </c>
      <c r="Q30" s="74">
        <v>5</v>
      </c>
      <c r="R30" s="38">
        <v>5</v>
      </c>
      <c r="S30" s="27">
        <v>0</v>
      </c>
      <c r="T30" s="16">
        <v>0</v>
      </c>
      <c r="U30" s="51">
        <v>0</v>
      </c>
      <c r="V30" s="16">
        <v>0</v>
      </c>
      <c r="W30" s="16">
        <v>0</v>
      </c>
      <c r="X30" s="37">
        <v>0</v>
      </c>
      <c r="Y30" s="16">
        <v>5</v>
      </c>
      <c r="Z30" s="16">
        <v>0</v>
      </c>
      <c r="AA30" s="16">
        <v>0</v>
      </c>
      <c r="AB30" s="16">
        <v>0</v>
      </c>
      <c r="AC30" s="16">
        <v>0</v>
      </c>
      <c r="AD30" s="37">
        <v>5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37">
        <v>0</v>
      </c>
      <c r="AK30" s="22">
        <v>5</v>
      </c>
      <c r="AL30" s="22">
        <v>4</v>
      </c>
      <c r="AM30" s="51">
        <v>0</v>
      </c>
      <c r="AN30" s="22">
        <v>4</v>
      </c>
      <c r="AO30" s="16">
        <v>0</v>
      </c>
      <c r="AP30" s="38">
        <v>4.333333333333333</v>
      </c>
      <c r="AQ30" s="27">
        <v>4</v>
      </c>
      <c r="AR30" s="16">
        <v>0</v>
      </c>
      <c r="AS30" s="25">
        <v>0</v>
      </c>
      <c r="AT30" s="16">
        <v>0</v>
      </c>
      <c r="AU30" s="16">
        <v>0</v>
      </c>
      <c r="AV30" s="37">
        <v>4</v>
      </c>
      <c r="AW30" s="16">
        <v>0</v>
      </c>
      <c r="AX30" s="16">
        <v>0</v>
      </c>
      <c r="AY30" s="29">
        <v>0</v>
      </c>
      <c r="AZ30" s="27">
        <v>5</v>
      </c>
      <c r="BA30" s="57">
        <v>4</v>
      </c>
      <c r="BB30" s="85">
        <v>4.5</v>
      </c>
    </row>
    <row r="31" spans="1:54" ht="23.1" customHeight="1" x14ac:dyDescent="0.3">
      <c r="A31" s="86">
        <v>27</v>
      </c>
      <c r="B31" s="63" t="s">
        <v>257</v>
      </c>
      <c r="C31" s="64" t="s">
        <v>258</v>
      </c>
      <c r="D31" s="63" t="s">
        <v>450</v>
      </c>
      <c r="E31" s="63" t="s">
        <v>161</v>
      </c>
      <c r="F31" s="63" t="str">
        <f>REPT(CHAR(160),10)&amp;Working!$E31</f>
        <v>          B</v>
      </c>
      <c r="G31" s="65">
        <v>0</v>
      </c>
      <c r="H31" s="65">
        <v>0</v>
      </c>
      <c r="I31" s="65">
        <v>4</v>
      </c>
      <c r="J31" s="65">
        <v>0</v>
      </c>
      <c r="K31" s="66">
        <v>0</v>
      </c>
      <c r="L31" s="67">
        <v>4</v>
      </c>
      <c r="M31" s="65">
        <v>0</v>
      </c>
      <c r="N31" s="65">
        <v>5</v>
      </c>
      <c r="O31" s="65">
        <v>4</v>
      </c>
      <c r="P31" s="68">
        <v>0</v>
      </c>
      <c r="Q31" s="69">
        <v>4</v>
      </c>
      <c r="R31" s="38">
        <v>4.333333333333333</v>
      </c>
      <c r="S31" s="27">
        <v>0</v>
      </c>
      <c r="T31" s="29">
        <v>0</v>
      </c>
      <c r="U31" s="52">
        <v>0</v>
      </c>
      <c r="V31" s="29">
        <v>0</v>
      </c>
      <c r="W31" s="29">
        <v>0</v>
      </c>
      <c r="X31" s="37">
        <v>0</v>
      </c>
      <c r="Y31" s="29">
        <v>5</v>
      </c>
      <c r="Z31" s="29">
        <v>0</v>
      </c>
      <c r="AA31" s="29">
        <v>0</v>
      </c>
      <c r="AB31" s="29">
        <v>0</v>
      </c>
      <c r="AC31" s="29">
        <v>0</v>
      </c>
      <c r="AD31" s="37">
        <v>5</v>
      </c>
      <c r="AE31" s="29">
        <v>0</v>
      </c>
      <c r="AF31" s="29">
        <v>0</v>
      </c>
      <c r="AG31" s="29">
        <v>0</v>
      </c>
      <c r="AH31" s="29">
        <v>0</v>
      </c>
      <c r="AI31" s="29">
        <v>0</v>
      </c>
      <c r="AJ31" s="37">
        <v>0</v>
      </c>
      <c r="AK31" s="28">
        <v>5</v>
      </c>
      <c r="AL31" s="28">
        <v>5</v>
      </c>
      <c r="AM31" s="52">
        <v>0</v>
      </c>
      <c r="AN31" s="28">
        <v>5</v>
      </c>
      <c r="AO31" s="29">
        <v>0</v>
      </c>
      <c r="AP31" s="38">
        <v>5</v>
      </c>
      <c r="AQ31" s="27">
        <v>5</v>
      </c>
      <c r="AR31" s="29">
        <v>0</v>
      </c>
      <c r="AS31" s="58">
        <v>0</v>
      </c>
      <c r="AT31" s="29">
        <v>0</v>
      </c>
      <c r="AU31" s="29">
        <v>0</v>
      </c>
      <c r="AV31" s="37">
        <v>5</v>
      </c>
      <c r="AW31" s="29">
        <v>0</v>
      </c>
      <c r="AX31" s="29">
        <v>0</v>
      </c>
      <c r="AY31" s="29">
        <v>0</v>
      </c>
      <c r="AZ31" s="27">
        <v>5</v>
      </c>
      <c r="BA31" s="57">
        <v>4</v>
      </c>
      <c r="BB31" s="85">
        <v>4.5</v>
      </c>
    </row>
    <row r="32" spans="1:54" ht="23.1" customHeight="1" x14ac:dyDescent="0.3">
      <c r="A32" s="87">
        <v>28</v>
      </c>
      <c r="B32" s="70" t="s">
        <v>66</v>
      </c>
      <c r="C32" s="71" t="s">
        <v>67</v>
      </c>
      <c r="D32" s="70" t="s">
        <v>450</v>
      </c>
      <c r="E32" s="70" t="s">
        <v>35</v>
      </c>
      <c r="F32" s="70" t="str">
        <f>REPT(CHAR(160),10)&amp;Working!$E32</f>
        <v>          A</v>
      </c>
      <c r="G32" s="61">
        <v>0</v>
      </c>
      <c r="H32" s="61">
        <v>0</v>
      </c>
      <c r="I32" s="61">
        <v>5</v>
      </c>
      <c r="J32" s="61">
        <v>0</v>
      </c>
      <c r="K32" s="72">
        <v>0</v>
      </c>
      <c r="L32" s="67">
        <v>5</v>
      </c>
      <c r="M32" s="61">
        <v>0</v>
      </c>
      <c r="N32" s="61">
        <v>4</v>
      </c>
      <c r="O32" s="61">
        <v>4</v>
      </c>
      <c r="P32" s="73">
        <v>0</v>
      </c>
      <c r="Q32" s="74">
        <v>4</v>
      </c>
      <c r="R32" s="38">
        <v>4</v>
      </c>
      <c r="S32" s="27">
        <v>0</v>
      </c>
      <c r="T32" s="16">
        <v>0</v>
      </c>
      <c r="U32" s="51">
        <v>0</v>
      </c>
      <c r="V32" s="16">
        <v>0</v>
      </c>
      <c r="W32" s="16">
        <v>0</v>
      </c>
      <c r="X32" s="37">
        <v>0</v>
      </c>
      <c r="Y32" s="16">
        <v>4</v>
      </c>
      <c r="Z32" s="16">
        <v>0</v>
      </c>
      <c r="AA32" s="16">
        <v>0</v>
      </c>
      <c r="AB32" s="16">
        <v>0</v>
      </c>
      <c r="AC32" s="16">
        <v>0</v>
      </c>
      <c r="AD32" s="37">
        <v>4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37">
        <v>0</v>
      </c>
      <c r="AK32" s="22">
        <v>3</v>
      </c>
      <c r="AL32" s="22">
        <v>4</v>
      </c>
      <c r="AM32" s="51">
        <v>0</v>
      </c>
      <c r="AN32" s="22">
        <v>5</v>
      </c>
      <c r="AO32" s="16">
        <v>0</v>
      </c>
      <c r="AP32" s="38">
        <v>4</v>
      </c>
      <c r="AQ32" s="27">
        <v>4</v>
      </c>
      <c r="AR32" s="16">
        <v>0</v>
      </c>
      <c r="AS32" s="25">
        <v>0</v>
      </c>
      <c r="AT32" s="16">
        <v>0</v>
      </c>
      <c r="AU32" s="16">
        <v>0</v>
      </c>
      <c r="AV32" s="37">
        <v>4</v>
      </c>
      <c r="AW32" s="16">
        <v>0</v>
      </c>
      <c r="AX32" s="16">
        <v>0</v>
      </c>
      <c r="AY32" s="29">
        <v>0</v>
      </c>
      <c r="AZ32" s="27">
        <v>4</v>
      </c>
      <c r="BA32" s="57">
        <v>5</v>
      </c>
      <c r="BB32" s="85">
        <v>4.5</v>
      </c>
    </row>
    <row r="33" spans="1:54" ht="23.1" customHeight="1" x14ac:dyDescent="0.3">
      <c r="A33" s="86">
        <v>29</v>
      </c>
      <c r="B33" s="63" t="s">
        <v>300</v>
      </c>
      <c r="C33" s="64" t="s">
        <v>301</v>
      </c>
      <c r="D33" s="63" t="s">
        <v>450</v>
      </c>
      <c r="E33" s="63" t="s">
        <v>493</v>
      </c>
      <c r="F33" s="63" t="str">
        <f>REPT(CHAR(160),10)&amp;Working!$E33</f>
        <v>          C</v>
      </c>
      <c r="G33" s="65">
        <v>0</v>
      </c>
      <c r="H33" s="65">
        <v>0</v>
      </c>
      <c r="I33" s="65">
        <v>2</v>
      </c>
      <c r="J33" s="65">
        <v>0</v>
      </c>
      <c r="K33" s="66">
        <v>0</v>
      </c>
      <c r="L33" s="67">
        <v>2</v>
      </c>
      <c r="M33" s="65">
        <v>0</v>
      </c>
      <c r="N33" s="65">
        <v>3</v>
      </c>
      <c r="O33" s="65">
        <v>3</v>
      </c>
      <c r="P33" s="68">
        <v>0</v>
      </c>
      <c r="Q33" s="69">
        <v>3</v>
      </c>
      <c r="R33" s="38">
        <v>3</v>
      </c>
      <c r="S33" s="27">
        <v>0</v>
      </c>
      <c r="T33" s="29">
        <v>0</v>
      </c>
      <c r="U33" s="52">
        <v>0</v>
      </c>
      <c r="V33" s="29">
        <v>0</v>
      </c>
      <c r="W33" s="29">
        <v>0</v>
      </c>
      <c r="X33" s="37">
        <v>0</v>
      </c>
      <c r="Y33" s="29">
        <v>2</v>
      </c>
      <c r="Z33" s="29">
        <v>0</v>
      </c>
      <c r="AA33" s="29">
        <v>0</v>
      </c>
      <c r="AB33" s="29">
        <v>0</v>
      </c>
      <c r="AC33" s="29">
        <v>0</v>
      </c>
      <c r="AD33" s="37">
        <v>2</v>
      </c>
      <c r="AE33" s="29">
        <v>0</v>
      </c>
      <c r="AF33" s="29">
        <v>0</v>
      </c>
      <c r="AG33" s="29">
        <v>0</v>
      </c>
      <c r="AH33" s="29">
        <v>0</v>
      </c>
      <c r="AI33" s="29">
        <v>0</v>
      </c>
      <c r="AJ33" s="37">
        <v>0</v>
      </c>
      <c r="AK33" s="28">
        <v>2</v>
      </c>
      <c r="AL33" s="28">
        <v>2</v>
      </c>
      <c r="AM33" s="52">
        <v>0</v>
      </c>
      <c r="AN33" s="28">
        <v>3</v>
      </c>
      <c r="AO33" s="29">
        <v>0</v>
      </c>
      <c r="AP33" s="38">
        <v>2.3333333333333335</v>
      </c>
      <c r="AQ33" s="27">
        <v>3</v>
      </c>
      <c r="AR33" s="29">
        <v>0</v>
      </c>
      <c r="AS33" s="58">
        <v>0</v>
      </c>
      <c r="AT33" s="29">
        <v>0</v>
      </c>
      <c r="AU33" s="29">
        <v>0</v>
      </c>
      <c r="AV33" s="37">
        <v>3</v>
      </c>
      <c r="AW33" s="29">
        <v>0</v>
      </c>
      <c r="AX33" s="29">
        <v>0</v>
      </c>
      <c r="AY33" s="29">
        <v>0</v>
      </c>
      <c r="AZ33" s="27">
        <v>3</v>
      </c>
      <c r="BA33" s="57">
        <v>3</v>
      </c>
      <c r="BB33" s="85">
        <v>3</v>
      </c>
    </row>
    <row r="34" spans="1:54" ht="23.1" customHeight="1" x14ac:dyDescent="0.3">
      <c r="A34" s="87">
        <v>30</v>
      </c>
      <c r="B34" s="70" t="s">
        <v>40</v>
      </c>
      <c r="C34" s="71" t="s">
        <v>41</v>
      </c>
      <c r="D34" s="70" t="s">
        <v>450</v>
      </c>
      <c r="E34" s="70" t="s">
        <v>35</v>
      </c>
      <c r="F34" s="70" t="str">
        <f>REPT(CHAR(160),10)&amp;Working!$E34</f>
        <v>          A</v>
      </c>
      <c r="G34" s="61">
        <v>0</v>
      </c>
      <c r="H34" s="61">
        <v>0</v>
      </c>
      <c r="I34" s="61">
        <v>4</v>
      </c>
      <c r="J34" s="61">
        <v>0</v>
      </c>
      <c r="K34" s="72">
        <v>0</v>
      </c>
      <c r="L34" s="67">
        <v>4</v>
      </c>
      <c r="M34" s="61">
        <v>0</v>
      </c>
      <c r="N34" s="61">
        <v>4</v>
      </c>
      <c r="O34" s="61">
        <v>4</v>
      </c>
      <c r="P34" s="73">
        <v>0</v>
      </c>
      <c r="Q34" s="74">
        <v>4</v>
      </c>
      <c r="R34" s="38">
        <v>4</v>
      </c>
      <c r="S34" s="27">
        <v>0</v>
      </c>
      <c r="T34" s="16">
        <v>0</v>
      </c>
      <c r="U34" s="51">
        <v>0</v>
      </c>
      <c r="V34" s="16">
        <v>0</v>
      </c>
      <c r="W34" s="16">
        <v>0</v>
      </c>
      <c r="X34" s="37">
        <v>0</v>
      </c>
      <c r="Y34" s="16">
        <v>4</v>
      </c>
      <c r="Z34" s="16">
        <v>0</v>
      </c>
      <c r="AA34" s="16">
        <v>0</v>
      </c>
      <c r="AB34" s="16">
        <v>0</v>
      </c>
      <c r="AC34" s="16">
        <v>0</v>
      </c>
      <c r="AD34" s="37">
        <v>4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37">
        <v>0</v>
      </c>
      <c r="AK34" s="22">
        <v>4</v>
      </c>
      <c r="AL34" s="22">
        <v>4</v>
      </c>
      <c r="AM34" s="51">
        <v>0</v>
      </c>
      <c r="AN34" s="22">
        <v>4</v>
      </c>
      <c r="AO34" s="16">
        <v>0</v>
      </c>
      <c r="AP34" s="38">
        <v>4</v>
      </c>
      <c r="AQ34" s="27">
        <v>3</v>
      </c>
      <c r="AR34" s="16">
        <v>0</v>
      </c>
      <c r="AS34" s="25">
        <v>0</v>
      </c>
      <c r="AT34" s="16">
        <v>0</v>
      </c>
      <c r="AU34" s="16">
        <v>0</v>
      </c>
      <c r="AV34" s="37">
        <v>3</v>
      </c>
      <c r="AW34" s="16">
        <v>0</v>
      </c>
      <c r="AX34" s="16">
        <v>0</v>
      </c>
      <c r="AY34" s="29">
        <v>0</v>
      </c>
      <c r="AZ34" s="27">
        <v>4</v>
      </c>
      <c r="BA34" s="57">
        <v>4</v>
      </c>
      <c r="BB34" s="85">
        <v>4</v>
      </c>
    </row>
    <row r="35" spans="1:54" ht="23.1" customHeight="1" x14ac:dyDescent="0.3">
      <c r="A35" s="86">
        <v>31</v>
      </c>
      <c r="B35" s="63" t="s">
        <v>110</v>
      </c>
      <c r="C35" s="64" t="s">
        <v>111</v>
      </c>
      <c r="D35" s="63" t="s">
        <v>450</v>
      </c>
      <c r="E35" s="63" t="s">
        <v>35</v>
      </c>
      <c r="F35" s="63" t="str">
        <f>REPT(CHAR(160),10)&amp;Working!$E35</f>
        <v>          A</v>
      </c>
      <c r="G35" s="65">
        <v>0</v>
      </c>
      <c r="H35" s="65">
        <v>0</v>
      </c>
      <c r="I35" s="65">
        <v>4</v>
      </c>
      <c r="J35" s="65">
        <v>0</v>
      </c>
      <c r="K35" s="66">
        <v>0</v>
      </c>
      <c r="L35" s="67">
        <v>4</v>
      </c>
      <c r="M35" s="65">
        <v>0</v>
      </c>
      <c r="N35" s="65">
        <v>4</v>
      </c>
      <c r="O35" s="65">
        <v>4</v>
      </c>
      <c r="P35" s="68">
        <v>0</v>
      </c>
      <c r="Q35" s="69">
        <v>4</v>
      </c>
      <c r="R35" s="38">
        <v>4</v>
      </c>
      <c r="S35" s="27">
        <v>0</v>
      </c>
      <c r="T35" s="29">
        <v>0</v>
      </c>
      <c r="U35" s="52">
        <v>0</v>
      </c>
      <c r="V35" s="29">
        <v>0</v>
      </c>
      <c r="W35" s="29">
        <v>0</v>
      </c>
      <c r="X35" s="37">
        <v>0</v>
      </c>
      <c r="Y35" s="29">
        <v>4</v>
      </c>
      <c r="Z35" s="29">
        <v>0</v>
      </c>
      <c r="AA35" s="29">
        <v>0</v>
      </c>
      <c r="AB35" s="29">
        <v>0</v>
      </c>
      <c r="AC35" s="29">
        <v>0</v>
      </c>
      <c r="AD35" s="37">
        <v>4</v>
      </c>
      <c r="AE35" s="29">
        <v>0</v>
      </c>
      <c r="AF35" s="29">
        <v>0</v>
      </c>
      <c r="AG35" s="29">
        <v>0</v>
      </c>
      <c r="AH35" s="29">
        <v>0</v>
      </c>
      <c r="AI35" s="29">
        <v>0</v>
      </c>
      <c r="AJ35" s="37">
        <v>0</v>
      </c>
      <c r="AK35" s="28">
        <v>4</v>
      </c>
      <c r="AL35" s="28">
        <v>4</v>
      </c>
      <c r="AM35" s="52">
        <v>0</v>
      </c>
      <c r="AN35" s="28">
        <v>4</v>
      </c>
      <c r="AO35" s="29">
        <v>0</v>
      </c>
      <c r="AP35" s="38">
        <v>4</v>
      </c>
      <c r="AQ35" s="27">
        <v>3</v>
      </c>
      <c r="AR35" s="29">
        <v>0</v>
      </c>
      <c r="AS35" s="58">
        <v>0</v>
      </c>
      <c r="AT35" s="29">
        <v>0</v>
      </c>
      <c r="AU35" s="29">
        <v>0</v>
      </c>
      <c r="AV35" s="37">
        <v>3</v>
      </c>
      <c r="AW35" s="29">
        <v>0</v>
      </c>
      <c r="AX35" s="29">
        <v>0</v>
      </c>
      <c r="AY35" s="29">
        <v>0</v>
      </c>
      <c r="AZ35" s="27">
        <v>4</v>
      </c>
      <c r="BA35" s="57">
        <v>4</v>
      </c>
      <c r="BB35" s="85">
        <v>4</v>
      </c>
    </row>
    <row r="36" spans="1:54" ht="23.1" customHeight="1" x14ac:dyDescent="0.3">
      <c r="A36" s="87">
        <v>32</v>
      </c>
      <c r="B36" s="70" t="s">
        <v>243</v>
      </c>
      <c r="C36" s="71" t="s">
        <v>244</v>
      </c>
      <c r="D36" s="70" t="s">
        <v>542</v>
      </c>
      <c r="E36" s="70" t="s">
        <v>161</v>
      </c>
      <c r="F36" s="70" t="str">
        <f>REPT(CHAR(160),10)&amp;Working!$E36</f>
        <v>          B</v>
      </c>
      <c r="G36" s="61">
        <v>0</v>
      </c>
      <c r="H36" s="61">
        <v>0</v>
      </c>
      <c r="I36" s="61">
        <v>4</v>
      </c>
      <c r="J36" s="61">
        <v>0</v>
      </c>
      <c r="K36" s="72">
        <v>0</v>
      </c>
      <c r="L36" s="67">
        <v>4</v>
      </c>
      <c r="M36" s="61">
        <v>0</v>
      </c>
      <c r="N36" s="61">
        <v>4</v>
      </c>
      <c r="O36" s="61">
        <v>4</v>
      </c>
      <c r="P36" s="73">
        <v>0</v>
      </c>
      <c r="Q36" s="74">
        <v>4</v>
      </c>
      <c r="R36" s="38">
        <v>4</v>
      </c>
      <c r="S36" s="27">
        <v>0</v>
      </c>
      <c r="T36" s="16">
        <v>0</v>
      </c>
      <c r="U36" s="51">
        <v>0</v>
      </c>
      <c r="V36" s="16">
        <v>0</v>
      </c>
      <c r="W36" s="16">
        <v>0</v>
      </c>
      <c r="X36" s="37">
        <v>0</v>
      </c>
      <c r="Y36" s="16">
        <v>4</v>
      </c>
      <c r="Z36" s="16">
        <v>0</v>
      </c>
      <c r="AA36" s="16">
        <v>0</v>
      </c>
      <c r="AB36" s="16">
        <v>0</v>
      </c>
      <c r="AC36" s="16">
        <v>0</v>
      </c>
      <c r="AD36" s="37">
        <v>4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37">
        <v>0</v>
      </c>
      <c r="AK36" s="22">
        <v>5</v>
      </c>
      <c r="AL36" s="22">
        <v>4</v>
      </c>
      <c r="AM36" s="51">
        <v>0</v>
      </c>
      <c r="AN36" s="22">
        <v>5</v>
      </c>
      <c r="AO36" s="16">
        <v>0</v>
      </c>
      <c r="AP36" s="38">
        <v>4.666666666666667</v>
      </c>
      <c r="AQ36" s="27">
        <v>4</v>
      </c>
      <c r="AR36" s="16">
        <v>0</v>
      </c>
      <c r="AS36" s="25">
        <v>0</v>
      </c>
      <c r="AT36" s="16">
        <v>0</v>
      </c>
      <c r="AU36" s="16">
        <v>0</v>
      </c>
      <c r="AV36" s="37">
        <v>4</v>
      </c>
      <c r="AW36" s="16">
        <v>0</v>
      </c>
      <c r="AX36" s="16">
        <v>0</v>
      </c>
      <c r="AY36" s="29">
        <v>0</v>
      </c>
      <c r="AZ36" s="27">
        <v>5</v>
      </c>
      <c r="BA36" s="57">
        <v>4</v>
      </c>
      <c r="BB36" s="85">
        <v>4.5</v>
      </c>
    </row>
    <row r="37" spans="1:54" ht="23.1" customHeight="1" x14ac:dyDescent="0.3">
      <c r="A37" s="86">
        <v>33</v>
      </c>
      <c r="B37" s="63" t="s">
        <v>211</v>
      </c>
      <c r="C37" s="64" t="s">
        <v>212</v>
      </c>
      <c r="D37" s="63" t="s">
        <v>542</v>
      </c>
      <c r="E37" s="63" t="s">
        <v>161</v>
      </c>
      <c r="F37" s="63" t="str">
        <f>REPT(CHAR(160),10)&amp;Working!$E37</f>
        <v>          B</v>
      </c>
      <c r="G37" s="65">
        <v>0</v>
      </c>
      <c r="H37" s="65">
        <v>0</v>
      </c>
      <c r="I37" s="65">
        <v>4</v>
      </c>
      <c r="J37" s="65">
        <v>0</v>
      </c>
      <c r="K37" s="66">
        <v>0</v>
      </c>
      <c r="L37" s="67">
        <v>4</v>
      </c>
      <c r="M37" s="65">
        <v>0</v>
      </c>
      <c r="N37" s="65">
        <v>4</v>
      </c>
      <c r="O37" s="65">
        <v>4</v>
      </c>
      <c r="P37" s="68">
        <v>0</v>
      </c>
      <c r="Q37" s="69">
        <v>4</v>
      </c>
      <c r="R37" s="38">
        <v>4</v>
      </c>
      <c r="S37" s="27">
        <v>0</v>
      </c>
      <c r="T37" s="29">
        <v>0</v>
      </c>
      <c r="U37" s="52">
        <v>0</v>
      </c>
      <c r="V37" s="29">
        <v>0</v>
      </c>
      <c r="W37" s="29">
        <v>0</v>
      </c>
      <c r="X37" s="37">
        <v>0</v>
      </c>
      <c r="Y37" s="29">
        <v>4</v>
      </c>
      <c r="Z37" s="29">
        <v>0</v>
      </c>
      <c r="AA37" s="29">
        <v>0</v>
      </c>
      <c r="AB37" s="29">
        <v>0</v>
      </c>
      <c r="AC37" s="29">
        <v>0</v>
      </c>
      <c r="AD37" s="37">
        <v>4</v>
      </c>
      <c r="AE37" s="29">
        <v>0</v>
      </c>
      <c r="AF37" s="29">
        <v>0</v>
      </c>
      <c r="AG37" s="29">
        <v>0</v>
      </c>
      <c r="AH37" s="29">
        <v>0</v>
      </c>
      <c r="AI37" s="29">
        <v>0</v>
      </c>
      <c r="AJ37" s="37">
        <v>0</v>
      </c>
      <c r="AK37" s="28">
        <v>4</v>
      </c>
      <c r="AL37" s="28">
        <v>4</v>
      </c>
      <c r="AM37" s="52">
        <v>0</v>
      </c>
      <c r="AN37" s="28">
        <v>4</v>
      </c>
      <c r="AO37" s="29">
        <v>0</v>
      </c>
      <c r="AP37" s="38">
        <v>4</v>
      </c>
      <c r="AQ37" s="27">
        <v>4</v>
      </c>
      <c r="AR37" s="29">
        <v>0</v>
      </c>
      <c r="AS37" s="58">
        <v>0</v>
      </c>
      <c r="AT37" s="29">
        <v>0</v>
      </c>
      <c r="AU37" s="29">
        <v>0</v>
      </c>
      <c r="AV37" s="37">
        <v>4</v>
      </c>
      <c r="AW37" s="29">
        <v>0</v>
      </c>
      <c r="AX37" s="29">
        <v>0</v>
      </c>
      <c r="AY37" s="29">
        <v>0</v>
      </c>
      <c r="AZ37" s="27">
        <v>4</v>
      </c>
      <c r="BA37" s="57">
        <v>4</v>
      </c>
      <c r="BB37" s="85">
        <v>4</v>
      </c>
    </row>
    <row r="38" spans="1:54" ht="23.1" customHeight="1" x14ac:dyDescent="0.3">
      <c r="A38" s="87">
        <v>34</v>
      </c>
      <c r="B38" s="70" t="s">
        <v>95</v>
      </c>
      <c r="C38" s="71" t="s">
        <v>96</v>
      </c>
      <c r="D38" s="70" t="s">
        <v>542</v>
      </c>
      <c r="E38" s="70" t="s">
        <v>35</v>
      </c>
      <c r="F38" s="70" t="str">
        <f>REPT(CHAR(160),10)&amp;Working!$E38</f>
        <v>          A</v>
      </c>
      <c r="G38" s="61">
        <v>0</v>
      </c>
      <c r="H38" s="61">
        <v>0</v>
      </c>
      <c r="I38" s="61">
        <v>4</v>
      </c>
      <c r="J38" s="61">
        <v>0</v>
      </c>
      <c r="K38" s="72">
        <v>0</v>
      </c>
      <c r="L38" s="67">
        <v>4</v>
      </c>
      <c r="M38" s="61">
        <v>0</v>
      </c>
      <c r="N38" s="61">
        <v>5</v>
      </c>
      <c r="O38" s="61">
        <v>4</v>
      </c>
      <c r="P38" s="73">
        <v>0</v>
      </c>
      <c r="Q38" s="74">
        <v>4</v>
      </c>
      <c r="R38" s="38">
        <v>4.333333333333333</v>
      </c>
      <c r="S38" s="27">
        <v>0</v>
      </c>
      <c r="T38" s="16">
        <v>0</v>
      </c>
      <c r="U38" s="51">
        <v>0</v>
      </c>
      <c r="V38" s="16">
        <v>0</v>
      </c>
      <c r="W38" s="16">
        <v>0</v>
      </c>
      <c r="X38" s="37">
        <v>0</v>
      </c>
      <c r="Y38" s="16">
        <v>5</v>
      </c>
      <c r="Z38" s="16">
        <v>0</v>
      </c>
      <c r="AA38" s="16">
        <v>0</v>
      </c>
      <c r="AB38" s="16">
        <v>0</v>
      </c>
      <c r="AC38" s="16">
        <v>0</v>
      </c>
      <c r="AD38" s="37">
        <v>5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37">
        <v>0</v>
      </c>
      <c r="AK38" s="22">
        <v>5</v>
      </c>
      <c r="AL38" s="22">
        <v>5</v>
      </c>
      <c r="AM38" s="51">
        <v>0</v>
      </c>
      <c r="AN38" s="22">
        <v>5</v>
      </c>
      <c r="AO38" s="16">
        <v>0</v>
      </c>
      <c r="AP38" s="38">
        <v>5</v>
      </c>
      <c r="AQ38" s="27">
        <v>5</v>
      </c>
      <c r="AR38" s="16">
        <v>0</v>
      </c>
      <c r="AS38" s="25">
        <v>0</v>
      </c>
      <c r="AT38" s="16">
        <v>0</v>
      </c>
      <c r="AU38" s="16">
        <v>0</v>
      </c>
      <c r="AV38" s="37">
        <v>5</v>
      </c>
      <c r="AW38" s="16">
        <v>0</v>
      </c>
      <c r="AX38" s="16">
        <v>0</v>
      </c>
      <c r="AY38" s="29">
        <v>0</v>
      </c>
      <c r="AZ38" s="27">
        <v>5</v>
      </c>
      <c r="BA38" s="57">
        <v>5</v>
      </c>
      <c r="BB38" s="85">
        <v>5</v>
      </c>
    </row>
    <row r="39" spans="1:54" ht="23.1" customHeight="1" x14ac:dyDescent="0.3">
      <c r="A39" s="86">
        <v>35</v>
      </c>
      <c r="B39" s="63" t="s">
        <v>273</v>
      </c>
      <c r="C39" s="64" t="s">
        <v>274</v>
      </c>
      <c r="D39" s="63" t="s">
        <v>450</v>
      </c>
      <c r="E39" s="63" t="s">
        <v>161</v>
      </c>
      <c r="F39" s="63" t="str">
        <f>REPT(CHAR(160),10)&amp;Working!$E39</f>
        <v>          B</v>
      </c>
      <c r="G39" s="65">
        <v>0</v>
      </c>
      <c r="H39" s="65">
        <v>0</v>
      </c>
      <c r="I39" s="65">
        <v>4</v>
      </c>
      <c r="J39" s="65">
        <v>0</v>
      </c>
      <c r="K39" s="66">
        <v>0</v>
      </c>
      <c r="L39" s="67">
        <v>4</v>
      </c>
      <c r="M39" s="65">
        <v>0</v>
      </c>
      <c r="N39" s="65">
        <v>4</v>
      </c>
      <c r="O39" s="65">
        <v>4</v>
      </c>
      <c r="P39" s="68">
        <v>0</v>
      </c>
      <c r="Q39" s="69">
        <v>4</v>
      </c>
      <c r="R39" s="38">
        <v>4</v>
      </c>
      <c r="S39" s="27">
        <v>0</v>
      </c>
      <c r="T39" s="29">
        <v>0</v>
      </c>
      <c r="U39" s="52">
        <v>0</v>
      </c>
      <c r="V39" s="29">
        <v>0</v>
      </c>
      <c r="W39" s="29">
        <v>0</v>
      </c>
      <c r="X39" s="37">
        <v>0</v>
      </c>
      <c r="Y39" s="29">
        <v>4</v>
      </c>
      <c r="Z39" s="29">
        <v>0</v>
      </c>
      <c r="AA39" s="29">
        <v>0</v>
      </c>
      <c r="AB39" s="29">
        <v>0</v>
      </c>
      <c r="AC39" s="29">
        <v>0</v>
      </c>
      <c r="AD39" s="37">
        <v>4</v>
      </c>
      <c r="AE39" s="29">
        <v>0</v>
      </c>
      <c r="AF39" s="29">
        <v>0</v>
      </c>
      <c r="AG39" s="29">
        <v>0</v>
      </c>
      <c r="AH39" s="29">
        <v>0</v>
      </c>
      <c r="AI39" s="29">
        <v>0</v>
      </c>
      <c r="AJ39" s="37">
        <v>0</v>
      </c>
      <c r="AK39" s="28">
        <v>5</v>
      </c>
      <c r="AL39" s="28">
        <v>4</v>
      </c>
      <c r="AM39" s="52">
        <v>0</v>
      </c>
      <c r="AN39" s="28">
        <v>4</v>
      </c>
      <c r="AO39" s="29">
        <v>0</v>
      </c>
      <c r="AP39" s="38">
        <v>4.333333333333333</v>
      </c>
      <c r="AQ39" s="27">
        <v>4</v>
      </c>
      <c r="AR39" s="29">
        <v>0</v>
      </c>
      <c r="AS39" s="58">
        <v>0</v>
      </c>
      <c r="AT39" s="29">
        <v>0</v>
      </c>
      <c r="AU39" s="29">
        <v>0</v>
      </c>
      <c r="AV39" s="37">
        <v>4</v>
      </c>
      <c r="AW39" s="29">
        <v>0</v>
      </c>
      <c r="AX39" s="29">
        <v>0</v>
      </c>
      <c r="AY39" s="29">
        <v>0</v>
      </c>
      <c r="AZ39" s="27">
        <v>4</v>
      </c>
      <c r="BA39" s="57">
        <v>4</v>
      </c>
      <c r="BB39" s="85">
        <v>4</v>
      </c>
    </row>
    <row r="40" spans="1:54" ht="23.1" customHeight="1" x14ac:dyDescent="0.3">
      <c r="A40" s="87">
        <v>36</v>
      </c>
      <c r="B40" s="70" t="s">
        <v>112</v>
      </c>
      <c r="C40" s="71" t="s">
        <v>113</v>
      </c>
      <c r="D40" s="70" t="s">
        <v>450</v>
      </c>
      <c r="E40" s="70" t="s">
        <v>35</v>
      </c>
      <c r="F40" s="70" t="str">
        <f>REPT(CHAR(160),10)&amp;Working!$E40</f>
        <v>          A</v>
      </c>
      <c r="G40" s="61">
        <v>0</v>
      </c>
      <c r="H40" s="61">
        <v>0</v>
      </c>
      <c r="I40" s="61">
        <v>2</v>
      </c>
      <c r="J40" s="61">
        <v>0</v>
      </c>
      <c r="K40" s="72">
        <v>0</v>
      </c>
      <c r="L40" s="67">
        <v>2</v>
      </c>
      <c r="M40" s="61">
        <v>0</v>
      </c>
      <c r="N40" s="61">
        <v>2</v>
      </c>
      <c r="O40" s="61">
        <v>3</v>
      </c>
      <c r="P40" s="73">
        <v>0</v>
      </c>
      <c r="Q40" s="74">
        <v>3</v>
      </c>
      <c r="R40" s="38">
        <v>2.6666666666666665</v>
      </c>
      <c r="S40" s="27">
        <v>0</v>
      </c>
      <c r="T40" s="16">
        <v>0</v>
      </c>
      <c r="U40" s="51">
        <v>0</v>
      </c>
      <c r="V40" s="16">
        <v>0</v>
      </c>
      <c r="W40" s="16">
        <v>0</v>
      </c>
      <c r="X40" s="37">
        <v>0</v>
      </c>
      <c r="Y40" s="16">
        <v>3</v>
      </c>
      <c r="Z40" s="16">
        <v>0</v>
      </c>
      <c r="AA40" s="16">
        <v>0</v>
      </c>
      <c r="AB40" s="16">
        <v>0</v>
      </c>
      <c r="AC40" s="16">
        <v>0</v>
      </c>
      <c r="AD40" s="37">
        <v>3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37">
        <v>0</v>
      </c>
      <c r="AK40" s="22">
        <v>3</v>
      </c>
      <c r="AL40" s="22">
        <v>3</v>
      </c>
      <c r="AM40" s="51">
        <v>0</v>
      </c>
      <c r="AN40" s="22">
        <v>3</v>
      </c>
      <c r="AO40" s="16">
        <v>0</v>
      </c>
      <c r="AP40" s="38">
        <v>3</v>
      </c>
      <c r="AQ40" s="27">
        <v>3</v>
      </c>
      <c r="AR40" s="16">
        <v>0</v>
      </c>
      <c r="AS40" s="25">
        <v>0</v>
      </c>
      <c r="AT40" s="16">
        <v>0</v>
      </c>
      <c r="AU40" s="16">
        <v>0</v>
      </c>
      <c r="AV40" s="37">
        <v>3</v>
      </c>
      <c r="AW40" s="16">
        <v>0</v>
      </c>
      <c r="AX40" s="16">
        <v>0</v>
      </c>
      <c r="AY40" s="29">
        <v>0</v>
      </c>
      <c r="AZ40" s="27">
        <v>2</v>
      </c>
      <c r="BA40" s="57">
        <v>3</v>
      </c>
      <c r="BB40" s="85">
        <v>2.5</v>
      </c>
    </row>
    <row r="41" spans="1:54" ht="23.1" customHeight="1" x14ac:dyDescent="0.3">
      <c r="A41" s="86">
        <v>37</v>
      </c>
      <c r="B41" s="63" t="s">
        <v>302</v>
      </c>
      <c r="C41" s="64" t="s">
        <v>303</v>
      </c>
      <c r="D41" s="63" t="s">
        <v>450</v>
      </c>
      <c r="E41" s="63" t="s">
        <v>493</v>
      </c>
      <c r="F41" s="63" t="str">
        <f>REPT(CHAR(160),10)&amp;Working!$E41</f>
        <v>          C</v>
      </c>
      <c r="G41" s="65">
        <v>0</v>
      </c>
      <c r="H41" s="65">
        <v>0</v>
      </c>
      <c r="I41" s="65">
        <v>4</v>
      </c>
      <c r="J41" s="65">
        <v>0</v>
      </c>
      <c r="K41" s="66">
        <v>0</v>
      </c>
      <c r="L41" s="67">
        <v>4</v>
      </c>
      <c r="M41" s="65">
        <v>0</v>
      </c>
      <c r="N41" s="65">
        <v>4</v>
      </c>
      <c r="O41" s="65">
        <v>4</v>
      </c>
      <c r="P41" s="68">
        <v>0</v>
      </c>
      <c r="Q41" s="69">
        <v>4</v>
      </c>
      <c r="R41" s="38">
        <v>4</v>
      </c>
      <c r="S41" s="27">
        <v>0</v>
      </c>
      <c r="T41" s="29">
        <v>0</v>
      </c>
      <c r="U41" s="52">
        <v>0</v>
      </c>
      <c r="V41" s="29">
        <v>0</v>
      </c>
      <c r="W41" s="29">
        <v>0</v>
      </c>
      <c r="X41" s="37">
        <v>0</v>
      </c>
      <c r="Y41" s="29">
        <v>4</v>
      </c>
      <c r="Z41" s="29">
        <v>0</v>
      </c>
      <c r="AA41" s="29">
        <v>0</v>
      </c>
      <c r="AB41" s="29">
        <v>0</v>
      </c>
      <c r="AC41" s="29">
        <v>0</v>
      </c>
      <c r="AD41" s="37">
        <v>4</v>
      </c>
      <c r="AE41" s="29">
        <v>0</v>
      </c>
      <c r="AF41" s="29">
        <v>0</v>
      </c>
      <c r="AG41" s="29">
        <v>0</v>
      </c>
      <c r="AH41" s="29">
        <v>0</v>
      </c>
      <c r="AI41" s="29">
        <v>0</v>
      </c>
      <c r="AJ41" s="37">
        <v>0</v>
      </c>
      <c r="AK41" s="28">
        <v>4</v>
      </c>
      <c r="AL41" s="28">
        <v>4</v>
      </c>
      <c r="AM41" s="52">
        <v>0</v>
      </c>
      <c r="AN41" s="28">
        <v>4</v>
      </c>
      <c r="AO41" s="29">
        <v>0</v>
      </c>
      <c r="AP41" s="38">
        <v>4</v>
      </c>
      <c r="AQ41" s="27">
        <v>4</v>
      </c>
      <c r="AR41" s="29">
        <v>0</v>
      </c>
      <c r="AS41" s="58">
        <v>0</v>
      </c>
      <c r="AT41" s="29">
        <v>0</v>
      </c>
      <c r="AU41" s="29">
        <v>0</v>
      </c>
      <c r="AV41" s="37">
        <v>4</v>
      </c>
      <c r="AW41" s="29">
        <v>0</v>
      </c>
      <c r="AX41" s="29">
        <v>0</v>
      </c>
      <c r="AY41" s="29">
        <v>0</v>
      </c>
      <c r="AZ41" s="27">
        <v>4</v>
      </c>
      <c r="BA41" s="57">
        <v>5</v>
      </c>
      <c r="BB41" s="85">
        <v>4.5</v>
      </c>
    </row>
    <row r="42" spans="1:54" ht="23.1" customHeight="1" x14ac:dyDescent="0.3">
      <c r="A42" s="87">
        <v>38</v>
      </c>
      <c r="B42" s="70" t="s">
        <v>227</v>
      </c>
      <c r="C42" s="71" t="s">
        <v>228</v>
      </c>
      <c r="D42" s="70" t="s">
        <v>542</v>
      </c>
      <c r="E42" s="70" t="s">
        <v>161</v>
      </c>
      <c r="F42" s="70" t="str">
        <f>REPT(CHAR(160),10)&amp;Working!$E42</f>
        <v>          B</v>
      </c>
      <c r="G42" s="61">
        <v>0</v>
      </c>
      <c r="H42" s="61">
        <v>0</v>
      </c>
      <c r="I42" s="61">
        <v>4</v>
      </c>
      <c r="J42" s="61">
        <v>0</v>
      </c>
      <c r="K42" s="72">
        <v>0</v>
      </c>
      <c r="L42" s="67">
        <v>4</v>
      </c>
      <c r="M42" s="61">
        <v>0</v>
      </c>
      <c r="N42" s="61">
        <v>4</v>
      </c>
      <c r="O42" s="61">
        <v>4</v>
      </c>
      <c r="P42" s="73">
        <v>0</v>
      </c>
      <c r="Q42" s="74">
        <v>4</v>
      </c>
      <c r="R42" s="38">
        <v>4</v>
      </c>
      <c r="S42" s="27">
        <v>0</v>
      </c>
      <c r="T42" s="16">
        <v>0</v>
      </c>
      <c r="U42" s="51">
        <v>0</v>
      </c>
      <c r="V42" s="16">
        <v>0</v>
      </c>
      <c r="W42" s="16">
        <v>0</v>
      </c>
      <c r="X42" s="37">
        <v>0</v>
      </c>
      <c r="Y42" s="16">
        <v>4</v>
      </c>
      <c r="Z42" s="16">
        <v>0</v>
      </c>
      <c r="AA42" s="16">
        <v>0</v>
      </c>
      <c r="AB42" s="16">
        <v>0</v>
      </c>
      <c r="AC42" s="16">
        <v>0</v>
      </c>
      <c r="AD42" s="37">
        <v>4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37">
        <v>0</v>
      </c>
      <c r="AK42" s="22">
        <v>4</v>
      </c>
      <c r="AL42" s="22">
        <v>4</v>
      </c>
      <c r="AM42" s="51">
        <v>0</v>
      </c>
      <c r="AN42" s="22">
        <v>4</v>
      </c>
      <c r="AO42" s="16">
        <v>0</v>
      </c>
      <c r="AP42" s="38">
        <v>4</v>
      </c>
      <c r="AQ42" s="27">
        <v>4</v>
      </c>
      <c r="AR42" s="16">
        <v>0</v>
      </c>
      <c r="AS42" s="25">
        <v>0</v>
      </c>
      <c r="AT42" s="16">
        <v>0</v>
      </c>
      <c r="AU42" s="16">
        <v>0</v>
      </c>
      <c r="AV42" s="37">
        <v>4</v>
      </c>
      <c r="AW42" s="16">
        <v>0</v>
      </c>
      <c r="AX42" s="16">
        <v>0</v>
      </c>
      <c r="AY42" s="29">
        <v>0</v>
      </c>
      <c r="AZ42" s="27">
        <v>4</v>
      </c>
      <c r="BA42" s="57">
        <v>5</v>
      </c>
      <c r="BB42" s="85">
        <v>4.5</v>
      </c>
    </row>
    <row r="43" spans="1:54" ht="23.1" customHeight="1" x14ac:dyDescent="0.3">
      <c r="A43" s="86">
        <v>39</v>
      </c>
      <c r="B43" s="63" t="s">
        <v>304</v>
      </c>
      <c r="C43" s="64" t="s">
        <v>305</v>
      </c>
      <c r="D43" s="63" t="s">
        <v>542</v>
      </c>
      <c r="E43" s="63" t="s">
        <v>493</v>
      </c>
      <c r="F43" s="63" t="str">
        <f>REPT(CHAR(160),10)&amp;Working!$E43</f>
        <v>          C</v>
      </c>
      <c r="G43" s="65">
        <v>0</v>
      </c>
      <c r="H43" s="65">
        <v>0</v>
      </c>
      <c r="I43" s="65">
        <v>4</v>
      </c>
      <c r="J43" s="65">
        <v>0</v>
      </c>
      <c r="K43" s="66">
        <v>0</v>
      </c>
      <c r="L43" s="67">
        <v>4</v>
      </c>
      <c r="M43" s="65">
        <v>0</v>
      </c>
      <c r="N43" s="65">
        <v>4</v>
      </c>
      <c r="O43" s="65">
        <v>4</v>
      </c>
      <c r="P43" s="68">
        <v>0</v>
      </c>
      <c r="Q43" s="69">
        <v>4</v>
      </c>
      <c r="R43" s="38">
        <v>4</v>
      </c>
      <c r="S43" s="27">
        <v>0</v>
      </c>
      <c r="T43" s="29">
        <v>0</v>
      </c>
      <c r="U43" s="52">
        <v>0</v>
      </c>
      <c r="V43" s="29">
        <v>0</v>
      </c>
      <c r="W43" s="29">
        <v>0</v>
      </c>
      <c r="X43" s="37">
        <v>0</v>
      </c>
      <c r="Y43" s="29">
        <v>4</v>
      </c>
      <c r="Z43" s="29">
        <v>0</v>
      </c>
      <c r="AA43" s="29">
        <v>0</v>
      </c>
      <c r="AB43" s="29">
        <v>0</v>
      </c>
      <c r="AC43" s="29">
        <v>0</v>
      </c>
      <c r="AD43" s="37">
        <v>4</v>
      </c>
      <c r="AE43" s="29">
        <v>0</v>
      </c>
      <c r="AF43" s="29">
        <v>0</v>
      </c>
      <c r="AG43" s="29">
        <v>0</v>
      </c>
      <c r="AH43" s="29">
        <v>0</v>
      </c>
      <c r="AI43" s="29">
        <v>0</v>
      </c>
      <c r="AJ43" s="37">
        <v>0</v>
      </c>
      <c r="AK43" s="28">
        <v>4</v>
      </c>
      <c r="AL43" s="28">
        <v>4</v>
      </c>
      <c r="AM43" s="52">
        <v>0</v>
      </c>
      <c r="AN43" s="28">
        <v>4</v>
      </c>
      <c r="AO43" s="29">
        <v>0</v>
      </c>
      <c r="AP43" s="38">
        <v>4</v>
      </c>
      <c r="AQ43" s="27">
        <v>5</v>
      </c>
      <c r="AR43" s="29">
        <v>0</v>
      </c>
      <c r="AS43" s="58">
        <v>0</v>
      </c>
      <c r="AT43" s="29">
        <v>0</v>
      </c>
      <c r="AU43" s="29">
        <v>0</v>
      </c>
      <c r="AV43" s="37">
        <v>5</v>
      </c>
      <c r="AW43" s="29">
        <v>0</v>
      </c>
      <c r="AX43" s="29">
        <v>0</v>
      </c>
      <c r="AY43" s="29">
        <v>0</v>
      </c>
      <c r="AZ43" s="27">
        <v>4</v>
      </c>
      <c r="BA43" s="57">
        <v>5</v>
      </c>
      <c r="BB43" s="85">
        <v>4.5</v>
      </c>
    </row>
    <row r="44" spans="1:54" ht="23.1" customHeight="1" x14ac:dyDescent="0.3">
      <c r="A44" s="87">
        <v>40</v>
      </c>
      <c r="B44" s="70" t="s">
        <v>89</v>
      </c>
      <c r="C44" s="71" t="s">
        <v>90</v>
      </c>
      <c r="D44" s="70" t="s">
        <v>450</v>
      </c>
      <c r="E44" s="70" t="s">
        <v>35</v>
      </c>
      <c r="F44" s="70" t="str">
        <f>REPT(CHAR(160),10)&amp;Working!$E44</f>
        <v>          A</v>
      </c>
      <c r="G44" s="61">
        <v>0</v>
      </c>
      <c r="H44" s="61">
        <v>0</v>
      </c>
      <c r="I44" s="61">
        <v>4</v>
      </c>
      <c r="J44" s="61">
        <v>0</v>
      </c>
      <c r="K44" s="72">
        <v>0</v>
      </c>
      <c r="L44" s="67">
        <v>4</v>
      </c>
      <c r="M44" s="61">
        <v>0</v>
      </c>
      <c r="N44" s="61">
        <v>4</v>
      </c>
      <c r="O44" s="61">
        <v>4</v>
      </c>
      <c r="P44" s="73">
        <v>0</v>
      </c>
      <c r="Q44" s="74">
        <v>4</v>
      </c>
      <c r="R44" s="38">
        <v>4</v>
      </c>
      <c r="S44" s="27">
        <v>0</v>
      </c>
      <c r="T44" s="16">
        <v>0</v>
      </c>
      <c r="U44" s="51">
        <v>0</v>
      </c>
      <c r="V44" s="16">
        <v>0</v>
      </c>
      <c r="W44" s="16">
        <v>0</v>
      </c>
      <c r="X44" s="37">
        <v>0</v>
      </c>
      <c r="Y44" s="16">
        <v>4</v>
      </c>
      <c r="Z44" s="16">
        <v>0</v>
      </c>
      <c r="AA44" s="16">
        <v>0</v>
      </c>
      <c r="AB44" s="16">
        <v>0</v>
      </c>
      <c r="AC44" s="16">
        <v>0</v>
      </c>
      <c r="AD44" s="37">
        <v>4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37">
        <v>0</v>
      </c>
      <c r="AK44" s="22">
        <v>4</v>
      </c>
      <c r="AL44" s="22">
        <v>4</v>
      </c>
      <c r="AM44" s="51">
        <v>0</v>
      </c>
      <c r="AN44" s="22">
        <v>5</v>
      </c>
      <c r="AO44" s="16">
        <v>0</v>
      </c>
      <c r="AP44" s="38">
        <v>4.333333333333333</v>
      </c>
      <c r="AQ44" s="27">
        <v>4</v>
      </c>
      <c r="AR44" s="16">
        <v>0</v>
      </c>
      <c r="AS44" s="25">
        <v>0</v>
      </c>
      <c r="AT44" s="16">
        <v>0</v>
      </c>
      <c r="AU44" s="16">
        <v>0</v>
      </c>
      <c r="AV44" s="37">
        <v>4</v>
      </c>
      <c r="AW44" s="16">
        <v>0</v>
      </c>
      <c r="AX44" s="16">
        <v>0</v>
      </c>
      <c r="AY44" s="29">
        <v>0</v>
      </c>
      <c r="AZ44" s="27">
        <v>4</v>
      </c>
      <c r="BA44" s="57">
        <v>5</v>
      </c>
      <c r="BB44" s="85">
        <v>4.5</v>
      </c>
    </row>
    <row r="45" spans="1:54" ht="23.1" customHeight="1" x14ac:dyDescent="0.3">
      <c r="A45" s="86">
        <v>41</v>
      </c>
      <c r="B45" s="63" t="s">
        <v>306</v>
      </c>
      <c r="C45" s="64" t="s">
        <v>307</v>
      </c>
      <c r="D45" s="63" t="s">
        <v>542</v>
      </c>
      <c r="E45" s="63" t="s">
        <v>493</v>
      </c>
      <c r="F45" s="63" t="str">
        <f>REPT(CHAR(160),10)&amp;Working!$E45</f>
        <v>          C</v>
      </c>
      <c r="G45" s="65">
        <v>0</v>
      </c>
      <c r="H45" s="65">
        <v>0</v>
      </c>
      <c r="I45" s="65">
        <v>4</v>
      </c>
      <c r="J45" s="65">
        <v>0</v>
      </c>
      <c r="K45" s="66">
        <v>0</v>
      </c>
      <c r="L45" s="67">
        <v>4</v>
      </c>
      <c r="M45" s="65">
        <v>0</v>
      </c>
      <c r="N45" s="65">
        <v>4</v>
      </c>
      <c r="O45" s="65">
        <v>4</v>
      </c>
      <c r="P45" s="68">
        <v>0</v>
      </c>
      <c r="Q45" s="69">
        <v>4</v>
      </c>
      <c r="R45" s="38">
        <v>4</v>
      </c>
      <c r="S45" s="27">
        <v>0</v>
      </c>
      <c r="T45" s="29">
        <v>0</v>
      </c>
      <c r="U45" s="52">
        <v>0</v>
      </c>
      <c r="V45" s="29">
        <v>0</v>
      </c>
      <c r="W45" s="29">
        <v>0</v>
      </c>
      <c r="X45" s="37">
        <v>0</v>
      </c>
      <c r="Y45" s="29">
        <v>4</v>
      </c>
      <c r="Z45" s="29">
        <v>0</v>
      </c>
      <c r="AA45" s="29">
        <v>0</v>
      </c>
      <c r="AB45" s="29">
        <v>0</v>
      </c>
      <c r="AC45" s="29">
        <v>0</v>
      </c>
      <c r="AD45" s="37">
        <v>4</v>
      </c>
      <c r="AE45" s="29">
        <v>0</v>
      </c>
      <c r="AF45" s="29">
        <v>0</v>
      </c>
      <c r="AG45" s="29">
        <v>0</v>
      </c>
      <c r="AH45" s="29">
        <v>0</v>
      </c>
      <c r="AI45" s="29">
        <v>0</v>
      </c>
      <c r="AJ45" s="37">
        <v>0</v>
      </c>
      <c r="AK45" s="28">
        <v>4</v>
      </c>
      <c r="AL45" s="28">
        <v>4</v>
      </c>
      <c r="AM45" s="52">
        <v>0</v>
      </c>
      <c r="AN45" s="28">
        <v>4</v>
      </c>
      <c r="AO45" s="29">
        <v>0</v>
      </c>
      <c r="AP45" s="38">
        <v>4</v>
      </c>
      <c r="AQ45" s="27">
        <v>4</v>
      </c>
      <c r="AR45" s="29">
        <v>0</v>
      </c>
      <c r="AS45" s="58">
        <v>0</v>
      </c>
      <c r="AT45" s="29">
        <v>0</v>
      </c>
      <c r="AU45" s="29">
        <v>0</v>
      </c>
      <c r="AV45" s="37">
        <v>4</v>
      </c>
      <c r="AW45" s="29">
        <v>0</v>
      </c>
      <c r="AX45" s="29">
        <v>0</v>
      </c>
      <c r="AY45" s="29">
        <v>0</v>
      </c>
      <c r="AZ45" s="27">
        <v>4</v>
      </c>
      <c r="BA45" s="57">
        <v>5</v>
      </c>
      <c r="BB45" s="85">
        <v>4.5</v>
      </c>
    </row>
    <row r="46" spans="1:54" ht="23.1" customHeight="1" x14ac:dyDescent="0.3">
      <c r="A46" s="87">
        <v>42</v>
      </c>
      <c r="B46" s="70" t="s">
        <v>245</v>
      </c>
      <c r="C46" s="71" t="s">
        <v>246</v>
      </c>
      <c r="D46" s="70" t="s">
        <v>542</v>
      </c>
      <c r="E46" s="70" t="s">
        <v>161</v>
      </c>
      <c r="F46" s="70" t="str">
        <f>REPT(CHAR(160),10)&amp;Working!$E46</f>
        <v>          B</v>
      </c>
      <c r="G46" s="61">
        <v>0</v>
      </c>
      <c r="H46" s="61">
        <v>0</v>
      </c>
      <c r="I46" s="61">
        <v>4</v>
      </c>
      <c r="J46" s="61">
        <v>0</v>
      </c>
      <c r="K46" s="72">
        <v>0</v>
      </c>
      <c r="L46" s="67">
        <v>4</v>
      </c>
      <c r="M46" s="61">
        <v>0</v>
      </c>
      <c r="N46" s="61">
        <v>4</v>
      </c>
      <c r="O46" s="61">
        <v>4</v>
      </c>
      <c r="P46" s="73">
        <v>0</v>
      </c>
      <c r="Q46" s="74">
        <v>4</v>
      </c>
      <c r="R46" s="38">
        <v>4</v>
      </c>
      <c r="S46" s="27">
        <v>0</v>
      </c>
      <c r="T46" s="16">
        <v>0</v>
      </c>
      <c r="U46" s="51">
        <v>0</v>
      </c>
      <c r="V46" s="16">
        <v>0</v>
      </c>
      <c r="W46" s="16">
        <v>0</v>
      </c>
      <c r="X46" s="37">
        <v>0</v>
      </c>
      <c r="Y46" s="16">
        <v>4</v>
      </c>
      <c r="Z46" s="16">
        <v>0</v>
      </c>
      <c r="AA46" s="16">
        <v>0</v>
      </c>
      <c r="AB46" s="16">
        <v>0</v>
      </c>
      <c r="AC46" s="16">
        <v>0</v>
      </c>
      <c r="AD46" s="37">
        <v>4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37">
        <v>0</v>
      </c>
      <c r="AK46" s="22">
        <v>4</v>
      </c>
      <c r="AL46" s="22">
        <v>4</v>
      </c>
      <c r="AM46" s="51">
        <v>0</v>
      </c>
      <c r="AN46" s="22">
        <v>5</v>
      </c>
      <c r="AO46" s="16">
        <v>0</v>
      </c>
      <c r="AP46" s="38">
        <v>4.333333333333333</v>
      </c>
      <c r="AQ46" s="27">
        <v>4</v>
      </c>
      <c r="AR46" s="16">
        <v>0</v>
      </c>
      <c r="AS46" s="25">
        <v>0</v>
      </c>
      <c r="AT46" s="16">
        <v>0</v>
      </c>
      <c r="AU46" s="16">
        <v>0</v>
      </c>
      <c r="AV46" s="37">
        <v>4</v>
      </c>
      <c r="AW46" s="16">
        <v>0</v>
      </c>
      <c r="AX46" s="16">
        <v>0</v>
      </c>
      <c r="AY46" s="29">
        <v>0</v>
      </c>
      <c r="AZ46" s="27">
        <v>4</v>
      </c>
      <c r="BA46" s="57">
        <v>4</v>
      </c>
      <c r="BB46" s="85">
        <v>4</v>
      </c>
    </row>
    <row r="47" spans="1:54" ht="23.1" customHeight="1" x14ac:dyDescent="0.3">
      <c r="A47" s="86">
        <v>43</v>
      </c>
      <c r="B47" s="63" t="s">
        <v>114</v>
      </c>
      <c r="C47" s="64" t="s">
        <v>115</v>
      </c>
      <c r="D47" s="63" t="s">
        <v>450</v>
      </c>
      <c r="E47" s="63" t="s">
        <v>35</v>
      </c>
      <c r="F47" s="63" t="str">
        <f>REPT(CHAR(160),10)&amp;Working!$E47</f>
        <v>          A</v>
      </c>
      <c r="G47" s="65">
        <v>0</v>
      </c>
      <c r="H47" s="65">
        <v>0</v>
      </c>
      <c r="I47" s="65">
        <v>4</v>
      </c>
      <c r="J47" s="65">
        <v>0</v>
      </c>
      <c r="K47" s="66">
        <v>0</v>
      </c>
      <c r="L47" s="67">
        <v>4</v>
      </c>
      <c r="M47" s="65">
        <v>0</v>
      </c>
      <c r="N47" s="65">
        <v>4</v>
      </c>
      <c r="O47" s="65">
        <v>4</v>
      </c>
      <c r="P47" s="68">
        <v>0</v>
      </c>
      <c r="Q47" s="69">
        <v>4</v>
      </c>
      <c r="R47" s="38">
        <v>4</v>
      </c>
      <c r="S47" s="27">
        <v>0</v>
      </c>
      <c r="T47" s="29">
        <v>0</v>
      </c>
      <c r="U47" s="52">
        <v>0</v>
      </c>
      <c r="V47" s="29">
        <v>0</v>
      </c>
      <c r="W47" s="29">
        <v>0</v>
      </c>
      <c r="X47" s="37">
        <v>0</v>
      </c>
      <c r="Y47" s="29">
        <v>3</v>
      </c>
      <c r="Z47" s="29">
        <v>0</v>
      </c>
      <c r="AA47" s="29">
        <v>0</v>
      </c>
      <c r="AB47" s="29">
        <v>0</v>
      </c>
      <c r="AC47" s="29">
        <v>0</v>
      </c>
      <c r="AD47" s="37">
        <v>3</v>
      </c>
      <c r="AE47" s="29">
        <v>0</v>
      </c>
      <c r="AF47" s="29">
        <v>0</v>
      </c>
      <c r="AG47" s="29">
        <v>0</v>
      </c>
      <c r="AH47" s="29">
        <v>0</v>
      </c>
      <c r="AI47" s="29">
        <v>0</v>
      </c>
      <c r="AJ47" s="37">
        <v>0</v>
      </c>
      <c r="AK47" s="28">
        <v>4</v>
      </c>
      <c r="AL47" s="28">
        <v>3</v>
      </c>
      <c r="AM47" s="52">
        <v>0</v>
      </c>
      <c r="AN47" s="28">
        <v>4</v>
      </c>
      <c r="AO47" s="29">
        <v>0</v>
      </c>
      <c r="AP47" s="38">
        <v>3.6666666666666665</v>
      </c>
      <c r="AQ47" s="27">
        <v>4</v>
      </c>
      <c r="AR47" s="29">
        <v>0</v>
      </c>
      <c r="AS47" s="58">
        <v>0</v>
      </c>
      <c r="AT47" s="29">
        <v>0</v>
      </c>
      <c r="AU47" s="29">
        <v>0</v>
      </c>
      <c r="AV47" s="37">
        <v>4</v>
      </c>
      <c r="AW47" s="29">
        <v>0</v>
      </c>
      <c r="AX47" s="29">
        <v>0</v>
      </c>
      <c r="AY47" s="29">
        <v>0</v>
      </c>
      <c r="AZ47" s="27">
        <v>4</v>
      </c>
      <c r="BA47" s="57">
        <v>3</v>
      </c>
      <c r="BB47" s="85">
        <v>3.5</v>
      </c>
    </row>
    <row r="48" spans="1:54" ht="23.1" customHeight="1" x14ac:dyDescent="0.3">
      <c r="A48" s="87">
        <v>44</v>
      </c>
      <c r="B48" s="70" t="s">
        <v>116</v>
      </c>
      <c r="C48" s="71" t="s">
        <v>117</v>
      </c>
      <c r="D48" s="70" t="s">
        <v>542</v>
      </c>
      <c r="E48" s="70" t="s">
        <v>35</v>
      </c>
      <c r="F48" s="70" t="str">
        <f>REPT(CHAR(160),10)&amp;Working!$E48</f>
        <v>          A</v>
      </c>
      <c r="G48" s="61">
        <v>0</v>
      </c>
      <c r="H48" s="61">
        <v>0</v>
      </c>
      <c r="I48" s="61">
        <v>3</v>
      </c>
      <c r="J48" s="61">
        <v>0</v>
      </c>
      <c r="K48" s="72">
        <v>0</v>
      </c>
      <c r="L48" s="67">
        <v>3</v>
      </c>
      <c r="M48" s="61">
        <v>0</v>
      </c>
      <c r="N48" s="61">
        <v>3</v>
      </c>
      <c r="O48" s="61">
        <v>3</v>
      </c>
      <c r="P48" s="73">
        <v>0</v>
      </c>
      <c r="Q48" s="74">
        <v>3</v>
      </c>
      <c r="R48" s="38">
        <v>3</v>
      </c>
      <c r="S48" s="27">
        <v>0</v>
      </c>
      <c r="T48" s="16">
        <v>0</v>
      </c>
      <c r="U48" s="51">
        <v>0</v>
      </c>
      <c r="V48" s="16">
        <v>0</v>
      </c>
      <c r="W48" s="16">
        <v>0</v>
      </c>
      <c r="X48" s="37">
        <v>0</v>
      </c>
      <c r="Y48" s="16">
        <v>4</v>
      </c>
      <c r="Z48" s="16">
        <v>0</v>
      </c>
      <c r="AA48" s="16">
        <v>0</v>
      </c>
      <c r="AB48" s="16">
        <v>0</v>
      </c>
      <c r="AC48" s="16">
        <v>0</v>
      </c>
      <c r="AD48" s="37">
        <v>4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37">
        <v>0</v>
      </c>
      <c r="AK48" s="22">
        <v>3</v>
      </c>
      <c r="AL48" s="22">
        <v>4</v>
      </c>
      <c r="AM48" s="51">
        <v>0</v>
      </c>
      <c r="AN48" s="22">
        <v>3</v>
      </c>
      <c r="AO48" s="16">
        <v>0</v>
      </c>
      <c r="AP48" s="38">
        <v>3.3333333333333335</v>
      </c>
      <c r="AQ48" s="27">
        <v>3</v>
      </c>
      <c r="AR48" s="16">
        <v>0</v>
      </c>
      <c r="AS48" s="25">
        <v>0</v>
      </c>
      <c r="AT48" s="16">
        <v>0</v>
      </c>
      <c r="AU48" s="16">
        <v>0</v>
      </c>
      <c r="AV48" s="37">
        <v>3</v>
      </c>
      <c r="AW48" s="16">
        <v>0</v>
      </c>
      <c r="AX48" s="16">
        <v>0</v>
      </c>
      <c r="AY48" s="29">
        <v>0</v>
      </c>
      <c r="AZ48" s="27">
        <v>3</v>
      </c>
      <c r="BA48" s="57">
        <v>4</v>
      </c>
      <c r="BB48" s="85">
        <v>3.5</v>
      </c>
    </row>
    <row r="49" spans="1:54" ht="23.1" customHeight="1" x14ac:dyDescent="0.3">
      <c r="A49" s="86">
        <v>45</v>
      </c>
      <c r="B49" s="63" t="s">
        <v>180</v>
      </c>
      <c r="C49" s="64" t="s">
        <v>181</v>
      </c>
      <c r="D49" s="63" t="s">
        <v>450</v>
      </c>
      <c r="E49" s="63" t="s">
        <v>161</v>
      </c>
      <c r="F49" s="63" t="str">
        <f>REPT(CHAR(160),10)&amp;Working!$E49</f>
        <v>          B</v>
      </c>
      <c r="G49" s="65">
        <v>0</v>
      </c>
      <c r="H49" s="65">
        <v>0</v>
      </c>
      <c r="I49" s="65">
        <v>3</v>
      </c>
      <c r="J49" s="65">
        <v>0</v>
      </c>
      <c r="K49" s="66">
        <v>0</v>
      </c>
      <c r="L49" s="67">
        <v>3</v>
      </c>
      <c r="M49" s="65">
        <v>0</v>
      </c>
      <c r="N49" s="65">
        <v>3</v>
      </c>
      <c r="O49" s="65">
        <v>4</v>
      </c>
      <c r="P49" s="68">
        <v>0</v>
      </c>
      <c r="Q49" s="69">
        <v>4</v>
      </c>
      <c r="R49" s="38">
        <v>3.6666666666666665</v>
      </c>
      <c r="S49" s="27">
        <v>0</v>
      </c>
      <c r="T49" s="29">
        <v>0</v>
      </c>
      <c r="U49" s="52">
        <v>0</v>
      </c>
      <c r="V49" s="29">
        <v>0</v>
      </c>
      <c r="W49" s="29">
        <v>0</v>
      </c>
      <c r="X49" s="37">
        <v>0</v>
      </c>
      <c r="Y49" s="29">
        <v>4</v>
      </c>
      <c r="Z49" s="29">
        <v>0</v>
      </c>
      <c r="AA49" s="29">
        <v>0</v>
      </c>
      <c r="AB49" s="29">
        <v>0</v>
      </c>
      <c r="AC49" s="29">
        <v>0</v>
      </c>
      <c r="AD49" s="37">
        <v>4</v>
      </c>
      <c r="AE49" s="29">
        <v>0</v>
      </c>
      <c r="AF49" s="29">
        <v>0</v>
      </c>
      <c r="AG49" s="29">
        <v>0</v>
      </c>
      <c r="AH49" s="29">
        <v>0</v>
      </c>
      <c r="AI49" s="29">
        <v>0</v>
      </c>
      <c r="AJ49" s="37">
        <v>0</v>
      </c>
      <c r="AK49" s="28">
        <v>4</v>
      </c>
      <c r="AL49" s="28">
        <v>3</v>
      </c>
      <c r="AM49" s="52">
        <v>0</v>
      </c>
      <c r="AN49" s="28">
        <v>4</v>
      </c>
      <c r="AO49" s="29">
        <v>0</v>
      </c>
      <c r="AP49" s="38">
        <v>3.6666666666666665</v>
      </c>
      <c r="AQ49" s="27">
        <v>4</v>
      </c>
      <c r="AR49" s="29">
        <v>0</v>
      </c>
      <c r="AS49" s="58">
        <v>0</v>
      </c>
      <c r="AT49" s="29">
        <v>0</v>
      </c>
      <c r="AU49" s="29">
        <v>0</v>
      </c>
      <c r="AV49" s="37">
        <v>4</v>
      </c>
      <c r="AW49" s="29">
        <v>0</v>
      </c>
      <c r="AX49" s="29">
        <v>0</v>
      </c>
      <c r="AY49" s="29">
        <v>0</v>
      </c>
      <c r="AZ49" s="27">
        <v>4</v>
      </c>
      <c r="BA49" s="57">
        <v>4</v>
      </c>
      <c r="BB49" s="85">
        <v>4</v>
      </c>
    </row>
    <row r="50" spans="1:54" ht="23.1" customHeight="1" x14ac:dyDescent="0.3">
      <c r="A50" s="87">
        <v>46</v>
      </c>
      <c r="B50" s="70" t="s">
        <v>308</v>
      </c>
      <c r="C50" s="71" t="s">
        <v>309</v>
      </c>
      <c r="D50" s="70" t="s">
        <v>542</v>
      </c>
      <c r="E50" s="70" t="s">
        <v>493</v>
      </c>
      <c r="F50" s="70" t="str">
        <f>REPT(CHAR(160),10)&amp;Working!$E50</f>
        <v>          C</v>
      </c>
      <c r="G50" s="61">
        <v>0</v>
      </c>
      <c r="H50" s="61">
        <v>0</v>
      </c>
      <c r="I50" s="61">
        <v>4</v>
      </c>
      <c r="J50" s="61">
        <v>0</v>
      </c>
      <c r="K50" s="72">
        <v>0</v>
      </c>
      <c r="L50" s="67">
        <v>4</v>
      </c>
      <c r="M50" s="61">
        <v>0</v>
      </c>
      <c r="N50" s="61">
        <v>4</v>
      </c>
      <c r="O50" s="61">
        <v>4</v>
      </c>
      <c r="P50" s="73">
        <v>0</v>
      </c>
      <c r="Q50" s="74">
        <v>4</v>
      </c>
      <c r="R50" s="38">
        <v>4</v>
      </c>
      <c r="S50" s="27">
        <v>0</v>
      </c>
      <c r="T50" s="16">
        <v>0</v>
      </c>
      <c r="U50" s="51">
        <v>0</v>
      </c>
      <c r="V50" s="16">
        <v>0</v>
      </c>
      <c r="W50" s="16">
        <v>0</v>
      </c>
      <c r="X50" s="37">
        <v>0</v>
      </c>
      <c r="Y50" s="16">
        <v>4</v>
      </c>
      <c r="Z50" s="16">
        <v>0</v>
      </c>
      <c r="AA50" s="16">
        <v>0</v>
      </c>
      <c r="AB50" s="16">
        <v>0</v>
      </c>
      <c r="AC50" s="16">
        <v>0</v>
      </c>
      <c r="AD50" s="37">
        <v>4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37">
        <v>0</v>
      </c>
      <c r="AK50" s="22">
        <v>4</v>
      </c>
      <c r="AL50" s="22">
        <v>4</v>
      </c>
      <c r="AM50" s="51">
        <v>0</v>
      </c>
      <c r="AN50" s="22">
        <v>4</v>
      </c>
      <c r="AO50" s="16">
        <v>0</v>
      </c>
      <c r="AP50" s="38">
        <v>4</v>
      </c>
      <c r="AQ50" s="27">
        <v>4</v>
      </c>
      <c r="AR50" s="16">
        <v>0</v>
      </c>
      <c r="AS50" s="25">
        <v>0</v>
      </c>
      <c r="AT50" s="16">
        <v>0</v>
      </c>
      <c r="AU50" s="16">
        <v>0</v>
      </c>
      <c r="AV50" s="37">
        <v>4</v>
      </c>
      <c r="AW50" s="16">
        <v>0</v>
      </c>
      <c r="AX50" s="16">
        <v>0</v>
      </c>
      <c r="AY50" s="29">
        <v>0</v>
      </c>
      <c r="AZ50" s="27">
        <v>4</v>
      </c>
      <c r="BA50" s="57">
        <v>4</v>
      </c>
      <c r="BB50" s="85">
        <v>4</v>
      </c>
    </row>
    <row r="51" spans="1:54" ht="23.1" customHeight="1" x14ac:dyDescent="0.3">
      <c r="A51" s="86">
        <v>47</v>
      </c>
      <c r="B51" s="63" t="s">
        <v>118</v>
      </c>
      <c r="C51" s="64" t="s">
        <v>119</v>
      </c>
      <c r="D51" s="63" t="s">
        <v>450</v>
      </c>
      <c r="E51" s="63" t="s">
        <v>35</v>
      </c>
      <c r="F51" s="63" t="str">
        <f>REPT(CHAR(160),10)&amp;Working!$E51</f>
        <v>          A</v>
      </c>
      <c r="G51" s="65">
        <v>0</v>
      </c>
      <c r="H51" s="65">
        <v>0</v>
      </c>
      <c r="I51" s="65">
        <v>4</v>
      </c>
      <c r="J51" s="65">
        <v>0</v>
      </c>
      <c r="K51" s="66">
        <v>0</v>
      </c>
      <c r="L51" s="67">
        <v>4</v>
      </c>
      <c r="M51" s="65">
        <v>0</v>
      </c>
      <c r="N51" s="65">
        <v>4</v>
      </c>
      <c r="O51" s="65">
        <v>4</v>
      </c>
      <c r="P51" s="68">
        <v>0</v>
      </c>
      <c r="Q51" s="69">
        <v>4</v>
      </c>
      <c r="R51" s="38">
        <v>4</v>
      </c>
      <c r="S51" s="27">
        <v>0</v>
      </c>
      <c r="T51" s="29">
        <v>0</v>
      </c>
      <c r="U51" s="52">
        <v>0</v>
      </c>
      <c r="V51" s="29">
        <v>0</v>
      </c>
      <c r="W51" s="29">
        <v>0</v>
      </c>
      <c r="X51" s="37">
        <v>0</v>
      </c>
      <c r="Y51" s="29">
        <v>4</v>
      </c>
      <c r="Z51" s="29">
        <v>0</v>
      </c>
      <c r="AA51" s="29">
        <v>0</v>
      </c>
      <c r="AB51" s="29">
        <v>0</v>
      </c>
      <c r="AC51" s="29">
        <v>0</v>
      </c>
      <c r="AD51" s="37">
        <v>4</v>
      </c>
      <c r="AE51" s="29">
        <v>0</v>
      </c>
      <c r="AF51" s="29">
        <v>0</v>
      </c>
      <c r="AG51" s="29">
        <v>0</v>
      </c>
      <c r="AH51" s="29">
        <v>0</v>
      </c>
      <c r="AI51" s="29">
        <v>0</v>
      </c>
      <c r="AJ51" s="37">
        <v>0</v>
      </c>
      <c r="AK51" s="28">
        <v>4</v>
      </c>
      <c r="AL51" s="28">
        <v>4</v>
      </c>
      <c r="AM51" s="52">
        <v>0</v>
      </c>
      <c r="AN51" s="28">
        <v>4</v>
      </c>
      <c r="AO51" s="29">
        <v>0</v>
      </c>
      <c r="AP51" s="38">
        <v>4</v>
      </c>
      <c r="AQ51" s="27">
        <v>4</v>
      </c>
      <c r="AR51" s="29">
        <v>0</v>
      </c>
      <c r="AS51" s="58">
        <v>0</v>
      </c>
      <c r="AT51" s="29">
        <v>0</v>
      </c>
      <c r="AU51" s="29">
        <v>0</v>
      </c>
      <c r="AV51" s="37">
        <v>4</v>
      </c>
      <c r="AW51" s="29">
        <v>0</v>
      </c>
      <c r="AX51" s="29">
        <v>0</v>
      </c>
      <c r="AY51" s="29">
        <v>0</v>
      </c>
      <c r="AZ51" s="27">
        <v>4</v>
      </c>
      <c r="BA51" s="57">
        <v>4</v>
      </c>
      <c r="BB51" s="85">
        <v>4</v>
      </c>
    </row>
    <row r="52" spans="1:54" ht="23.1" customHeight="1" x14ac:dyDescent="0.3">
      <c r="A52" s="87">
        <v>48</v>
      </c>
      <c r="B52" s="70" t="s">
        <v>197</v>
      </c>
      <c r="C52" s="71" t="s">
        <v>198</v>
      </c>
      <c r="D52" s="70" t="s">
        <v>450</v>
      </c>
      <c r="E52" s="70" t="s">
        <v>161</v>
      </c>
      <c r="F52" s="70" t="str">
        <f>REPT(CHAR(160),10)&amp;Working!$E52</f>
        <v>          B</v>
      </c>
      <c r="G52" s="61">
        <v>0</v>
      </c>
      <c r="H52" s="61">
        <v>0</v>
      </c>
      <c r="I52" s="61">
        <v>4</v>
      </c>
      <c r="J52" s="61">
        <v>0</v>
      </c>
      <c r="K52" s="72">
        <v>0</v>
      </c>
      <c r="L52" s="67">
        <v>4</v>
      </c>
      <c r="M52" s="61">
        <v>0</v>
      </c>
      <c r="N52" s="61">
        <v>4</v>
      </c>
      <c r="O52" s="61">
        <v>4</v>
      </c>
      <c r="P52" s="73">
        <v>0</v>
      </c>
      <c r="Q52" s="74">
        <v>4</v>
      </c>
      <c r="R52" s="38">
        <v>4</v>
      </c>
      <c r="S52" s="27">
        <v>0</v>
      </c>
      <c r="T52" s="16">
        <v>0</v>
      </c>
      <c r="U52" s="51">
        <v>0</v>
      </c>
      <c r="V52" s="16">
        <v>0</v>
      </c>
      <c r="W52" s="16">
        <v>0</v>
      </c>
      <c r="X52" s="37">
        <v>0</v>
      </c>
      <c r="Y52" s="16">
        <v>4</v>
      </c>
      <c r="Z52" s="16">
        <v>0</v>
      </c>
      <c r="AA52" s="16">
        <v>0</v>
      </c>
      <c r="AB52" s="16">
        <v>0</v>
      </c>
      <c r="AC52" s="16">
        <v>0</v>
      </c>
      <c r="AD52" s="37">
        <v>4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37">
        <v>0</v>
      </c>
      <c r="AK52" s="22">
        <v>4</v>
      </c>
      <c r="AL52" s="22">
        <v>3</v>
      </c>
      <c r="AM52" s="51">
        <v>0</v>
      </c>
      <c r="AN52" s="22">
        <v>4</v>
      </c>
      <c r="AO52" s="16">
        <v>0</v>
      </c>
      <c r="AP52" s="38">
        <v>3.6666666666666665</v>
      </c>
      <c r="AQ52" s="27">
        <v>3</v>
      </c>
      <c r="AR52" s="16">
        <v>0</v>
      </c>
      <c r="AS52" s="25">
        <v>0</v>
      </c>
      <c r="AT52" s="16">
        <v>0</v>
      </c>
      <c r="AU52" s="16">
        <v>0</v>
      </c>
      <c r="AV52" s="37">
        <v>3</v>
      </c>
      <c r="AW52" s="16">
        <v>0</v>
      </c>
      <c r="AX52" s="16">
        <v>0</v>
      </c>
      <c r="AY52" s="29">
        <v>0</v>
      </c>
      <c r="AZ52" s="27">
        <v>4</v>
      </c>
      <c r="BA52" s="57">
        <v>4</v>
      </c>
      <c r="BB52" s="85">
        <v>4</v>
      </c>
    </row>
    <row r="53" spans="1:54" ht="23.1" customHeight="1" x14ac:dyDescent="0.3">
      <c r="A53" s="86">
        <v>49</v>
      </c>
      <c r="B53" s="63" t="s">
        <v>310</v>
      </c>
      <c r="C53" s="64" t="s">
        <v>311</v>
      </c>
      <c r="D53" s="63" t="s">
        <v>450</v>
      </c>
      <c r="E53" s="63" t="s">
        <v>493</v>
      </c>
      <c r="F53" s="63" t="str">
        <f>REPT(CHAR(160),10)&amp;Working!$E53</f>
        <v>          C</v>
      </c>
      <c r="G53" s="65">
        <v>0</v>
      </c>
      <c r="H53" s="65">
        <v>0</v>
      </c>
      <c r="I53" s="65">
        <v>4</v>
      </c>
      <c r="J53" s="65">
        <v>0</v>
      </c>
      <c r="K53" s="66">
        <v>0</v>
      </c>
      <c r="L53" s="67">
        <v>4</v>
      </c>
      <c r="M53" s="65">
        <v>0</v>
      </c>
      <c r="N53" s="65">
        <v>5</v>
      </c>
      <c r="O53" s="65">
        <v>4</v>
      </c>
      <c r="P53" s="68">
        <v>0</v>
      </c>
      <c r="Q53" s="69">
        <v>4</v>
      </c>
      <c r="R53" s="38">
        <v>4.333333333333333</v>
      </c>
      <c r="S53" s="27">
        <v>0</v>
      </c>
      <c r="T53" s="29">
        <v>0</v>
      </c>
      <c r="U53" s="52">
        <v>0</v>
      </c>
      <c r="V53" s="29">
        <v>0</v>
      </c>
      <c r="W53" s="29">
        <v>0</v>
      </c>
      <c r="X53" s="37">
        <v>0</v>
      </c>
      <c r="Y53" s="29">
        <v>4</v>
      </c>
      <c r="Z53" s="29">
        <v>0</v>
      </c>
      <c r="AA53" s="29">
        <v>0</v>
      </c>
      <c r="AB53" s="29">
        <v>0</v>
      </c>
      <c r="AC53" s="29">
        <v>0</v>
      </c>
      <c r="AD53" s="37">
        <v>4</v>
      </c>
      <c r="AE53" s="29">
        <v>0</v>
      </c>
      <c r="AF53" s="29">
        <v>0</v>
      </c>
      <c r="AG53" s="29">
        <v>0</v>
      </c>
      <c r="AH53" s="29">
        <v>0</v>
      </c>
      <c r="AI53" s="29">
        <v>0</v>
      </c>
      <c r="AJ53" s="37">
        <v>0</v>
      </c>
      <c r="AK53" s="28">
        <v>4</v>
      </c>
      <c r="AL53" s="28">
        <v>3</v>
      </c>
      <c r="AM53" s="52">
        <v>0</v>
      </c>
      <c r="AN53" s="28">
        <v>4</v>
      </c>
      <c r="AO53" s="29">
        <v>0</v>
      </c>
      <c r="AP53" s="38">
        <v>3.6666666666666665</v>
      </c>
      <c r="AQ53" s="27">
        <v>5</v>
      </c>
      <c r="AR53" s="29">
        <v>0</v>
      </c>
      <c r="AS53" s="58">
        <v>0</v>
      </c>
      <c r="AT53" s="29">
        <v>0</v>
      </c>
      <c r="AU53" s="29">
        <v>0</v>
      </c>
      <c r="AV53" s="37">
        <v>5</v>
      </c>
      <c r="AW53" s="29">
        <v>0</v>
      </c>
      <c r="AX53" s="29">
        <v>0</v>
      </c>
      <c r="AY53" s="29">
        <v>0</v>
      </c>
      <c r="AZ53" s="27">
        <v>4</v>
      </c>
      <c r="BA53" s="57">
        <v>4</v>
      </c>
      <c r="BB53" s="85">
        <v>4</v>
      </c>
    </row>
    <row r="54" spans="1:54" ht="23.1" customHeight="1" x14ac:dyDescent="0.3">
      <c r="A54" s="87">
        <v>50</v>
      </c>
      <c r="B54" s="70" t="s">
        <v>122</v>
      </c>
      <c r="C54" s="71" t="s">
        <v>123</v>
      </c>
      <c r="D54" s="70" t="s">
        <v>450</v>
      </c>
      <c r="E54" s="70" t="s">
        <v>35</v>
      </c>
      <c r="F54" s="70" t="str">
        <f>REPT(CHAR(160),10)&amp;Working!$E54</f>
        <v>          A</v>
      </c>
      <c r="G54" s="61">
        <v>0</v>
      </c>
      <c r="H54" s="61">
        <v>0</v>
      </c>
      <c r="I54" s="61">
        <v>3</v>
      </c>
      <c r="J54" s="61">
        <v>0</v>
      </c>
      <c r="K54" s="72">
        <v>0</v>
      </c>
      <c r="L54" s="67">
        <v>3</v>
      </c>
      <c r="M54" s="61">
        <v>0</v>
      </c>
      <c r="N54" s="61">
        <v>3</v>
      </c>
      <c r="O54" s="61">
        <v>3</v>
      </c>
      <c r="P54" s="73">
        <v>0</v>
      </c>
      <c r="Q54" s="74">
        <v>3</v>
      </c>
      <c r="R54" s="38">
        <v>3</v>
      </c>
      <c r="S54" s="27">
        <v>0</v>
      </c>
      <c r="T54" s="16">
        <v>0</v>
      </c>
      <c r="U54" s="51">
        <v>0</v>
      </c>
      <c r="V54" s="16">
        <v>0</v>
      </c>
      <c r="W54" s="16">
        <v>0</v>
      </c>
      <c r="X54" s="37">
        <v>0</v>
      </c>
      <c r="Y54" s="16">
        <v>2</v>
      </c>
      <c r="Z54" s="16">
        <v>0</v>
      </c>
      <c r="AA54" s="16">
        <v>0</v>
      </c>
      <c r="AB54" s="16">
        <v>0</v>
      </c>
      <c r="AC54" s="16">
        <v>0</v>
      </c>
      <c r="AD54" s="37">
        <v>2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37">
        <v>0</v>
      </c>
      <c r="AK54" s="22">
        <v>3</v>
      </c>
      <c r="AL54" s="22">
        <v>3</v>
      </c>
      <c r="AM54" s="51">
        <v>0</v>
      </c>
      <c r="AN54" s="22">
        <v>3</v>
      </c>
      <c r="AO54" s="16">
        <v>0</v>
      </c>
      <c r="AP54" s="38">
        <v>3</v>
      </c>
      <c r="AQ54" s="27">
        <v>3</v>
      </c>
      <c r="AR54" s="16">
        <v>0</v>
      </c>
      <c r="AS54" s="25">
        <v>0</v>
      </c>
      <c r="AT54" s="16">
        <v>0</v>
      </c>
      <c r="AU54" s="16">
        <v>0</v>
      </c>
      <c r="AV54" s="37">
        <v>3</v>
      </c>
      <c r="AW54" s="16">
        <v>0</v>
      </c>
      <c r="AX54" s="16">
        <v>0</v>
      </c>
      <c r="AY54" s="29">
        <v>0</v>
      </c>
      <c r="AZ54" s="27">
        <v>2</v>
      </c>
      <c r="BA54" s="57">
        <v>3</v>
      </c>
      <c r="BB54" s="85">
        <v>2.5</v>
      </c>
    </row>
    <row r="55" spans="1:54" ht="23.1" customHeight="1" x14ac:dyDescent="0.3">
      <c r="A55" s="86">
        <v>51</v>
      </c>
      <c r="B55" s="63" t="s">
        <v>259</v>
      </c>
      <c r="C55" s="64" t="s">
        <v>260</v>
      </c>
      <c r="D55" s="63" t="s">
        <v>542</v>
      </c>
      <c r="E55" s="63" t="s">
        <v>161</v>
      </c>
      <c r="F55" s="63" t="str">
        <f>REPT(CHAR(160),10)&amp;Working!$E55</f>
        <v>          B</v>
      </c>
      <c r="G55" s="65">
        <v>0</v>
      </c>
      <c r="H55" s="65">
        <v>0</v>
      </c>
      <c r="I55" s="65">
        <v>2</v>
      </c>
      <c r="J55" s="65">
        <v>0</v>
      </c>
      <c r="K55" s="66">
        <v>0</v>
      </c>
      <c r="L55" s="67">
        <v>2</v>
      </c>
      <c r="M55" s="65">
        <v>0</v>
      </c>
      <c r="N55" s="65">
        <v>2</v>
      </c>
      <c r="O55" s="65">
        <v>2</v>
      </c>
      <c r="P55" s="68">
        <v>0</v>
      </c>
      <c r="Q55" s="69">
        <v>2</v>
      </c>
      <c r="R55" s="38">
        <v>2</v>
      </c>
      <c r="S55" s="27">
        <v>0</v>
      </c>
      <c r="T55" s="29">
        <v>0</v>
      </c>
      <c r="U55" s="52">
        <v>0</v>
      </c>
      <c r="V55" s="29">
        <v>0</v>
      </c>
      <c r="W55" s="29">
        <v>0</v>
      </c>
      <c r="X55" s="37">
        <v>0</v>
      </c>
      <c r="Y55" s="29">
        <v>3</v>
      </c>
      <c r="Z55" s="29">
        <v>0</v>
      </c>
      <c r="AA55" s="29">
        <v>0</v>
      </c>
      <c r="AB55" s="29">
        <v>0</v>
      </c>
      <c r="AC55" s="29">
        <v>0</v>
      </c>
      <c r="AD55" s="37">
        <v>3</v>
      </c>
      <c r="AE55" s="29">
        <v>0</v>
      </c>
      <c r="AF55" s="29">
        <v>0</v>
      </c>
      <c r="AG55" s="29">
        <v>0</v>
      </c>
      <c r="AH55" s="29">
        <v>0</v>
      </c>
      <c r="AI55" s="29">
        <v>0</v>
      </c>
      <c r="AJ55" s="37">
        <v>0</v>
      </c>
      <c r="AK55" s="28">
        <v>2</v>
      </c>
      <c r="AL55" s="28">
        <v>3</v>
      </c>
      <c r="AM55" s="52">
        <v>0</v>
      </c>
      <c r="AN55" s="28">
        <v>3</v>
      </c>
      <c r="AO55" s="29">
        <v>0</v>
      </c>
      <c r="AP55" s="38">
        <v>2.6666666666666665</v>
      </c>
      <c r="AQ55" s="27">
        <v>2</v>
      </c>
      <c r="AR55" s="29">
        <v>0</v>
      </c>
      <c r="AS55" s="58">
        <v>0</v>
      </c>
      <c r="AT55" s="29">
        <v>0</v>
      </c>
      <c r="AU55" s="29">
        <v>0</v>
      </c>
      <c r="AV55" s="37">
        <v>2</v>
      </c>
      <c r="AW55" s="29">
        <v>0</v>
      </c>
      <c r="AX55" s="29">
        <v>0</v>
      </c>
      <c r="AY55" s="29">
        <v>0</v>
      </c>
      <c r="AZ55" s="27">
        <v>3</v>
      </c>
      <c r="BA55" s="57">
        <v>2</v>
      </c>
      <c r="BB55" s="85">
        <v>2.5</v>
      </c>
    </row>
    <row r="56" spans="1:54" ht="23.1" customHeight="1" x14ac:dyDescent="0.3">
      <c r="A56" s="87">
        <v>52</v>
      </c>
      <c r="B56" s="70" t="s">
        <v>213</v>
      </c>
      <c r="C56" s="71" t="s">
        <v>214</v>
      </c>
      <c r="D56" s="70" t="s">
        <v>450</v>
      </c>
      <c r="E56" s="70" t="s">
        <v>161</v>
      </c>
      <c r="F56" s="70" t="str">
        <f>REPT(CHAR(160),10)&amp;Working!$E56</f>
        <v>          B</v>
      </c>
      <c r="G56" s="61">
        <v>0</v>
      </c>
      <c r="H56" s="61">
        <v>0</v>
      </c>
      <c r="I56" s="61">
        <v>2</v>
      </c>
      <c r="J56" s="61">
        <v>0</v>
      </c>
      <c r="K56" s="72">
        <v>0</v>
      </c>
      <c r="L56" s="67">
        <v>2</v>
      </c>
      <c r="M56" s="61">
        <v>0</v>
      </c>
      <c r="N56" s="61">
        <v>2</v>
      </c>
      <c r="O56" s="61">
        <v>2</v>
      </c>
      <c r="P56" s="73">
        <v>0</v>
      </c>
      <c r="Q56" s="74">
        <v>2</v>
      </c>
      <c r="R56" s="38">
        <v>2</v>
      </c>
      <c r="S56" s="27">
        <v>0</v>
      </c>
      <c r="T56" s="16">
        <v>0</v>
      </c>
      <c r="U56" s="51">
        <v>0</v>
      </c>
      <c r="V56" s="16">
        <v>0</v>
      </c>
      <c r="W56" s="16">
        <v>0</v>
      </c>
      <c r="X56" s="37">
        <v>0</v>
      </c>
      <c r="Y56" s="16">
        <v>2</v>
      </c>
      <c r="Z56" s="16">
        <v>0</v>
      </c>
      <c r="AA56" s="16">
        <v>0</v>
      </c>
      <c r="AB56" s="16">
        <v>0</v>
      </c>
      <c r="AC56" s="16">
        <v>0</v>
      </c>
      <c r="AD56" s="37">
        <v>2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37">
        <v>0</v>
      </c>
      <c r="AK56" s="22">
        <v>3</v>
      </c>
      <c r="AL56" s="22">
        <v>3</v>
      </c>
      <c r="AM56" s="51">
        <v>0</v>
      </c>
      <c r="AN56" s="22">
        <v>2</v>
      </c>
      <c r="AO56" s="16">
        <v>0</v>
      </c>
      <c r="AP56" s="38">
        <v>2.6666666666666665</v>
      </c>
      <c r="AQ56" s="27">
        <v>3</v>
      </c>
      <c r="AR56" s="16">
        <v>0</v>
      </c>
      <c r="AS56" s="25">
        <v>0</v>
      </c>
      <c r="AT56" s="16">
        <v>0</v>
      </c>
      <c r="AU56" s="16">
        <v>0</v>
      </c>
      <c r="AV56" s="37">
        <v>3</v>
      </c>
      <c r="AW56" s="16">
        <v>0</v>
      </c>
      <c r="AX56" s="16">
        <v>0</v>
      </c>
      <c r="AY56" s="29">
        <v>0</v>
      </c>
      <c r="AZ56" s="27">
        <v>3</v>
      </c>
      <c r="BA56" s="57">
        <v>3</v>
      </c>
      <c r="BB56" s="85">
        <v>3</v>
      </c>
    </row>
    <row r="57" spans="1:54" ht="23.1" customHeight="1" x14ac:dyDescent="0.3">
      <c r="A57" s="86">
        <v>53</v>
      </c>
      <c r="B57" s="63" t="s">
        <v>229</v>
      </c>
      <c r="C57" s="64" t="s">
        <v>230</v>
      </c>
      <c r="D57" s="63" t="s">
        <v>450</v>
      </c>
      <c r="E57" s="63" t="s">
        <v>161</v>
      </c>
      <c r="F57" s="63" t="str">
        <f>REPT(CHAR(160),10)&amp;Working!$E57</f>
        <v>          B</v>
      </c>
      <c r="G57" s="65">
        <v>0</v>
      </c>
      <c r="H57" s="65">
        <v>0</v>
      </c>
      <c r="I57" s="65">
        <v>2</v>
      </c>
      <c r="J57" s="65">
        <v>0</v>
      </c>
      <c r="K57" s="66">
        <v>0</v>
      </c>
      <c r="L57" s="67">
        <v>2</v>
      </c>
      <c r="M57" s="65">
        <v>0</v>
      </c>
      <c r="N57" s="65">
        <v>2</v>
      </c>
      <c r="O57" s="65">
        <v>2</v>
      </c>
      <c r="P57" s="68">
        <v>0</v>
      </c>
      <c r="Q57" s="69">
        <v>2</v>
      </c>
      <c r="R57" s="38">
        <v>2</v>
      </c>
      <c r="S57" s="27">
        <v>0</v>
      </c>
      <c r="T57" s="29">
        <v>0</v>
      </c>
      <c r="U57" s="52">
        <v>0</v>
      </c>
      <c r="V57" s="29">
        <v>0</v>
      </c>
      <c r="W57" s="29">
        <v>0</v>
      </c>
      <c r="X57" s="37">
        <v>0</v>
      </c>
      <c r="Y57" s="29">
        <v>2</v>
      </c>
      <c r="Z57" s="29">
        <v>0</v>
      </c>
      <c r="AA57" s="29">
        <v>0</v>
      </c>
      <c r="AB57" s="29">
        <v>0</v>
      </c>
      <c r="AC57" s="29">
        <v>0</v>
      </c>
      <c r="AD57" s="37">
        <v>2</v>
      </c>
      <c r="AE57" s="29">
        <v>0</v>
      </c>
      <c r="AF57" s="29">
        <v>0</v>
      </c>
      <c r="AG57" s="29">
        <v>0</v>
      </c>
      <c r="AH57" s="29">
        <v>0</v>
      </c>
      <c r="AI57" s="29">
        <v>0</v>
      </c>
      <c r="AJ57" s="37">
        <v>0</v>
      </c>
      <c r="AK57" s="28">
        <v>2</v>
      </c>
      <c r="AL57" s="28">
        <v>3</v>
      </c>
      <c r="AM57" s="52">
        <v>0</v>
      </c>
      <c r="AN57" s="28">
        <v>3</v>
      </c>
      <c r="AO57" s="29">
        <v>0</v>
      </c>
      <c r="AP57" s="38">
        <v>2.6666666666666665</v>
      </c>
      <c r="AQ57" s="27">
        <v>3</v>
      </c>
      <c r="AR57" s="29">
        <v>0</v>
      </c>
      <c r="AS57" s="58">
        <v>0</v>
      </c>
      <c r="AT57" s="29">
        <v>0</v>
      </c>
      <c r="AU57" s="29">
        <v>0</v>
      </c>
      <c r="AV57" s="37">
        <v>3</v>
      </c>
      <c r="AW57" s="29">
        <v>0</v>
      </c>
      <c r="AX57" s="29">
        <v>0</v>
      </c>
      <c r="AY57" s="29">
        <v>0</v>
      </c>
      <c r="AZ57" s="27">
        <v>3</v>
      </c>
      <c r="BA57" s="57">
        <v>2</v>
      </c>
      <c r="BB57" s="85">
        <v>2.5</v>
      </c>
    </row>
    <row r="58" spans="1:54" ht="23.1" customHeight="1" x14ac:dyDescent="0.3">
      <c r="A58" s="87">
        <v>54</v>
      </c>
      <c r="B58" s="70" t="s">
        <v>312</v>
      </c>
      <c r="C58" s="71" t="s">
        <v>313</v>
      </c>
      <c r="D58" s="70" t="s">
        <v>450</v>
      </c>
      <c r="E58" s="70" t="s">
        <v>493</v>
      </c>
      <c r="F58" s="70" t="str">
        <f>REPT(CHAR(160),10)&amp;Working!$E58</f>
        <v>          C</v>
      </c>
      <c r="G58" s="61">
        <v>0</v>
      </c>
      <c r="H58" s="61">
        <v>0</v>
      </c>
      <c r="I58" s="61">
        <v>4</v>
      </c>
      <c r="J58" s="61">
        <v>0</v>
      </c>
      <c r="K58" s="72">
        <v>0</v>
      </c>
      <c r="L58" s="67">
        <v>4</v>
      </c>
      <c r="M58" s="61">
        <v>0</v>
      </c>
      <c r="N58" s="61">
        <v>3</v>
      </c>
      <c r="O58" s="61">
        <v>3</v>
      </c>
      <c r="P58" s="75">
        <v>0</v>
      </c>
      <c r="Q58" s="76">
        <v>3</v>
      </c>
      <c r="R58" s="38">
        <v>3</v>
      </c>
      <c r="S58" s="27">
        <v>0</v>
      </c>
      <c r="T58" s="16">
        <v>0</v>
      </c>
      <c r="U58" s="53">
        <v>0</v>
      </c>
      <c r="V58" s="16">
        <v>0</v>
      </c>
      <c r="W58" s="16">
        <v>0</v>
      </c>
      <c r="X58" s="37">
        <v>0</v>
      </c>
      <c r="Y58" s="16">
        <v>3</v>
      </c>
      <c r="Z58" s="16">
        <v>0</v>
      </c>
      <c r="AA58" s="16">
        <v>0</v>
      </c>
      <c r="AB58" s="16">
        <v>0</v>
      </c>
      <c r="AC58" s="16">
        <v>0</v>
      </c>
      <c r="AD58" s="37">
        <v>3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37">
        <v>0</v>
      </c>
      <c r="AK58" s="24">
        <v>3</v>
      </c>
      <c r="AL58" s="24">
        <v>3</v>
      </c>
      <c r="AM58" s="53">
        <v>0</v>
      </c>
      <c r="AN58" s="24">
        <v>3</v>
      </c>
      <c r="AO58" s="16">
        <v>0</v>
      </c>
      <c r="AP58" s="38">
        <v>3</v>
      </c>
      <c r="AQ58" s="27">
        <v>5</v>
      </c>
      <c r="AR58" s="16">
        <v>0</v>
      </c>
      <c r="AS58" s="25">
        <v>0</v>
      </c>
      <c r="AT58" s="16">
        <v>0</v>
      </c>
      <c r="AU58" s="16">
        <v>0</v>
      </c>
      <c r="AV58" s="37">
        <v>5</v>
      </c>
      <c r="AW58" s="16">
        <v>0</v>
      </c>
      <c r="AX58" s="16">
        <v>0</v>
      </c>
      <c r="AY58" s="29">
        <v>0</v>
      </c>
      <c r="AZ58" s="27">
        <v>4</v>
      </c>
      <c r="BA58" s="57">
        <v>3</v>
      </c>
      <c r="BB58" s="85">
        <v>3.5</v>
      </c>
    </row>
    <row r="59" spans="1:54" ht="23.1" customHeight="1" x14ac:dyDescent="0.3">
      <c r="A59" s="86">
        <v>55</v>
      </c>
      <c r="B59" s="63" t="s">
        <v>247</v>
      </c>
      <c r="C59" s="64" t="s">
        <v>248</v>
      </c>
      <c r="D59" s="63" t="s">
        <v>450</v>
      </c>
      <c r="E59" s="63" t="s">
        <v>161</v>
      </c>
      <c r="F59" s="63" t="str">
        <f>REPT(CHAR(160),10)&amp;Working!$E59</f>
        <v>          B</v>
      </c>
      <c r="G59" s="65">
        <v>0</v>
      </c>
      <c r="H59" s="65">
        <v>0</v>
      </c>
      <c r="I59" s="65">
        <v>3</v>
      </c>
      <c r="J59" s="65">
        <v>0</v>
      </c>
      <c r="K59" s="66">
        <v>0</v>
      </c>
      <c r="L59" s="67">
        <v>3</v>
      </c>
      <c r="M59" s="65">
        <v>0</v>
      </c>
      <c r="N59" s="65">
        <v>4</v>
      </c>
      <c r="O59" s="65">
        <v>3</v>
      </c>
      <c r="P59" s="68">
        <v>0</v>
      </c>
      <c r="Q59" s="69">
        <v>3</v>
      </c>
      <c r="R59" s="38">
        <v>3.3333333333333335</v>
      </c>
      <c r="S59" s="27">
        <v>0</v>
      </c>
      <c r="T59" s="29">
        <v>0</v>
      </c>
      <c r="U59" s="52">
        <v>0</v>
      </c>
      <c r="V59" s="29">
        <v>0</v>
      </c>
      <c r="W59" s="29">
        <v>0</v>
      </c>
      <c r="X59" s="37">
        <v>0</v>
      </c>
      <c r="Y59" s="29">
        <v>2</v>
      </c>
      <c r="Z59" s="29">
        <v>0</v>
      </c>
      <c r="AA59" s="29">
        <v>0</v>
      </c>
      <c r="AB59" s="29">
        <v>0</v>
      </c>
      <c r="AC59" s="29">
        <v>0</v>
      </c>
      <c r="AD59" s="37">
        <v>2</v>
      </c>
      <c r="AE59" s="29">
        <v>0</v>
      </c>
      <c r="AF59" s="29">
        <v>0</v>
      </c>
      <c r="AG59" s="29">
        <v>0</v>
      </c>
      <c r="AH59" s="29">
        <v>0</v>
      </c>
      <c r="AI59" s="29">
        <v>0</v>
      </c>
      <c r="AJ59" s="37">
        <v>0</v>
      </c>
      <c r="AK59" s="28">
        <v>3</v>
      </c>
      <c r="AL59" s="28">
        <v>3</v>
      </c>
      <c r="AM59" s="52">
        <v>0</v>
      </c>
      <c r="AN59" s="28">
        <v>3</v>
      </c>
      <c r="AO59" s="29">
        <v>0</v>
      </c>
      <c r="AP59" s="38">
        <v>3</v>
      </c>
      <c r="AQ59" s="27">
        <v>3</v>
      </c>
      <c r="AR59" s="29">
        <v>0</v>
      </c>
      <c r="AS59" s="58">
        <v>0</v>
      </c>
      <c r="AT59" s="29">
        <v>0</v>
      </c>
      <c r="AU59" s="29">
        <v>0</v>
      </c>
      <c r="AV59" s="37">
        <v>3</v>
      </c>
      <c r="AW59" s="29">
        <v>0</v>
      </c>
      <c r="AX59" s="29">
        <v>0</v>
      </c>
      <c r="AY59" s="29">
        <v>0</v>
      </c>
      <c r="AZ59" s="27">
        <v>3</v>
      </c>
      <c r="BA59" s="57">
        <v>3</v>
      </c>
      <c r="BB59" s="85">
        <v>3</v>
      </c>
    </row>
    <row r="60" spans="1:54" ht="23.1" customHeight="1" x14ac:dyDescent="0.3">
      <c r="A60" s="87">
        <v>56</v>
      </c>
      <c r="B60" s="70" t="s">
        <v>124</v>
      </c>
      <c r="C60" s="71" t="s">
        <v>125</v>
      </c>
      <c r="D60" s="70" t="s">
        <v>542</v>
      </c>
      <c r="E60" s="70" t="s">
        <v>35</v>
      </c>
      <c r="F60" s="70" t="str">
        <f>REPT(CHAR(160),10)&amp;Working!$E60</f>
        <v>          A</v>
      </c>
      <c r="G60" s="61">
        <v>0</v>
      </c>
      <c r="H60" s="61">
        <v>0</v>
      </c>
      <c r="I60" s="61">
        <v>3</v>
      </c>
      <c r="J60" s="61">
        <v>0</v>
      </c>
      <c r="K60" s="72">
        <v>0</v>
      </c>
      <c r="L60" s="67">
        <v>3</v>
      </c>
      <c r="M60" s="61">
        <v>0</v>
      </c>
      <c r="N60" s="61">
        <v>3</v>
      </c>
      <c r="O60" s="61">
        <v>3</v>
      </c>
      <c r="P60" s="73">
        <v>0</v>
      </c>
      <c r="Q60" s="74">
        <v>3</v>
      </c>
      <c r="R60" s="38">
        <v>3</v>
      </c>
      <c r="S60" s="27">
        <v>0</v>
      </c>
      <c r="T60" s="16">
        <v>0</v>
      </c>
      <c r="U60" s="51">
        <v>0</v>
      </c>
      <c r="V60" s="16">
        <v>0</v>
      </c>
      <c r="W60" s="16">
        <v>0</v>
      </c>
      <c r="X60" s="37">
        <v>0</v>
      </c>
      <c r="Y60" s="16">
        <v>3</v>
      </c>
      <c r="Z60" s="16">
        <v>0</v>
      </c>
      <c r="AA60" s="16">
        <v>0</v>
      </c>
      <c r="AB60" s="16">
        <v>0</v>
      </c>
      <c r="AC60" s="16">
        <v>0</v>
      </c>
      <c r="AD60" s="37">
        <v>3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37">
        <v>0</v>
      </c>
      <c r="AK60" s="22">
        <v>3</v>
      </c>
      <c r="AL60" s="22">
        <v>3</v>
      </c>
      <c r="AM60" s="51">
        <v>0</v>
      </c>
      <c r="AN60" s="22">
        <v>3</v>
      </c>
      <c r="AO60" s="16">
        <v>0</v>
      </c>
      <c r="AP60" s="38">
        <v>3</v>
      </c>
      <c r="AQ60" s="27">
        <v>3</v>
      </c>
      <c r="AR60" s="16">
        <v>0</v>
      </c>
      <c r="AS60" s="26">
        <v>0</v>
      </c>
      <c r="AT60" s="16">
        <v>0</v>
      </c>
      <c r="AU60" s="16">
        <v>0</v>
      </c>
      <c r="AV60" s="37">
        <v>3</v>
      </c>
      <c r="AW60" s="16">
        <v>0</v>
      </c>
      <c r="AX60" s="16">
        <v>0</v>
      </c>
      <c r="AY60" s="29">
        <v>0</v>
      </c>
      <c r="AZ60" s="27">
        <v>3</v>
      </c>
      <c r="BA60" s="57">
        <v>3</v>
      </c>
      <c r="BB60" s="85">
        <v>3</v>
      </c>
    </row>
    <row r="61" spans="1:54" ht="23.1" customHeight="1" x14ac:dyDescent="0.3">
      <c r="A61" s="86">
        <v>57</v>
      </c>
      <c r="B61" s="63" t="s">
        <v>314</v>
      </c>
      <c r="C61" s="64" t="s">
        <v>315</v>
      </c>
      <c r="D61" s="63" t="s">
        <v>542</v>
      </c>
      <c r="E61" s="63" t="s">
        <v>493</v>
      </c>
      <c r="F61" s="63" t="str">
        <f>REPT(CHAR(160),10)&amp;Working!$E61</f>
        <v>          C</v>
      </c>
      <c r="G61" s="65">
        <v>0</v>
      </c>
      <c r="H61" s="65">
        <v>0</v>
      </c>
      <c r="I61" s="65">
        <v>2</v>
      </c>
      <c r="J61" s="65">
        <v>0</v>
      </c>
      <c r="K61" s="66">
        <v>0</v>
      </c>
      <c r="L61" s="67">
        <v>2</v>
      </c>
      <c r="M61" s="65">
        <v>0</v>
      </c>
      <c r="N61" s="65">
        <v>2</v>
      </c>
      <c r="O61" s="65">
        <v>2</v>
      </c>
      <c r="P61" s="68">
        <v>0</v>
      </c>
      <c r="Q61" s="69">
        <v>2</v>
      </c>
      <c r="R61" s="38">
        <v>2</v>
      </c>
      <c r="S61" s="27">
        <v>0</v>
      </c>
      <c r="T61" s="29">
        <v>0</v>
      </c>
      <c r="U61" s="52">
        <v>0</v>
      </c>
      <c r="V61" s="29">
        <v>0</v>
      </c>
      <c r="W61" s="29">
        <v>0</v>
      </c>
      <c r="X61" s="37">
        <v>0</v>
      </c>
      <c r="Y61" s="29">
        <v>2</v>
      </c>
      <c r="Z61" s="29">
        <v>0</v>
      </c>
      <c r="AA61" s="29">
        <v>0</v>
      </c>
      <c r="AB61" s="29">
        <v>0</v>
      </c>
      <c r="AC61" s="29">
        <v>0</v>
      </c>
      <c r="AD61" s="37">
        <v>2</v>
      </c>
      <c r="AE61" s="29">
        <v>0</v>
      </c>
      <c r="AF61" s="29">
        <v>0</v>
      </c>
      <c r="AG61" s="29">
        <v>0</v>
      </c>
      <c r="AH61" s="29">
        <v>0</v>
      </c>
      <c r="AI61" s="29">
        <v>0</v>
      </c>
      <c r="AJ61" s="37">
        <v>0</v>
      </c>
      <c r="AK61" s="28">
        <v>2</v>
      </c>
      <c r="AL61" s="28">
        <v>3</v>
      </c>
      <c r="AM61" s="52">
        <v>0</v>
      </c>
      <c r="AN61" s="28">
        <v>3</v>
      </c>
      <c r="AO61" s="29">
        <v>0</v>
      </c>
      <c r="AP61" s="38">
        <v>2.6666666666666665</v>
      </c>
      <c r="AQ61" s="27">
        <v>3</v>
      </c>
      <c r="AR61" s="29">
        <v>0</v>
      </c>
      <c r="AS61" s="58">
        <v>0</v>
      </c>
      <c r="AT61" s="29">
        <v>0</v>
      </c>
      <c r="AU61" s="29">
        <v>0</v>
      </c>
      <c r="AV61" s="37">
        <v>3</v>
      </c>
      <c r="AW61" s="29">
        <v>0</v>
      </c>
      <c r="AX61" s="29">
        <v>0</v>
      </c>
      <c r="AY61" s="29">
        <v>0</v>
      </c>
      <c r="AZ61" s="27">
        <v>3</v>
      </c>
      <c r="BA61" s="57">
        <v>2</v>
      </c>
      <c r="BB61" s="85">
        <v>2.5</v>
      </c>
    </row>
    <row r="62" spans="1:54" ht="23.1" customHeight="1" x14ac:dyDescent="0.3">
      <c r="A62" s="87">
        <v>58</v>
      </c>
      <c r="B62" s="70" t="s">
        <v>316</v>
      </c>
      <c r="C62" s="71" t="s">
        <v>317</v>
      </c>
      <c r="D62" s="70" t="s">
        <v>450</v>
      </c>
      <c r="E62" s="70" t="s">
        <v>493</v>
      </c>
      <c r="F62" s="70" t="str">
        <f>REPT(CHAR(160),10)&amp;Working!$E62</f>
        <v>          C</v>
      </c>
      <c r="G62" s="61">
        <v>0</v>
      </c>
      <c r="H62" s="61">
        <v>0</v>
      </c>
      <c r="I62" s="61">
        <v>1</v>
      </c>
      <c r="J62" s="61">
        <v>0</v>
      </c>
      <c r="K62" s="72">
        <v>0</v>
      </c>
      <c r="L62" s="67">
        <v>1</v>
      </c>
      <c r="M62" s="61">
        <v>0</v>
      </c>
      <c r="N62" s="61">
        <v>1</v>
      </c>
      <c r="O62" s="61">
        <v>1</v>
      </c>
      <c r="P62" s="73">
        <v>0</v>
      </c>
      <c r="Q62" s="74">
        <v>1</v>
      </c>
      <c r="R62" s="38">
        <v>1</v>
      </c>
      <c r="S62" s="27">
        <v>0</v>
      </c>
      <c r="T62" s="16">
        <v>0</v>
      </c>
      <c r="U62" s="51">
        <v>0</v>
      </c>
      <c r="V62" s="16">
        <v>0</v>
      </c>
      <c r="W62" s="16">
        <v>0</v>
      </c>
      <c r="X62" s="37">
        <v>0</v>
      </c>
      <c r="Y62" s="16">
        <v>1</v>
      </c>
      <c r="Z62" s="16">
        <v>0</v>
      </c>
      <c r="AA62" s="16">
        <v>0</v>
      </c>
      <c r="AB62" s="16">
        <v>0</v>
      </c>
      <c r="AC62" s="16">
        <v>0</v>
      </c>
      <c r="AD62" s="37">
        <v>1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37">
        <v>0</v>
      </c>
      <c r="AK62" s="22">
        <v>1</v>
      </c>
      <c r="AL62" s="22">
        <v>1</v>
      </c>
      <c r="AM62" s="51">
        <v>0</v>
      </c>
      <c r="AN62" s="22">
        <v>1</v>
      </c>
      <c r="AO62" s="16">
        <v>0</v>
      </c>
      <c r="AP62" s="38">
        <v>1</v>
      </c>
      <c r="AQ62" s="27">
        <v>1</v>
      </c>
      <c r="AR62" s="16">
        <v>0</v>
      </c>
      <c r="AS62" s="25">
        <v>0</v>
      </c>
      <c r="AT62" s="16">
        <v>0</v>
      </c>
      <c r="AU62" s="16">
        <v>0</v>
      </c>
      <c r="AV62" s="37">
        <v>1</v>
      </c>
      <c r="AW62" s="16">
        <v>0</v>
      </c>
      <c r="AX62" s="16">
        <v>0</v>
      </c>
      <c r="AY62" s="29">
        <v>0</v>
      </c>
      <c r="AZ62" s="27">
        <v>1</v>
      </c>
      <c r="BA62" s="57">
        <v>1</v>
      </c>
      <c r="BB62" s="85">
        <v>1</v>
      </c>
    </row>
    <row r="63" spans="1:54" ht="23.1" customHeight="1" x14ac:dyDescent="0.3">
      <c r="A63" s="86">
        <v>59</v>
      </c>
      <c r="B63" s="63" t="s">
        <v>126</v>
      </c>
      <c r="C63" s="64" t="s">
        <v>127</v>
      </c>
      <c r="D63" s="63" t="s">
        <v>450</v>
      </c>
      <c r="E63" s="63" t="s">
        <v>35</v>
      </c>
      <c r="F63" s="63" t="str">
        <f>REPT(CHAR(160),10)&amp;Working!$E63</f>
        <v>          A</v>
      </c>
      <c r="G63" s="65">
        <v>0</v>
      </c>
      <c r="H63" s="65">
        <v>0</v>
      </c>
      <c r="I63" s="65">
        <v>3</v>
      </c>
      <c r="J63" s="65">
        <v>0</v>
      </c>
      <c r="K63" s="66">
        <v>0</v>
      </c>
      <c r="L63" s="67">
        <v>3</v>
      </c>
      <c r="M63" s="65">
        <v>0</v>
      </c>
      <c r="N63" s="65">
        <v>4</v>
      </c>
      <c r="O63" s="65">
        <v>3</v>
      </c>
      <c r="P63" s="68">
        <v>0</v>
      </c>
      <c r="Q63" s="69">
        <v>3</v>
      </c>
      <c r="R63" s="38">
        <v>3.3333333333333335</v>
      </c>
      <c r="S63" s="27">
        <v>0</v>
      </c>
      <c r="T63" s="29">
        <v>0</v>
      </c>
      <c r="U63" s="52">
        <v>0</v>
      </c>
      <c r="V63" s="29">
        <v>0</v>
      </c>
      <c r="W63" s="29">
        <v>0</v>
      </c>
      <c r="X63" s="37">
        <v>0</v>
      </c>
      <c r="Y63" s="29">
        <v>3</v>
      </c>
      <c r="Z63" s="29">
        <v>0</v>
      </c>
      <c r="AA63" s="29">
        <v>0</v>
      </c>
      <c r="AB63" s="29">
        <v>0</v>
      </c>
      <c r="AC63" s="29">
        <v>0</v>
      </c>
      <c r="AD63" s="37">
        <v>3</v>
      </c>
      <c r="AE63" s="29">
        <v>0</v>
      </c>
      <c r="AF63" s="29">
        <v>0</v>
      </c>
      <c r="AG63" s="29">
        <v>0</v>
      </c>
      <c r="AH63" s="29">
        <v>0</v>
      </c>
      <c r="AI63" s="29">
        <v>0</v>
      </c>
      <c r="AJ63" s="37">
        <v>0</v>
      </c>
      <c r="AK63" s="28">
        <v>3</v>
      </c>
      <c r="AL63" s="28">
        <v>3</v>
      </c>
      <c r="AM63" s="52">
        <v>0</v>
      </c>
      <c r="AN63" s="28">
        <v>4</v>
      </c>
      <c r="AO63" s="29">
        <v>0</v>
      </c>
      <c r="AP63" s="38">
        <v>3.3333333333333335</v>
      </c>
      <c r="AQ63" s="27">
        <v>3</v>
      </c>
      <c r="AR63" s="29">
        <v>0</v>
      </c>
      <c r="AS63" s="58">
        <v>0</v>
      </c>
      <c r="AT63" s="29">
        <v>0</v>
      </c>
      <c r="AU63" s="29">
        <v>0</v>
      </c>
      <c r="AV63" s="37">
        <v>3</v>
      </c>
      <c r="AW63" s="29">
        <v>0</v>
      </c>
      <c r="AX63" s="29">
        <v>0</v>
      </c>
      <c r="AY63" s="29">
        <v>0</v>
      </c>
      <c r="AZ63" s="27">
        <v>4</v>
      </c>
      <c r="BA63" s="57">
        <v>4</v>
      </c>
      <c r="BB63" s="85">
        <v>4</v>
      </c>
    </row>
    <row r="64" spans="1:54" ht="23.1" customHeight="1" x14ac:dyDescent="0.3">
      <c r="A64" s="87">
        <v>60</v>
      </c>
      <c r="B64" s="70" t="s">
        <v>42</v>
      </c>
      <c r="C64" s="71" t="s">
        <v>43</v>
      </c>
      <c r="D64" s="70" t="s">
        <v>450</v>
      </c>
      <c r="E64" s="70" t="s">
        <v>35</v>
      </c>
      <c r="F64" s="70" t="str">
        <f>REPT(CHAR(160),10)&amp;Working!$E64</f>
        <v>          A</v>
      </c>
      <c r="G64" s="61">
        <v>0</v>
      </c>
      <c r="H64" s="61">
        <v>0</v>
      </c>
      <c r="I64" s="61">
        <v>4</v>
      </c>
      <c r="J64" s="61">
        <v>0</v>
      </c>
      <c r="K64" s="72">
        <v>0</v>
      </c>
      <c r="L64" s="67">
        <v>4</v>
      </c>
      <c r="M64" s="61">
        <v>0</v>
      </c>
      <c r="N64" s="61">
        <v>4</v>
      </c>
      <c r="O64" s="61">
        <v>4</v>
      </c>
      <c r="P64" s="73">
        <v>0</v>
      </c>
      <c r="Q64" s="74">
        <v>4</v>
      </c>
      <c r="R64" s="38">
        <v>4</v>
      </c>
      <c r="S64" s="27">
        <v>0</v>
      </c>
      <c r="T64" s="16">
        <v>0</v>
      </c>
      <c r="U64" s="51">
        <v>0</v>
      </c>
      <c r="V64" s="16">
        <v>0</v>
      </c>
      <c r="W64" s="16">
        <v>0</v>
      </c>
      <c r="X64" s="37">
        <v>0</v>
      </c>
      <c r="Y64" s="16">
        <v>4</v>
      </c>
      <c r="Z64" s="16">
        <v>0</v>
      </c>
      <c r="AA64" s="16">
        <v>0</v>
      </c>
      <c r="AB64" s="16">
        <v>0</v>
      </c>
      <c r="AC64" s="16">
        <v>0</v>
      </c>
      <c r="AD64" s="37">
        <v>4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37">
        <v>0</v>
      </c>
      <c r="AK64" s="22">
        <v>4</v>
      </c>
      <c r="AL64" s="22">
        <v>4</v>
      </c>
      <c r="AM64" s="51">
        <v>0</v>
      </c>
      <c r="AN64" s="22">
        <v>4</v>
      </c>
      <c r="AO64" s="16">
        <v>0</v>
      </c>
      <c r="AP64" s="38">
        <v>4</v>
      </c>
      <c r="AQ64" s="27">
        <v>4</v>
      </c>
      <c r="AR64" s="16">
        <v>0</v>
      </c>
      <c r="AS64" s="25">
        <v>0</v>
      </c>
      <c r="AT64" s="16">
        <v>0</v>
      </c>
      <c r="AU64" s="16">
        <v>0</v>
      </c>
      <c r="AV64" s="37">
        <v>4</v>
      </c>
      <c r="AW64" s="16">
        <v>0</v>
      </c>
      <c r="AX64" s="16">
        <v>0</v>
      </c>
      <c r="AY64" s="29">
        <v>0</v>
      </c>
      <c r="AZ64" s="27">
        <v>4</v>
      </c>
      <c r="BA64" s="57">
        <v>4</v>
      </c>
      <c r="BB64" s="85">
        <v>4</v>
      </c>
    </row>
    <row r="65" spans="1:54" ht="23.1" customHeight="1" x14ac:dyDescent="0.3">
      <c r="A65" s="86">
        <v>61</v>
      </c>
      <c r="B65" s="63" t="s">
        <v>128</v>
      </c>
      <c r="C65" s="64" t="s">
        <v>129</v>
      </c>
      <c r="D65" s="63" t="s">
        <v>450</v>
      </c>
      <c r="E65" s="63" t="s">
        <v>35</v>
      </c>
      <c r="F65" s="63" t="str">
        <f>REPT(CHAR(160),10)&amp;Working!$E65</f>
        <v>          A</v>
      </c>
      <c r="G65" s="65">
        <v>0</v>
      </c>
      <c r="H65" s="65">
        <v>0</v>
      </c>
      <c r="I65" s="65">
        <v>4</v>
      </c>
      <c r="J65" s="65">
        <v>0</v>
      </c>
      <c r="K65" s="66">
        <v>0</v>
      </c>
      <c r="L65" s="67">
        <v>4</v>
      </c>
      <c r="M65" s="65">
        <v>0</v>
      </c>
      <c r="N65" s="65">
        <v>3</v>
      </c>
      <c r="O65" s="65">
        <v>4</v>
      </c>
      <c r="P65" s="68">
        <v>0</v>
      </c>
      <c r="Q65" s="69">
        <v>4</v>
      </c>
      <c r="R65" s="38">
        <v>3.6666666666666665</v>
      </c>
      <c r="S65" s="27">
        <v>0</v>
      </c>
      <c r="T65" s="29">
        <v>0</v>
      </c>
      <c r="U65" s="52">
        <v>0</v>
      </c>
      <c r="V65" s="29">
        <v>0</v>
      </c>
      <c r="W65" s="29">
        <v>0</v>
      </c>
      <c r="X65" s="37">
        <v>0</v>
      </c>
      <c r="Y65" s="29">
        <v>4</v>
      </c>
      <c r="Z65" s="29">
        <v>0</v>
      </c>
      <c r="AA65" s="29">
        <v>0</v>
      </c>
      <c r="AB65" s="29">
        <v>0</v>
      </c>
      <c r="AC65" s="29">
        <v>0</v>
      </c>
      <c r="AD65" s="37">
        <v>4</v>
      </c>
      <c r="AE65" s="29">
        <v>0</v>
      </c>
      <c r="AF65" s="29">
        <v>0</v>
      </c>
      <c r="AG65" s="29">
        <v>0</v>
      </c>
      <c r="AH65" s="29">
        <v>0</v>
      </c>
      <c r="AI65" s="29">
        <v>0</v>
      </c>
      <c r="AJ65" s="37">
        <v>0</v>
      </c>
      <c r="AK65" s="28">
        <v>3</v>
      </c>
      <c r="AL65" s="28">
        <v>4</v>
      </c>
      <c r="AM65" s="52">
        <v>0</v>
      </c>
      <c r="AN65" s="28">
        <v>4</v>
      </c>
      <c r="AO65" s="29">
        <v>0</v>
      </c>
      <c r="AP65" s="38">
        <v>3.6666666666666665</v>
      </c>
      <c r="AQ65" s="27">
        <v>4</v>
      </c>
      <c r="AR65" s="29">
        <v>0</v>
      </c>
      <c r="AS65" s="58">
        <v>0</v>
      </c>
      <c r="AT65" s="29">
        <v>0</v>
      </c>
      <c r="AU65" s="29">
        <v>0</v>
      </c>
      <c r="AV65" s="37">
        <v>4</v>
      </c>
      <c r="AW65" s="29">
        <v>0</v>
      </c>
      <c r="AX65" s="29">
        <v>0</v>
      </c>
      <c r="AY65" s="29">
        <v>0</v>
      </c>
      <c r="AZ65" s="27">
        <v>4</v>
      </c>
      <c r="BA65" s="57">
        <v>4</v>
      </c>
      <c r="BB65" s="85">
        <v>4</v>
      </c>
    </row>
    <row r="66" spans="1:54" ht="23.1" customHeight="1" x14ac:dyDescent="0.3">
      <c r="A66" s="87">
        <v>62</v>
      </c>
      <c r="B66" s="70" t="s">
        <v>275</v>
      </c>
      <c r="C66" s="71" t="s">
        <v>276</v>
      </c>
      <c r="D66" s="70" t="s">
        <v>542</v>
      </c>
      <c r="E66" s="70" t="s">
        <v>161</v>
      </c>
      <c r="F66" s="70" t="str">
        <f>REPT(CHAR(160),10)&amp;Working!$E66</f>
        <v>          B</v>
      </c>
      <c r="G66" s="61">
        <v>0</v>
      </c>
      <c r="H66" s="61">
        <v>0</v>
      </c>
      <c r="I66" s="61">
        <v>3</v>
      </c>
      <c r="J66" s="61">
        <v>0</v>
      </c>
      <c r="K66" s="72">
        <v>0</v>
      </c>
      <c r="L66" s="67">
        <v>3</v>
      </c>
      <c r="M66" s="61">
        <v>0</v>
      </c>
      <c r="N66" s="61">
        <v>3</v>
      </c>
      <c r="O66" s="61">
        <v>3</v>
      </c>
      <c r="P66" s="73">
        <v>0</v>
      </c>
      <c r="Q66" s="74">
        <v>3</v>
      </c>
      <c r="R66" s="38">
        <v>3</v>
      </c>
      <c r="S66" s="27">
        <v>0</v>
      </c>
      <c r="T66" s="16">
        <v>0</v>
      </c>
      <c r="U66" s="51">
        <v>0</v>
      </c>
      <c r="V66" s="16">
        <v>0</v>
      </c>
      <c r="W66" s="16">
        <v>0</v>
      </c>
      <c r="X66" s="37">
        <v>0</v>
      </c>
      <c r="Y66" s="16">
        <v>3</v>
      </c>
      <c r="Z66" s="16">
        <v>0</v>
      </c>
      <c r="AA66" s="16">
        <v>0</v>
      </c>
      <c r="AB66" s="16">
        <v>0</v>
      </c>
      <c r="AC66" s="16">
        <v>0</v>
      </c>
      <c r="AD66" s="37">
        <v>3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37">
        <v>0</v>
      </c>
      <c r="AK66" s="22">
        <v>3</v>
      </c>
      <c r="AL66" s="22">
        <v>4</v>
      </c>
      <c r="AM66" s="51">
        <v>0</v>
      </c>
      <c r="AN66" s="22">
        <v>4</v>
      </c>
      <c r="AO66" s="16">
        <v>0</v>
      </c>
      <c r="AP66" s="38">
        <v>3.6666666666666665</v>
      </c>
      <c r="AQ66" s="27">
        <v>3</v>
      </c>
      <c r="AR66" s="16">
        <v>0</v>
      </c>
      <c r="AS66" s="25">
        <v>0</v>
      </c>
      <c r="AT66" s="16">
        <v>0</v>
      </c>
      <c r="AU66" s="16">
        <v>0</v>
      </c>
      <c r="AV66" s="37">
        <v>3</v>
      </c>
      <c r="AW66" s="16">
        <v>0</v>
      </c>
      <c r="AX66" s="16">
        <v>0</v>
      </c>
      <c r="AY66" s="29">
        <v>0</v>
      </c>
      <c r="AZ66" s="27">
        <v>3</v>
      </c>
      <c r="BA66" s="57">
        <v>4</v>
      </c>
      <c r="BB66" s="85">
        <v>3.5</v>
      </c>
    </row>
    <row r="67" spans="1:54" ht="23.1" customHeight="1" x14ac:dyDescent="0.3">
      <c r="A67" s="86">
        <v>63</v>
      </c>
      <c r="B67" s="63" t="s">
        <v>60</v>
      </c>
      <c r="C67" s="64" t="s">
        <v>61</v>
      </c>
      <c r="D67" s="63" t="s">
        <v>450</v>
      </c>
      <c r="E67" s="63" t="s">
        <v>35</v>
      </c>
      <c r="F67" s="63" t="str">
        <f>REPT(CHAR(160),10)&amp;Working!$E67</f>
        <v>          A</v>
      </c>
      <c r="G67" s="65">
        <v>0</v>
      </c>
      <c r="H67" s="65">
        <v>0</v>
      </c>
      <c r="I67" s="65">
        <v>3</v>
      </c>
      <c r="J67" s="65">
        <v>0</v>
      </c>
      <c r="K67" s="66">
        <v>0</v>
      </c>
      <c r="L67" s="67">
        <v>3</v>
      </c>
      <c r="M67" s="65">
        <v>0</v>
      </c>
      <c r="N67" s="65">
        <v>3</v>
      </c>
      <c r="O67" s="65">
        <v>3</v>
      </c>
      <c r="P67" s="68">
        <v>0</v>
      </c>
      <c r="Q67" s="69">
        <v>3</v>
      </c>
      <c r="R67" s="38">
        <v>3</v>
      </c>
      <c r="S67" s="27">
        <v>0</v>
      </c>
      <c r="T67" s="29">
        <v>0</v>
      </c>
      <c r="U67" s="52">
        <v>0</v>
      </c>
      <c r="V67" s="29">
        <v>0</v>
      </c>
      <c r="W67" s="29">
        <v>0</v>
      </c>
      <c r="X67" s="37">
        <v>0</v>
      </c>
      <c r="Y67" s="29">
        <v>4</v>
      </c>
      <c r="Z67" s="29">
        <v>0</v>
      </c>
      <c r="AA67" s="29">
        <v>0</v>
      </c>
      <c r="AB67" s="29">
        <v>0</v>
      </c>
      <c r="AC67" s="29">
        <v>0</v>
      </c>
      <c r="AD67" s="37">
        <v>4</v>
      </c>
      <c r="AE67" s="29">
        <v>0</v>
      </c>
      <c r="AF67" s="29">
        <v>0</v>
      </c>
      <c r="AG67" s="29">
        <v>0</v>
      </c>
      <c r="AH67" s="29">
        <v>0</v>
      </c>
      <c r="AI67" s="29">
        <v>0</v>
      </c>
      <c r="AJ67" s="37">
        <v>0</v>
      </c>
      <c r="AK67" s="28">
        <v>3</v>
      </c>
      <c r="AL67" s="28">
        <v>4</v>
      </c>
      <c r="AM67" s="52">
        <v>0</v>
      </c>
      <c r="AN67" s="28">
        <v>3</v>
      </c>
      <c r="AO67" s="29">
        <v>0</v>
      </c>
      <c r="AP67" s="38">
        <v>3.3333333333333335</v>
      </c>
      <c r="AQ67" s="27">
        <v>3</v>
      </c>
      <c r="AR67" s="29">
        <v>0</v>
      </c>
      <c r="AS67" s="58">
        <v>0</v>
      </c>
      <c r="AT67" s="29">
        <v>0</v>
      </c>
      <c r="AU67" s="29">
        <v>0</v>
      </c>
      <c r="AV67" s="37">
        <v>3</v>
      </c>
      <c r="AW67" s="29">
        <v>0</v>
      </c>
      <c r="AX67" s="29">
        <v>0</v>
      </c>
      <c r="AY67" s="29">
        <v>0</v>
      </c>
      <c r="AZ67" s="27">
        <v>3</v>
      </c>
      <c r="BA67" s="57">
        <v>3</v>
      </c>
      <c r="BB67" s="85">
        <v>3</v>
      </c>
    </row>
    <row r="68" spans="1:54" ht="23.1" customHeight="1" x14ac:dyDescent="0.3">
      <c r="A68" s="87">
        <v>64</v>
      </c>
      <c r="B68" s="70" t="s">
        <v>318</v>
      </c>
      <c r="C68" s="71" t="s">
        <v>319</v>
      </c>
      <c r="D68" s="70" t="s">
        <v>450</v>
      </c>
      <c r="E68" s="70" t="s">
        <v>493</v>
      </c>
      <c r="F68" s="70" t="str">
        <f>REPT(CHAR(160),10)&amp;Working!$E68</f>
        <v>          C</v>
      </c>
      <c r="G68" s="61">
        <v>0</v>
      </c>
      <c r="H68" s="61">
        <v>0</v>
      </c>
      <c r="I68" s="61">
        <v>0</v>
      </c>
      <c r="J68" s="61">
        <v>0</v>
      </c>
      <c r="K68" s="72">
        <v>0</v>
      </c>
      <c r="L68" s="67">
        <v>0</v>
      </c>
      <c r="M68" s="61">
        <v>0</v>
      </c>
      <c r="N68" s="61">
        <v>0</v>
      </c>
      <c r="O68" s="61">
        <v>0</v>
      </c>
      <c r="P68" s="77">
        <v>0</v>
      </c>
      <c r="Q68" s="78">
        <v>0</v>
      </c>
      <c r="R68" s="38">
        <v>0</v>
      </c>
      <c r="S68" s="27">
        <v>0</v>
      </c>
      <c r="T68" s="16">
        <v>0</v>
      </c>
      <c r="U68" s="54">
        <v>0</v>
      </c>
      <c r="V68" s="16">
        <v>0</v>
      </c>
      <c r="W68" s="16">
        <v>0</v>
      </c>
      <c r="X68" s="37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37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37">
        <v>0</v>
      </c>
      <c r="AK68" s="25">
        <v>0</v>
      </c>
      <c r="AL68" s="25">
        <v>0</v>
      </c>
      <c r="AM68" s="54">
        <v>0</v>
      </c>
      <c r="AN68" s="25" t="s">
        <v>35</v>
      </c>
      <c r="AO68" s="16">
        <v>0</v>
      </c>
      <c r="AP68" s="38">
        <v>0</v>
      </c>
      <c r="AQ68" s="27">
        <v>0</v>
      </c>
      <c r="AR68" s="16">
        <v>0</v>
      </c>
      <c r="AS68" s="25">
        <v>0</v>
      </c>
      <c r="AT68" s="16">
        <v>0</v>
      </c>
      <c r="AU68" s="16">
        <v>0</v>
      </c>
      <c r="AV68" s="37">
        <v>0</v>
      </c>
      <c r="AW68" s="16">
        <v>0</v>
      </c>
      <c r="AX68" s="16">
        <v>0</v>
      </c>
      <c r="AY68" s="29">
        <v>0</v>
      </c>
      <c r="AZ68" s="27">
        <v>0</v>
      </c>
      <c r="BA68" s="57">
        <v>0</v>
      </c>
      <c r="BB68" s="85">
        <v>0</v>
      </c>
    </row>
    <row r="69" spans="1:54" ht="23.1" customHeight="1" x14ac:dyDescent="0.3">
      <c r="A69" s="86">
        <v>65</v>
      </c>
      <c r="B69" s="63" t="s">
        <v>91</v>
      </c>
      <c r="C69" s="64" t="s">
        <v>92</v>
      </c>
      <c r="D69" s="63" t="s">
        <v>450</v>
      </c>
      <c r="E69" s="63" t="s">
        <v>35</v>
      </c>
      <c r="F69" s="63" t="str">
        <f>REPT(CHAR(160),10)&amp;Working!$E69</f>
        <v>          A</v>
      </c>
      <c r="G69" s="65">
        <v>0</v>
      </c>
      <c r="H69" s="65">
        <v>0</v>
      </c>
      <c r="I69" s="65">
        <v>3</v>
      </c>
      <c r="J69" s="65">
        <v>0</v>
      </c>
      <c r="K69" s="66">
        <v>0</v>
      </c>
      <c r="L69" s="67">
        <v>3</v>
      </c>
      <c r="M69" s="65">
        <v>0</v>
      </c>
      <c r="N69" s="65">
        <v>3</v>
      </c>
      <c r="O69" s="65">
        <v>3</v>
      </c>
      <c r="P69" s="68">
        <v>0</v>
      </c>
      <c r="Q69" s="69">
        <v>3</v>
      </c>
      <c r="R69" s="38">
        <v>3</v>
      </c>
      <c r="S69" s="27">
        <v>0</v>
      </c>
      <c r="T69" s="29">
        <v>0</v>
      </c>
      <c r="U69" s="52">
        <v>0</v>
      </c>
      <c r="V69" s="29">
        <v>0</v>
      </c>
      <c r="W69" s="29">
        <v>0</v>
      </c>
      <c r="X69" s="37">
        <v>0</v>
      </c>
      <c r="Y69" s="29">
        <v>3</v>
      </c>
      <c r="Z69" s="29">
        <v>0</v>
      </c>
      <c r="AA69" s="29">
        <v>0</v>
      </c>
      <c r="AB69" s="29">
        <v>0</v>
      </c>
      <c r="AC69" s="29">
        <v>0</v>
      </c>
      <c r="AD69" s="37">
        <v>3</v>
      </c>
      <c r="AE69" s="29">
        <v>0</v>
      </c>
      <c r="AF69" s="29">
        <v>0</v>
      </c>
      <c r="AG69" s="29">
        <v>0</v>
      </c>
      <c r="AH69" s="29">
        <v>0</v>
      </c>
      <c r="AI69" s="29">
        <v>0</v>
      </c>
      <c r="AJ69" s="37">
        <v>0</v>
      </c>
      <c r="AK69" s="28">
        <v>4</v>
      </c>
      <c r="AL69" s="28">
        <v>4</v>
      </c>
      <c r="AM69" s="52">
        <v>0</v>
      </c>
      <c r="AN69" s="28">
        <v>4</v>
      </c>
      <c r="AO69" s="29">
        <v>0</v>
      </c>
      <c r="AP69" s="38">
        <v>4</v>
      </c>
      <c r="AQ69" s="27">
        <v>4</v>
      </c>
      <c r="AR69" s="29">
        <v>0</v>
      </c>
      <c r="AS69" s="58">
        <v>0</v>
      </c>
      <c r="AT69" s="29">
        <v>0</v>
      </c>
      <c r="AU69" s="29">
        <v>0</v>
      </c>
      <c r="AV69" s="37">
        <v>4</v>
      </c>
      <c r="AW69" s="29">
        <v>0</v>
      </c>
      <c r="AX69" s="29">
        <v>0</v>
      </c>
      <c r="AY69" s="29">
        <v>0</v>
      </c>
      <c r="AZ69" s="27">
        <v>3</v>
      </c>
      <c r="BA69" s="57">
        <v>3</v>
      </c>
      <c r="BB69" s="85">
        <v>3</v>
      </c>
    </row>
    <row r="70" spans="1:54" ht="23.1" customHeight="1" x14ac:dyDescent="0.3">
      <c r="A70" s="87">
        <v>66</v>
      </c>
      <c r="B70" s="70" t="s">
        <v>261</v>
      </c>
      <c r="C70" s="71" t="s">
        <v>262</v>
      </c>
      <c r="D70" s="70" t="s">
        <v>450</v>
      </c>
      <c r="E70" s="70" t="s">
        <v>161</v>
      </c>
      <c r="F70" s="70" t="str">
        <f>REPT(CHAR(160),10)&amp;Working!$E70</f>
        <v>          B</v>
      </c>
      <c r="G70" s="61">
        <v>0</v>
      </c>
      <c r="H70" s="61">
        <v>0</v>
      </c>
      <c r="I70" s="61">
        <v>0</v>
      </c>
      <c r="J70" s="61">
        <v>0</v>
      </c>
      <c r="K70" s="72">
        <v>0</v>
      </c>
      <c r="L70" s="67">
        <v>0</v>
      </c>
      <c r="M70" s="61">
        <v>0</v>
      </c>
      <c r="N70" s="61">
        <v>0</v>
      </c>
      <c r="O70" s="61">
        <v>0</v>
      </c>
      <c r="P70" s="73">
        <v>0</v>
      </c>
      <c r="Q70" s="74">
        <v>0</v>
      </c>
      <c r="R70" s="38">
        <v>0</v>
      </c>
      <c r="S70" s="27">
        <v>0</v>
      </c>
      <c r="T70" s="16">
        <v>0</v>
      </c>
      <c r="U70" s="51">
        <v>0</v>
      </c>
      <c r="V70" s="16">
        <v>0</v>
      </c>
      <c r="W70" s="16">
        <v>0</v>
      </c>
      <c r="X70" s="37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37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37">
        <v>0</v>
      </c>
      <c r="AK70" s="22">
        <v>0</v>
      </c>
      <c r="AL70" s="22">
        <v>0</v>
      </c>
      <c r="AM70" s="51">
        <v>0</v>
      </c>
      <c r="AN70" s="22" t="s">
        <v>35</v>
      </c>
      <c r="AO70" s="16">
        <v>0</v>
      </c>
      <c r="AP70" s="38">
        <v>0</v>
      </c>
      <c r="AQ70" s="27">
        <v>0</v>
      </c>
      <c r="AR70" s="16">
        <v>0</v>
      </c>
      <c r="AS70" s="25">
        <v>0</v>
      </c>
      <c r="AT70" s="16">
        <v>0</v>
      </c>
      <c r="AU70" s="16">
        <v>0</v>
      </c>
      <c r="AV70" s="37">
        <v>0</v>
      </c>
      <c r="AW70" s="16">
        <v>0</v>
      </c>
      <c r="AX70" s="16">
        <v>0</v>
      </c>
      <c r="AY70" s="29">
        <v>0</v>
      </c>
      <c r="AZ70" s="27">
        <v>0</v>
      </c>
      <c r="BA70" s="57">
        <v>0</v>
      </c>
      <c r="BB70" s="85">
        <v>0</v>
      </c>
    </row>
    <row r="71" spans="1:54" ht="23.1" customHeight="1" x14ac:dyDescent="0.3">
      <c r="A71" s="86">
        <v>67</v>
      </c>
      <c r="B71" s="63" t="s">
        <v>277</v>
      </c>
      <c r="C71" s="64" t="s">
        <v>278</v>
      </c>
      <c r="D71" s="63" t="s">
        <v>450</v>
      </c>
      <c r="E71" s="63" t="s">
        <v>161</v>
      </c>
      <c r="F71" s="63" t="str">
        <f>REPT(CHAR(160),10)&amp;Working!$E71</f>
        <v>          B</v>
      </c>
      <c r="G71" s="65">
        <v>0</v>
      </c>
      <c r="H71" s="65">
        <v>0</v>
      </c>
      <c r="I71" s="65">
        <v>3</v>
      </c>
      <c r="J71" s="65">
        <v>0</v>
      </c>
      <c r="K71" s="66">
        <v>0</v>
      </c>
      <c r="L71" s="67">
        <v>3</v>
      </c>
      <c r="M71" s="65">
        <v>0</v>
      </c>
      <c r="N71" s="65">
        <v>3</v>
      </c>
      <c r="O71" s="65">
        <v>3</v>
      </c>
      <c r="P71" s="68">
        <v>0</v>
      </c>
      <c r="Q71" s="69">
        <v>3</v>
      </c>
      <c r="R71" s="38">
        <v>3</v>
      </c>
      <c r="S71" s="27">
        <v>0</v>
      </c>
      <c r="T71" s="29">
        <v>0</v>
      </c>
      <c r="U71" s="52">
        <v>0</v>
      </c>
      <c r="V71" s="29">
        <v>0</v>
      </c>
      <c r="W71" s="29">
        <v>0</v>
      </c>
      <c r="X71" s="37">
        <v>0</v>
      </c>
      <c r="Y71" s="29">
        <v>3</v>
      </c>
      <c r="Z71" s="29">
        <v>0</v>
      </c>
      <c r="AA71" s="29">
        <v>0</v>
      </c>
      <c r="AB71" s="29">
        <v>0</v>
      </c>
      <c r="AC71" s="29">
        <v>0</v>
      </c>
      <c r="AD71" s="37">
        <v>3</v>
      </c>
      <c r="AE71" s="29">
        <v>0</v>
      </c>
      <c r="AF71" s="29">
        <v>0</v>
      </c>
      <c r="AG71" s="29">
        <v>0</v>
      </c>
      <c r="AH71" s="29">
        <v>0</v>
      </c>
      <c r="AI71" s="29">
        <v>0</v>
      </c>
      <c r="AJ71" s="37">
        <v>0</v>
      </c>
      <c r="AK71" s="28">
        <v>4</v>
      </c>
      <c r="AL71" s="28">
        <v>3</v>
      </c>
      <c r="AM71" s="52">
        <v>0</v>
      </c>
      <c r="AN71" s="28">
        <v>3</v>
      </c>
      <c r="AO71" s="29">
        <v>0</v>
      </c>
      <c r="AP71" s="38">
        <v>3.3333333333333335</v>
      </c>
      <c r="AQ71" s="27">
        <v>5</v>
      </c>
      <c r="AR71" s="29">
        <v>0</v>
      </c>
      <c r="AS71" s="58">
        <v>0</v>
      </c>
      <c r="AT71" s="29">
        <v>0</v>
      </c>
      <c r="AU71" s="29">
        <v>0</v>
      </c>
      <c r="AV71" s="37">
        <v>5</v>
      </c>
      <c r="AW71" s="29">
        <v>0</v>
      </c>
      <c r="AX71" s="29">
        <v>0</v>
      </c>
      <c r="AY71" s="29">
        <v>0</v>
      </c>
      <c r="AZ71" s="27">
        <v>3</v>
      </c>
      <c r="BA71" s="57">
        <v>3</v>
      </c>
      <c r="BB71" s="85">
        <v>3</v>
      </c>
    </row>
    <row r="72" spans="1:54" ht="23.1" customHeight="1" x14ac:dyDescent="0.3">
      <c r="A72" s="87">
        <v>68</v>
      </c>
      <c r="B72" s="70" t="s">
        <v>164</v>
      </c>
      <c r="C72" s="71" t="s">
        <v>165</v>
      </c>
      <c r="D72" s="70" t="s">
        <v>450</v>
      </c>
      <c r="E72" s="70" t="s">
        <v>161</v>
      </c>
      <c r="F72" s="70" t="str">
        <f>REPT(CHAR(160),10)&amp;Working!$E72</f>
        <v>          B</v>
      </c>
      <c r="G72" s="61">
        <v>0</v>
      </c>
      <c r="H72" s="61">
        <v>0</v>
      </c>
      <c r="I72" s="61">
        <v>4</v>
      </c>
      <c r="J72" s="61">
        <v>0</v>
      </c>
      <c r="K72" s="72">
        <v>0</v>
      </c>
      <c r="L72" s="67">
        <v>4</v>
      </c>
      <c r="M72" s="61">
        <v>0</v>
      </c>
      <c r="N72" s="61">
        <v>4</v>
      </c>
      <c r="O72" s="61">
        <v>4</v>
      </c>
      <c r="P72" s="75">
        <v>0</v>
      </c>
      <c r="Q72" s="76">
        <v>4</v>
      </c>
      <c r="R72" s="38">
        <v>4</v>
      </c>
      <c r="S72" s="27">
        <v>0</v>
      </c>
      <c r="T72" s="16">
        <v>0</v>
      </c>
      <c r="U72" s="53">
        <v>0</v>
      </c>
      <c r="V72" s="16">
        <v>0</v>
      </c>
      <c r="W72" s="16">
        <v>0</v>
      </c>
      <c r="X72" s="37">
        <v>0</v>
      </c>
      <c r="Y72" s="16">
        <v>4</v>
      </c>
      <c r="Z72" s="16">
        <v>0</v>
      </c>
      <c r="AA72" s="16">
        <v>0</v>
      </c>
      <c r="AB72" s="16">
        <v>0</v>
      </c>
      <c r="AC72" s="16">
        <v>0</v>
      </c>
      <c r="AD72" s="37">
        <v>4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37">
        <v>0</v>
      </c>
      <c r="AK72" s="24">
        <v>3</v>
      </c>
      <c r="AL72" s="24">
        <v>5</v>
      </c>
      <c r="AM72" s="53">
        <v>0</v>
      </c>
      <c r="AN72" s="24">
        <v>5</v>
      </c>
      <c r="AO72" s="16">
        <v>0</v>
      </c>
      <c r="AP72" s="38">
        <v>4.333333333333333</v>
      </c>
      <c r="AQ72" s="27">
        <v>4</v>
      </c>
      <c r="AR72" s="16">
        <v>0</v>
      </c>
      <c r="AS72" s="25">
        <v>0</v>
      </c>
      <c r="AT72" s="16">
        <v>0</v>
      </c>
      <c r="AU72" s="16">
        <v>0</v>
      </c>
      <c r="AV72" s="37">
        <v>4</v>
      </c>
      <c r="AW72" s="16">
        <v>0</v>
      </c>
      <c r="AX72" s="16">
        <v>0</v>
      </c>
      <c r="AY72" s="29">
        <v>0</v>
      </c>
      <c r="AZ72" s="27">
        <v>4</v>
      </c>
      <c r="BA72" s="57">
        <v>5</v>
      </c>
      <c r="BB72" s="85">
        <v>4.5</v>
      </c>
    </row>
    <row r="73" spans="1:54" ht="23.1" customHeight="1" x14ac:dyDescent="0.3">
      <c r="A73" s="86">
        <v>69</v>
      </c>
      <c r="B73" s="63" t="s">
        <v>130</v>
      </c>
      <c r="C73" s="64" t="s">
        <v>131</v>
      </c>
      <c r="D73" s="63" t="s">
        <v>542</v>
      </c>
      <c r="E73" s="63" t="s">
        <v>35</v>
      </c>
      <c r="F73" s="63" t="str">
        <f>REPT(CHAR(160),10)&amp;Working!$E73</f>
        <v>          A</v>
      </c>
      <c r="G73" s="65">
        <v>0</v>
      </c>
      <c r="H73" s="65">
        <v>0</v>
      </c>
      <c r="I73" s="65">
        <v>2</v>
      </c>
      <c r="J73" s="65">
        <v>0</v>
      </c>
      <c r="K73" s="66">
        <v>0</v>
      </c>
      <c r="L73" s="67">
        <v>2</v>
      </c>
      <c r="M73" s="65">
        <v>0</v>
      </c>
      <c r="N73" s="65">
        <v>2</v>
      </c>
      <c r="O73" s="65">
        <v>2</v>
      </c>
      <c r="P73" s="68">
        <v>0</v>
      </c>
      <c r="Q73" s="69">
        <v>2</v>
      </c>
      <c r="R73" s="38">
        <v>2</v>
      </c>
      <c r="S73" s="27">
        <v>0</v>
      </c>
      <c r="T73" s="29">
        <v>0</v>
      </c>
      <c r="U73" s="52">
        <v>0</v>
      </c>
      <c r="V73" s="29">
        <v>0</v>
      </c>
      <c r="W73" s="29">
        <v>0</v>
      </c>
      <c r="X73" s="37">
        <v>0</v>
      </c>
      <c r="Y73" s="29">
        <v>2</v>
      </c>
      <c r="Z73" s="29">
        <v>0</v>
      </c>
      <c r="AA73" s="29">
        <v>0</v>
      </c>
      <c r="AB73" s="29">
        <v>0</v>
      </c>
      <c r="AC73" s="29">
        <v>0</v>
      </c>
      <c r="AD73" s="37">
        <v>2</v>
      </c>
      <c r="AE73" s="29">
        <v>0</v>
      </c>
      <c r="AF73" s="29">
        <v>0</v>
      </c>
      <c r="AG73" s="29">
        <v>0</v>
      </c>
      <c r="AH73" s="29">
        <v>0</v>
      </c>
      <c r="AI73" s="29">
        <v>0</v>
      </c>
      <c r="AJ73" s="37">
        <v>0</v>
      </c>
      <c r="AK73" s="28">
        <v>2</v>
      </c>
      <c r="AL73" s="28">
        <v>2</v>
      </c>
      <c r="AM73" s="52">
        <v>0</v>
      </c>
      <c r="AN73" s="28">
        <v>2</v>
      </c>
      <c r="AO73" s="29">
        <v>0</v>
      </c>
      <c r="AP73" s="38">
        <v>2</v>
      </c>
      <c r="AQ73" s="27">
        <v>2</v>
      </c>
      <c r="AR73" s="29">
        <v>0</v>
      </c>
      <c r="AS73" s="58">
        <v>0</v>
      </c>
      <c r="AT73" s="29">
        <v>0</v>
      </c>
      <c r="AU73" s="29">
        <v>0</v>
      </c>
      <c r="AV73" s="37">
        <v>2</v>
      </c>
      <c r="AW73" s="29">
        <v>0</v>
      </c>
      <c r="AX73" s="29">
        <v>0</v>
      </c>
      <c r="AY73" s="29">
        <v>0</v>
      </c>
      <c r="AZ73" s="27">
        <v>2</v>
      </c>
      <c r="BA73" s="57">
        <v>2</v>
      </c>
      <c r="BB73" s="85">
        <v>2</v>
      </c>
    </row>
    <row r="74" spans="1:54" ht="23.1" customHeight="1" x14ac:dyDescent="0.3">
      <c r="A74" s="87">
        <v>70</v>
      </c>
      <c r="B74" s="70" t="s">
        <v>320</v>
      </c>
      <c r="C74" s="71" t="s">
        <v>321</v>
      </c>
      <c r="D74" s="70" t="s">
        <v>542</v>
      </c>
      <c r="E74" s="70" t="s">
        <v>493</v>
      </c>
      <c r="F74" s="70" t="str">
        <f>REPT(CHAR(160),10)&amp;Working!$E74</f>
        <v>          C</v>
      </c>
      <c r="G74" s="61">
        <v>0</v>
      </c>
      <c r="H74" s="61">
        <v>0</v>
      </c>
      <c r="I74" s="61">
        <v>2</v>
      </c>
      <c r="J74" s="61">
        <v>0</v>
      </c>
      <c r="K74" s="72">
        <v>0</v>
      </c>
      <c r="L74" s="67">
        <v>2</v>
      </c>
      <c r="M74" s="61">
        <v>0</v>
      </c>
      <c r="N74" s="61">
        <v>2</v>
      </c>
      <c r="O74" s="61">
        <v>2</v>
      </c>
      <c r="P74" s="73">
        <v>0</v>
      </c>
      <c r="Q74" s="74">
        <v>2</v>
      </c>
      <c r="R74" s="38">
        <v>2</v>
      </c>
      <c r="S74" s="27">
        <v>0</v>
      </c>
      <c r="T74" s="16">
        <v>0</v>
      </c>
      <c r="U74" s="51">
        <v>0</v>
      </c>
      <c r="V74" s="16">
        <v>0</v>
      </c>
      <c r="W74" s="16">
        <v>0</v>
      </c>
      <c r="X74" s="37">
        <v>0</v>
      </c>
      <c r="Y74" s="16">
        <v>2</v>
      </c>
      <c r="Z74" s="16">
        <v>0</v>
      </c>
      <c r="AA74" s="16">
        <v>0</v>
      </c>
      <c r="AB74" s="16">
        <v>0</v>
      </c>
      <c r="AC74" s="16">
        <v>0</v>
      </c>
      <c r="AD74" s="37">
        <v>2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37">
        <v>0</v>
      </c>
      <c r="AK74" s="22">
        <v>2</v>
      </c>
      <c r="AL74" s="22">
        <v>3</v>
      </c>
      <c r="AM74" s="51">
        <v>0</v>
      </c>
      <c r="AN74" s="22">
        <v>3</v>
      </c>
      <c r="AO74" s="16">
        <v>0</v>
      </c>
      <c r="AP74" s="38">
        <v>2.6666666666666665</v>
      </c>
      <c r="AQ74" s="27">
        <v>3</v>
      </c>
      <c r="AR74" s="16">
        <v>0</v>
      </c>
      <c r="AS74" s="26">
        <v>0</v>
      </c>
      <c r="AT74" s="16">
        <v>0</v>
      </c>
      <c r="AU74" s="16">
        <v>0</v>
      </c>
      <c r="AV74" s="37">
        <v>3</v>
      </c>
      <c r="AW74" s="16">
        <v>0</v>
      </c>
      <c r="AX74" s="16">
        <v>0</v>
      </c>
      <c r="AY74" s="29">
        <v>0</v>
      </c>
      <c r="AZ74" s="27">
        <v>3</v>
      </c>
      <c r="BA74" s="57">
        <v>2</v>
      </c>
      <c r="BB74" s="85">
        <v>2.5</v>
      </c>
    </row>
    <row r="75" spans="1:54" ht="23.1" customHeight="1" x14ac:dyDescent="0.3">
      <c r="A75" s="86">
        <v>71</v>
      </c>
      <c r="B75" s="63" t="s">
        <v>132</v>
      </c>
      <c r="C75" s="64" t="s">
        <v>133</v>
      </c>
      <c r="D75" s="63" t="s">
        <v>542</v>
      </c>
      <c r="E75" s="63" t="s">
        <v>35</v>
      </c>
      <c r="F75" s="63" t="str">
        <f>REPT(CHAR(160),10)&amp;Working!$E75</f>
        <v>          A</v>
      </c>
      <c r="G75" s="65">
        <v>0</v>
      </c>
      <c r="H75" s="65">
        <v>0</v>
      </c>
      <c r="I75" s="65">
        <v>3</v>
      </c>
      <c r="J75" s="65">
        <v>0</v>
      </c>
      <c r="K75" s="66">
        <v>0</v>
      </c>
      <c r="L75" s="67">
        <v>3</v>
      </c>
      <c r="M75" s="65">
        <v>0</v>
      </c>
      <c r="N75" s="65">
        <v>2</v>
      </c>
      <c r="O75" s="65">
        <v>2</v>
      </c>
      <c r="P75" s="68">
        <v>0</v>
      </c>
      <c r="Q75" s="69">
        <v>2</v>
      </c>
      <c r="R75" s="38">
        <v>2</v>
      </c>
      <c r="S75" s="27">
        <v>0</v>
      </c>
      <c r="T75" s="29">
        <v>0</v>
      </c>
      <c r="U75" s="52">
        <v>0</v>
      </c>
      <c r="V75" s="29">
        <v>0</v>
      </c>
      <c r="W75" s="29">
        <v>0</v>
      </c>
      <c r="X75" s="37">
        <v>0</v>
      </c>
      <c r="Y75" s="29">
        <v>2</v>
      </c>
      <c r="Z75" s="29">
        <v>0</v>
      </c>
      <c r="AA75" s="29">
        <v>0</v>
      </c>
      <c r="AB75" s="29">
        <v>0</v>
      </c>
      <c r="AC75" s="29">
        <v>0</v>
      </c>
      <c r="AD75" s="37">
        <v>2</v>
      </c>
      <c r="AE75" s="29">
        <v>0</v>
      </c>
      <c r="AF75" s="29">
        <v>0</v>
      </c>
      <c r="AG75" s="29">
        <v>0</v>
      </c>
      <c r="AH75" s="29">
        <v>0</v>
      </c>
      <c r="AI75" s="29">
        <v>0</v>
      </c>
      <c r="AJ75" s="37">
        <v>0</v>
      </c>
      <c r="AK75" s="28">
        <v>3</v>
      </c>
      <c r="AL75" s="28">
        <v>3</v>
      </c>
      <c r="AM75" s="52">
        <v>0</v>
      </c>
      <c r="AN75" s="28">
        <v>3</v>
      </c>
      <c r="AO75" s="29">
        <v>0</v>
      </c>
      <c r="AP75" s="38">
        <v>3</v>
      </c>
      <c r="AQ75" s="27">
        <v>3</v>
      </c>
      <c r="AR75" s="29">
        <v>0</v>
      </c>
      <c r="AS75" s="58">
        <v>0</v>
      </c>
      <c r="AT75" s="29">
        <v>0</v>
      </c>
      <c r="AU75" s="29">
        <v>0</v>
      </c>
      <c r="AV75" s="37">
        <v>3</v>
      </c>
      <c r="AW75" s="29">
        <v>0</v>
      </c>
      <c r="AX75" s="29">
        <v>0</v>
      </c>
      <c r="AY75" s="29">
        <v>0</v>
      </c>
      <c r="AZ75" s="27">
        <v>3</v>
      </c>
      <c r="BA75" s="57">
        <v>3</v>
      </c>
      <c r="BB75" s="85">
        <v>3</v>
      </c>
    </row>
    <row r="76" spans="1:54" ht="23.1" customHeight="1" x14ac:dyDescent="0.3">
      <c r="A76" s="87">
        <v>72</v>
      </c>
      <c r="B76" s="70" t="s">
        <v>166</v>
      </c>
      <c r="C76" s="71" t="s">
        <v>167</v>
      </c>
      <c r="D76" s="70" t="s">
        <v>542</v>
      </c>
      <c r="E76" s="70" t="s">
        <v>161</v>
      </c>
      <c r="F76" s="70" t="str">
        <f>REPT(CHAR(160),10)&amp;Working!$E76</f>
        <v>          B</v>
      </c>
      <c r="G76" s="61">
        <v>0</v>
      </c>
      <c r="H76" s="61">
        <v>0</v>
      </c>
      <c r="I76" s="61">
        <v>2</v>
      </c>
      <c r="J76" s="61">
        <v>0</v>
      </c>
      <c r="K76" s="72">
        <v>0</v>
      </c>
      <c r="L76" s="67">
        <v>2</v>
      </c>
      <c r="M76" s="61">
        <v>0</v>
      </c>
      <c r="N76" s="61">
        <v>2</v>
      </c>
      <c r="O76" s="61">
        <v>2</v>
      </c>
      <c r="P76" s="73">
        <v>0</v>
      </c>
      <c r="Q76" s="74">
        <v>2</v>
      </c>
      <c r="R76" s="38">
        <v>2</v>
      </c>
      <c r="S76" s="27">
        <v>0</v>
      </c>
      <c r="T76" s="16">
        <v>0</v>
      </c>
      <c r="U76" s="51">
        <v>0</v>
      </c>
      <c r="V76" s="16">
        <v>0</v>
      </c>
      <c r="W76" s="16">
        <v>0</v>
      </c>
      <c r="X76" s="37">
        <v>0</v>
      </c>
      <c r="Y76" s="16">
        <v>2</v>
      </c>
      <c r="Z76" s="16">
        <v>0</v>
      </c>
      <c r="AA76" s="16">
        <v>0</v>
      </c>
      <c r="AB76" s="16">
        <v>0</v>
      </c>
      <c r="AC76" s="16">
        <v>0</v>
      </c>
      <c r="AD76" s="37">
        <v>2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37">
        <v>0</v>
      </c>
      <c r="AK76" s="22">
        <v>2</v>
      </c>
      <c r="AL76" s="22">
        <v>2</v>
      </c>
      <c r="AM76" s="51">
        <v>0</v>
      </c>
      <c r="AN76" s="22">
        <v>3</v>
      </c>
      <c r="AO76" s="16">
        <v>0</v>
      </c>
      <c r="AP76" s="38">
        <v>2.3333333333333335</v>
      </c>
      <c r="AQ76" s="27">
        <v>2</v>
      </c>
      <c r="AR76" s="16">
        <v>0</v>
      </c>
      <c r="AS76" s="25">
        <v>0</v>
      </c>
      <c r="AT76" s="16">
        <v>0</v>
      </c>
      <c r="AU76" s="16">
        <v>0</v>
      </c>
      <c r="AV76" s="37">
        <v>2</v>
      </c>
      <c r="AW76" s="16">
        <v>0</v>
      </c>
      <c r="AX76" s="16">
        <v>0</v>
      </c>
      <c r="AY76" s="29">
        <v>0</v>
      </c>
      <c r="AZ76" s="27">
        <v>2</v>
      </c>
      <c r="BA76" s="57">
        <v>3</v>
      </c>
      <c r="BB76" s="85">
        <v>2.5</v>
      </c>
    </row>
    <row r="77" spans="1:54" ht="23.1" customHeight="1" x14ac:dyDescent="0.3">
      <c r="A77" s="86">
        <v>73</v>
      </c>
      <c r="B77" s="63" t="s">
        <v>182</v>
      </c>
      <c r="C77" s="64" t="s">
        <v>183</v>
      </c>
      <c r="D77" s="63" t="s">
        <v>450</v>
      </c>
      <c r="E77" s="63" t="s">
        <v>161</v>
      </c>
      <c r="F77" s="63" t="str">
        <f>REPT(CHAR(160),10)&amp;Working!$E77</f>
        <v>          B</v>
      </c>
      <c r="G77" s="65">
        <v>0</v>
      </c>
      <c r="H77" s="65">
        <v>0</v>
      </c>
      <c r="I77" s="65">
        <v>3</v>
      </c>
      <c r="J77" s="65">
        <v>0</v>
      </c>
      <c r="K77" s="66">
        <v>0</v>
      </c>
      <c r="L77" s="67">
        <v>3</v>
      </c>
      <c r="M77" s="65">
        <v>0</v>
      </c>
      <c r="N77" s="65">
        <v>3</v>
      </c>
      <c r="O77" s="65">
        <v>3</v>
      </c>
      <c r="P77" s="68">
        <v>0</v>
      </c>
      <c r="Q77" s="69">
        <v>3</v>
      </c>
      <c r="R77" s="38">
        <v>3</v>
      </c>
      <c r="S77" s="27">
        <v>0</v>
      </c>
      <c r="T77" s="29">
        <v>0</v>
      </c>
      <c r="U77" s="52">
        <v>0</v>
      </c>
      <c r="V77" s="29">
        <v>0</v>
      </c>
      <c r="W77" s="29">
        <v>0</v>
      </c>
      <c r="X77" s="37">
        <v>0</v>
      </c>
      <c r="Y77" s="29">
        <v>3</v>
      </c>
      <c r="Z77" s="29">
        <v>0</v>
      </c>
      <c r="AA77" s="29">
        <v>0</v>
      </c>
      <c r="AB77" s="29">
        <v>0</v>
      </c>
      <c r="AC77" s="29">
        <v>0</v>
      </c>
      <c r="AD77" s="37">
        <v>3</v>
      </c>
      <c r="AE77" s="29">
        <v>0</v>
      </c>
      <c r="AF77" s="29">
        <v>0</v>
      </c>
      <c r="AG77" s="29">
        <v>0</v>
      </c>
      <c r="AH77" s="29">
        <v>0</v>
      </c>
      <c r="AI77" s="29">
        <v>0</v>
      </c>
      <c r="AJ77" s="37">
        <v>0</v>
      </c>
      <c r="AK77" s="28">
        <v>3</v>
      </c>
      <c r="AL77" s="28">
        <v>4</v>
      </c>
      <c r="AM77" s="52">
        <v>0</v>
      </c>
      <c r="AN77" s="28">
        <v>4</v>
      </c>
      <c r="AO77" s="29">
        <v>0</v>
      </c>
      <c r="AP77" s="38">
        <v>3.6666666666666665</v>
      </c>
      <c r="AQ77" s="27">
        <v>4</v>
      </c>
      <c r="AR77" s="29">
        <v>0</v>
      </c>
      <c r="AS77" s="58">
        <v>0</v>
      </c>
      <c r="AT77" s="29">
        <v>0</v>
      </c>
      <c r="AU77" s="29">
        <v>0</v>
      </c>
      <c r="AV77" s="37">
        <v>4</v>
      </c>
      <c r="AW77" s="29">
        <v>0</v>
      </c>
      <c r="AX77" s="29">
        <v>0</v>
      </c>
      <c r="AY77" s="29">
        <v>0</v>
      </c>
      <c r="AZ77" s="27">
        <v>3</v>
      </c>
      <c r="BA77" s="57">
        <v>3</v>
      </c>
      <c r="BB77" s="85">
        <v>3</v>
      </c>
    </row>
    <row r="78" spans="1:54" ht="23.1" customHeight="1" x14ac:dyDescent="0.3">
      <c r="A78" s="87">
        <v>74</v>
      </c>
      <c r="B78" s="70" t="s">
        <v>322</v>
      </c>
      <c r="C78" s="71" t="s">
        <v>323</v>
      </c>
      <c r="D78" s="70" t="s">
        <v>450</v>
      </c>
      <c r="E78" s="70" t="s">
        <v>493</v>
      </c>
      <c r="F78" s="70" t="str">
        <f>REPT(CHAR(160),10)&amp;Working!$E78</f>
        <v>          C</v>
      </c>
      <c r="G78" s="61">
        <v>0</v>
      </c>
      <c r="H78" s="61">
        <v>0</v>
      </c>
      <c r="I78" s="61">
        <v>2</v>
      </c>
      <c r="J78" s="61">
        <v>0</v>
      </c>
      <c r="K78" s="72">
        <v>0</v>
      </c>
      <c r="L78" s="67">
        <v>2</v>
      </c>
      <c r="M78" s="61">
        <v>0</v>
      </c>
      <c r="N78" s="61">
        <v>2</v>
      </c>
      <c r="O78" s="61">
        <v>2</v>
      </c>
      <c r="P78" s="73">
        <v>0</v>
      </c>
      <c r="Q78" s="74">
        <v>2</v>
      </c>
      <c r="R78" s="38">
        <v>2</v>
      </c>
      <c r="S78" s="27">
        <v>0</v>
      </c>
      <c r="T78" s="16">
        <v>0</v>
      </c>
      <c r="U78" s="51">
        <v>0</v>
      </c>
      <c r="V78" s="16">
        <v>0</v>
      </c>
      <c r="W78" s="16">
        <v>0</v>
      </c>
      <c r="X78" s="37">
        <v>0</v>
      </c>
      <c r="Y78" s="16">
        <v>2</v>
      </c>
      <c r="Z78" s="16">
        <v>0</v>
      </c>
      <c r="AA78" s="16">
        <v>0</v>
      </c>
      <c r="AB78" s="16">
        <v>0</v>
      </c>
      <c r="AC78" s="16">
        <v>0</v>
      </c>
      <c r="AD78" s="37">
        <v>2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37">
        <v>0</v>
      </c>
      <c r="AK78" s="22">
        <v>3</v>
      </c>
      <c r="AL78" s="22">
        <v>3</v>
      </c>
      <c r="AM78" s="51">
        <v>0</v>
      </c>
      <c r="AN78" s="22">
        <v>3</v>
      </c>
      <c r="AO78" s="16">
        <v>0</v>
      </c>
      <c r="AP78" s="38">
        <v>3</v>
      </c>
      <c r="AQ78" s="27">
        <v>4</v>
      </c>
      <c r="AR78" s="16">
        <v>0</v>
      </c>
      <c r="AS78" s="25">
        <v>0</v>
      </c>
      <c r="AT78" s="16">
        <v>0</v>
      </c>
      <c r="AU78" s="16">
        <v>0</v>
      </c>
      <c r="AV78" s="37">
        <v>4</v>
      </c>
      <c r="AW78" s="16">
        <v>0</v>
      </c>
      <c r="AX78" s="16">
        <v>0</v>
      </c>
      <c r="AY78" s="29">
        <v>0</v>
      </c>
      <c r="AZ78" s="27">
        <v>3</v>
      </c>
      <c r="BA78" s="57">
        <v>3</v>
      </c>
      <c r="BB78" s="85">
        <v>3</v>
      </c>
    </row>
    <row r="79" spans="1:54" ht="23.1" customHeight="1" x14ac:dyDescent="0.3">
      <c r="A79" s="86">
        <v>75</v>
      </c>
      <c r="B79" s="63" t="s">
        <v>324</v>
      </c>
      <c r="C79" s="64" t="s">
        <v>325</v>
      </c>
      <c r="D79" s="63" t="s">
        <v>450</v>
      </c>
      <c r="E79" s="63" t="s">
        <v>493</v>
      </c>
      <c r="F79" s="63" t="str">
        <f>REPT(CHAR(160),10)&amp;Working!$E79</f>
        <v>          C</v>
      </c>
      <c r="G79" s="65">
        <v>0</v>
      </c>
      <c r="H79" s="65">
        <v>0</v>
      </c>
      <c r="I79" s="65">
        <v>2</v>
      </c>
      <c r="J79" s="65">
        <v>0</v>
      </c>
      <c r="K79" s="66">
        <v>0</v>
      </c>
      <c r="L79" s="67">
        <v>2</v>
      </c>
      <c r="M79" s="65">
        <v>0</v>
      </c>
      <c r="N79" s="65">
        <v>2</v>
      </c>
      <c r="O79" s="65">
        <v>2</v>
      </c>
      <c r="P79" s="68">
        <v>0</v>
      </c>
      <c r="Q79" s="69">
        <v>2</v>
      </c>
      <c r="R79" s="38">
        <v>2</v>
      </c>
      <c r="S79" s="27">
        <v>0</v>
      </c>
      <c r="T79" s="29">
        <v>0</v>
      </c>
      <c r="U79" s="52">
        <v>0</v>
      </c>
      <c r="V79" s="29">
        <v>0</v>
      </c>
      <c r="W79" s="29">
        <v>0</v>
      </c>
      <c r="X79" s="37">
        <v>0</v>
      </c>
      <c r="Y79" s="29">
        <v>2</v>
      </c>
      <c r="Z79" s="29">
        <v>0</v>
      </c>
      <c r="AA79" s="29">
        <v>0</v>
      </c>
      <c r="AB79" s="29">
        <v>0</v>
      </c>
      <c r="AC79" s="29">
        <v>0</v>
      </c>
      <c r="AD79" s="37">
        <v>2</v>
      </c>
      <c r="AE79" s="29">
        <v>0</v>
      </c>
      <c r="AF79" s="29">
        <v>0</v>
      </c>
      <c r="AG79" s="29">
        <v>0</v>
      </c>
      <c r="AH79" s="29">
        <v>0</v>
      </c>
      <c r="AI79" s="29">
        <v>0</v>
      </c>
      <c r="AJ79" s="37">
        <v>0</v>
      </c>
      <c r="AK79" s="28">
        <v>2</v>
      </c>
      <c r="AL79" s="28">
        <v>2</v>
      </c>
      <c r="AM79" s="52">
        <v>0</v>
      </c>
      <c r="AN79" s="28">
        <v>2</v>
      </c>
      <c r="AO79" s="29">
        <v>0</v>
      </c>
      <c r="AP79" s="38">
        <v>2</v>
      </c>
      <c r="AQ79" s="27">
        <v>2</v>
      </c>
      <c r="AR79" s="29">
        <v>0</v>
      </c>
      <c r="AS79" s="58">
        <v>0</v>
      </c>
      <c r="AT79" s="29">
        <v>0</v>
      </c>
      <c r="AU79" s="29">
        <v>0</v>
      </c>
      <c r="AV79" s="37">
        <v>2</v>
      </c>
      <c r="AW79" s="29">
        <v>0</v>
      </c>
      <c r="AX79" s="29">
        <v>0</v>
      </c>
      <c r="AY79" s="29">
        <v>0</v>
      </c>
      <c r="AZ79" s="27">
        <v>3</v>
      </c>
      <c r="BA79" s="57">
        <v>2</v>
      </c>
      <c r="BB79" s="85">
        <v>2.5</v>
      </c>
    </row>
    <row r="80" spans="1:54" ht="23.1" customHeight="1" x14ac:dyDescent="0.3">
      <c r="A80" s="87">
        <v>76</v>
      </c>
      <c r="B80" s="70" t="s">
        <v>326</v>
      </c>
      <c r="C80" s="71" t="s">
        <v>327</v>
      </c>
      <c r="D80" s="70" t="s">
        <v>450</v>
      </c>
      <c r="E80" s="70" t="s">
        <v>493</v>
      </c>
      <c r="F80" s="70" t="str">
        <f>REPT(CHAR(160),10)&amp;Working!$E80</f>
        <v>          C</v>
      </c>
      <c r="G80" s="61">
        <v>0</v>
      </c>
      <c r="H80" s="61">
        <v>0</v>
      </c>
      <c r="I80" s="61">
        <v>5</v>
      </c>
      <c r="J80" s="61">
        <v>0</v>
      </c>
      <c r="K80" s="72">
        <v>0</v>
      </c>
      <c r="L80" s="67">
        <v>5</v>
      </c>
      <c r="M80" s="61">
        <v>0</v>
      </c>
      <c r="N80" s="61">
        <v>5</v>
      </c>
      <c r="O80" s="61">
        <v>4</v>
      </c>
      <c r="P80" s="73">
        <v>0</v>
      </c>
      <c r="Q80" s="74">
        <v>4</v>
      </c>
      <c r="R80" s="38">
        <v>4.333333333333333</v>
      </c>
      <c r="S80" s="27">
        <v>0</v>
      </c>
      <c r="T80" s="16">
        <v>0</v>
      </c>
      <c r="U80" s="51">
        <v>0</v>
      </c>
      <c r="V80" s="16">
        <v>0</v>
      </c>
      <c r="W80" s="16">
        <v>0</v>
      </c>
      <c r="X80" s="37">
        <v>0</v>
      </c>
      <c r="Y80" s="16">
        <v>5</v>
      </c>
      <c r="Z80" s="16">
        <v>0</v>
      </c>
      <c r="AA80" s="16">
        <v>0</v>
      </c>
      <c r="AB80" s="16">
        <v>0</v>
      </c>
      <c r="AC80" s="16">
        <v>0</v>
      </c>
      <c r="AD80" s="37">
        <v>5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37">
        <v>0</v>
      </c>
      <c r="AK80" s="22">
        <v>5</v>
      </c>
      <c r="AL80" s="22">
        <v>5</v>
      </c>
      <c r="AM80" s="51">
        <v>0</v>
      </c>
      <c r="AN80" s="22">
        <v>5</v>
      </c>
      <c r="AO80" s="16">
        <v>0</v>
      </c>
      <c r="AP80" s="38">
        <v>5</v>
      </c>
      <c r="AQ80" s="27">
        <v>5</v>
      </c>
      <c r="AR80" s="16">
        <v>0</v>
      </c>
      <c r="AS80" s="25">
        <v>0</v>
      </c>
      <c r="AT80" s="16">
        <v>0</v>
      </c>
      <c r="AU80" s="16">
        <v>0</v>
      </c>
      <c r="AV80" s="37">
        <v>5</v>
      </c>
      <c r="AW80" s="16">
        <v>0</v>
      </c>
      <c r="AX80" s="16">
        <v>0</v>
      </c>
      <c r="AY80" s="29">
        <v>0</v>
      </c>
      <c r="AZ80" s="27">
        <v>4</v>
      </c>
      <c r="BA80" s="57">
        <v>5</v>
      </c>
      <c r="BB80" s="85">
        <v>4.5</v>
      </c>
    </row>
    <row r="81" spans="1:54" ht="23.1" customHeight="1" x14ac:dyDescent="0.3">
      <c r="A81" s="86">
        <v>77</v>
      </c>
      <c r="B81" s="63" t="s">
        <v>328</v>
      </c>
      <c r="C81" s="64" t="s">
        <v>329</v>
      </c>
      <c r="D81" s="63" t="s">
        <v>450</v>
      </c>
      <c r="E81" s="63" t="s">
        <v>493</v>
      </c>
      <c r="F81" s="63" t="str">
        <f>REPT(CHAR(160),10)&amp;Working!$E81</f>
        <v>          C</v>
      </c>
      <c r="G81" s="65">
        <v>0</v>
      </c>
      <c r="H81" s="65">
        <v>0</v>
      </c>
      <c r="I81" s="65">
        <v>3</v>
      </c>
      <c r="J81" s="65">
        <v>0</v>
      </c>
      <c r="K81" s="66">
        <v>0</v>
      </c>
      <c r="L81" s="67">
        <v>3</v>
      </c>
      <c r="M81" s="65">
        <v>0</v>
      </c>
      <c r="N81" s="65">
        <v>2</v>
      </c>
      <c r="O81" s="65">
        <v>3</v>
      </c>
      <c r="P81" s="68">
        <v>0</v>
      </c>
      <c r="Q81" s="69">
        <v>3</v>
      </c>
      <c r="R81" s="38">
        <v>2.6666666666666665</v>
      </c>
      <c r="S81" s="27">
        <v>0</v>
      </c>
      <c r="T81" s="29">
        <v>0</v>
      </c>
      <c r="U81" s="52">
        <v>0</v>
      </c>
      <c r="V81" s="29">
        <v>0</v>
      </c>
      <c r="W81" s="29">
        <v>0</v>
      </c>
      <c r="X81" s="37">
        <v>0</v>
      </c>
      <c r="Y81" s="29">
        <v>3</v>
      </c>
      <c r="Z81" s="29">
        <v>0</v>
      </c>
      <c r="AA81" s="29">
        <v>0</v>
      </c>
      <c r="AB81" s="29">
        <v>0</v>
      </c>
      <c r="AC81" s="29">
        <v>0</v>
      </c>
      <c r="AD81" s="37">
        <v>3</v>
      </c>
      <c r="AE81" s="29">
        <v>0</v>
      </c>
      <c r="AF81" s="29">
        <v>0</v>
      </c>
      <c r="AG81" s="29">
        <v>0</v>
      </c>
      <c r="AH81" s="29">
        <v>0</v>
      </c>
      <c r="AI81" s="29">
        <v>0</v>
      </c>
      <c r="AJ81" s="37">
        <v>0</v>
      </c>
      <c r="AK81" s="28">
        <v>2</v>
      </c>
      <c r="AL81" s="28">
        <v>3</v>
      </c>
      <c r="AM81" s="52">
        <v>0</v>
      </c>
      <c r="AN81" s="28">
        <v>3</v>
      </c>
      <c r="AO81" s="29">
        <v>0</v>
      </c>
      <c r="AP81" s="38">
        <v>2.6666666666666665</v>
      </c>
      <c r="AQ81" s="27">
        <v>3</v>
      </c>
      <c r="AR81" s="29">
        <v>0</v>
      </c>
      <c r="AS81" s="58">
        <v>0</v>
      </c>
      <c r="AT81" s="29">
        <v>0</v>
      </c>
      <c r="AU81" s="29">
        <v>0</v>
      </c>
      <c r="AV81" s="37">
        <v>3</v>
      </c>
      <c r="AW81" s="29">
        <v>0</v>
      </c>
      <c r="AX81" s="29">
        <v>0</v>
      </c>
      <c r="AY81" s="29">
        <v>0</v>
      </c>
      <c r="AZ81" s="27">
        <v>3</v>
      </c>
      <c r="BA81" s="57">
        <v>3</v>
      </c>
      <c r="BB81" s="85">
        <v>3</v>
      </c>
    </row>
    <row r="82" spans="1:54" ht="23.1" customHeight="1" x14ac:dyDescent="0.3">
      <c r="A82" s="87">
        <v>78</v>
      </c>
      <c r="B82" s="70" t="s">
        <v>330</v>
      </c>
      <c r="C82" s="71" t="s">
        <v>331</v>
      </c>
      <c r="D82" s="70" t="s">
        <v>450</v>
      </c>
      <c r="E82" s="70" t="s">
        <v>493</v>
      </c>
      <c r="F82" s="70" t="str">
        <f>REPT(CHAR(160),10)&amp;Working!$E82</f>
        <v>          C</v>
      </c>
      <c r="G82" s="61">
        <v>0</v>
      </c>
      <c r="H82" s="61">
        <v>0</v>
      </c>
      <c r="I82" s="61">
        <v>2</v>
      </c>
      <c r="J82" s="61">
        <v>0</v>
      </c>
      <c r="K82" s="72">
        <v>0</v>
      </c>
      <c r="L82" s="67">
        <v>2</v>
      </c>
      <c r="M82" s="61">
        <v>0</v>
      </c>
      <c r="N82" s="61">
        <v>2</v>
      </c>
      <c r="O82" s="61">
        <v>2</v>
      </c>
      <c r="P82" s="79">
        <v>0</v>
      </c>
      <c r="Q82" s="80">
        <v>2</v>
      </c>
      <c r="R82" s="38">
        <v>2</v>
      </c>
      <c r="S82" s="27">
        <v>0</v>
      </c>
      <c r="T82" s="16">
        <v>0</v>
      </c>
      <c r="U82" s="55">
        <v>0</v>
      </c>
      <c r="V82" s="16">
        <v>0</v>
      </c>
      <c r="W82" s="16">
        <v>0</v>
      </c>
      <c r="X82" s="37">
        <v>0</v>
      </c>
      <c r="Y82" s="16">
        <v>2</v>
      </c>
      <c r="Z82" s="16">
        <v>0</v>
      </c>
      <c r="AA82" s="16">
        <v>0</v>
      </c>
      <c r="AB82" s="16">
        <v>0</v>
      </c>
      <c r="AC82" s="16">
        <v>0</v>
      </c>
      <c r="AD82" s="37">
        <v>2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37">
        <v>0</v>
      </c>
      <c r="AK82" s="26">
        <v>2</v>
      </c>
      <c r="AL82" s="26">
        <v>3</v>
      </c>
      <c r="AM82" s="55">
        <v>0</v>
      </c>
      <c r="AN82" s="26">
        <v>3</v>
      </c>
      <c r="AO82" s="16">
        <v>0</v>
      </c>
      <c r="AP82" s="38">
        <v>2.6666666666666665</v>
      </c>
      <c r="AQ82" s="27">
        <v>3</v>
      </c>
      <c r="AR82" s="16">
        <v>0</v>
      </c>
      <c r="AS82" s="25">
        <v>0</v>
      </c>
      <c r="AT82" s="16">
        <v>0</v>
      </c>
      <c r="AU82" s="16">
        <v>0</v>
      </c>
      <c r="AV82" s="37">
        <v>3</v>
      </c>
      <c r="AW82" s="16">
        <v>0</v>
      </c>
      <c r="AX82" s="16">
        <v>0</v>
      </c>
      <c r="AY82" s="29">
        <v>0</v>
      </c>
      <c r="AZ82" s="27">
        <v>3</v>
      </c>
      <c r="BA82" s="57">
        <v>2</v>
      </c>
      <c r="BB82" s="85">
        <v>2.5</v>
      </c>
    </row>
    <row r="83" spans="1:54" ht="23.1" customHeight="1" x14ac:dyDescent="0.3">
      <c r="A83" s="86">
        <v>79</v>
      </c>
      <c r="B83" s="63" t="s">
        <v>199</v>
      </c>
      <c r="C83" s="64" t="s">
        <v>200</v>
      </c>
      <c r="D83" s="63" t="s">
        <v>450</v>
      </c>
      <c r="E83" s="63" t="s">
        <v>161</v>
      </c>
      <c r="F83" s="63" t="str">
        <f>REPT(CHAR(160),10)&amp;Working!$E83</f>
        <v>          B</v>
      </c>
      <c r="G83" s="65">
        <v>0</v>
      </c>
      <c r="H83" s="65">
        <v>0</v>
      </c>
      <c r="I83" s="65">
        <v>3</v>
      </c>
      <c r="J83" s="65">
        <v>0</v>
      </c>
      <c r="K83" s="66">
        <v>0</v>
      </c>
      <c r="L83" s="67">
        <v>3</v>
      </c>
      <c r="M83" s="65">
        <v>0</v>
      </c>
      <c r="N83" s="65">
        <v>2</v>
      </c>
      <c r="O83" s="65">
        <v>2</v>
      </c>
      <c r="P83" s="68">
        <v>0</v>
      </c>
      <c r="Q83" s="69">
        <v>2</v>
      </c>
      <c r="R83" s="38">
        <v>2</v>
      </c>
      <c r="S83" s="27">
        <v>0</v>
      </c>
      <c r="T83" s="29">
        <v>0</v>
      </c>
      <c r="U83" s="52">
        <v>0</v>
      </c>
      <c r="V83" s="29">
        <v>0</v>
      </c>
      <c r="W83" s="29">
        <v>0</v>
      </c>
      <c r="X83" s="37">
        <v>0</v>
      </c>
      <c r="Y83" s="29">
        <v>3</v>
      </c>
      <c r="Z83" s="29">
        <v>0</v>
      </c>
      <c r="AA83" s="29">
        <v>0</v>
      </c>
      <c r="AB83" s="29">
        <v>0</v>
      </c>
      <c r="AC83" s="29">
        <v>0</v>
      </c>
      <c r="AD83" s="37">
        <v>3</v>
      </c>
      <c r="AE83" s="29">
        <v>0</v>
      </c>
      <c r="AF83" s="29">
        <v>0</v>
      </c>
      <c r="AG83" s="29">
        <v>0</v>
      </c>
      <c r="AH83" s="29">
        <v>0</v>
      </c>
      <c r="AI83" s="29">
        <v>0</v>
      </c>
      <c r="AJ83" s="37">
        <v>0</v>
      </c>
      <c r="AK83" s="28">
        <v>3</v>
      </c>
      <c r="AL83" s="28">
        <v>3</v>
      </c>
      <c r="AM83" s="52">
        <v>0</v>
      </c>
      <c r="AN83" s="28">
        <v>3</v>
      </c>
      <c r="AO83" s="29">
        <v>0</v>
      </c>
      <c r="AP83" s="38">
        <v>3</v>
      </c>
      <c r="AQ83" s="27">
        <v>3</v>
      </c>
      <c r="AR83" s="29">
        <v>0</v>
      </c>
      <c r="AS83" s="58">
        <v>0</v>
      </c>
      <c r="AT83" s="29">
        <v>0</v>
      </c>
      <c r="AU83" s="29">
        <v>0</v>
      </c>
      <c r="AV83" s="37">
        <v>3</v>
      </c>
      <c r="AW83" s="29">
        <v>0</v>
      </c>
      <c r="AX83" s="29">
        <v>0</v>
      </c>
      <c r="AY83" s="29">
        <v>0</v>
      </c>
      <c r="AZ83" s="27">
        <v>3</v>
      </c>
      <c r="BA83" s="57">
        <v>3</v>
      </c>
      <c r="BB83" s="85">
        <v>3</v>
      </c>
    </row>
    <row r="84" spans="1:54" ht="23.1" customHeight="1" x14ac:dyDescent="0.3">
      <c r="A84" s="87">
        <v>80</v>
      </c>
      <c r="B84" s="70" t="s">
        <v>332</v>
      </c>
      <c r="C84" s="71" t="s">
        <v>333</v>
      </c>
      <c r="D84" s="70" t="s">
        <v>450</v>
      </c>
      <c r="E84" s="70" t="s">
        <v>493</v>
      </c>
      <c r="F84" s="70" t="str">
        <f>REPT(CHAR(160),10)&amp;Working!$E84</f>
        <v>          C</v>
      </c>
      <c r="G84" s="61">
        <v>0</v>
      </c>
      <c r="H84" s="61">
        <v>0</v>
      </c>
      <c r="I84" s="61">
        <v>2</v>
      </c>
      <c r="J84" s="61">
        <v>0</v>
      </c>
      <c r="K84" s="72">
        <v>0</v>
      </c>
      <c r="L84" s="67">
        <v>2</v>
      </c>
      <c r="M84" s="61">
        <v>0</v>
      </c>
      <c r="N84" s="61">
        <v>2</v>
      </c>
      <c r="O84" s="61">
        <v>2</v>
      </c>
      <c r="P84" s="73">
        <v>0</v>
      </c>
      <c r="Q84" s="74">
        <v>2</v>
      </c>
      <c r="R84" s="38">
        <v>2</v>
      </c>
      <c r="S84" s="27">
        <v>0</v>
      </c>
      <c r="T84" s="16">
        <v>0</v>
      </c>
      <c r="U84" s="51">
        <v>0</v>
      </c>
      <c r="V84" s="16">
        <v>0</v>
      </c>
      <c r="W84" s="16">
        <v>0</v>
      </c>
      <c r="X84" s="37">
        <v>0</v>
      </c>
      <c r="Y84" s="16">
        <v>2</v>
      </c>
      <c r="Z84" s="16">
        <v>0</v>
      </c>
      <c r="AA84" s="16">
        <v>0</v>
      </c>
      <c r="AB84" s="16">
        <v>0</v>
      </c>
      <c r="AC84" s="16">
        <v>0</v>
      </c>
      <c r="AD84" s="37">
        <v>2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37">
        <v>0</v>
      </c>
      <c r="AK84" s="22">
        <v>2</v>
      </c>
      <c r="AL84" s="22">
        <v>3</v>
      </c>
      <c r="AM84" s="51">
        <v>0</v>
      </c>
      <c r="AN84" s="22">
        <v>3</v>
      </c>
      <c r="AO84" s="16">
        <v>0</v>
      </c>
      <c r="AP84" s="38">
        <v>2.6666666666666665</v>
      </c>
      <c r="AQ84" s="27">
        <v>3</v>
      </c>
      <c r="AR84" s="16">
        <v>0</v>
      </c>
      <c r="AS84" s="26">
        <v>0</v>
      </c>
      <c r="AT84" s="16">
        <v>0</v>
      </c>
      <c r="AU84" s="16">
        <v>0</v>
      </c>
      <c r="AV84" s="37">
        <v>3</v>
      </c>
      <c r="AW84" s="16">
        <v>0</v>
      </c>
      <c r="AX84" s="16">
        <v>0</v>
      </c>
      <c r="AY84" s="29">
        <v>0</v>
      </c>
      <c r="AZ84" s="27">
        <v>3</v>
      </c>
      <c r="BA84" s="57">
        <v>3</v>
      </c>
      <c r="BB84" s="85">
        <v>3</v>
      </c>
    </row>
    <row r="85" spans="1:54" ht="23.1" customHeight="1" x14ac:dyDescent="0.3">
      <c r="A85" s="86">
        <v>81</v>
      </c>
      <c r="B85" s="63" t="s">
        <v>334</v>
      </c>
      <c r="C85" s="64" t="s">
        <v>335</v>
      </c>
      <c r="D85" s="63" t="s">
        <v>542</v>
      </c>
      <c r="E85" s="63" t="s">
        <v>493</v>
      </c>
      <c r="F85" s="63" t="str">
        <f>REPT(CHAR(160),10)&amp;Working!$E85</f>
        <v>          C</v>
      </c>
      <c r="G85" s="65">
        <v>0</v>
      </c>
      <c r="H85" s="65">
        <v>0</v>
      </c>
      <c r="I85" s="65">
        <v>3</v>
      </c>
      <c r="J85" s="65">
        <v>0</v>
      </c>
      <c r="K85" s="66">
        <v>0</v>
      </c>
      <c r="L85" s="67">
        <v>3</v>
      </c>
      <c r="M85" s="65">
        <v>0</v>
      </c>
      <c r="N85" s="65">
        <v>3</v>
      </c>
      <c r="O85" s="65">
        <v>2</v>
      </c>
      <c r="P85" s="68">
        <v>0</v>
      </c>
      <c r="Q85" s="69">
        <v>2</v>
      </c>
      <c r="R85" s="38">
        <v>2.3333333333333335</v>
      </c>
      <c r="S85" s="27">
        <v>0</v>
      </c>
      <c r="T85" s="29">
        <v>0</v>
      </c>
      <c r="U85" s="52">
        <v>0</v>
      </c>
      <c r="V85" s="29">
        <v>0</v>
      </c>
      <c r="W85" s="29">
        <v>0</v>
      </c>
      <c r="X85" s="37">
        <v>0</v>
      </c>
      <c r="Y85" s="29">
        <v>2</v>
      </c>
      <c r="Z85" s="29">
        <v>0</v>
      </c>
      <c r="AA85" s="29">
        <v>0</v>
      </c>
      <c r="AB85" s="29">
        <v>0</v>
      </c>
      <c r="AC85" s="29">
        <v>0</v>
      </c>
      <c r="AD85" s="37">
        <v>2</v>
      </c>
      <c r="AE85" s="29">
        <v>0</v>
      </c>
      <c r="AF85" s="29">
        <v>0</v>
      </c>
      <c r="AG85" s="29">
        <v>0</v>
      </c>
      <c r="AH85" s="29">
        <v>0</v>
      </c>
      <c r="AI85" s="29">
        <v>0</v>
      </c>
      <c r="AJ85" s="37">
        <v>0</v>
      </c>
      <c r="AK85" s="28">
        <v>2</v>
      </c>
      <c r="AL85" s="28">
        <v>3</v>
      </c>
      <c r="AM85" s="52">
        <v>0</v>
      </c>
      <c r="AN85" s="28">
        <v>3</v>
      </c>
      <c r="AO85" s="29">
        <v>0</v>
      </c>
      <c r="AP85" s="38">
        <v>2.6666666666666665</v>
      </c>
      <c r="AQ85" s="27">
        <v>3</v>
      </c>
      <c r="AR85" s="29">
        <v>0</v>
      </c>
      <c r="AS85" s="58">
        <v>0</v>
      </c>
      <c r="AT85" s="29">
        <v>0</v>
      </c>
      <c r="AU85" s="29">
        <v>0</v>
      </c>
      <c r="AV85" s="37">
        <v>3</v>
      </c>
      <c r="AW85" s="29">
        <v>0</v>
      </c>
      <c r="AX85" s="29">
        <v>0</v>
      </c>
      <c r="AY85" s="29">
        <v>0</v>
      </c>
      <c r="AZ85" s="27">
        <v>3</v>
      </c>
      <c r="BA85" s="57">
        <v>3</v>
      </c>
      <c r="BB85" s="85">
        <v>3</v>
      </c>
    </row>
    <row r="86" spans="1:54" ht="23.1" customHeight="1" x14ac:dyDescent="0.3">
      <c r="A86" s="87">
        <v>82</v>
      </c>
      <c r="B86" s="70" t="s">
        <v>81</v>
      </c>
      <c r="C86" s="71" t="s">
        <v>82</v>
      </c>
      <c r="D86" s="70" t="s">
        <v>542</v>
      </c>
      <c r="E86" s="70" t="s">
        <v>35</v>
      </c>
      <c r="F86" s="70" t="str">
        <f>REPT(CHAR(160),10)&amp;Working!$E86</f>
        <v>          A</v>
      </c>
      <c r="G86" s="61">
        <v>0</v>
      </c>
      <c r="H86" s="61">
        <v>0</v>
      </c>
      <c r="I86" s="61">
        <v>4</v>
      </c>
      <c r="J86" s="61">
        <v>0</v>
      </c>
      <c r="K86" s="72">
        <v>0</v>
      </c>
      <c r="L86" s="67">
        <v>4</v>
      </c>
      <c r="M86" s="61">
        <v>0</v>
      </c>
      <c r="N86" s="61">
        <v>4</v>
      </c>
      <c r="O86" s="61">
        <v>4</v>
      </c>
      <c r="P86" s="75">
        <v>0</v>
      </c>
      <c r="Q86" s="76">
        <v>4</v>
      </c>
      <c r="R86" s="38">
        <v>4</v>
      </c>
      <c r="S86" s="27">
        <v>0</v>
      </c>
      <c r="T86" s="16">
        <v>0</v>
      </c>
      <c r="U86" s="53">
        <v>0</v>
      </c>
      <c r="V86" s="16">
        <v>0</v>
      </c>
      <c r="W86" s="16">
        <v>0</v>
      </c>
      <c r="X86" s="37">
        <v>0</v>
      </c>
      <c r="Y86" s="16">
        <v>4</v>
      </c>
      <c r="Z86" s="16">
        <v>0</v>
      </c>
      <c r="AA86" s="16">
        <v>0</v>
      </c>
      <c r="AB86" s="16">
        <v>0</v>
      </c>
      <c r="AC86" s="16">
        <v>0</v>
      </c>
      <c r="AD86" s="37">
        <v>4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37">
        <v>0</v>
      </c>
      <c r="AK86" s="24">
        <v>4</v>
      </c>
      <c r="AL86" s="24">
        <v>5</v>
      </c>
      <c r="AM86" s="53">
        <v>0</v>
      </c>
      <c r="AN86" s="24">
        <v>5</v>
      </c>
      <c r="AO86" s="16">
        <v>0</v>
      </c>
      <c r="AP86" s="38">
        <v>4.666666666666667</v>
      </c>
      <c r="AQ86" s="27">
        <v>5</v>
      </c>
      <c r="AR86" s="16">
        <v>0</v>
      </c>
      <c r="AS86" s="25">
        <v>0</v>
      </c>
      <c r="AT86" s="16">
        <v>0</v>
      </c>
      <c r="AU86" s="16">
        <v>0</v>
      </c>
      <c r="AV86" s="37">
        <v>5</v>
      </c>
      <c r="AW86" s="16">
        <v>0</v>
      </c>
      <c r="AX86" s="16">
        <v>0</v>
      </c>
      <c r="AY86" s="29">
        <v>0</v>
      </c>
      <c r="AZ86" s="27">
        <v>3</v>
      </c>
      <c r="BA86" s="57">
        <v>4</v>
      </c>
      <c r="BB86" s="85">
        <v>3.5</v>
      </c>
    </row>
    <row r="87" spans="1:54" ht="23.1" customHeight="1" x14ac:dyDescent="0.3">
      <c r="A87" s="86">
        <v>83</v>
      </c>
      <c r="B87" s="63" t="s">
        <v>70</v>
      </c>
      <c r="C87" s="64" t="s">
        <v>71</v>
      </c>
      <c r="D87" s="63" t="s">
        <v>450</v>
      </c>
      <c r="E87" s="63" t="s">
        <v>35</v>
      </c>
      <c r="F87" s="63" t="str">
        <f>REPT(CHAR(160),10)&amp;Working!$E87</f>
        <v>          A</v>
      </c>
      <c r="G87" s="65">
        <v>0</v>
      </c>
      <c r="H87" s="65">
        <v>0</v>
      </c>
      <c r="I87" s="65">
        <v>3</v>
      </c>
      <c r="J87" s="65">
        <v>0</v>
      </c>
      <c r="K87" s="66">
        <v>0</v>
      </c>
      <c r="L87" s="67">
        <v>3</v>
      </c>
      <c r="M87" s="65">
        <v>0</v>
      </c>
      <c r="N87" s="65">
        <v>4</v>
      </c>
      <c r="O87" s="65">
        <v>3</v>
      </c>
      <c r="P87" s="68">
        <v>0</v>
      </c>
      <c r="Q87" s="69">
        <v>3</v>
      </c>
      <c r="R87" s="38">
        <v>3.3333333333333335</v>
      </c>
      <c r="S87" s="27">
        <v>0</v>
      </c>
      <c r="T87" s="29">
        <v>0</v>
      </c>
      <c r="U87" s="52">
        <v>0</v>
      </c>
      <c r="V87" s="29">
        <v>0</v>
      </c>
      <c r="W87" s="29">
        <v>0</v>
      </c>
      <c r="X87" s="37">
        <v>0</v>
      </c>
      <c r="Y87" s="29">
        <v>4</v>
      </c>
      <c r="Z87" s="29">
        <v>0</v>
      </c>
      <c r="AA87" s="29">
        <v>0</v>
      </c>
      <c r="AB87" s="29">
        <v>0</v>
      </c>
      <c r="AC87" s="29">
        <v>0</v>
      </c>
      <c r="AD87" s="37">
        <v>4</v>
      </c>
      <c r="AE87" s="29">
        <v>0</v>
      </c>
      <c r="AF87" s="29">
        <v>0</v>
      </c>
      <c r="AG87" s="29">
        <v>0</v>
      </c>
      <c r="AH87" s="29">
        <v>0</v>
      </c>
      <c r="AI87" s="29">
        <v>0</v>
      </c>
      <c r="AJ87" s="37">
        <v>0</v>
      </c>
      <c r="AK87" s="28">
        <v>2</v>
      </c>
      <c r="AL87" s="28">
        <v>3</v>
      </c>
      <c r="AM87" s="52">
        <v>0</v>
      </c>
      <c r="AN87" s="28">
        <v>3</v>
      </c>
      <c r="AO87" s="29">
        <v>0</v>
      </c>
      <c r="AP87" s="38">
        <v>2.6666666666666665</v>
      </c>
      <c r="AQ87" s="27">
        <v>3</v>
      </c>
      <c r="AR87" s="29">
        <v>0</v>
      </c>
      <c r="AS87" s="58">
        <v>0</v>
      </c>
      <c r="AT87" s="29">
        <v>0</v>
      </c>
      <c r="AU87" s="29">
        <v>0</v>
      </c>
      <c r="AV87" s="37">
        <v>3</v>
      </c>
      <c r="AW87" s="29">
        <v>0</v>
      </c>
      <c r="AX87" s="29">
        <v>0</v>
      </c>
      <c r="AY87" s="29">
        <v>0</v>
      </c>
      <c r="AZ87" s="27">
        <v>2</v>
      </c>
      <c r="BA87" s="57">
        <v>4</v>
      </c>
      <c r="BB87" s="85">
        <v>3</v>
      </c>
    </row>
    <row r="88" spans="1:54" ht="23.1" customHeight="1" x14ac:dyDescent="0.3">
      <c r="A88" s="87">
        <v>84</v>
      </c>
      <c r="B88" s="70" t="s">
        <v>336</v>
      </c>
      <c r="C88" s="71" t="s">
        <v>337</v>
      </c>
      <c r="D88" s="70" t="s">
        <v>450</v>
      </c>
      <c r="E88" s="70" t="s">
        <v>493</v>
      </c>
      <c r="F88" s="70" t="str">
        <f>REPT(CHAR(160),10)&amp;Working!$E88</f>
        <v>          C</v>
      </c>
      <c r="G88" s="61">
        <v>0</v>
      </c>
      <c r="H88" s="61">
        <v>0</v>
      </c>
      <c r="I88" s="61">
        <v>4</v>
      </c>
      <c r="J88" s="61">
        <v>0</v>
      </c>
      <c r="K88" s="72">
        <v>0</v>
      </c>
      <c r="L88" s="67">
        <v>4</v>
      </c>
      <c r="M88" s="61">
        <v>0</v>
      </c>
      <c r="N88" s="61">
        <v>3</v>
      </c>
      <c r="O88" s="61">
        <v>3</v>
      </c>
      <c r="P88" s="73">
        <v>0</v>
      </c>
      <c r="Q88" s="74">
        <v>3</v>
      </c>
      <c r="R88" s="38">
        <v>3</v>
      </c>
      <c r="S88" s="27">
        <v>0</v>
      </c>
      <c r="T88" s="16">
        <v>0</v>
      </c>
      <c r="U88" s="51">
        <v>0</v>
      </c>
      <c r="V88" s="16">
        <v>0</v>
      </c>
      <c r="W88" s="16">
        <v>0</v>
      </c>
      <c r="X88" s="37">
        <v>0</v>
      </c>
      <c r="Y88" s="16">
        <v>4</v>
      </c>
      <c r="Z88" s="16">
        <v>0</v>
      </c>
      <c r="AA88" s="16">
        <v>0</v>
      </c>
      <c r="AB88" s="16">
        <v>0</v>
      </c>
      <c r="AC88" s="16">
        <v>0</v>
      </c>
      <c r="AD88" s="37">
        <v>4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37">
        <v>0</v>
      </c>
      <c r="AK88" s="22">
        <v>3</v>
      </c>
      <c r="AL88" s="22">
        <v>4</v>
      </c>
      <c r="AM88" s="51">
        <v>0</v>
      </c>
      <c r="AN88" s="22">
        <v>4</v>
      </c>
      <c r="AO88" s="16">
        <v>0</v>
      </c>
      <c r="AP88" s="38">
        <v>3.6666666666666665</v>
      </c>
      <c r="AQ88" s="27">
        <v>3</v>
      </c>
      <c r="AR88" s="16">
        <v>0</v>
      </c>
      <c r="AS88" s="26">
        <v>0</v>
      </c>
      <c r="AT88" s="16">
        <v>0</v>
      </c>
      <c r="AU88" s="16">
        <v>0</v>
      </c>
      <c r="AV88" s="37">
        <v>3</v>
      </c>
      <c r="AW88" s="16">
        <v>0</v>
      </c>
      <c r="AX88" s="16">
        <v>0</v>
      </c>
      <c r="AY88" s="29">
        <v>0</v>
      </c>
      <c r="AZ88" s="27">
        <v>3</v>
      </c>
      <c r="BA88" s="57">
        <v>4</v>
      </c>
      <c r="BB88" s="85">
        <v>3.5</v>
      </c>
    </row>
    <row r="89" spans="1:54" ht="23.1" customHeight="1" x14ac:dyDescent="0.3">
      <c r="A89" s="86">
        <v>85</v>
      </c>
      <c r="B89" s="63" t="s">
        <v>134</v>
      </c>
      <c r="C89" s="64" t="s">
        <v>135</v>
      </c>
      <c r="D89" s="63" t="s">
        <v>450</v>
      </c>
      <c r="E89" s="63" t="s">
        <v>35</v>
      </c>
      <c r="F89" s="63" t="str">
        <f>REPT(CHAR(160),10)&amp;Working!$E89</f>
        <v>          A</v>
      </c>
      <c r="G89" s="65">
        <v>0</v>
      </c>
      <c r="H89" s="65">
        <v>0</v>
      </c>
      <c r="I89" s="65">
        <v>3</v>
      </c>
      <c r="J89" s="65">
        <v>0</v>
      </c>
      <c r="K89" s="66">
        <v>0</v>
      </c>
      <c r="L89" s="67">
        <v>3</v>
      </c>
      <c r="M89" s="65">
        <v>0</v>
      </c>
      <c r="N89" s="65">
        <v>3</v>
      </c>
      <c r="O89" s="65">
        <v>3</v>
      </c>
      <c r="P89" s="68">
        <v>0</v>
      </c>
      <c r="Q89" s="69">
        <v>3</v>
      </c>
      <c r="R89" s="38">
        <v>3</v>
      </c>
      <c r="S89" s="27">
        <v>0</v>
      </c>
      <c r="T89" s="29">
        <v>0</v>
      </c>
      <c r="U89" s="52">
        <v>0</v>
      </c>
      <c r="V89" s="29">
        <v>0</v>
      </c>
      <c r="W89" s="29">
        <v>0</v>
      </c>
      <c r="X89" s="37">
        <v>0</v>
      </c>
      <c r="Y89" s="29">
        <v>3</v>
      </c>
      <c r="Z89" s="29">
        <v>0</v>
      </c>
      <c r="AA89" s="29">
        <v>0</v>
      </c>
      <c r="AB89" s="29">
        <v>0</v>
      </c>
      <c r="AC89" s="29">
        <v>0</v>
      </c>
      <c r="AD89" s="37">
        <v>3</v>
      </c>
      <c r="AE89" s="29">
        <v>0</v>
      </c>
      <c r="AF89" s="29">
        <v>0</v>
      </c>
      <c r="AG89" s="29">
        <v>0</v>
      </c>
      <c r="AH89" s="29">
        <v>0</v>
      </c>
      <c r="AI89" s="29">
        <v>0</v>
      </c>
      <c r="AJ89" s="37">
        <v>0</v>
      </c>
      <c r="AK89" s="28">
        <v>3</v>
      </c>
      <c r="AL89" s="28">
        <v>4</v>
      </c>
      <c r="AM89" s="52">
        <v>0</v>
      </c>
      <c r="AN89" s="28">
        <v>4</v>
      </c>
      <c r="AO89" s="29">
        <v>0</v>
      </c>
      <c r="AP89" s="38">
        <v>3.6666666666666665</v>
      </c>
      <c r="AQ89" s="27">
        <v>4</v>
      </c>
      <c r="AR89" s="29">
        <v>0</v>
      </c>
      <c r="AS89" s="58">
        <v>0</v>
      </c>
      <c r="AT89" s="29">
        <v>0</v>
      </c>
      <c r="AU89" s="29">
        <v>0</v>
      </c>
      <c r="AV89" s="37">
        <v>4</v>
      </c>
      <c r="AW89" s="29">
        <v>0</v>
      </c>
      <c r="AX89" s="29">
        <v>0</v>
      </c>
      <c r="AY89" s="29">
        <v>0</v>
      </c>
      <c r="AZ89" s="27">
        <v>3</v>
      </c>
      <c r="BA89" s="57">
        <v>4</v>
      </c>
      <c r="BB89" s="85">
        <v>3.5</v>
      </c>
    </row>
    <row r="90" spans="1:54" ht="23.1" customHeight="1" x14ac:dyDescent="0.3">
      <c r="A90" s="87">
        <v>86</v>
      </c>
      <c r="B90" s="70" t="s">
        <v>215</v>
      </c>
      <c r="C90" s="71" t="s">
        <v>216</v>
      </c>
      <c r="D90" s="70" t="s">
        <v>450</v>
      </c>
      <c r="E90" s="70" t="s">
        <v>161</v>
      </c>
      <c r="F90" s="70" t="str">
        <f>REPT(CHAR(160),10)&amp;Working!$E90</f>
        <v>          B</v>
      </c>
      <c r="G90" s="61">
        <v>0</v>
      </c>
      <c r="H90" s="61">
        <v>0</v>
      </c>
      <c r="I90" s="61">
        <v>2</v>
      </c>
      <c r="J90" s="61">
        <v>0</v>
      </c>
      <c r="K90" s="72">
        <v>0</v>
      </c>
      <c r="L90" s="67">
        <v>2</v>
      </c>
      <c r="M90" s="61">
        <v>0</v>
      </c>
      <c r="N90" s="61">
        <v>2</v>
      </c>
      <c r="O90" s="61">
        <v>2</v>
      </c>
      <c r="P90" s="73">
        <v>0</v>
      </c>
      <c r="Q90" s="74">
        <v>2</v>
      </c>
      <c r="R90" s="38">
        <v>2</v>
      </c>
      <c r="S90" s="27">
        <v>0</v>
      </c>
      <c r="T90" s="16">
        <v>0</v>
      </c>
      <c r="U90" s="51">
        <v>0</v>
      </c>
      <c r="V90" s="16">
        <v>0</v>
      </c>
      <c r="W90" s="16">
        <v>0</v>
      </c>
      <c r="X90" s="37">
        <v>0</v>
      </c>
      <c r="Y90" s="16">
        <v>2</v>
      </c>
      <c r="Z90" s="16">
        <v>0</v>
      </c>
      <c r="AA90" s="16">
        <v>0</v>
      </c>
      <c r="AB90" s="16">
        <v>0</v>
      </c>
      <c r="AC90" s="16">
        <v>0</v>
      </c>
      <c r="AD90" s="37">
        <v>2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37">
        <v>0</v>
      </c>
      <c r="AK90" s="22">
        <v>2</v>
      </c>
      <c r="AL90" s="22">
        <v>3</v>
      </c>
      <c r="AM90" s="51">
        <v>0</v>
      </c>
      <c r="AN90" s="22">
        <v>3</v>
      </c>
      <c r="AO90" s="16">
        <v>0</v>
      </c>
      <c r="AP90" s="38">
        <v>2.6666666666666665</v>
      </c>
      <c r="AQ90" s="27">
        <v>3</v>
      </c>
      <c r="AR90" s="16">
        <v>0</v>
      </c>
      <c r="AS90" s="25">
        <v>0</v>
      </c>
      <c r="AT90" s="16">
        <v>0</v>
      </c>
      <c r="AU90" s="16">
        <v>0</v>
      </c>
      <c r="AV90" s="37">
        <v>3</v>
      </c>
      <c r="AW90" s="16">
        <v>0</v>
      </c>
      <c r="AX90" s="16">
        <v>0</v>
      </c>
      <c r="AY90" s="29">
        <v>0</v>
      </c>
      <c r="AZ90" s="27">
        <v>3</v>
      </c>
      <c r="BA90" s="57">
        <v>2</v>
      </c>
      <c r="BB90" s="85">
        <v>2.5</v>
      </c>
    </row>
    <row r="91" spans="1:54" ht="23.1" customHeight="1" x14ac:dyDescent="0.3">
      <c r="A91" s="86">
        <v>87</v>
      </c>
      <c r="B91" s="63" t="s">
        <v>338</v>
      </c>
      <c r="C91" s="64" t="s">
        <v>339</v>
      </c>
      <c r="D91" s="63" t="s">
        <v>542</v>
      </c>
      <c r="E91" s="63" t="s">
        <v>493</v>
      </c>
      <c r="F91" s="63" t="str">
        <f>REPT(CHAR(160),10)&amp;Working!$E91</f>
        <v>          C</v>
      </c>
      <c r="G91" s="65">
        <v>0</v>
      </c>
      <c r="H91" s="65">
        <v>0</v>
      </c>
      <c r="I91" s="65">
        <v>3</v>
      </c>
      <c r="J91" s="65">
        <v>0</v>
      </c>
      <c r="K91" s="66">
        <v>0</v>
      </c>
      <c r="L91" s="67">
        <v>3</v>
      </c>
      <c r="M91" s="65">
        <v>0</v>
      </c>
      <c r="N91" s="65">
        <v>3</v>
      </c>
      <c r="O91" s="65">
        <v>3</v>
      </c>
      <c r="P91" s="68">
        <v>0</v>
      </c>
      <c r="Q91" s="69">
        <v>3</v>
      </c>
      <c r="R91" s="38">
        <v>3</v>
      </c>
      <c r="S91" s="27">
        <v>0</v>
      </c>
      <c r="T91" s="29">
        <v>0</v>
      </c>
      <c r="U91" s="52">
        <v>0</v>
      </c>
      <c r="V91" s="29">
        <v>0</v>
      </c>
      <c r="W91" s="29">
        <v>0</v>
      </c>
      <c r="X91" s="37">
        <v>0</v>
      </c>
      <c r="Y91" s="29">
        <v>3</v>
      </c>
      <c r="Z91" s="29">
        <v>0</v>
      </c>
      <c r="AA91" s="29">
        <v>0</v>
      </c>
      <c r="AB91" s="29">
        <v>0</v>
      </c>
      <c r="AC91" s="29">
        <v>0</v>
      </c>
      <c r="AD91" s="37">
        <v>3</v>
      </c>
      <c r="AE91" s="29">
        <v>0</v>
      </c>
      <c r="AF91" s="29">
        <v>0</v>
      </c>
      <c r="AG91" s="29">
        <v>0</v>
      </c>
      <c r="AH91" s="29">
        <v>0</v>
      </c>
      <c r="AI91" s="29">
        <v>0</v>
      </c>
      <c r="AJ91" s="37">
        <v>0</v>
      </c>
      <c r="AK91" s="28">
        <v>4</v>
      </c>
      <c r="AL91" s="28">
        <v>3</v>
      </c>
      <c r="AM91" s="52">
        <v>0</v>
      </c>
      <c r="AN91" s="28">
        <v>4</v>
      </c>
      <c r="AO91" s="29">
        <v>0</v>
      </c>
      <c r="AP91" s="38">
        <v>3.6666666666666665</v>
      </c>
      <c r="AQ91" s="27">
        <v>3</v>
      </c>
      <c r="AR91" s="29">
        <v>0</v>
      </c>
      <c r="AS91" s="58">
        <v>0</v>
      </c>
      <c r="AT91" s="29">
        <v>0</v>
      </c>
      <c r="AU91" s="29">
        <v>0</v>
      </c>
      <c r="AV91" s="37">
        <v>3</v>
      </c>
      <c r="AW91" s="29">
        <v>0</v>
      </c>
      <c r="AX91" s="29">
        <v>0</v>
      </c>
      <c r="AY91" s="29">
        <v>0</v>
      </c>
      <c r="AZ91" s="27">
        <v>2</v>
      </c>
      <c r="BA91" s="57">
        <v>4</v>
      </c>
      <c r="BB91" s="85">
        <v>3</v>
      </c>
    </row>
    <row r="92" spans="1:54" ht="23.1" customHeight="1" x14ac:dyDescent="0.3">
      <c r="A92" s="87">
        <v>88</v>
      </c>
      <c r="B92" s="70" t="s">
        <v>136</v>
      </c>
      <c r="C92" s="71" t="s">
        <v>137</v>
      </c>
      <c r="D92" s="70" t="s">
        <v>542</v>
      </c>
      <c r="E92" s="70" t="s">
        <v>35</v>
      </c>
      <c r="F92" s="70" t="str">
        <f>REPT(CHAR(160),10)&amp;Working!$E92</f>
        <v>          A</v>
      </c>
      <c r="G92" s="61">
        <v>0</v>
      </c>
      <c r="H92" s="61">
        <v>0</v>
      </c>
      <c r="I92" s="61">
        <v>3</v>
      </c>
      <c r="J92" s="61">
        <v>0</v>
      </c>
      <c r="K92" s="72">
        <v>0</v>
      </c>
      <c r="L92" s="67">
        <v>3</v>
      </c>
      <c r="M92" s="61">
        <v>0</v>
      </c>
      <c r="N92" s="61">
        <v>3</v>
      </c>
      <c r="O92" s="61">
        <v>3</v>
      </c>
      <c r="P92" s="73">
        <v>0</v>
      </c>
      <c r="Q92" s="74">
        <v>3</v>
      </c>
      <c r="R92" s="38">
        <v>3</v>
      </c>
      <c r="S92" s="27">
        <v>0</v>
      </c>
      <c r="T92" s="16">
        <v>0</v>
      </c>
      <c r="U92" s="51">
        <v>0</v>
      </c>
      <c r="V92" s="16">
        <v>0</v>
      </c>
      <c r="W92" s="16">
        <v>0</v>
      </c>
      <c r="X92" s="37">
        <v>0</v>
      </c>
      <c r="Y92" s="16">
        <v>3</v>
      </c>
      <c r="Z92" s="16">
        <v>0</v>
      </c>
      <c r="AA92" s="16">
        <v>0</v>
      </c>
      <c r="AB92" s="16">
        <v>0</v>
      </c>
      <c r="AC92" s="16">
        <v>0</v>
      </c>
      <c r="AD92" s="37">
        <v>3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37">
        <v>0</v>
      </c>
      <c r="AK92" s="22">
        <v>3</v>
      </c>
      <c r="AL92" s="22">
        <v>4</v>
      </c>
      <c r="AM92" s="51">
        <v>0</v>
      </c>
      <c r="AN92" s="22">
        <v>4</v>
      </c>
      <c r="AO92" s="16">
        <v>0</v>
      </c>
      <c r="AP92" s="38">
        <v>3.6666666666666665</v>
      </c>
      <c r="AQ92" s="27">
        <v>3</v>
      </c>
      <c r="AR92" s="16">
        <v>0</v>
      </c>
      <c r="AS92" s="25">
        <v>0</v>
      </c>
      <c r="AT92" s="16">
        <v>0</v>
      </c>
      <c r="AU92" s="16">
        <v>0</v>
      </c>
      <c r="AV92" s="37">
        <v>3</v>
      </c>
      <c r="AW92" s="16">
        <v>0</v>
      </c>
      <c r="AX92" s="16">
        <v>0</v>
      </c>
      <c r="AY92" s="29">
        <v>0</v>
      </c>
      <c r="AZ92" s="27">
        <v>4</v>
      </c>
      <c r="BA92" s="57">
        <v>3</v>
      </c>
      <c r="BB92" s="85">
        <v>3.5</v>
      </c>
    </row>
    <row r="93" spans="1:54" ht="23.1" customHeight="1" x14ac:dyDescent="0.3">
      <c r="A93" s="86">
        <v>89</v>
      </c>
      <c r="B93" s="63" t="s">
        <v>62</v>
      </c>
      <c r="C93" s="64" t="s">
        <v>63</v>
      </c>
      <c r="D93" s="63" t="s">
        <v>542</v>
      </c>
      <c r="E93" s="63" t="s">
        <v>35</v>
      </c>
      <c r="F93" s="63" t="str">
        <f>REPT(CHAR(160),10)&amp;Working!$E93</f>
        <v>          A</v>
      </c>
      <c r="G93" s="65">
        <v>0</v>
      </c>
      <c r="H93" s="65">
        <v>0</v>
      </c>
      <c r="I93" s="65">
        <v>3</v>
      </c>
      <c r="J93" s="65">
        <v>0</v>
      </c>
      <c r="K93" s="66">
        <v>0</v>
      </c>
      <c r="L93" s="67">
        <v>3</v>
      </c>
      <c r="M93" s="65">
        <v>0</v>
      </c>
      <c r="N93" s="65">
        <v>3</v>
      </c>
      <c r="O93" s="65">
        <v>2</v>
      </c>
      <c r="P93" s="68">
        <v>0</v>
      </c>
      <c r="Q93" s="69">
        <v>2</v>
      </c>
      <c r="R93" s="38">
        <v>2.3333333333333335</v>
      </c>
      <c r="S93" s="27">
        <v>0</v>
      </c>
      <c r="T93" s="29">
        <v>0</v>
      </c>
      <c r="U93" s="52">
        <v>0</v>
      </c>
      <c r="V93" s="29">
        <v>0</v>
      </c>
      <c r="W93" s="29">
        <v>0</v>
      </c>
      <c r="X93" s="37">
        <v>0</v>
      </c>
      <c r="Y93" s="29">
        <v>3</v>
      </c>
      <c r="Z93" s="29">
        <v>0</v>
      </c>
      <c r="AA93" s="29">
        <v>0</v>
      </c>
      <c r="AB93" s="29">
        <v>0</v>
      </c>
      <c r="AC93" s="29">
        <v>0</v>
      </c>
      <c r="AD93" s="37">
        <v>3</v>
      </c>
      <c r="AE93" s="29">
        <v>0</v>
      </c>
      <c r="AF93" s="29">
        <v>0</v>
      </c>
      <c r="AG93" s="29">
        <v>0</v>
      </c>
      <c r="AH93" s="29">
        <v>0</v>
      </c>
      <c r="AI93" s="29">
        <v>0</v>
      </c>
      <c r="AJ93" s="37">
        <v>0</v>
      </c>
      <c r="AK93" s="28">
        <v>2</v>
      </c>
      <c r="AL93" s="28">
        <v>3</v>
      </c>
      <c r="AM93" s="52">
        <v>0</v>
      </c>
      <c r="AN93" s="28">
        <v>3</v>
      </c>
      <c r="AO93" s="29">
        <v>0</v>
      </c>
      <c r="AP93" s="38">
        <v>2.6666666666666665</v>
      </c>
      <c r="AQ93" s="27">
        <v>3</v>
      </c>
      <c r="AR93" s="29">
        <v>0</v>
      </c>
      <c r="AS93" s="58">
        <v>0</v>
      </c>
      <c r="AT93" s="29">
        <v>0</v>
      </c>
      <c r="AU93" s="29">
        <v>0</v>
      </c>
      <c r="AV93" s="37">
        <v>3</v>
      </c>
      <c r="AW93" s="29">
        <v>0</v>
      </c>
      <c r="AX93" s="29">
        <v>0</v>
      </c>
      <c r="AY93" s="29">
        <v>0</v>
      </c>
      <c r="AZ93" s="27">
        <v>2</v>
      </c>
      <c r="BA93" s="57">
        <v>2</v>
      </c>
      <c r="BB93" s="85">
        <v>2</v>
      </c>
    </row>
    <row r="94" spans="1:54" ht="23.1" customHeight="1" x14ac:dyDescent="0.3">
      <c r="A94" s="87">
        <v>90</v>
      </c>
      <c r="B94" s="70" t="s">
        <v>38</v>
      </c>
      <c r="C94" s="71" t="s">
        <v>39</v>
      </c>
      <c r="D94" s="70" t="s">
        <v>544</v>
      </c>
      <c r="E94" s="70" t="s">
        <v>35</v>
      </c>
      <c r="F94" s="70" t="str">
        <f>REPT(CHAR(160),10)&amp;Working!$E94</f>
        <v>          A</v>
      </c>
      <c r="G94" s="61">
        <v>0</v>
      </c>
      <c r="H94" s="61">
        <v>0</v>
      </c>
      <c r="I94" s="61">
        <v>3</v>
      </c>
      <c r="J94" s="61">
        <v>0</v>
      </c>
      <c r="K94" s="72">
        <v>0</v>
      </c>
      <c r="L94" s="67">
        <v>3</v>
      </c>
      <c r="M94" s="61">
        <v>0</v>
      </c>
      <c r="N94" s="61">
        <v>4</v>
      </c>
      <c r="O94" s="61">
        <v>3</v>
      </c>
      <c r="P94" s="73">
        <v>0</v>
      </c>
      <c r="Q94" s="74">
        <v>3</v>
      </c>
      <c r="R94" s="38">
        <v>3.3333333333333335</v>
      </c>
      <c r="S94" s="27">
        <v>0</v>
      </c>
      <c r="T94" s="16">
        <v>0</v>
      </c>
      <c r="U94" s="51">
        <v>0</v>
      </c>
      <c r="V94" s="16">
        <v>0</v>
      </c>
      <c r="W94" s="16">
        <v>0</v>
      </c>
      <c r="X94" s="37">
        <v>0</v>
      </c>
      <c r="Y94" s="16">
        <v>4</v>
      </c>
      <c r="Z94" s="16">
        <v>0</v>
      </c>
      <c r="AA94" s="16">
        <v>0</v>
      </c>
      <c r="AB94" s="16">
        <v>0</v>
      </c>
      <c r="AC94" s="16">
        <v>0</v>
      </c>
      <c r="AD94" s="37">
        <v>4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37">
        <v>0</v>
      </c>
      <c r="AK94" s="22">
        <v>4</v>
      </c>
      <c r="AL94" s="22">
        <v>3</v>
      </c>
      <c r="AM94" s="51">
        <v>0</v>
      </c>
      <c r="AN94" s="22">
        <v>3</v>
      </c>
      <c r="AO94" s="16">
        <v>0</v>
      </c>
      <c r="AP94" s="38">
        <v>3.3333333333333335</v>
      </c>
      <c r="AQ94" s="27">
        <v>3</v>
      </c>
      <c r="AR94" s="16">
        <v>0</v>
      </c>
      <c r="AS94" s="25">
        <v>0</v>
      </c>
      <c r="AT94" s="16">
        <v>0</v>
      </c>
      <c r="AU94" s="16">
        <v>0</v>
      </c>
      <c r="AV94" s="37">
        <v>3</v>
      </c>
      <c r="AW94" s="16">
        <v>0</v>
      </c>
      <c r="AX94" s="16">
        <v>0</v>
      </c>
      <c r="AY94" s="29">
        <v>0</v>
      </c>
      <c r="AZ94" s="27">
        <v>2</v>
      </c>
      <c r="BA94" s="57">
        <v>4</v>
      </c>
      <c r="BB94" s="85">
        <v>3</v>
      </c>
    </row>
    <row r="95" spans="1:54" ht="23.1" customHeight="1" x14ac:dyDescent="0.3">
      <c r="A95" s="86">
        <v>91</v>
      </c>
      <c r="B95" s="63" t="s">
        <v>138</v>
      </c>
      <c r="C95" s="64" t="s">
        <v>139</v>
      </c>
      <c r="D95" s="63" t="s">
        <v>450</v>
      </c>
      <c r="E95" s="63" t="s">
        <v>35</v>
      </c>
      <c r="F95" s="63" t="str">
        <f>REPT(CHAR(160),10)&amp;Working!$E95</f>
        <v>          A</v>
      </c>
      <c r="G95" s="65">
        <v>0</v>
      </c>
      <c r="H95" s="65">
        <v>0</v>
      </c>
      <c r="I95" s="65">
        <v>2</v>
      </c>
      <c r="J95" s="65">
        <v>0</v>
      </c>
      <c r="K95" s="66">
        <v>0</v>
      </c>
      <c r="L95" s="67">
        <v>2</v>
      </c>
      <c r="M95" s="65">
        <v>0</v>
      </c>
      <c r="N95" s="65">
        <v>2</v>
      </c>
      <c r="O95" s="65">
        <v>2</v>
      </c>
      <c r="P95" s="68">
        <v>0</v>
      </c>
      <c r="Q95" s="69">
        <v>2</v>
      </c>
      <c r="R95" s="38">
        <v>2</v>
      </c>
      <c r="S95" s="27">
        <v>0</v>
      </c>
      <c r="T95" s="29">
        <v>0</v>
      </c>
      <c r="U95" s="52">
        <v>0</v>
      </c>
      <c r="V95" s="29">
        <v>0</v>
      </c>
      <c r="W95" s="29">
        <v>0</v>
      </c>
      <c r="X95" s="37">
        <v>0</v>
      </c>
      <c r="Y95" s="29">
        <v>2</v>
      </c>
      <c r="Z95" s="29">
        <v>0</v>
      </c>
      <c r="AA95" s="29">
        <v>0</v>
      </c>
      <c r="AB95" s="29">
        <v>0</v>
      </c>
      <c r="AC95" s="29">
        <v>0</v>
      </c>
      <c r="AD95" s="37">
        <v>2</v>
      </c>
      <c r="AE95" s="29">
        <v>0</v>
      </c>
      <c r="AF95" s="29">
        <v>0</v>
      </c>
      <c r="AG95" s="29">
        <v>0</v>
      </c>
      <c r="AH95" s="29">
        <v>0</v>
      </c>
      <c r="AI95" s="29">
        <v>0</v>
      </c>
      <c r="AJ95" s="37">
        <v>0</v>
      </c>
      <c r="AK95" s="28">
        <v>2</v>
      </c>
      <c r="AL95" s="28">
        <v>2</v>
      </c>
      <c r="AM95" s="52">
        <v>0</v>
      </c>
      <c r="AN95" s="28">
        <v>2</v>
      </c>
      <c r="AO95" s="29">
        <v>0</v>
      </c>
      <c r="AP95" s="38">
        <v>2</v>
      </c>
      <c r="AQ95" s="27">
        <v>3</v>
      </c>
      <c r="AR95" s="29">
        <v>0</v>
      </c>
      <c r="AS95" s="58">
        <v>0</v>
      </c>
      <c r="AT95" s="29">
        <v>0</v>
      </c>
      <c r="AU95" s="29">
        <v>0</v>
      </c>
      <c r="AV95" s="37">
        <v>3</v>
      </c>
      <c r="AW95" s="29">
        <v>0</v>
      </c>
      <c r="AX95" s="29">
        <v>0</v>
      </c>
      <c r="AY95" s="29">
        <v>0</v>
      </c>
      <c r="AZ95" s="27">
        <v>3</v>
      </c>
      <c r="BA95" s="57">
        <v>2</v>
      </c>
      <c r="BB95" s="85">
        <v>2.5</v>
      </c>
    </row>
    <row r="96" spans="1:54" ht="23.1" customHeight="1" x14ac:dyDescent="0.3">
      <c r="A96" s="87">
        <v>92</v>
      </c>
      <c r="B96" s="70" t="s">
        <v>231</v>
      </c>
      <c r="C96" s="71" t="s">
        <v>232</v>
      </c>
      <c r="D96" s="70" t="s">
        <v>450</v>
      </c>
      <c r="E96" s="70" t="s">
        <v>161</v>
      </c>
      <c r="F96" s="70" t="str">
        <f>REPT(CHAR(160),10)&amp;Working!$E96</f>
        <v>          B</v>
      </c>
      <c r="G96" s="61">
        <v>0</v>
      </c>
      <c r="H96" s="61">
        <v>0</v>
      </c>
      <c r="I96" s="61">
        <v>4</v>
      </c>
      <c r="J96" s="61">
        <v>0</v>
      </c>
      <c r="K96" s="72">
        <v>0</v>
      </c>
      <c r="L96" s="67">
        <v>4</v>
      </c>
      <c r="M96" s="61">
        <v>0</v>
      </c>
      <c r="N96" s="61">
        <v>3</v>
      </c>
      <c r="O96" s="61">
        <v>4</v>
      </c>
      <c r="P96" s="79">
        <v>0</v>
      </c>
      <c r="Q96" s="80">
        <v>4</v>
      </c>
      <c r="R96" s="38">
        <v>3.6666666666666665</v>
      </c>
      <c r="S96" s="27">
        <v>0</v>
      </c>
      <c r="T96" s="16">
        <v>0</v>
      </c>
      <c r="U96" s="55">
        <v>0</v>
      </c>
      <c r="V96" s="16">
        <v>0</v>
      </c>
      <c r="W96" s="16">
        <v>0</v>
      </c>
      <c r="X96" s="37">
        <v>0</v>
      </c>
      <c r="Y96" s="16">
        <v>3</v>
      </c>
      <c r="Z96" s="16">
        <v>0</v>
      </c>
      <c r="AA96" s="16">
        <v>0</v>
      </c>
      <c r="AB96" s="16">
        <v>0</v>
      </c>
      <c r="AC96" s="16">
        <v>0</v>
      </c>
      <c r="AD96" s="37">
        <v>3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37">
        <v>0</v>
      </c>
      <c r="AK96" s="26">
        <v>3</v>
      </c>
      <c r="AL96" s="26">
        <v>3</v>
      </c>
      <c r="AM96" s="55">
        <v>0</v>
      </c>
      <c r="AN96" s="26">
        <v>4</v>
      </c>
      <c r="AO96" s="16">
        <v>0</v>
      </c>
      <c r="AP96" s="38">
        <v>3.3333333333333335</v>
      </c>
      <c r="AQ96" s="27">
        <v>4</v>
      </c>
      <c r="AR96" s="16">
        <v>0</v>
      </c>
      <c r="AS96" s="25">
        <v>0</v>
      </c>
      <c r="AT96" s="16">
        <v>0</v>
      </c>
      <c r="AU96" s="16">
        <v>0</v>
      </c>
      <c r="AV96" s="37">
        <v>4</v>
      </c>
      <c r="AW96" s="16">
        <v>0</v>
      </c>
      <c r="AX96" s="16">
        <v>0</v>
      </c>
      <c r="AY96" s="29">
        <v>0</v>
      </c>
      <c r="AZ96" s="27">
        <v>2</v>
      </c>
      <c r="BA96" s="57">
        <v>4</v>
      </c>
      <c r="BB96" s="85">
        <v>3</v>
      </c>
    </row>
    <row r="97" spans="1:54" ht="23.1" customHeight="1" x14ac:dyDescent="0.3">
      <c r="A97" s="86">
        <v>93</v>
      </c>
      <c r="B97" s="63" t="s">
        <v>340</v>
      </c>
      <c r="C97" s="64" t="s">
        <v>341</v>
      </c>
      <c r="D97" s="63" t="s">
        <v>542</v>
      </c>
      <c r="E97" s="63" t="s">
        <v>493</v>
      </c>
      <c r="F97" s="63" t="str">
        <f>REPT(CHAR(160),10)&amp;Working!$E97</f>
        <v>          C</v>
      </c>
      <c r="G97" s="65">
        <v>0</v>
      </c>
      <c r="H97" s="65">
        <v>0</v>
      </c>
      <c r="I97" s="65">
        <v>2</v>
      </c>
      <c r="J97" s="65">
        <v>0</v>
      </c>
      <c r="K97" s="66">
        <v>0</v>
      </c>
      <c r="L97" s="67">
        <v>2</v>
      </c>
      <c r="M97" s="65">
        <v>0</v>
      </c>
      <c r="N97" s="65">
        <v>2</v>
      </c>
      <c r="O97" s="65">
        <v>2</v>
      </c>
      <c r="P97" s="68">
        <v>0</v>
      </c>
      <c r="Q97" s="69">
        <v>2</v>
      </c>
      <c r="R97" s="38">
        <v>2</v>
      </c>
      <c r="S97" s="27">
        <v>0</v>
      </c>
      <c r="T97" s="29">
        <v>0</v>
      </c>
      <c r="U97" s="52">
        <v>0</v>
      </c>
      <c r="V97" s="29">
        <v>0</v>
      </c>
      <c r="W97" s="29">
        <v>0</v>
      </c>
      <c r="X97" s="37">
        <v>0</v>
      </c>
      <c r="Y97" s="29">
        <v>2</v>
      </c>
      <c r="Z97" s="29">
        <v>0</v>
      </c>
      <c r="AA97" s="29">
        <v>0</v>
      </c>
      <c r="AB97" s="29">
        <v>0</v>
      </c>
      <c r="AC97" s="29">
        <v>0</v>
      </c>
      <c r="AD97" s="37">
        <v>2</v>
      </c>
      <c r="AE97" s="29">
        <v>0</v>
      </c>
      <c r="AF97" s="29">
        <v>0</v>
      </c>
      <c r="AG97" s="29">
        <v>0</v>
      </c>
      <c r="AH97" s="29">
        <v>0</v>
      </c>
      <c r="AI97" s="29">
        <v>0</v>
      </c>
      <c r="AJ97" s="37">
        <v>0</v>
      </c>
      <c r="AK97" s="28">
        <v>2</v>
      </c>
      <c r="AL97" s="28">
        <v>2</v>
      </c>
      <c r="AM97" s="52">
        <v>0</v>
      </c>
      <c r="AN97" s="28">
        <v>2</v>
      </c>
      <c r="AO97" s="29">
        <v>0</v>
      </c>
      <c r="AP97" s="38">
        <v>2</v>
      </c>
      <c r="AQ97" s="27">
        <v>2</v>
      </c>
      <c r="AR97" s="29">
        <v>0</v>
      </c>
      <c r="AS97" s="58">
        <v>0</v>
      </c>
      <c r="AT97" s="29">
        <v>0</v>
      </c>
      <c r="AU97" s="29">
        <v>0</v>
      </c>
      <c r="AV97" s="37">
        <v>2</v>
      </c>
      <c r="AW97" s="29">
        <v>0</v>
      </c>
      <c r="AX97" s="29">
        <v>0</v>
      </c>
      <c r="AY97" s="29">
        <v>0</v>
      </c>
      <c r="AZ97" s="27">
        <v>3</v>
      </c>
      <c r="BA97" s="57">
        <v>3</v>
      </c>
      <c r="BB97" s="85">
        <v>3</v>
      </c>
    </row>
    <row r="98" spans="1:54" ht="23.1" customHeight="1" x14ac:dyDescent="0.3">
      <c r="A98" s="87">
        <v>94</v>
      </c>
      <c r="B98" s="70" t="s">
        <v>97</v>
      </c>
      <c r="C98" s="71" t="s">
        <v>98</v>
      </c>
      <c r="D98" s="70" t="s">
        <v>450</v>
      </c>
      <c r="E98" s="70" t="s">
        <v>35</v>
      </c>
      <c r="F98" s="70" t="str">
        <f>REPT(CHAR(160),10)&amp;Working!$E98</f>
        <v>          A</v>
      </c>
      <c r="G98" s="61">
        <v>0</v>
      </c>
      <c r="H98" s="61">
        <v>0</v>
      </c>
      <c r="I98" s="61">
        <v>2</v>
      </c>
      <c r="J98" s="61">
        <v>0</v>
      </c>
      <c r="K98" s="72">
        <v>0</v>
      </c>
      <c r="L98" s="67">
        <v>2</v>
      </c>
      <c r="M98" s="61">
        <v>0</v>
      </c>
      <c r="N98" s="61">
        <v>2</v>
      </c>
      <c r="O98" s="61">
        <v>2</v>
      </c>
      <c r="P98" s="73">
        <v>0</v>
      </c>
      <c r="Q98" s="74">
        <v>2</v>
      </c>
      <c r="R98" s="38">
        <v>2</v>
      </c>
      <c r="S98" s="27">
        <v>0</v>
      </c>
      <c r="T98" s="16">
        <v>0</v>
      </c>
      <c r="U98" s="51">
        <v>0</v>
      </c>
      <c r="V98" s="16">
        <v>0</v>
      </c>
      <c r="W98" s="16">
        <v>0</v>
      </c>
      <c r="X98" s="37">
        <v>0</v>
      </c>
      <c r="Y98" s="16">
        <v>2</v>
      </c>
      <c r="Z98" s="16">
        <v>0</v>
      </c>
      <c r="AA98" s="16">
        <v>0</v>
      </c>
      <c r="AB98" s="16">
        <v>0</v>
      </c>
      <c r="AC98" s="16">
        <v>0</v>
      </c>
      <c r="AD98" s="37">
        <v>2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37">
        <v>0</v>
      </c>
      <c r="AK98" s="22">
        <v>2</v>
      </c>
      <c r="AL98" s="22">
        <v>2</v>
      </c>
      <c r="AM98" s="51">
        <v>0</v>
      </c>
      <c r="AN98" s="22">
        <v>2</v>
      </c>
      <c r="AO98" s="16">
        <v>0</v>
      </c>
      <c r="AP98" s="38">
        <v>2</v>
      </c>
      <c r="AQ98" s="27">
        <v>2</v>
      </c>
      <c r="AR98" s="16">
        <v>0</v>
      </c>
      <c r="AS98" s="26">
        <v>0</v>
      </c>
      <c r="AT98" s="16">
        <v>0</v>
      </c>
      <c r="AU98" s="16">
        <v>0</v>
      </c>
      <c r="AV98" s="37">
        <v>2</v>
      </c>
      <c r="AW98" s="16">
        <v>0</v>
      </c>
      <c r="AX98" s="16">
        <v>0</v>
      </c>
      <c r="AY98" s="29">
        <v>0</v>
      </c>
      <c r="AZ98" s="27">
        <v>3</v>
      </c>
      <c r="BA98" s="57">
        <v>2</v>
      </c>
      <c r="BB98" s="85">
        <v>2.5</v>
      </c>
    </row>
    <row r="99" spans="1:54" ht="23.1" customHeight="1" x14ac:dyDescent="0.3">
      <c r="A99" s="86">
        <v>95</v>
      </c>
      <c r="B99" s="63" t="s">
        <v>249</v>
      </c>
      <c r="C99" s="64" t="s">
        <v>250</v>
      </c>
      <c r="D99" s="63" t="s">
        <v>450</v>
      </c>
      <c r="E99" s="63" t="s">
        <v>161</v>
      </c>
      <c r="F99" s="63" t="str">
        <f>REPT(CHAR(160),10)&amp;Working!$E99</f>
        <v>          B</v>
      </c>
      <c r="G99" s="65">
        <v>0</v>
      </c>
      <c r="H99" s="65">
        <v>0</v>
      </c>
      <c r="I99" s="65">
        <v>3</v>
      </c>
      <c r="J99" s="65">
        <v>0</v>
      </c>
      <c r="K99" s="66">
        <v>0</v>
      </c>
      <c r="L99" s="67">
        <v>3</v>
      </c>
      <c r="M99" s="65">
        <v>0</v>
      </c>
      <c r="N99" s="65">
        <v>3</v>
      </c>
      <c r="O99" s="65">
        <v>4</v>
      </c>
      <c r="P99" s="68">
        <v>0</v>
      </c>
      <c r="Q99" s="69">
        <v>4</v>
      </c>
      <c r="R99" s="38">
        <v>3.6666666666666665</v>
      </c>
      <c r="S99" s="27">
        <v>0</v>
      </c>
      <c r="T99" s="29">
        <v>0</v>
      </c>
      <c r="U99" s="52">
        <v>0</v>
      </c>
      <c r="V99" s="29">
        <v>0</v>
      </c>
      <c r="W99" s="29">
        <v>0</v>
      </c>
      <c r="X99" s="37">
        <v>0</v>
      </c>
      <c r="Y99" s="29">
        <v>2</v>
      </c>
      <c r="Z99" s="29">
        <v>0</v>
      </c>
      <c r="AA99" s="29">
        <v>0</v>
      </c>
      <c r="AB99" s="29">
        <v>0</v>
      </c>
      <c r="AC99" s="29">
        <v>0</v>
      </c>
      <c r="AD99" s="37">
        <v>2</v>
      </c>
      <c r="AE99" s="29">
        <v>0</v>
      </c>
      <c r="AF99" s="29">
        <v>0</v>
      </c>
      <c r="AG99" s="29">
        <v>0</v>
      </c>
      <c r="AH99" s="29">
        <v>0</v>
      </c>
      <c r="AI99" s="29">
        <v>0</v>
      </c>
      <c r="AJ99" s="37">
        <v>0</v>
      </c>
      <c r="AK99" s="28">
        <v>2</v>
      </c>
      <c r="AL99" s="28">
        <v>2</v>
      </c>
      <c r="AM99" s="52">
        <v>0</v>
      </c>
      <c r="AN99" s="28">
        <v>3</v>
      </c>
      <c r="AO99" s="29">
        <v>0</v>
      </c>
      <c r="AP99" s="38">
        <v>2.3333333333333335</v>
      </c>
      <c r="AQ99" s="27">
        <v>3</v>
      </c>
      <c r="AR99" s="29">
        <v>0</v>
      </c>
      <c r="AS99" s="58">
        <v>0</v>
      </c>
      <c r="AT99" s="29">
        <v>0</v>
      </c>
      <c r="AU99" s="29">
        <v>0</v>
      </c>
      <c r="AV99" s="37">
        <v>3</v>
      </c>
      <c r="AW99" s="29">
        <v>0</v>
      </c>
      <c r="AX99" s="29">
        <v>0</v>
      </c>
      <c r="AY99" s="29">
        <v>0</v>
      </c>
      <c r="AZ99" s="27">
        <v>2</v>
      </c>
      <c r="BA99" s="57">
        <v>4</v>
      </c>
      <c r="BB99" s="85">
        <v>3</v>
      </c>
    </row>
    <row r="100" spans="1:54" ht="23.1" customHeight="1" x14ac:dyDescent="0.3">
      <c r="A100" s="87">
        <v>96</v>
      </c>
      <c r="B100" s="70" t="s">
        <v>342</v>
      </c>
      <c r="C100" s="71" t="s">
        <v>343</v>
      </c>
      <c r="D100" s="70" t="s">
        <v>450</v>
      </c>
      <c r="E100" s="70" t="s">
        <v>493</v>
      </c>
      <c r="F100" s="70" t="str">
        <f>REPT(CHAR(160),10)&amp;Working!$E100</f>
        <v>          C</v>
      </c>
      <c r="G100" s="61">
        <v>0</v>
      </c>
      <c r="H100" s="61">
        <v>0</v>
      </c>
      <c r="I100" s="61">
        <v>2</v>
      </c>
      <c r="J100" s="61">
        <v>0</v>
      </c>
      <c r="K100" s="72">
        <v>0</v>
      </c>
      <c r="L100" s="67">
        <v>2</v>
      </c>
      <c r="M100" s="61">
        <v>0</v>
      </c>
      <c r="N100" s="61">
        <v>2</v>
      </c>
      <c r="O100" s="61">
        <v>2</v>
      </c>
      <c r="P100" s="75">
        <v>0</v>
      </c>
      <c r="Q100" s="76">
        <v>2</v>
      </c>
      <c r="R100" s="38">
        <v>2</v>
      </c>
      <c r="S100" s="27">
        <v>0</v>
      </c>
      <c r="T100" s="16">
        <v>0</v>
      </c>
      <c r="U100" s="53">
        <v>0</v>
      </c>
      <c r="V100" s="16">
        <v>0</v>
      </c>
      <c r="W100" s="16">
        <v>0</v>
      </c>
      <c r="X100" s="37">
        <v>0</v>
      </c>
      <c r="Y100" s="16">
        <v>2</v>
      </c>
      <c r="Z100" s="16">
        <v>0</v>
      </c>
      <c r="AA100" s="16">
        <v>0</v>
      </c>
      <c r="AB100" s="16">
        <v>0</v>
      </c>
      <c r="AC100" s="16">
        <v>0</v>
      </c>
      <c r="AD100" s="37">
        <v>2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37">
        <v>0</v>
      </c>
      <c r="AK100" s="24">
        <v>2</v>
      </c>
      <c r="AL100" s="24">
        <v>3</v>
      </c>
      <c r="AM100" s="53">
        <v>0</v>
      </c>
      <c r="AN100" s="24">
        <v>3</v>
      </c>
      <c r="AO100" s="16">
        <v>0</v>
      </c>
      <c r="AP100" s="38">
        <v>2.6666666666666665</v>
      </c>
      <c r="AQ100" s="27">
        <v>3</v>
      </c>
      <c r="AR100" s="16">
        <v>0</v>
      </c>
      <c r="AS100" s="25">
        <v>0</v>
      </c>
      <c r="AT100" s="16">
        <v>0</v>
      </c>
      <c r="AU100" s="16">
        <v>0</v>
      </c>
      <c r="AV100" s="37">
        <v>3</v>
      </c>
      <c r="AW100" s="16">
        <v>0</v>
      </c>
      <c r="AX100" s="16">
        <v>0</v>
      </c>
      <c r="AY100" s="29">
        <v>0</v>
      </c>
      <c r="AZ100" s="27">
        <v>3</v>
      </c>
      <c r="BA100" s="57">
        <v>3</v>
      </c>
      <c r="BB100" s="85">
        <v>3</v>
      </c>
    </row>
    <row r="101" spans="1:54" ht="23.1" customHeight="1" x14ac:dyDescent="0.3">
      <c r="A101" s="86">
        <v>97</v>
      </c>
      <c r="B101" s="63" t="s">
        <v>184</v>
      </c>
      <c r="C101" s="64" t="s">
        <v>185</v>
      </c>
      <c r="D101" s="63" t="s">
        <v>542</v>
      </c>
      <c r="E101" s="63" t="s">
        <v>161</v>
      </c>
      <c r="F101" s="63" t="str">
        <f>REPT(CHAR(160),10)&amp;Working!$E101</f>
        <v>          B</v>
      </c>
      <c r="G101" s="65">
        <v>0</v>
      </c>
      <c r="H101" s="65">
        <v>0</v>
      </c>
      <c r="I101" s="65">
        <v>2</v>
      </c>
      <c r="J101" s="65">
        <v>0</v>
      </c>
      <c r="K101" s="66">
        <v>0</v>
      </c>
      <c r="L101" s="67">
        <v>2</v>
      </c>
      <c r="M101" s="65">
        <v>0</v>
      </c>
      <c r="N101" s="65">
        <v>2</v>
      </c>
      <c r="O101" s="65">
        <v>3</v>
      </c>
      <c r="P101" s="68">
        <v>0</v>
      </c>
      <c r="Q101" s="69">
        <v>3</v>
      </c>
      <c r="R101" s="38">
        <v>2.6666666666666665</v>
      </c>
      <c r="S101" s="27">
        <v>0</v>
      </c>
      <c r="T101" s="29">
        <v>0</v>
      </c>
      <c r="U101" s="52">
        <v>0</v>
      </c>
      <c r="V101" s="29">
        <v>0</v>
      </c>
      <c r="W101" s="29">
        <v>0</v>
      </c>
      <c r="X101" s="37">
        <v>0</v>
      </c>
      <c r="Y101" s="29">
        <v>2</v>
      </c>
      <c r="Z101" s="29">
        <v>0</v>
      </c>
      <c r="AA101" s="29">
        <v>0</v>
      </c>
      <c r="AB101" s="29">
        <v>0</v>
      </c>
      <c r="AC101" s="29">
        <v>0</v>
      </c>
      <c r="AD101" s="37">
        <v>2</v>
      </c>
      <c r="AE101" s="29">
        <v>0</v>
      </c>
      <c r="AF101" s="29">
        <v>0</v>
      </c>
      <c r="AG101" s="29">
        <v>0</v>
      </c>
      <c r="AH101" s="29">
        <v>0</v>
      </c>
      <c r="AI101" s="29">
        <v>0</v>
      </c>
      <c r="AJ101" s="37">
        <v>0</v>
      </c>
      <c r="AK101" s="28">
        <v>3</v>
      </c>
      <c r="AL101" s="28">
        <v>4</v>
      </c>
      <c r="AM101" s="52">
        <v>0</v>
      </c>
      <c r="AN101" s="28">
        <v>4</v>
      </c>
      <c r="AO101" s="29">
        <v>0</v>
      </c>
      <c r="AP101" s="38">
        <v>3.6666666666666665</v>
      </c>
      <c r="AQ101" s="27">
        <v>3</v>
      </c>
      <c r="AR101" s="29">
        <v>0</v>
      </c>
      <c r="AS101" s="58">
        <v>0</v>
      </c>
      <c r="AT101" s="29">
        <v>0</v>
      </c>
      <c r="AU101" s="29">
        <v>0</v>
      </c>
      <c r="AV101" s="37">
        <v>3</v>
      </c>
      <c r="AW101" s="29">
        <v>0</v>
      </c>
      <c r="AX101" s="29">
        <v>0</v>
      </c>
      <c r="AY101" s="29">
        <v>0</v>
      </c>
      <c r="AZ101" s="27">
        <v>3</v>
      </c>
      <c r="BA101" s="57">
        <v>3</v>
      </c>
      <c r="BB101" s="85">
        <v>3</v>
      </c>
    </row>
    <row r="102" spans="1:54" ht="23.1" customHeight="1" x14ac:dyDescent="0.3">
      <c r="A102" s="87">
        <v>98</v>
      </c>
      <c r="B102" s="70" t="s">
        <v>344</v>
      </c>
      <c r="C102" s="71" t="s">
        <v>345</v>
      </c>
      <c r="D102" s="70" t="s">
        <v>542</v>
      </c>
      <c r="E102" s="70" t="s">
        <v>493</v>
      </c>
      <c r="F102" s="70" t="str">
        <f>REPT(CHAR(160),10)&amp;Working!$E102</f>
        <v>          C</v>
      </c>
      <c r="G102" s="61">
        <v>0</v>
      </c>
      <c r="H102" s="61">
        <v>0</v>
      </c>
      <c r="I102" s="61">
        <v>3</v>
      </c>
      <c r="J102" s="61">
        <v>0</v>
      </c>
      <c r="K102" s="72">
        <v>0</v>
      </c>
      <c r="L102" s="67">
        <v>3</v>
      </c>
      <c r="M102" s="61">
        <v>0</v>
      </c>
      <c r="N102" s="61">
        <v>3</v>
      </c>
      <c r="O102" s="61">
        <v>3</v>
      </c>
      <c r="P102" s="73">
        <v>0</v>
      </c>
      <c r="Q102" s="74">
        <v>3</v>
      </c>
      <c r="R102" s="38">
        <v>3</v>
      </c>
      <c r="S102" s="27">
        <v>0</v>
      </c>
      <c r="T102" s="16">
        <v>0</v>
      </c>
      <c r="U102" s="51">
        <v>0</v>
      </c>
      <c r="V102" s="16">
        <v>0</v>
      </c>
      <c r="W102" s="16">
        <v>0</v>
      </c>
      <c r="X102" s="37">
        <v>0</v>
      </c>
      <c r="Y102" s="16">
        <v>3</v>
      </c>
      <c r="Z102" s="16">
        <v>0</v>
      </c>
      <c r="AA102" s="16">
        <v>0</v>
      </c>
      <c r="AB102" s="16">
        <v>0</v>
      </c>
      <c r="AC102" s="16">
        <v>0</v>
      </c>
      <c r="AD102" s="37">
        <v>3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37">
        <v>0</v>
      </c>
      <c r="AK102" s="22">
        <v>3</v>
      </c>
      <c r="AL102" s="22">
        <v>3</v>
      </c>
      <c r="AM102" s="51">
        <v>0</v>
      </c>
      <c r="AN102" s="22">
        <v>3</v>
      </c>
      <c r="AO102" s="16">
        <v>0</v>
      </c>
      <c r="AP102" s="38">
        <v>3</v>
      </c>
      <c r="AQ102" s="27">
        <v>3</v>
      </c>
      <c r="AR102" s="16">
        <v>0</v>
      </c>
      <c r="AS102" s="26">
        <v>0</v>
      </c>
      <c r="AT102" s="16">
        <v>0</v>
      </c>
      <c r="AU102" s="16">
        <v>0</v>
      </c>
      <c r="AV102" s="37">
        <v>3</v>
      </c>
      <c r="AW102" s="16">
        <v>0</v>
      </c>
      <c r="AX102" s="16">
        <v>0</v>
      </c>
      <c r="AY102" s="29">
        <v>0</v>
      </c>
      <c r="AZ102" s="27">
        <v>3</v>
      </c>
      <c r="BA102" s="57">
        <v>3</v>
      </c>
      <c r="BB102" s="85">
        <v>3</v>
      </c>
    </row>
    <row r="103" spans="1:54" ht="23.1" customHeight="1" x14ac:dyDescent="0.3">
      <c r="A103" s="86">
        <v>99</v>
      </c>
      <c r="B103" s="63" t="s">
        <v>263</v>
      </c>
      <c r="C103" s="64" t="s">
        <v>264</v>
      </c>
      <c r="D103" s="63" t="s">
        <v>450</v>
      </c>
      <c r="E103" s="63" t="s">
        <v>161</v>
      </c>
      <c r="F103" s="63" t="str">
        <f>REPT(CHAR(160),10)&amp;Working!$E103</f>
        <v>          B</v>
      </c>
      <c r="G103" s="65">
        <v>0</v>
      </c>
      <c r="H103" s="65">
        <v>0</v>
      </c>
      <c r="I103" s="65">
        <v>2</v>
      </c>
      <c r="J103" s="65">
        <v>0</v>
      </c>
      <c r="K103" s="66">
        <v>0</v>
      </c>
      <c r="L103" s="67">
        <v>2</v>
      </c>
      <c r="M103" s="65">
        <v>0</v>
      </c>
      <c r="N103" s="65">
        <v>3</v>
      </c>
      <c r="O103" s="65">
        <v>2</v>
      </c>
      <c r="P103" s="68">
        <v>0</v>
      </c>
      <c r="Q103" s="69">
        <v>2</v>
      </c>
      <c r="R103" s="38">
        <v>2.3333333333333335</v>
      </c>
      <c r="S103" s="27">
        <v>0</v>
      </c>
      <c r="T103" s="29">
        <v>0</v>
      </c>
      <c r="U103" s="52">
        <v>0</v>
      </c>
      <c r="V103" s="29">
        <v>0</v>
      </c>
      <c r="W103" s="29">
        <v>0</v>
      </c>
      <c r="X103" s="37">
        <v>0</v>
      </c>
      <c r="Y103" s="29">
        <v>2</v>
      </c>
      <c r="Z103" s="29">
        <v>0</v>
      </c>
      <c r="AA103" s="29">
        <v>0</v>
      </c>
      <c r="AB103" s="29">
        <v>0</v>
      </c>
      <c r="AC103" s="29">
        <v>0</v>
      </c>
      <c r="AD103" s="37">
        <v>2</v>
      </c>
      <c r="AE103" s="29">
        <v>0</v>
      </c>
      <c r="AF103" s="29">
        <v>0</v>
      </c>
      <c r="AG103" s="29">
        <v>0</v>
      </c>
      <c r="AH103" s="29">
        <v>0</v>
      </c>
      <c r="AI103" s="29">
        <v>0</v>
      </c>
      <c r="AJ103" s="37">
        <v>0</v>
      </c>
      <c r="AK103" s="28">
        <v>2</v>
      </c>
      <c r="AL103" s="28">
        <v>3</v>
      </c>
      <c r="AM103" s="52">
        <v>0</v>
      </c>
      <c r="AN103" s="28">
        <v>3</v>
      </c>
      <c r="AO103" s="29">
        <v>0</v>
      </c>
      <c r="AP103" s="38">
        <v>2.6666666666666665</v>
      </c>
      <c r="AQ103" s="27">
        <v>2</v>
      </c>
      <c r="AR103" s="29">
        <v>0</v>
      </c>
      <c r="AS103" s="58">
        <v>0</v>
      </c>
      <c r="AT103" s="29">
        <v>0</v>
      </c>
      <c r="AU103" s="29">
        <v>0</v>
      </c>
      <c r="AV103" s="37">
        <v>2</v>
      </c>
      <c r="AW103" s="29">
        <v>0</v>
      </c>
      <c r="AX103" s="29">
        <v>0</v>
      </c>
      <c r="AY103" s="29">
        <v>0</v>
      </c>
      <c r="AZ103" s="27">
        <v>1</v>
      </c>
      <c r="BA103" s="57">
        <v>3</v>
      </c>
      <c r="BB103" s="85">
        <v>2</v>
      </c>
    </row>
    <row r="104" spans="1:54" ht="23.1" customHeight="1" x14ac:dyDescent="0.3">
      <c r="A104" s="87">
        <v>100</v>
      </c>
      <c r="B104" s="70" t="s">
        <v>140</v>
      </c>
      <c r="C104" s="71" t="s">
        <v>141</v>
      </c>
      <c r="D104" s="70" t="s">
        <v>450</v>
      </c>
      <c r="E104" s="70" t="s">
        <v>35</v>
      </c>
      <c r="F104" s="70" t="str">
        <f>REPT(CHAR(160),10)&amp;Working!$E104</f>
        <v>          A</v>
      </c>
      <c r="G104" s="61">
        <v>0</v>
      </c>
      <c r="H104" s="61">
        <v>0</v>
      </c>
      <c r="I104" s="61">
        <v>2</v>
      </c>
      <c r="J104" s="61">
        <v>0</v>
      </c>
      <c r="K104" s="72">
        <v>0</v>
      </c>
      <c r="L104" s="67">
        <v>2</v>
      </c>
      <c r="M104" s="61">
        <v>0</v>
      </c>
      <c r="N104" s="61">
        <v>2</v>
      </c>
      <c r="O104" s="61">
        <v>2</v>
      </c>
      <c r="P104" s="73">
        <v>0</v>
      </c>
      <c r="Q104" s="74">
        <v>2</v>
      </c>
      <c r="R104" s="38">
        <v>2</v>
      </c>
      <c r="S104" s="27">
        <v>0</v>
      </c>
      <c r="T104" s="16">
        <v>0</v>
      </c>
      <c r="U104" s="51">
        <v>0</v>
      </c>
      <c r="V104" s="16">
        <v>0</v>
      </c>
      <c r="W104" s="16">
        <v>0</v>
      </c>
      <c r="X104" s="37">
        <v>0</v>
      </c>
      <c r="Y104" s="16">
        <v>2</v>
      </c>
      <c r="Z104" s="16">
        <v>0</v>
      </c>
      <c r="AA104" s="16">
        <v>0</v>
      </c>
      <c r="AB104" s="16">
        <v>0</v>
      </c>
      <c r="AC104" s="16">
        <v>0</v>
      </c>
      <c r="AD104" s="37">
        <v>2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37">
        <v>0</v>
      </c>
      <c r="AK104" s="22">
        <v>3</v>
      </c>
      <c r="AL104" s="22">
        <v>2</v>
      </c>
      <c r="AM104" s="51">
        <v>0</v>
      </c>
      <c r="AN104" s="22">
        <v>2</v>
      </c>
      <c r="AO104" s="16">
        <v>0</v>
      </c>
      <c r="AP104" s="38">
        <v>2.3333333333333335</v>
      </c>
      <c r="AQ104" s="27">
        <v>3</v>
      </c>
      <c r="AR104" s="16">
        <v>0</v>
      </c>
      <c r="AS104" s="25">
        <v>0</v>
      </c>
      <c r="AT104" s="16">
        <v>0</v>
      </c>
      <c r="AU104" s="16">
        <v>0</v>
      </c>
      <c r="AV104" s="37">
        <v>3</v>
      </c>
      <c r="AW104" s="16">
        <v>0</v>
      </c>
      <c r="AX104" s="16">
        <v>0</v>
      </c>
      <c r="AY104" s="29">
        <v>0</v>
      </c>
      <c r="AZ104" s="27">
        <v>2</v>
      </c>
      <c r="BA104" s="57">
        <v>3</v>
      </c>
      <c r="BB104" s="85">
        <v>2.5</v>
      </c>
    </row>
    <row r="105" spans="1:54" ht="23.1" customHeight="1" x14ac:dyDescent="0.3">
      <c r="A105" s="86">
        <v>101</v>
      </c>
      <c r="B105" s="63" t="s">
        <v>346</v>
      </c>
      <c r="C105" s="64" t="s">
        <v>347</v>
      </c>
      <c r="D105" s="63" t="s">
        <v>450</v>
      </c>
      <c r="E105" s="63" t="s">
        <v>493</v>
      </c>
      <c r="F105" s="63" t="str">
        <f>REPT(CHAR(160),10)&amp;Working!$E105</f>
        <v>          C</v>
      </c>
      <c r="G105" s="65">
        <v>0</v>
      </c>
      <c r="H105" s="65">
        <v>0</v>
      </c>
      <c r="I105" s="65">
        <v>3</v>
      </c>
      <c r="J105" s="65">
        <v>0</v>
      </c>
      <c r="K105" s="66">
        <v>0</v>
      </c>
      <c r="L105" s="67">
        <v>3</v>
      </c>
      <c r="M105" s="65">
        <v>0</v>
      </c>
      <c r="N105" s="65">
        <v>3</v>
      </c>
      <c r="O105" s="65">
        <v>4</v>
      </c>
      <c r="P105" s="68">
        <v>0</v>
      </c>
      <c r="Q105" s="69">
        <v>4</v>
      </c>
      <c r="R105" s="38">
        <v>3.6666666666666665</v>
      </c>
      <c r="S105" s="27">
        <v>0</v>
      </c>
      <c r="T105" s="29">
        <v>0</v>
      </c>
      <c r="U105" s="52">
        <v>0</v>
      </c>
      <c r="V105" s="29">
        <v>0</v>
      </c>
      <c r="W105" s="29">
        <v>0</v>
      </c>
      <c r="X105" s="37">
        <v>0</v>
      </c>
      <c r="Y105" s="29">
        <v>3</v>
      </c>
      <c r="Z105" s="29">
        <v>0</v>
      </c>
      <c r="AA105" s="29">
        <v>0</v>
      </c>
      <c r="AB105" s="29">
        <v>0</v>
      </c>
      <c r="AC105" s="29">
        <v>0</v>
      </c>
      <c r="AD105" s="37">
        <v>3</v>
      </c>
      <c r="AE105" s="29">
        <v>0</v>
      </c>
      <c r="AF105" s="29">
        <v>0</v>
      </c>
      <c r="AG105" s="29">
        <v>0</v>
      </c>
      <c r="AH105" s="29">
        <v>0</v>
      </c>
      <c r="AI105" s="29">
        <v>0</v>
      </c>
      <c r="AJ105" s="37">
        <v>0</v>
      </c>
      <c r="AK105" s="28">
        <v>3</v>
      </c>
      <c r="AL105" s="28">
        <v>3</v>
      </c>
      <c r="AM105" s="52">
        <v>0</v>
      </c>
      <c r="AN105" s="28">
        <v>4</v>
      </c>
      <c r="AO105" s="29">
        <v>0</v>
      </c>
      <c r="AP105" s="38">
        <v>3.3333333333333335</v>
      </c>
      <c r="AQ105" s="27">
        <v>3</v>
      </c>
      <c r="AR105" s="29">
        <v>0</v>
      </c>
      <c r="AS105" s="58">
        <v>0</v>
      </c>
      <c r="AT105" s="29">
        <v>0</v>
      </c>
      <c r="AU105" s="29">
        <v>0</v>
      </c>
      <c r="AV105" s="37">
        <v>3</v>
      </c>
      <c r="AW105" s="29">
        <v>0</v>
      </c>
      <c r="AX105" s="29">
        <v>0</v>
      </c>
      <c r="AY105" s="29">
        <v>0</v>
      </c>
      <c r="AZ105" s="27">
        <v>3</v>
      </c>
      <c r="BA105" s="57">
        <v>4</v>
      </c>
      <c r="BB105" s="85">
        <v>3.5</v>
      </c>
    </row>
    <row r="106" spans="1:54" ht="23.1" customHeight="1" x14ac:dyDescent="0.3">
      <c r="A106" s="87">
        <v>102</v>
      </c>
      <c r="B106" s="70" t="s">
        <v>348</v>
      </c>
      <c r="C106" s="71" t="s">
        <v>349</v>
      </c>
      <c r="D106" s="70" t="s">
        <v>542</v>
      </c>
      <c r="E106" s="70" t="s">
        <v>493</v>
      </c>
      <c r="F106" s="70" t="str">
        <f>REPT(CHAR(160),10)&amp;Working!$E106</f>
        <v>          C</v>
      </c>
      <c r="G106" s="61">
        <v>0</v>
      </c>
      <c r="H106" s="61">
        <v>0</v>
      </c>
      <c r="I106" s="61">
        <v>2</v>
      </c>
      <c r="J106" s="61">
        <v>0</v>
      </c>
      <c r="K106" s="72">
        <v>0</v>
      </c>
      <c r="L106" s="67">
        <v>2</v>
      </c>
      <c r="M106" s="61">
        <v>0</v>
      </c>
      <c r="N106" s="61">
        <v>4</v>
      </c>
      <c r="O106" s="61">
        <v>3</v>
      </c>
      <c r="P106" s="73">
        <v>0</v>
      </c>
      <c r="Q106" s="74">
        <v>3</v>
      </c>
      <c r="R106" s="38">
        <v>3.3333333333333335</v>
      </c>
      <c r="S106" s="27">
        <v>0</v>
      </c>
      <c r="T106" s="16">
        <v>0</v>
      </c>
      <c r="U106" s="51">
        <v>0</v>
      </c>
      <c r="V106" s="16">
        <v>0</v>
      </c>
      <c r="W106" s="16">
        <v>0</v>
      </c>
      <c r="X106" s="37">
        <v>0</v>
      </c>
      <c r="Y106" s="16">
        <v>3</v>
      </c>
      <c r="Z106" s="16">
        <v>0</v>
      </c>
      <c r="AA106" s="16">
        <v>0</v>
      </c>
      <c r="AB106" s="16">
        <v>0</v>
      </c>
      <c r="AC106" s="16">
        <v>0</v>
      </c>
      <c r="AD106" s="37">
        <v>3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37">
        <v>0</v>
      </c>
      <c r="AK106" s="22">
        <v>4</v>
      </c>
      <c r="AL106" s="22">
        <v>4</v>
      </c>
      <c r="AM106" s="51">
        <v>0</v>
      </c>
      <c r="AN106" s="22">
        <v>3</v>
      </c>
      <c r="AO106" s="16">
        <v>0</v>
      </c>
      <c r="AP106" s="38">
        <v>3.6666666666666665</v>
      </c>
      <c r="AQ106" s="27">
        <v>4</v>
      </c>
      <c r="AR106" s="16">
        <v>0</v>
      </c>
      <c r="AS106" s="25">
        <v>0</v>
      </c>
      <c r="AT106" s="16">
        <v>0</v>
      </c>
      <c r="AU106" s="16">
        <v>0</v>
      </c>
      <c r="AV106" s="37">
        <v>4</v>
      </c>
      <c r="AW106" s="16">
        <v>0</v>
      </c>
      <c r="AX106" s="16">
        <v>0</v>
      </c>
      <c r="AY106" s="29">
        <v>0</v>
      </c>
      <c r="AZ106" s="27">
        <v>2</v>
      </c>
      <c r="BA106" s="57">
        <v>4</v>
      </c>
      <c r="BB106" s="85">
        <v>3</v>
      </c>
    </row>
    <row r="107" spans="1:54" ht="23.1" customHeight="1" x14ac:dyDescent="0.3">
      <c r="A107" s="86">
        <v>103</v>
      </c>
      <c r="B107" s="63" t="s">
        <v>142</v>
      </c>
      <c r="C107" s="64" t="s">
        <v>143</v>
      </c>
      <c r="D107" s="63" t="s">
        <v>542</v>
      </c>
      <c r="E107" s="63" t="s">
        <v>35</v>
      </c>
      <c r="F107" s="63" t="str">
        <f>REPT(CHAR(160),10)&amp;Working!$E107</f>
        <v>          A</v>
      </c>
      <c r="G107" s="65">
        <v>0</v>
      </c>
      <c r="H107" s="65">
        <v>0</v>
      </c>
      <c r="I107" s="65">
        <v>2</v>
      </c>
      <c r="J107" s="65">
        <v>0</v>
      </c>
      <c r="K107" s="66">
        <v>0</v>
      </c>
      <c r="L107" s="67">
        <v>2</v>
      </c>
      <c r="M107" s="65">
        <v>0</v>
      </c>
      <c r="N107" s="65">
        <v>3</v>
      </c>
      <c r="O107" s="65">
        <v>2</v>
      </c>
      <c r="P107" s="68">
        <v>0</v>
      </c>
      <c r="Q107" s="69">
        <v>2</v>
      </c>
      <c r="R107" s="38">
        <v>2.3333333333333335</v>
      </c>
      <c r="S107" s="27">
        <v>0</v>
      </c>
      <c r="T107" s="29">
        <v>0</v>
      </c>
      <c r="U107" s="52">
        <v>0</v>
      </c>
      <c r="V107" s="29">
        <v>0</v>
      </c>
      <c r="W107" s="29">
        <v>0</v>
      </c>
      <c r="X107" s="37">
        <v>0</v>
      </c>
      <c r="Y107" s="29">
        <v>2</v>
      </c>
      <c r="Z107" s="29">
        <v>0</v>
      </c>
      <c r="AA107" s="29">
        <v>0</v>
      </c>
      <c r="AB107" s="29">
        <v>0</v>
      </c>
      <c r="AC107" s="29">
        <v>0</v>
      </c>
      <c r="AD107" s="37">
        <v>2</v>
      </c>
      <c r="AE107" s="29">
        <v>0</v>
      </c>
      <c r="AF107" s="29">
        <v>0</v>
      </c>
      <c r="AG107" s="29">
        <v>0</v>
      </c>
      <c r="AH107" s="29">
        <v>0</v>
      </c>
      <c r="AI107" s="29">
        <v>0</v>
      </c>
      <c r="AJ107" s="37">
        <v>0</v>
      </c>
      <c r="AK107" s="28">
        <v>1</v>
      </c>
      <c r="AL107" s="28">
        <v>2</v>
      </c>
      <c r="AM107" s="52">
        <v>0</v>
      </c>
      <c r="AN107" s="28">
        <v>2</v>
      </c>
      <c r="AO107" s="29">
        <v>0</v>
      </c>
      <c r="AP107" s="38">
        <v>1.6666666666666667</v>
      </c>
      <c r="AQ107" s="27">
        <v>2</v>
      </c>
      <c r="AR107" s="29">
        <v>0</v>
      </c>
      <c r="AS107" s="58">
        <v>0</v>
      </c>
      <c r="AT107" s="29">
        <v>0</v>
      </c>
      <c r="AU107" s="29">
        <v>0</v>
      </c>
      <c r="AV107" s="37">
        <v>2</v>
      </c>
      <c r="AW107" s="29">
        <v>0</v>
      </c>
      <c r="AX107" s="29">
        <v>0</v>
      </c>
      <c r="AY107" s="29">
        <v>0</v>
      </c>
      <c r="AZ107" s="27">
        <v>1</v>
      </c>
      <c r="BA107" s="57">
        <v>2</v>
      </c>
      <c r="BB107" s="85">
        <v>1.5</v>
      </c>
    </row>
    <row r="108" spans="1:54" ht="23.1" customHeight="1" x14ac:dyDescent="0.3">
      <c r="A108" s="87">
        <v>104</v>
      </c>
      <c r="B108" s="70" t="s">
        <v>77</v>
      </c>
      <c r="C108" s="71" t="s">
        <v>78</v>
      </c>
      <c r="D108" s="70" t="s">
        <v>450</v>
      </c>
      <c r="E108" s="70" t="s">
        <v>35</v>
      </c>
      <c r="F108" s="70" t="str">
        <f>REPT(CHAR(160),10)&amp;Working!$E108</f>
        <v>          A</v>
      </c>
      <c r="G108" s="61">
        <v>0</v>
      </c>
      <c r="H108" s="61">
        <v>0</v>
      </c>
      <c r="I108" s="61">
        <v>4</v>
      </c>
      <c r="J108" s="61">
        <v>0</v>
      </c>
      <c r="K108" s="72">
        <v>0</v>
      </c>
      <c r="L108" s="67">
        <v>4</v>
      </c>
      <c r="M108" s="61">
        <v>0</v>
      </c>
      <c r="N108" s="61">
        <v>4</v>
      </c>
      <c r="O108" s="61">
        <v>4</v>
      </c>
      <c r="P108" s="73">
        <v>0</v>
      </c>
      <c r="Q108" s="74">
        <v>4</v>
      </c>
      <c r="R108" s="38">
        <v>4</v>
      </c>
      <c r="S108" s="27">
        <v>0</v>
      </c>
      <c r="T108" s="16">
        <v>0</v>
      </c>
      <c r="U108" s="51">
        <v>0</v>
      </c>
      <c r="V108" s="16">
        <v>0</v>
      </c>
      <c r="W108" s="16">
        <v>0</v>
      </c>
      <c r="X108" s="37">
        <v>0</v>
      </c>
      <c r="Y108" s="16">
        <v>4</v>
      </c>
      <c r="Z108" s="16">
        <v>0</v>
      </c>
      <c r="AA108" s="16">
        <v>0</v>
      </c>
      <c r="AB108" s="16">
        <v>0</v>
      </c>
      <c r="AC108" s="16">
        <v>0</v>
      </c>
      <c r="AD108" s="37">
        <v>4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37">
        <v>0</v>
      </c>
      <c r="AK108" s="22">
        <v>5</v>
      </c>
      <c r="AL108" s="22">
        <v>5</v>
      </c>
      <c r="AM108" s="51">
        <v>0</v>
      </c>
      <c r="AN108" s="22">
        <v>5</v>
      </c>
      <c r="AO108" s="16">
        <v>0</v>
      </c>
      <c r="AP108" s="38">
        <v>5</v>
      </c>
      <c r="AQ108" s="27">
        <v>5</v>
      </c>
      <c r="AR108" s="16">
        <v>0</v>
      </c>
      <c r="AS108" s="25">
        <v>0</v>
      </c>
      <c r="AT108" s="16">
        <v>0</v>
      </c>
      <c r="AU108" s="16">
        <v>0</v>
      </c>
      <c r="AV108" s="37">
        <v>5</v>
      </c>
      <c r="AW108" s="16">
        <v>0</v>
      </c>
      <c r="AX108" s="16">
        <v>0</v>
      </c>
      <c r="AY108" s="29">
        <v>0</v>
      </c>
      <c r="AZ108" s="27">
        <v>4</v>
      </c>
      <c r="BA108" s="57">
        <v>5</v>
      </c>
      <c r="BB108" s="85">
        <v>4.5</v>
      </c>
    </row>
    <row r="109" spans="1:54" ht="23.1" customHeight="1" x14ac:dyDescent="0.3">
      <c r="A109" s="86">
        <v>105</v>
      </c>
      <c r="B109" s="63" t="s">
        <v>144</v>
      </c>
      <c r="C109" s="64" t="s">
        <v>145</v>
      </c>
      <c r="D109" s="63" t="s">
        <v>542</v>
      </c>
      <c r="E109" s="63" t="s">
        <v>35</v>
      </c>
      <c r="F109" s="63" t="str">
        <f>REPT(CHAR(160),10)&amp;Working!$E109</f>
        <v>          A</v>
      </c>
      <c r="G109" s="65">
        <v>0</v>
      </c>
      <c r="H109" s="65">
        <v>0</v>
      </c>
      <c r="I109" s="65">
        <v>3</v>
      </c>
      <c r="J109" s="65">
        <v>0</v>
      </c>
      <c r="K109" s="66">
        <v>0</v>
      </c>
      <c r="L109" s="67">
        <v>3</v>
      </c>
      <c r="M109" s="65">
        <v>0</v>
      </c>
      <c r="N109" s="65">
        <v>4</v>
      </c>
      <c r="O109" s="65">
        <v>4</v>
      </c>
      <c r="P109" s="68">
        <v>0</v>
      </c>
      <c r="Q109" s="69">
        <v>4</v>
      </c>
      <c r="R109" s="38">
        <v>4</v>
      </c>
      <c r="S109" s="27">
        <v>0</v>
      </c>
      <c r="T109" s="29">
        <v>0</v>
      </c>
      <c r="U109" s="52">
        <v>0</v>
      </c>
      <c r="V109" s="29">
        <v>0</v>
      </c>
      <c r="W109" s="29">
        <v>0</v>
      </c>
      <c r="X109" s="37">
        <v>0</v>
      </c>
      <c r="Y109" s="29">
        <v>5</v>
      </c>
      <c r="Z109" s="29">
        <v>0</v>
      </c>
      <c r="AA109" s="29">
        <v>0</v>
      </c>
      <c r="AB109" s="29">
        <v>0</v>
      </c>
      <c r="AC109" s="29">
        <v>0</v>
      </c>
      <c r="AD109" s="37">
        <v>5</v>
      </c>
      <c r="AE109" s="29">
        <v>0</v>
      </c>
      <c r="AF109" s="29">
        <v>0</v>
      </c>
      <c r="AG109" s="29">
        <v>0</v>
      </c>
      <c r="AH109" s="29">
        <v>0</v>
      </c>
      <c r="AI109" s="29">
        <v>0</v>
      </c>
      <c r="AJ109" s="37">
        <v>0</v>
      </c>
      <c r="AK109" s="28">
        <v>3</v>
      </c>
      <c r="AL109" s="28">
        <v>4</v>
      </c>
      <c r="AM109" s="52">
        <v>0</v>
      </c>
      <c r="AN109" s="28">
        <v>4</v>
      </c>
      <c r="AO109" s="29">
        <v>0</v>
      </c>
      <c r="AP109" s="38">
        <v>3.6666666666666665</v>
      </c>
      <c r="AQ109" s="27">
        <v>5</v>
      </c>
      <c r="AR109" s="29">
        <v>0</v>
      </c>
      <c r="AS109" s="58">
        <v>0</v>
      </c>
      <c r="AT109" s="29">
        <v>0</v>
      </c>
      <c r="AU109" s="29">
        <v>0</v>
      </c>
      <c r="AV109" s="37">
        <v>5</v>
      </c>
      <c r="AW109" s="29">
        <v>0</v>
      </c>
      <c r="AX109" s="29">
        <v>0</v>
      </c>
      <c r="AY109" s="29">
        <v>0</v>
      </c>
      <c r="AZ109" s="27">
        <v>2</v>
      </c>
      <c r="BA109" s="57">
        <v>4</v>
      </c>
      <c r="BB109" s="85">
        <v>3</v>
      </c>
    </row>
    <row r="110" spans="1:54" ht="23.1" customHeight="1" x14ac:dyDescent="0.3">
      <c r="A110" s="87">
        <v>106</v>
      </c>
      <c r="B110" s="70" t="s">
        <v>350</v>
      </c>
      <c r="C110" s="71" t="s">
        <v>351</v>
      </c>
      <c r="D110" s="70" t="s">
        <v>450</v>
      </c>
      <c r="E110" s="70" t="s">
        <v>493</v>
      </c>
      <c r="F110" s="70" t="str">
        <f>REPT(CHAR(160),10)&amp;Working!$E110</f>
        <v>          C</v>
      </c>
      <c r="G110" s="61">
        <v>0</v>
      </c>
      <c r="H110" s="61">
        <v>0</v>
      </c>
      <c r="I110" s="61">
        <v>5</v>
      </c>
      <c r="J110" s="61">
        <v>0</v>
      </c>
      <c r="K110" s="72">
        <v>0</v>
      </c>
      <c r="L110" s="67">
        <v>5</v>
      </c>
      <c r="M110" s="61">
        <v>0</v>
      </c>
      <c r="N110" s="61">
        <v>5</v>
      </c>
      <c r="O110" s="61">
        <v>4</v>
      </c>
      <c r="P110" s="79">
        <v>0</v>
      </c>
      <c r="Q110" s="80">
        <v>4</v>
      </c>
      <c r="R110" s="38">
        <v>4.333333333333333</v>
      </c>
      <c r="S110" s="27">
        <v>0</v>
      </c>
      <c r="T110" s="16">
        <v>0</v>
      </c>
      <c r="U110" s="55">
        <v>0</v>
      </c>
      <c r="V110" s="16">
        <v>0</v>
      </c>
      <c r="W110" s="16">
        <v>0</v>
      </c>
      <c r="X110" s="37">
        <v>0</v>
      </c>
      <c r="Y110" s="16">
        <v>5</v>
      </c>
      <c r="Z110" s="16">
        <v>0</v>
      </c>
      <c r="AA110" s="16">
        <v>0</v>
      </c>
      <c r="AB110" s="16">
        <v>0</v>
      </c>
      <c r="AC110" s="16">
        <v>0</v>
      </c>
      <c r="AD110" s="37">
        <v>5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37">
        <v>0</v>
      </c>
      <c r="AK110" s="26">
        <v>5</v>
      </c>
      <c r="AL110" s="26">
        <v>5</v>
      </c>
      <c r="AM110" s="55">
        <v>0</v>
      </c>
      <c r="AN110" s="26">
        <v>5</v>
      </c>
      <c r="AO110" s="16">
        <v>0</v>
      </c>
      <c r="AP110" s="38">
        <v>5</v>
      </c>
      <c r="AQ110" s="27">
        <v>5</v>
      </c>
      <c r="AR110" s="16">
        <v>0</v>
      </c>
      <c r="AS110" s="25">
        <v>0</v>
      </c>
      <c r="AT110" s="16">
        <v>0</v>
      </c>
      <c r="AU110" s="16">
        <v>0</v>
      </c>
      <c r="AV110" s="37">
        <v>5</v>
      </c>
      <c r="AW110" s="16">
        <v>0</v>
      </c>
      <c r="AX110" s="16">
        <v>0</v>
      </c>
      <c r="AY110" s="29">
        <v>0</v>
      </c>
      <c r="AZ110" s="27">
        <v>4</v>
      </c>
      <c r="BA110" s="57">
        <v>5</v>
      </c>
      <c r="BB110" s="85">
        <v>4.5</v>
      </c>
    </row>
    <row r="111" spans="1:54" ht="23.1" customHeight="1" x14ac:dyDescent="0.3">
      <c r="A111" s="86">
        <v>107</v>
      </c>
      <c r="B111" s="63" t="s">
        <v>352</v>
      </c>
      <c r="C111" s="64" t="s">
        <v>353</v>
      </c>
      <c r="D111" s="63" t="s">
        <v>542</v>
      </c>
      <c r="E111" s="63" t="s">
        <v>493</v>
      </c>
      <c r="F111" s="63" t="str">
        <f>REPT(CHAR(160),10)&amp;Working!$E111</f>
        <v>          C</v>
      </c>
      <c r="G111" s="65">
        <v>0</v>
      </c>
      <c r="H111" s="65">
        <v>0</v>
      </c>
      <c r="I111" s="65">
        <v>3</v>
      </c>
      <c r="J111" s="65">
        <v>0</v>
      </c>
      <c r="K111" s="66">
        <v>0</v>
      </c>
      <c r="L111" s="67">
        <v>3</v>
      </c>
      <c r="M111" s="65">
        <v>0</v>
      </c>
      <c r="N111" s="65">
        <v>4</v>
      </c>
      <c r="O111" s="65">
        <v>4</v>
      </c>
      <c r="P111" s="68">
        <v>0</v>
      </c>
      <c r="Q111" s="69">
        <v>4</v>
      </c>
      <c r="R111" s="38">
        <v>4</v>
      </c>
      <c r="S111" s="27">
        <v>0</v>
      </c>
      <c r="T111" s="29">
        <v>0</v>
      </c>
      <c r="U111" s="52">
        <v>0</v>
      </c>
      <c r="V111" s="29">
        <v>0</v>
      </c>
      <c r="W111" s="29">
        <v>0</v>
      </c>
      <c r="X111" s="37">
        <v>0</v>
      </c>
      <c r="Y111" s="29">
        <v>4</v>
      </c>
      <c r="Z111" s="29">
        <v>0</v>
      </c>
      <c r="AA111" s="29">
        <v>0</v>
      </c>
      <c r="AB111" s="29">
        <v>0</v>
      </c>
      <c r="AC111" s="29">
        <v>0</v>
      </c>
      <c r="AD111" s="37">
        <v>4</v>
      </c>
      <c r="AE111" s="29">
        <v>0</v>
      </c>
      <c r="AF111" s="29">
        <v>0</v>
      </c>
      <c r="AG111" s="29">
        <v>0</v>
      </c>
      <c r="AH111" s="29">
        <v>0</v>
      </c>
      <c r="AI111" s="29">
        <v>0</v>
      </c>
      <c r="AJ111" s="37">
        <v>0</v>
      </c>
      <c r="AK111" s="28">
        <v>2</v>
      </c>
      <c r="AL111" s="28">
        <v>4</v>
      </c>
      <c r="AM111" s="52">
        <v>0</v>
      </c>
      <c r="AN111" s="28">
        <v>4</v>
      </c>
      <c r="AO111" s="29">
        <v>0</v>
      </c>
      <c r="AP111" s="38">
        <v>3.3333333333333335</v>
      </c>
      <c r="AQ111" s="27">
        <v>3</v>
      </c>
      <c r="AR111" s="29">
        <v>0</v>
      </c>
      <c r="AS111" s="58">
        <v>0</v>
      </c>
      <c r="AT111" s="29">
        <v>0</v>
      </c>
      <c r="AU111" s="29">
        <v>0</v>
      </c>
      <c r="AV111" s="37">
        <v>3</v>
      </c>
      <c r="AW111" s="29">
        <v>0</v>
      </c>
      <c r="AX111" s="29">
        <v>0</v>
      </c>
      <c r="AY111" s="29">
        <v>0</v>
      </c>
      <c r="AZ111" s="27">
        <v>2</v>
      </c>
      <c r="BA111" s="57">
        <v>5</v>
      </c>
      <c r="BB111" s="85">
        <v>3.5</v>
      </c>
    </row>
    <row r="112" spans="1:54" ht="23.1" customHeight="1" x14ac:dyDescent="0.3">
      <c r="A112" s="87">
        <v>108</v>
      </c>
      <c r="B112" s="70" t="s">
        <v>279</v>
      </c>
      <c r="C112" s="71" t="s">
        <v>280</v>
      </c>
      <c r="D112" s="70" t="s">
        <v>450</v>
      </c>
      <c r="E112" s="70" t="s">
        <v>161</v>
      </c>
      <c r="F112" s="70" t="str">
        <f>REPT(CHAR(160),10)&amp;Working!$E112</f>
        <v>          B</v>
      </c>
      <c r="G112" s="61">
        <v>0</v>
      </c>
      <c r="H112" s="61">
        <v>0</v>
      </c>
      <c r="I112" s="61">
        <v>2</v>
      </c>
      <c r="J112" s="61">
        <v>0</v>
      </c>
      <c r="K112" s="72">
        <v>0</v>
      </c>
      <c r="L112" s="67">
        <v>2</v>
      </c>
      <c r="M112" s="61">
        <v>0</v>
      </c>
      <c r="N112" s="61">
        <v>2</v>
      </c>
      <c r="O112" s="61">
        <v>1</v>
      </c>
      <c r="P112" s="73">
        <v>0</v>
      </c>
      <c r="Q112" s="74">
        <v>1</v>
      </c>
      <c r="R112" s="38">
        <v>1.3333333333333333</v>
      </c>
      <c r="S112" s="27">
        <v>0</v>
      </c>
      <c r="T112" s="16">
        <v>0</v>
      </c>
      <c r="U112" s="51">
        <v>0</v>
      </c>
      <c r="V112" s="16">
        <v>0</v>
      </c>
      <c r="W112" s="16">
        <v>0</v>
      </c>
      <c r="X112" s="37">
        <v>0</v>
      </c>
      <c r="Y112" s="16">
        <v>2</v>
      </c>
      <c r="Z112" s="16">
        <v>0</v>
      </c>
      <c r="AA112" s="16">
        <v>0</v>
      </c>
      <c r="AB112" s="16">
        <v>0</v>
      </c>
      <c r="AC112" s="16">
        <v>0</v>
      </c>
      <c r="AD112" s="37">
        <v>2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37">
        <v>0</v>
      </c>
      <c r="AK112" s="22">
        <v>2</v>
      </c>
      <c r="AL112" s="22">
        <v>3</v>
      </c>
      <c r="AM112" s="51">
        <v>0</v>
      </c>
      <c r="AN112" s="22">
        <v>3</v>
      </c>
      <c r="AO112" s="16">
        <v>0</v>
      </c>
      <c r="AP112" s="38">
        <v>2.6666666666666665</v>
      </c>
      <c r="AQ112" s="27">
        <v>4</v>
      </c>
      <c r="AR112" s="16">
        <v>0</v>
      </c>
      <c r="AS112" s="26">
        <v>0</v>
      </c>
      <c r="AT112" s="16">
        <v>0</v>
      </c>
      <c r="AU112" s="16">
        <v>0</v>
      </c>
      <c r="AV112" s="37">
        <v>4</v>
      </c>
      <c r="AW112" s="16">
        <v>0</v>
      </c>
      <c r="AX112" s="16">
        <v>0</v>
      </c>
      <c r="AY112" s="29">
        <v>0</v>
      </c>
      <c r="AZ112" s="27">
        <v>1</v>
      </c>
      <c r="BA112" s="57">
        <v>3</v>
      </c>
      <c r="BB112" s="85">
        <v>2</v>
      </c>
    </row>
    <row r="113" spans="1:54" ht="23.1" customHeight="1" x14ac:dyDescent="0.3">
      <c r="A113" s="86">
        <v>109</v>
      </c>
      <c r="B113" s="63" t="s">
        <v>168</v>
      </c>
      <c r="C113" s="64" t="s">
        <v>169</v>
      </c>
      <c r="D113" s="63" t="s">
        <v>450</v>
      </c>
      <c r="E113" s="63" t="s">
        <v>161</v>
      </c>
      <c r="F113" s="63" t="str">
        <f>REPT(CHAR(160),10)&amp;Working!$E113</f>
        <v>          B</v>
      </c>
      <c r="G113" s="65">
        <v>0</v>
      </c>
      <c r="H113" s="65">
        <v>0</v>
      </c>
      <c r="I113" s="65">
        <v>3</v>
      </c>
      <c r="J113" s="65">
        <v>0</v>
      </c>
      <c r="K113" s="66">
        <v>0</v>
      </c>
      <c r="L113" s="67">
        <v>3</v>
      </c>
      <c r="M113" s="65">
        <v>0</v>
      </c>
      <c r="N113" s="65">
        <v>4</v>
      </c>
      <c r="O113" s="65">
        <v>4</v>
      </c>
      <c r="P113" s="68">
        <v>0</v>
      </c>
      <c r="Q113" s="69">
        <v>4</v>
      </c>
      <c r="R113" s="38">
        <v>4</v>
      </c>
      <c r="S113" s="27">
        <v>0</v>
      </c>
      <c r="T113" s="29">
        <v>0</v>
      </c>
      <c r="U113" s="52">
        <v>0</v>
      </c>
      <c r="V113" s="29">
        <v>0</v>
      </c>
      <c r="W113" s="29">
        <v>0</v>
      </c>
      <c r="X113" s="37">
        <v>0</v>
      </c>
      <c r="Y113" s="29">
        <v>4</v>
      </c>
      <c r="Z113" s="29">
        <v>0</v>
      </c>
      <c r="AA113" s="29">
        <v>0</v>
      </c>
      <c r="AB113" s="29">
        <v>0</v>
      </c>
      <c r="AC113" s="29">
        <v>0</v>
      </c>
      <c r="AD113" s="37">
        <v>4</v>
      </c>
      <c r="AE113" s="29">
        <v>0</v>
      </c>
      <c r="AF113" s="29">
        <v>0</v>
      </c>
      <c r="AG113" s="29">
        <v>0</v>
      </c>
      <c r="AH113" s="29">
        <v>0</v>
      </c>
      <c r="AI113" s="29">
        <v>0</v>
      </c>
      <c r="AJ113" s="37">
        <v>0</v>
      </c>
      <c r="AK113" s="28">
        <v>3</v>
      </c>
      <c r="AL113" s="28">
        <v>4</v>
      </c>
      <c r="AM113" s="52">
        <v>0</v>
      </c>
      <c r="AN113" s="28">
        <v>4</v>
      </c>
      <c r="AO113" s="29">
        <v>0</v>
      </c>
      <c r="AP113" s="38">
        <v>3.6666666666666665</v>
      </c>
      <c r="AQ113" s="27">
        <v>4</v>
      </c>
      <c r="AR113" s="29">
        <v>0</v>
      </c>
      <c r="AS113" s="58">
        <v>0</v>
      </c>
      <c r="AT113" s="29">
        <v>0</v>
      </c>
      <c r="AU113" s="29">
        <v>0</v>
      </c>
      <c r="AV113" s="37">
        <v>4</v>
      </c>
      <c r="AW113" s="29">
        <v>0</v>
      </c>
      <c r="AX113" s="29">
        <v>0</v>
      </c>
      <c r="AY113" s="29">
        <v>0</v>
      </c>
      <c r="AZ113" s="27">
        <v>2</v>
      </c>
      <c r="BA113" s="57">
        <v>4</v>
      </c>
      <c r="BB113" s="85">
        <v>3</v>
      </c>
    </row>
    <row r="114" spans="1:54" ht="23.1" customHeight="1" x14ac:dyDescent="0.3">
      <c r="A114" s="87">
        <v>110</v>
      </c>
      <c r="B114" s="70" t="s">
        <v>186</v>
      </c>
      <c r="C114" s="71" t="s">
        <v>187</v>
      </c>
      <c r="D114" s="70" t="s">
        <v>450</v>
      </c>
      <c r="E114" s="70" t="s">
        <v>161</v>
      </c>
      <c r="F114" s="70" t="str">
        <f>REPT(CHAR(160),10)&amp;Working!$E114</f>
        <v>          B</v>
      </c>
      <c r="G114" s="61">
        <v>0</v>
      </c>
      <c r="H114" s="61">
        <v>0</v>
      </c>
      <c r="I114" s="61">
        <v>4</v>
      </c>
      <c r="J114" s="61">
        <v>0</v>
      </c>
      <c r="K114" s="72">
        <v>0</v>
      </c>
      <c r="L114" s="67">
        <v>4</v>
      </c>
      <c r="M114" s="61">
        <v>0</v>
      </c>
      <c r="N114" s="61">
        <v>4</v>
      </c>
      <c r="O114" s="61">
        <v>4</v>
      </c>
      <c r="P114" s="75">
        <v>0</v>
      </c>
      <c r="Q114" s="76">
        <v>4</v>
      </c>
      <c r="R114" s="38">
        <v>4</v>
      </c>
      <c r="S114" s="27">
        <v>0</v>
      </c>
      <c r="T114" s="16">
        <v>0</v>
      </c>
      <c r="U114" s="53">
        <v>0</v>
      </c>
      <c r="V114" s="16">
        <v>0</v>
      </c>
      <c r="W114" s="16">
        <v>0</v>
      </c>
      <c r="X114" s="37">
        <v>0</v>
      </c>
      <c r="Y114" s="16">
        <v>4</v>
      </c>
      <c r="Z114" s="16">
        <v>0</v>
      </c>
      <c r="AA114" s="16">
        <v>0</v>
      </c>
      <c r="AB114" s="16">
        <v>0</v>
      </c>
      <c r="AC114" s="16">
        <v>0</v>
      </c>
      <c r="AD114" s="37">
        <v>4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37">
        <v>0</v>
      </c>
      <c r="AK114" s="24">
        <v>5</v>
      </c>
      <c r="AL114" s="24">
        <v>4</v>
      </c>
      <c r="AM114" s="53">
        <v>0</v>
      </c>
      <c r="AN114" s="24">
        <v>5</v>
      </c>
      <c r="AO114" s="16">
        <v>0</v>
      </c>
      <c r="AP114" s="38">
        <v>4.666666666666667</v>
      </c>
      <c r="AQ114" s="27">
        <v>5</v>
      </c>
      <c r="AR114" s="16">
        <v>0</v>
      </c>
      <c r="AS114" s="25">
        <v>0</v>
      </c>
      <c r="AT114" s="16">
        <v>0</v>
      </c>
      <c r="AU114" s="16">
        <v>0</v>
      </c>
      <c r="AV114" s="37">
        <v>5</v>
      </c>
      <c r="AW114" s="16">
        <v>0</v>
      </c>
      <c r="AX114" s="16">
        <v>0</v>
      </c>
      <c r="AY114" s="29">
        <v>0</v>
      </c>
      <c r="AZ114" s="27">
        <v>5</v>
      </c>
      <c r="BA114" s="57">
        <v>4</v>
      </c>
      <c r="BB114" s="85">
        <v>4.5</v>
      </c>
    </row>
    <row r="115" spans="1:54" ht="23.1" customHeight="1" x14ac:dyDescent="0.3">
      <c r="A115" s="86">
        <v>111</v>
      </c>
      <c r="B115" s="63" t="s">
        <v>233</v>
      </c>
      <c r="C115" s="64" t="s">
        <v>234</v>
      </c>
      <c r="D115" s="63" t="s">
        <v>450</v>
      </c>
      <c r="E115" s="63" t="s">
        <v>161</v>
      </c>
      <c r="F115" s="63" t="str">
        <f>REPT(CHAR(160),10)&amp;Working!$E115</f>
        <v>          B</v>
      </c>
      <c r="G115" s="65">
        <v>0</v>
      </c>
      <c r="H115" s="65">
        <v>0</v>
      </c>
      <c r="I115" s="65">
        <v>0</v>
      </c>
      <c r="J115" s="65">
        <v>0</v>
      </c>
      <c r="K115" s="66">
        <v>0</v>
      </c>
      <c r="L115" s="67">
        <v>0</v>
      </c>
      <c r="M115" s="65">
        <v>0</v>
      </c>
      <c r="N115" s="65">
        <v>0</v>
      </c>
      <c r="O115" s="65">
        <v>0</v>
      </c>
      <c r="P115" s="68">
        <v>0</v>
      </c>
      <c r="Q115" s="69">
        <v>0</v>
      </c>
      <c r="R115" s="38">
        <v>0</v>
      </c>
      <c r="S115" s="27">
        <v>0</v>
      </c>
      <c r="T115" s="29">
        <v>0</v>
      </c>
      <c r="U115" s="52">
        <v>0</v>
      </c>
      <c r="V115" s="29">
        <v>0</v>
      </c>
      <c r="W115" s="29">
        <v>0</v>
      </c>
      <c r="X115" s="37">
        <v>0</v>
      </c>
      <c r="Y115" s="29">
        <v>0</v>
      </c>
      <c r="Z115" s="29">
        <v>0</v>
      </c>
      <c r="AA115" s="29">
        <v>0</v>
      </c>
      <c r="AB115" s="29">
        <v>0</v>
      </c>
      <c r="AC115" s="29">
        <v>0</v>
      </c>
      <c r="AD115" s="37">
        <v>0</v>
      </c>
      <c r="AE115" s="29">
        <v>0</v>
      </c>
      <c r="AF115" s="29">
        <v>0</v>
      </c>
      <c r="AG115" s="29">
        <v>0</v>
      </c>
      <c r="AH115" s="29">
        <v>0</v>
      </c>
      <c r="AI115" s="29">
        <v>0</v>
      </c>
      <c r="AJ115" s="37">
        <v>0</v>
      </c>
      <c r="AK115" s="28">
        <v>0</v>
      </c>
      <c r="AL115" s="28">
        <v>0</v>
      </c>
      <c r="AM115" s="52">
        <v>0</v>
      </c>
      <c r="AN115" s="28">
        <v>0</v>
      </c>
      <c r="AO115" s="29">
        <v>0</v>
      </c>
      <c r="AP115" s="38">
        <v>0</v>
      </c>
      <c r="AQ115" s="27">
        <v>0</v>
      </c>
      <c r="AR115" s="29">
        <v>0</v>
      </c>
      <c r="AS115" s="58">
        <v>0</v>
      </c>
      <c r="AT115" s="29">
        <v>0</v>
      </c>
      <c r="AU115" s="29">
        <v>0</v>
      </c>
      <c r="AV115" s="37">
        <v>0</v>
      </c>
      <c r="AW115" s="29">
        <v>0</v>
      </c>
      <c r="AX115" s="29">
        <v>0</v>
      </c>
      <c r="AY115" s="29">
        <v>0</v>
      </c>
      <c r="AZ115" s="27">
        <v>0</v>
      </c>
      <c r="BA115" s="57">
        <v>0</v>
      </c>
      <c r="BB115" s="85">
        <v>0</v>
      </c>
    </row>
    <row r="116" spans="1:54" ht="23.1" customHeight="1" x14ac:dyDescent="0.3">
      <c r="A116" s="87">
        <v>112</v>
      </c>
      <c r="B116" s="70" t="s">
        <v>146</v>
      </c>
      <c r="C116" s="71" t="s">
        <v>147</v>
      </c>
      <c r="D116" s="70" t="s">
        <v>450</v>
      </c>
      <c r="E116" s="70" t="s">
        <v>35</v>
      </c>
      <c r="F116" s="70" t="str">
        <f>REPT(CHAR(160),10)&amp;Working!$E116</f>
        <v>          A</v>
      </c>
      <c r="G116" s="61">
        <v>0</v>
      </c>
      <c r="H116" s="61">
        <v>0</v>
      </c>
      <c r="I116" s="61">
        <v>3</v>
      </c>
      <c r="J116" s="61">
        <v>0</v>
      </c>
      <c r="K116" s="72">
        <v>0</v>
      </c>
      <c r="L116" s="67">
        <v>3</v>
      </c>
      <c r="M116" s="61">
        <v>0</v>
      </c>
      <c r="N116" s="61">
        <v>3</v>
      </c>
      <c r="O116" s="61">
        <v>3</v>
      </c>
      <c r="P116" s="73">
        <v>0</v>
      </c>
      <c r="Q116" s="74">
        <v>3</v>
      </c>
      <c r="R116" s="38">
        <v>3</v>
      </c>
      <c r="S116" s="27">
        <v>0</v>
      </c>
      <c r="T116" s="16">
        <v>0</v>
      </c>
      <c r="U116" s="51">
        <v>0</v>
      </c>
      <c r="V116" s="16">
        <v>0</v>
      </c>
      <c r="W116" s="16">
        <v>0</v>
      </c>
      <c r="X116" s="37">
        <v>0</v>
      </c>
      <c r="Y116" s="16">
        <v>3</v>
      </c>
      <c r="Z116" s="16">
        <v>0</v>
      </c>
      <c r="AA116" s="16">
        <v>0</v>
      </c>
      <c r="AB116" s="16">
        <v>0</v>
      </c>
      <c r="AC116" s="16">
        <v>0</v>
      </c>
      <c r="AD116" s="37">
        <v>3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37">
        <v>0</v>
      </c>
      <c r="AK116" s="22">
        <v>3</v>
      </c>
      <c r="AL116" s="22">
        <v>4</v>
      </c>
      <c r="AM116" s="51">
        <v>0</v>
      </c>
      <c r="AN116" s="22">
        <v>3</v>
      </c>
      <c r="AO116" s="16">
        <v>0</v>
      </c>
      <c r="AP116" s="38">
        <v>3.3333333333333335</v>
      </c>
      <c r="AQ116" s="27">
        <v>3</v>
      </c>
      <c r="AR116" s="16">
        <v>0</v>
      </c>
      <c r="AS116" s="26">
        <v>0</v>
      </c>
      <c r="AT116" s="16">
        <v>0</v>
      </c>
      <c r="AU116" s="16">
        <v>0</v>
      </c>
      <c r="AV116" s="37">
        <v>3</v>
      </c>
      <c r="AW116" s="16">
        <v>0</v>
      </c>
      <c r="AX116" s="16">
        <v>0</v>
      </c>
      <c r="AY116" s="29">
        <v>0</v>
      </c>
      <c r="AZ116" s="27">
        <v>2</v>
      </c>
      <c r="BA116" s="57">
        <v>4</v>
      </c>
      <c r="BB116" s="85">
        <v>3</v>
      </c>
    </row>
    <row r="117" spans="1:54" ht="23.1" customHeight="1" x14ac:dyDescent="0.3">
      <c r="A117" s="86">
        <v>113</v>
      </c>
      <c r="B117" s="63" t="s">
        <v>201</v>
      </c>
      <c r="C117" s="64" t="s">
        <v>202</v>
      </c>
      <c r="D117" s="63" t="s">
        <v>450</v>
      </c>
      <c r="E117" s="63" t="s">
        <v>161</v>
      </c>
      <c r="F117" s="63" t="str">
        <f>REPT(CHAR(160),10)&amp;Working!$E117</f>
        <v>          B</v>
      </c>
      <c r="G117" s="65">
        <v>0</v>
      </c>
      <c r="H117" s="65">
        <v>0</v>
      </c>
      <c r="I117" s="65">
        <v>4</v>
      </c>
      <c r="J117" s="65">
        <v>0</v>
      </c>
      <c r="K117" s="66">
        <v>0</v>
      </c>
      <c r="L117" s="67">
        <v>4</v>
      </c>
      <c r="M117" s="65">
        <v>0</v>
      </c>
      <c r="N117" s="65">
        <v>3</v>
      </c>
      <c r="O117" s="65">
        <v>3</v>
      </c>
      <c r="P117" s="68">
        <v>0</v>
      </c>
      <c r="Q117" s="69">
        <v>3</v>
      </c>
      <c r="R117" s="38">
        <v>3</v>
      </c>
      <c r="S117" s="27">
        <v>0</v>
      </c>
      <c r="T117" s="29">
        <v>0</v>
      </c>
      <c r="U117" s="52">
        <v>0</v>
      </c>
      <c r="V117" s="29">
        <v>0</v>
      </c>
      <c r="W117" s="29">
        <v>0</v>
      </c>
      <c r="X117" s="37">
        <v>0</v>
      </c>
      <c r="Y117" s="29">
        <v>3</v>
      </c>
      <c r="Z117" s="29">
        <v>0</v>
      </c>
      <c r="AA117" s="29">
        <v>0</v>
      </c>
      <c r="AB117" s="29">
        <v>0</v>
      </c>
      <c r="AC117" s="29">
        <v>0</v>
      </c>
      <c r="AD117" s="37">
        <v>3</v>
      </c>
      <c r="AE117" s="29">
        <v>0</v>
      </c>
      <c r="AF117" s="29">
        <v>0</v>
      </c>
      <c r="AG117" s="29">
        <v>0</v>
      </c>
      <c r="AH117" s="29">
        <v>0</v>
      </c>
      <c r="AI117" s="29">
        <v>0</v>
      </c>
      <c r="AJ117" s="37">
        <v>0</v>
      </c>
      <c r="AK117" s="28">
        <v>2</v>
      </c>
      <c r="AL117" s="28">
        <v>4</v>
      </c>
      <c r="AM117" s="52">
        <v>0</v>
      </c>
      <c r="AN117" s="28">
        <v>4</v>
      </c>
      <c r="AO117" s="29">
        <v>0</v>
      </c>
      <c r="AP117" s="38">
        <v>3.3333333333333335</v>
      </c>
      <c r="AQ117" s="27">
        <v>4</v>
      </c>
      <c r="AR117" s="29">
        <v>0</v>
      </c>
      <c r="AS117" s="58">
        <v>0</v>
      </c>
      <c r="AT117" s="29">
        <v>0</v>
      </c>
      <c r="AU117" s="29">
        <v>0</v>
      </c>
      <c r="AV117" s="37">
        <v>4</v>
      </c>
      <c r="AW117" s="29">
        <v>0</v>
      </c>
      <c r="AX117" s="29">
        <v>0</v>
      </c>
      <c r="AY117" s="29">
        <v>0</v>
      </c>
      <c r="AZ117" s="27">
        <v>2</v>
      </c>
      <c r="BA117" s="57">
        <v>4</v>
      </c>
      <c r="BB117" s="85">
        <v>3</v>
      </c>
    </row>
    <row r="118" spans="1:54" ht="23.1" customHeight="1" x14ac:dyDescent="0.3">
      <c r="A118" s="87">
        <v>114</v>
      </c>
      <c r="B118" s="70" t="s">
        <v>217</v>
      </c>
      <c r="C118" s="71" t="s">
        <v>218</v>
      </c>
      <c r="D118" s="70" t="s">
        <v>450</v>
      </c>
      <c r="E118" s="70" t="s">
        <v>161</v>
      </c>
      <c r="F118" s="70" t="str">
        <f>REPT(CHAR(160),10)&amp;Working!$E118</f>
        <v>          B</v>
      </c>
      <c r="G118" s="61">
        <v>0</v>
      </c>
      <c r="H118" s="61">
        <v>0</v>
      </c>
      <c r="I118" s="61">
        <v>3</v>
      </c>
      <c r="J118" s="61">
        <v>0</v>
      </c>
      <c r="K118" s="72">
        <v>0</v>
      </c>
      <c r="L118" s="67">
        <v>3</v>
      </c>
      <c r="M118" s="61">
        <v>0</v>
      </c>
      <c r="N118" s="61">
        <v>3</v>
      </c>
      <c r="O118" s="61">
        <v>3</v>
      </c>
      <c r="P118" s="73">
        <v>0</v>
      </c>
      <c r="Q118" s="74">
        <v>3</v>
      </c>
      <c r="R118" s="38">
        <v>3</v>
      </c>
      <c r="S118" s="27">
        <v>0</v>
      </c>
      <c r="T118" s="16">
        <v>0</v>
      </c>
      <c r="U118" s="51">
        <v>0</v>
      </c>
      <c r="V118" s="16">
        <v>0</v>
      </c>
      <c r="W118" s="16">
        <v>0</v>
      </c>
      <c r="X118" s="37">
        <v>0</v>
      </c>
      <c r="Y118" s="16">
        <v>3</v>
      </c>
      <c r="Z118" s="16">
        <v>0</v>
      </c>
      <c r="AA118" s="16">
        <v>0</v>
      </c>
      <c r="AB118" s="16">
        <v>0</v>
      </c>
      <c r="AC118" s="16">
        <v>0</v>
      </c>
      <c r="AD118" s="37">
        <v>3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37">
        <v>0</v>
      </c>
      <c r="AK118" s="22">
        <v>2</v>
      </c>
      <c r="AL118" s="22">
        <v>3</v>
      </c>
      <c r="AM118" s="51">
        <v>0</v>
      </c>
      <c r="AN118" s="22">
        <v>3</v>
      </c>
      <c r="AO118" s="16">
        <v>0</v>
      </c>
      <c r="AP118" s="38">
        <v>2.6666666666666665</v>
      </c>
      <c r="AQ118" s="27">
        <v>3</v>
      </c>
      <c r="AR118" s="16">
        <v>0</v>
      </c>
      <c r="AS118" s="25">
        <v>0</v>
      </c>
      <c r="AT118" s="16">
        <v>0</v>
      </c>
      <c r="AU118" s="16">
        <v>0</v>
      </c>
      <c r="AV118" s="37">
        <v>3</v>
      </c>
      <c r="AW118" s="16">
        <v>0</v>
      </c>
      <c r="AX118" s="16">
        <v>0</v>
      </c>
      <c r="AY118" s="29">
        <v>0</v>
      </c>
      <c r="AZ118" s="27">
        <v>2</v>
      </c>
      <c r="BA118" s="57">
        <v>4</v>
      </c>
      <c r="BB118" s="85">
        <v>3</v>
      </c>
    </row>
    <row r="119" spans="1:54" ht="23.1" customHeight="1" x14ac:dyDescent="0.3">
      <c r="A119" s="86">
        <v>115</v>
      </c>
      <c r="B119" s="63" t="s">
        <v>235</v>
      </c>
      <c r="C119" s="64" t="s">
        <v>236</v>
      </c>
      <c r="D119" s="63" t="s">
        <v>450</v>
      </c>
      <c r="E119" s="63" t="s">
        <v>161</v>
      </c>
      <c r="F119" s="63" t="str">
        <f>REPT(CHAR(160),10)&amp;Working!$E119</f>
        <v>          B</v>
      </c>
      <c r="G119" s="65">
        <v>0</v>
      </c>
      <c r="H119" s="65">
        <v>0</v>
      </c>
      <c r="I119" s="65">
        <v>3</v>
      </c>
      <c r="J119" s="65">
        <v>0</v>
      </c>
      <c r="K119" s="66">
        <v>0</v>
      </c>
      <c r="L119" s="67">
        <v>3</v>
      </c>
      <c r="M119" s="65">
        <v>0</v>
      </c>
      <c r="N119" s="65">
        <v>3</v>
      </c>
      <c r="O119" s="65">
        <v>3</v>
      </c>
      <c r="P119" s="68">
        <v>0</v>
      </c>
      <c r="Q119" s="69">
        <v>3</v>
      </c>
      <c r="R119" s="38">
        <v>3</v>
      </c>
      <c r="S119" s="27">
        <v>0</v>
      </c>
      <c r="T119" s="29">
        <v>0</v>
      </c>
      <c r="U119" s="52">
        <v>0</v>
      </c>
      <c r="V119" s="29">
        <v>0</v>
      </c>
      <c r="W119" s="29">
        <v>0</v>
      </c>
      <c r="X119" s="37">
        <v>0</v>
      </c>
      <c r="Y119" s="29">
        <v>3</v>
      </c>
      <c r="Z119" s="29">
        <v>0</v>
      </c>
      <c r="AA119" s="29">
        <v>0</v>
      </c>
      <c r="AB119" s="29">
        <v>0</v>
      </c>
      <c r="AC119" s="29">
        <v>0</v>
      </c>
      <c r="AD119" s="37">
        <v>3</v>
      </c>
      <c r="AE119" s="29">
        <v>0</v>
      </c>
      <c r="AF119" s="29">
        <v>0</v>
      </c>
      <c r="AG119" s="29">
        <v>0</v>
      </c>
      <c r="AH119" s="29">
        <v>0</v>
      </c>
      <c r="AI119" s="29">
        <v>0</v>
      </c>
      <c r="AJ119" s="37">
        <v>0</v>
      </c>
      <c r="AK119" s="28">
        <v>3</v>
      </c>
      <c r="AL119" s="28">
        <v>2</v>
      </c>
      <c r="AM119" s="52">
        <v>0</v>
      </c>
      <c r="AN119" s="28">
        <v>3</v>
      </c>
      <c r="AO119" s="29">
        <v>0</v>
      </c>
      <c r="AP119" s="38">
        <v>2.6666666666666665</v>
      </c>
      <c r="AQ119" s="27">
        <v>4</v>
      </c>
      <c r="AR119" s="29">
        <v>0</v>
      </c>
      <c r="AS119" s="58">
        <v>0</v>
      </c>
      <c r="AT119" s="29">
        <v>0</v>
      </c>
      <c r="AU119" s="29">
        <v>0</v>
      </c>
      <c r="AV119" s="37">
        <v>4</v>
      </c>
      <c r="AW119" s="29">
        <v>0</v>
      </c>
      <c r="AX119" s="29">
        <v>0</v>
      </c>
      <c r="AY119" s="29">
        <v>0</v>
      </c>
      <c r="AZ119" s="27">
        <v>2</v>
      </c>
      <c r="BA119" s="57">
        <v>4</v>
      </c>
      <c r="BB119" s="85">
        <v>3</v>
      </c>
    </row>
    <row r="120" spans="1:54" ht="23.1" customHeight="1" x14ac:dyDescent="0.3">
      <c r="A120" s="87">
        <v>116</v>
      </c>
      <c r="B120" s="70" t="s">
        <v>354</v>
      </c>
      <c r="C120" s="71" t="s">
        <v>355</v>
      </c>
      <c r="D120" s="70" t="s">
        <v>544</v>
      </c>
      <c r="E120" s="70" t="s">
        <v>493</v>
      </c>
      <c r="F120" s="70" t="str">
        <f>REPT(CHAR(160),10)&amp;Working!$E120</f>
        <v>          C</v>
      </c>
      <c r="G120" s="61">
        <v>0</v>
      </c>
      <c r="H120" s="61">
        <v>0</v>
      </c>
      <c r="I120" s="61">
        <v>4</v>
      </c>
      <c r="J120" s="61">
        <v>0</v>
      </c>
      <c r="K120" s="72">
        <v>0</v>
      </c>
      <c r="L120" s="67">
        <v>4</v>
      </c>
      <c r="M120" s="61">
        <v>0</v>
      </c>
      <c r="N120" s="61">
        <v>4</v>
      </c>
      <c r="O120" s="61">
        <v>4</v>
      </c>
      <c r="P120" s="73">
        <v>0</v>
      </c>
      <c r="Q120" s="74">
        <v>4</v>
      </c>
      <c r="R120" s="38">
        <v>4</v>
      </c>
      <c r="S120" s="27">
        <v>0</v>
      </c>
      <c r="T120" s="16">
        <v>0</v>
      </c>
      <c r="U120" s="51">
        <v>0</v>
      </c>
      <c r="V120" s="16">
        <v>0</v>
      </c>
      <c r="W120" s="16">
        <v>0</v>
      </c>
      <c r="X120" s="37">
        <v>0</v>
      </c>
      <c r="Y120" s="16">
        <v>4</v>
      </c>
      <c r="Z120" s="16">
        <v>0</v>
      </c>
      <c r="AA120" s="16">
        <v>0</v>
      </c>
      <c r="AB120" s="16">
        <v>0</v>
      </c>
      <c r="AC120" s="16">
        <v>0</v>
      </c>
      <c r="AD120" s="37">
        <v>4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37">
        <v>0</v>
      </c>
      <c r="AK120" s="22">
        <v>3</v>
      </c>
      <c r="AL120" s="22">
        <v>5</v>
      </c>
      <c r="AM120" s="51">
        <v>0</v>
      </c>
      <c r="AN120" s="22">
        <v>4</v>
      </c>
      <c r="AO120" s="16">
        <v>0</v>
      </c>
      <c r="AP120" s="38">
        <v>4</v>
      </c>
      <c r="AQ120" s="27">
        <v>3</v>
      </c>
      <c r="AR120" s="16">
        <v>0</v>
      </c>
      <c r="AS120" s="25">
        <v>0</v>
      </c>
      <c r="AT120" s="16">
        <v>0</v>
      </c>
      <c r="AU120" s="16">
        <v>0</v>
      </c>
      <c r="AV120" s="37">
        <v>3</v>
      </c>
      <c r="AW120" s="16">
        <v>0</v>
      </c>
      <c r="AX120" s="16">
        <v>0</v>
      </c>
      <c r="AY120" s="29">
        <v>0</v>
      </c>
      <c r="AZ120" s="27">
        <v>2</v>
      </c>
      <c r="BA120" s="57">
        <v>4</v>
      </c>
      <c r="BB120" s="85">
        <v>3</v>
      </c>
    </row>
    <row r="121" spans="1:54" ht="23.1" customHeight="1" x14ac:dyDescent="0.3">
      <c r="A121" s="86">
        <v>117</v>
      </c>
      <c r="B121" s="63" t="s">
        <v>203</v>
      </c>
      <c r="C121" s="64" t="s">
        <v>204</v>
      </c>
      <c r="D121" s="63" t="s">
        <v>542</v>
      </c>
      <c r="E121" s="63" t="s">
        <v>161</v>
      </c>
      <c r="F121" s="63" t="str">
        <f>REPT(CHAR(160),10)&amp;Working!$E121</f>
        <v>          B</v>
      </c>
      <c r="G121" s="65">
        <v>0</v>
      </c>
      <c r="H121" s="65">
        <v>0</v>
      </c>
      <c r="I121" s="65">
        <v>4</v>
      </c>
      <c r="J121" s="65">
        <v>0</v>
      </c>
      <c r="K121" s="66">
        <v>0</v>
      </c>
      <c r="L121" s="67">
        <v>4</v>
      </c>
      <c r="M121" s="65">
        <v>0</v>
      </c>
      <c r="N121" s="65">
        <v>4</v>
      </c>
      <c r="O121" s="65">
        <v>4</v>
      </c>
      <c r="P121" s="68">
        <v>0</v>
      </c>
      <c r="Q121" s="69">
        <v>4</v>
      </c>
      <c r="R121" s="38">
        <v>4</v>
      </c>
      <c r="S121" s="27">
        <v>0</v>
      </c>
      <c r="T121" s="29">
        <v>0</v>
      </c>
      <c r="U121" s="52">
        <v>0</v>
      </c>
      <c r="V121" s="29">
        <v>0</v>
      </c>
      <c r="W121" s="29">
        <v>0</v>
      </c>
      <c r="X121" s="37">
        <v>0</v>
      </c>
      <c r="Y121" s="29">
        <v>5</v>
      </c>
      <c r="Z121" s="29">
        <v>0</v>
      </c>
      <c r="AA121" s="29">
        <v>0</v>
      </c>
      <c r="AB121" s="29">
        <v>0</v>
      </c>
      <c r="AC121" s="29">
        <v>0</v>
      </c>
      <c r="AD121" s="37">
        <v>5</v>
      </c>
      <c r="AE121" s="29">
        <v>0</v>
      </c>
      <c r="AF121" s="29">
        <v>0</v>
      </c>
      <c r="AG121" s="29">
        <v>0</v>
      </c>
      <c r="AH121" s="29">
        <v>0</v>
      </c>
      <c r="AI121" s="29">
        <v>0</v>
      </c>
      <c r="AJ121" s="37">
        <v>0</v>
      </c>
      <c r="AK121" s="28">
        <v>4</v>
      </c>
      <c r="AL121" s="28">
        <v>4</v>
      </c>
      <c r="AM121" s="52">
        <v>0</v>
      </c>
      <c r="AN121" s="28">
        <v>4</v>
      </c>
      <c r="AO121" s="29">
        <v>0</v>
      </c>
      <c r="AP121" s="38">
        <v>4</v>
      </c>
      <c r="AQ121" s="27">
        <v>4</v>
      </c>
      <c r="AR121" s="29">
        <v>0</v>
      </c>
      <c r="AS121" s="58">
        <v>0</v>
      </c>
      <c r="AT121" s="29">
        <v>0</v>
      </c>
      <c r="AU121" s="29">
        <v>0</v>
      </c>
      <c r="AV121" s="37">
        <v>4</v>
      </c>
      <c r="AW121" s="29">
        <v>0</v>
      </c>
      <c r="AX121" s="29">
        <v>0</v>
      </c>
      <c r="AY121" s="29">
        <v>0</v>
      </c>
      <c r="AZ121" s="27">
        <v>2</v>
      </c>
      <c r="BA121" s="57">
        <v>4</v>
      </c>
      <c r="BB121" s="85">
        <v>3</v>
      </c>
    </row>
    <row r="122" spans="1:54" ht="23.1" customHeight="1" x14ac:dyDescent="0.3">
      <c r="A122" s="87">
        <v>118</v>
      </c>
      <c r="B122" s="70" t="s">
        <v>356</v>
      </c>
      <c r="C122" s="71" t="s">
        <v>357</v>
      </c>
      <c r="D122" s="70" t="s">
        <v>542</v>
      </c>
      <c r="E122" s="70" t="s">
        <v>493</v>
      </c>
      <c r="F122" s="70" t="str">
        <f>REPT(CHAR(160),10)&amp;Working!$E122</f>
        <v>          C</v>
      </c>
      <c r="G122" s="61">
        <v>0</v>
      </c>
      <c r="H122" s="61">
        <v>0</v>
      </c>
      <c r="I122" s="61">
        <v>2</v>
      </c>
      <c r="J122" s="61">
        <v>0</v>
      </c>
      <c r="K122" s="72">
        <v>0</v>
      </c>
      <c r="L122" s="67">
        <v>2</v>
      </c>
      <c r="M122" s="61">
        <v>0</v>
      </c>
      <c r="N122" s="61">
        <v>3</v>
      </c>
      <c r="O122" s="61">
        <v>3</v>
      </c>
      <c r="P122" s="73">
        <v>0</v>
      </c>
      <c r="Q122" s="74">
        <v>3</v>
      </c>
      <c r="R122" s="38">
        <v>3</v>
      </c>
      <c r="S122" s="27">
        <v>0</v>
      </c>
      <c r="T122" s="16">
        <v>0</v>
      </c>
      <c r="U122" s="51">
        <v>0</v>
      </c>
      <c r="V122" s="16">
        <v>0</v>
      </c>
      <c r="W122" s="16">
        <v>0</v>
      </c>
      <c r="X122" s="37">
        <v>0</v>
      </c>
      <c r="Y122" s="16">
        <v>3</v>
      </c>
      <c r="Z122" s="16">
        <v>0</v>
      </c>
      <c r="AA122" s="16">
        <v>0</v>
      </c>
      <c r="AB122" s="16">
        <v>0</v>
      </c>
      <c r="AC122" s="16">
        <v>0</v>
      </c>
      <c r="AD122" s="37">
        <v>3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37">
        <v>0</v>
      </c>
      <c r="AK122" s="22">
        <v>1</v>
      </c>
      <c r="AL122" s="22">
        <v>3</v>
      </c>
      <c r="AM122" s="51">
        <v>0</v>
      </c>
      <c r="AN122" s="22">
        <v>2</v>
      </c>
      <c r="AO122" s="16">
        <v>0</v>
      </c>
      <c r="AP122" s="38">
        <v>2</v>
      </c>
      <c r="AQ122" s="27">
        <v>2</v>
      </c>
      <c r="AR122" s="16">
        <v>0</v>
      </c>
      <c r="AS122" s="25">
        <v>0</v>
      </c>
      <c r="AT122" s="16">
        <v>0</v>
      </c>
      <c r="AU122" s="16">
        <v>0</v>
      </c>
      <c r="AV122" s="37">
        <v>2</v>
      </c>
      <c r="AW122" s="16">
        <v>0</v>
      </c>
      <c r="AX122" s="16">
        <v>0</v>
      </c>
      <c r="AY122" s="29">
        <v>0</v>
      </c>
      <c r="AZ122" s="27">
        <v>2</v>
      </c>
      <c r="BA122" s="57">
        <v>3</v>
      </c>
      <c r="BB122" s="85">
        <v>2.5</v>
      </c>
    </row>
    <row r="123" spans="1:54" ht="23.1" customHeight="1" x14ac:dyDescent="0.3">
      <c r="A123" s="86">
        <v>119</v>
      </c>
      <c r="B123" s="63" t="s">
        <v>358</v>
      </c>
      <c r="C123" s="64" t="s">
        <v>359</v>
      </c>
      <c r="D123" s="63" t="s">
        <v>542</v>
      </c>
      <c r="E123" s="63" t="s">
        <v>493</v>
      </c>
      <c r="F123" s="63" t="str">
        <f>REPT(CHAR(160),10)&amp;Working!$E123</f>
        <v>          C</v>
      </c>
      <c r="G123" s="65">
        <v>0</v>
      </c>
      <c r="H123" s="65">
        <v>0</v>
      </c>
      <c r="I123" s="65">
        <v>4</v>
      </c>
      <c r="J123" s="65">
        <v>0</v>
      </c>
      <c r="K123" s="66">
        <v>0</v>
      </c>
      <c r="L123" s="67">
        <v>4</v>
      </c>
      <c r="M123" s="65">
        <v>0</v>
      </c>
      <c r="N123" s="65">
        <v>4</v>
      </c>
      <c r="O123" s="65">
        <v>3</v>
      </c>
      <c r="P123" s="68">
        <v>0</v>
      </c>
      <c r="Q123" s="69">
        <v>3</v>
      </c>
      <c r="R123" s="38">
        <v>3.3333333333333335</v>
      </c>
      <c r="S123" s="27">
        <v>0</v>
      </c>
      <c r="T123" s="29">
        <v>0</v>
      </c>
      <c r="U123" s="52">
        <v>0</v>
      </c>
      <c r="V123" s="29">
        <v>0</v>
      </c>
      <c r="W123" s="29">
        <v>0</v>
      </c>
      <c r="X123" s="37">
        <v>0</v>
      </c>
      <c r="Y123" s="29">
        <v>4</v>
      </c>
      <c r="Z123" s="29">
        <v>0</v>
      </c>
      <c r="AA123" s="29">
        <v>0</v>
      </c>
      <c r="AB123" s="29">
        <v>0</v>
      </c>
      <c r="AC123" s="29">
        <v>0</v>
      </c>
      <c r="AD123" s="37">
        <v>4</v>
      </c>
      <c r="AE123" s="29">
        <v>0</v>
      </c>
      <c r="AF123" s="29">
        <v>0</v>
      </c>
      <c r="AG123" s="29">
        <v>0</v>
      </c>
      <c r="AH123" s="29">
        <v>0</v>
      </c>
      <c r="AI123" s="29">
        <v>0</v>
      </c>
      <c r="AJ123" s="37">
        <v>0</v>
      </c>
      <c r="AK123" s="28">
        <v>4</v>
      </c>
      <c r="AL123" s="28">
        <v>3</v>
      </c>
      <c r="AM123" s="52">
        <v>0</v>
      </c>
      <c r="AN123" s="28">
        <v>4</v>
      </c>
      <c r="AO123" s="29">
        <v>0</v>
      </c>
      <c r="AP123" s="38">
        <v>3.6666666666666665</v>
      </c>
      <c r="AQ123" s="27">
        <v>4</v>
      </c>
      <c r="AR123" s="29">
        <v>0</v>
      </c>
      <c r="AS123" s="58">
        <v>0</v>
      </c>
      <c r="AT123" s="29">
        <v>0</v>
      </c>
      <c r="AU123" s="29">
        <v>0</v>
      </c>
      <c r="AV123" s="37">
        <v>4</v>
      </c>
      <c r="AW123" s="29">
        <v>0</v>
      </c>
      <c r="AX123" s="29">
        <v>0</v>
      </c>
      <c r="AY123" s="29">
        <v>0</v>
      </c>
      <c r="AZ123" s="27">
        <v>5</v>
      </c>
      <c r="BA123" s="57">
        <v>4</v>
      </c>
      <c r="BB123" s="85">
        <v>4.5</v>
      </c>
    </row>
    <row r="124" spans="1:54" ht="23.1" customHeight="1" x14ac:dyDescent="0.3">
      <c r="A124" s="87">
        <v>120</v>
      </c>
      <c r="B124" s="70" t="s">
        <v>150</v>
      </c>
      <c r="C124" s="71" t="s">
        <v>151</v>
      </c>
      <c r="D124" s="70" t="s">
        <v>450</v>
      </c>
      <c r="E124" s="70" t="s">
        <v>35</v>
      </c>
      <c r="F124" s="70" t="str">
        <f>REPT(CHAR(160),10)&amp;Working!$E124</f>
        <v>          A</v>
      </c>
      <c r="G124" s="61">
        <v>0</v>
      </c>
      <c r="H124" s="61">
        <v>0</v>
      </c>
      <c r="I124" s="61">
        <v>4</v>
      </c>
      <c r="J124" s="61">
        <v>0</v>
      </c>
      <c r="K124" s="72">
        <v>0</v>
      </c>
      <c r="L124" s="67">
        <v>4</v>
      </c>
      <c r="M124" s="61">
        <v>0</v>
      </c>
      <c r="N124" s="61">
        <v>4</v>
      </c>
      <c r="O124" s="61">
        <v>4</v>
      </c>
      <c r="P124" s="79">
        <v>0</v>
      </c>
      <c r="Q124" s="80">
        <v>4</v>
      </c>
      <c r="R124" s="38">
        <v>4</v>
      </c>
      <c r="S124" s="27">
        <v>0</v>
      </c>
      <c r="T124" s="16">
        <v>0</v>
      </c>
      <c r="U124" s="55">
        <v>0</v>
      </c>
      <c r="V124" s="16">
        <v>0</v>
      </c>
      <c r="W124" s="16">
        <v>0</v>
      </c>
      <c r="X124" s="37">
        <v>0</v>
      </c>
      <c r="Y124" s="16">
        <v>4</v>
      </c>
      <c r="Z124" s="16">
        <v>0</v>
      </c>
      <c r="AA124" s="16">
        <v>0</v>
      </c>
      <c r="AB124" s="16">
        <v>0</v>
      </c>
      <c r="AC124" s="16">
        <v>0</v>
      </c>
      <c r="AD124" s="37">
        <v>4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37">
        <v>0</v>
      </c>
      <c r="AK124" s="26">
        <v>4</v>
      </c>
      <c r="AL124" s="26">
        <v>4</v>
      </c>
      <c r="AM124" s="55">
        <v>0</v>
      </c>
      <c r="AN124" s="26">
        <v>3</v>
      </c>
      <c r="AO124" s="16">
        <v>0</v>
      </c>
      <c r="AP124" s="38">
        <v>3.6666666666666665</v>
      </c>
      <c r="AQ124" s="27">
        <v>3</v>
      </c>
      <c r="AR124" s="16">
        <v>0</v>
      </c>
      <c r="AS124" s="25">
        <v>0</v>
      </c>
      <c r="AT124" s="16">
        <v>0</v>
      </c>
      <c r="AU124" s="16">
        <v>0</v>
      </c>
      <c r="AV124" s="37">
        <v>3</v>
      </c>
      <c r="AW124" s="16">
        <v>0</v>
      </c>
      <c r="AX124" s="16">
        <v>0</v>
      </c>
      <c r="AY124" s="29">
        <v>0</v>
      </c>
      <c r="AZ124" s="27">
        <v>2</v>
      </c>
      <c r="BA124" s="57">
        <v>5</v>
      </c>
      <c r="BB124" s="85">
        <v>3.5</v>
      </c>
    </row>
    <row r="125" spans="1:54" ht="23.1" customHeight="1" x14ac:dyDescent="0.3">
      <c r="A125" s="86">
        <v>121</v>
      </c>
      <c r="B125" s="63" t="s">
        <v>360</v>
      </c>
      <c r="C125" s="64" t="s">
        <v>361</v>
      </c>
      <c r="D125" s="63" t="s">
        <v>450</v>
      </c>
      <c r="E125" s="63" t="s">
        <v>493</v>
      </c>
      <c r="F125" s="63" t="str">
        <f>REPT(CHAR(160),10)&amp;Working!$E125</f>
        <v>          C</v>
      </c>
      <c r="G125" s="65">
        <v>0</v>
      </c>
      <c r="H125" s="65">
        <v>0</v>
      </c>
      <c r="I125" s="65">
        <v>1</v>
      </c>
      <c r="J125" s="65">
        <v>0</v>
      </c>
      <c r="K125" s="66">
        <v>0</v>
      </c>
      <c r="L125" s="67">
        <v>1</v>
      </c>
      <c r="M125" s="65">
        <v>0</v>
      </c>
      <c r="N125" s="65">
        <v>3</v>
      </c>
      <c r="O125" s="65">
        <v>1</v>
      </c>
      <c r="P125" s="68">
        <v>0</v>
      </c>
      <c r="Q125" s="69">
        <v>1</v>
      </c>
      <c r="R125" s="38">
        <v>1.6666666666666667</v>
      </c>
      <c r="S125" s="27">
        <v>0</v>
      </c>
      <c r="T125" s="29">
        <v>0</v>
      </c>
      <c r="U125" s="52">
        <v>0</v>
      </c>
      <c r="V125" s="29">
        <v>0</v>
      </c>
      <c r="W125" s="29">
        <v>0</v>
      </c>
      <c r="X125" s="37">
        <v>0</v>
      </c>
      <c r="Y125" s="29">
        <v>2</v>
      </c>
      <c r="Z125" s="29">
        <v>0</v>
      </c>
      <c r="AA125" s="29">
        <v>0</v>
      </c>
      <c r="AB125" s="29">
        <v>0</v>
      </c>
      <c r="AC125" s="29">
        <v>0</v>
      </c>
      <c r="AD125" s="37">
        <v>2</v>
      </c>
      <c r="AE125" s="29">
        <v>0</v>
      </c>
      <c r="AF125" s="29">
        <v>0</v>
      </c>
      <c r="AG125" s="29">
        <v>0</v>
      </c>
      <c r="AH125" s="29">
        <v>0</v>
      </c>
      <c r="AI125" s="29">
        <v>0</v>
      </c>
      <c r="AJ125" s="37">
        <v>0</v>
      </c>
      <c r="AK125" s="28">
        <v>1</v>
      </c>
      <c r="AL125" s="28">
        <v>2</v>
      </c>
      <c r="AM125" s="52">
        <v>0</v>
      </c>
      <c r="AN125" s="28">
        <v>2</v>
      </c>
      <c r="AO125" s="29">
        <v>0</v>
      </c>
      <c r="AP125" s="38">
        <v>1.6666666666666667</v>
      </c>
      <c r="AQ125" s="27">
        <v>4</v>
      </c>
      <c r="AR125" s="29">
        <v>0</v>
      </c>
      <c r="AS125" s="58">
        <v>0</v>
      </c>
      <c r="AT125" s="29">
        <v>0</v>
      </c>
      <c r="AU125" s="29">
        <v>0</v>
      </c>
      <c r="AV125" s="37">
        <v>4</v>
      </c>
      <c r="AW125" s="29">
        <v>0</v>
      </c>
      <c r="AX125" s="29">
        <v>0</v>
      </c>
      <c r="AY125" s="29">
        <v>0</v>
      </c>
      <c r="AZ125" s="27">
        <v>1</v>
      </c>
      <c r="BA125" s="57">
        <v>3</v>
      </c>
      <c r="BB125" s="85">
        <v>2</v>
      </c>
    </row>
    <row r="126" spans="1:54" ht="23.1" customHeight="1" x14ac:dyDescent="0.3">
      <c r="A126" s="87">
        <v>122</v>
      </c>
      <c r="B126" s="70" t="s">
        <v>362</v>
      </c>
      <c r="C126" s="71" t="s">
        <v>363</v>
      </c>
      <c r="D126" s="70" t="s">
        <v>450</v>
      </c>
      <c r="E126" s="70" t="s">
        <v>493</v>
      </c>
      <c r="F126" s="70" t="str">
        <f>REPT(CHAR(160),10)&amp;Working!$E126</f>
        <v>          C</v>
      </c>
      <c r="G126" s="61">
        <v>0</v>
      </c>
      <c r="H126" s="61">
        <v>0</v>
      </c>
      <c r="I126" s="61">
        <v>2</v>
      </c>
      <c r="J126" s="61">
        <v>0</v>
      </c>
      <c r="K126" s="72">
        <v>0</v>
      </c>
      <c r="L126" s="67">
        <v>2</v>
      </c>
      <c r="M126" s="61">
        <v>0</v>
      </c>
      <c r="N126" s="61">
        <v>4</v>
      </c>
      <c r="O126" s="61">
        <v>3</v>
      </c>
      <c r="P126" s="73">
        <v>0</v>
      </c>
      <c r="Q126" s="74">
        <v>3</v>
      </c>
      <c r="R126" s="38">
        <v>3.3333333333333335</v>
      </c>
      <c r="S126" s="27">
        <v>0</v>
      </c>
      <c r="T126" s="16">
        <v>0</v>
      </c>
      <c r="U126" s="51">
        <v>0</v>
      </c>
      <c r="V126" s="16">
        <v>0</v>
      </c>
      <c r="W126" s="16">
        <v>0</v>
      </c>
      <c r="X126" s="37">
        <v>0</v>
      </c>
      <c r="Y126" s="16">
        <v>4</v>
      </c>
      <c r="Z126" s="16">
        <v>0</v>
      </c>
      <c r="AA126" s="16">
        <v>0</v>
      </c>
      <c r="AB126" s="16">
        <v>0</v>
      </c>
      <c r="AC126" s="16">
        <v>0</v>
      </c>
      <c r="AD126" s="37">
        <v>4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37">
        <v>0</v>
      </c>
      <c r="AK126" s="22">
        <v>3</v>
      </c>
      <c r="AL126" s="22">
        <v>3</v>
      </c>
      <c r="AM126" s="51">
        <v>0</v>
      </c>
      <c r="AN126" s="22">
        <v>4</v>
      </c>
      <c r="AO126" s="16">
        <v>0</v>
      </c>
      <c r="AP126" s="38">
        <v>3.3333333333333335</v>
      </c>
      <c r="AQ126" s="27">
        <v>4</v>
      </c>
      <c r="AR126" s="16">
        <v>0</v>
      </c>
      <c r="AS126" s="26">
        <v>0</v>
      </c>
      <c r="AT126" s="16">
        <v>0</v>
      </c>
      <c r="AU126" s="16">
        <v>0</v>
      </c>
      <c r="AV126" s="37">
        <v>4</v>
      </c>
      <c r="AW126" s="16">
        <v>0</v>
      </c>
      <c r="AX126" s="16">
        <v>0</v>
      </c>
      <c r="AY126" s="29">
        <v>0</v>
      </c>
      <c r="AZ126" s="27">
        <v>3</v>
      </c>
      <c r="BA126" s="57">
        <v>2</v>
      </c>
      <c r="BB126" s="85">
        <v>2.5</v>
      </c>
    </row>
    <row r="127" spans="1:54" ht="23.1" customHeight="1" x14ac:dyDescent="0.3">
      <c r="A127" s="86">
        <v>123</v>
      </c>
      <c r="B127" s="63" t="s">
        <v>364</v>
      </c>
      <c r="C127" s="64" t="s">
        <v>365</v>
      </c>
      <c r="D127" s="63" t="s">
        <v>450</v>
      </c>
      <c r="E127" s="63" t="s">
        <v>493</v>
      </c>
      <c r="F127" s="63" t="str">
        <f>REPT(CHAR(160),10)&amp;Working!$E127</f>
        <v>          C</v>
      </c>
      <c r="G127" s="65">
        <v>0</v>
      </c>
      <c r="H127" s="65">
        <v>0</v>
      </c>
      <c r="I127" s="65">
        <v>4</v>
      </c>
      <c r="J127" s="65">
        <v>0</v>
      </c>
      <c r="K127" s="66">
        <v>0</v>
      </c>
      <c r="L127" s="67">
        <v>4</v>
      </c>
      <c r="M127" s="65">
        <v>0</v>
      </c>
      <c r="N127" s="65">
        <v>3</v>
      </c>
      <c r="O127" s="65">
        <v>4</v>
      </c>
      <c r="P127" s="68">
        <v>0</v>
      </c>
      <c r="Q127" s="69">
        <v>4</v>
      </c>
      <c r="R127" s="38">
        <v>3.6666666666666665</v>
      </c>
      <c r="S127" s="27">
        <v>0</v>
      </c>
      <c r="T127" s="29">
        <v>0</v>
      </c>
      <c r="U127" s="52">
        <v>0</v>
      </c>
      <c r="V127" s="29">
        <v>0</v>
      </c>
      <c r="W127" s="29">
        <v>0</v>
      </c>
      <c r="X127" s="37">
        <v>0</v>
      </c>
      <c r="Y127" s="29">
        <v>4</v>
      </c>
      <c r="Z127" s="29">
        <v>0</v>
      </c>
      <c r="AA127" s="29">
        <v>0</v>
      </c>
      <c r="AB127" s="29">
        <v>0</v>
      </c>
      <c r="AC127" s="29">
        <v>0</v>
      </c>
      <c r="AD127" s="37">
        <v>4</v>
      </c>
      <c r="AE127" s="29">
        <v>0</v>
      </c>
      <c r="AF127" s="29">
        <v>0</v>
      </c>
      <c r="AG127" s="29">
        <v>0</v>
      </c>
      <c r="AH127" s="29">
        <v>0</v>
      </c>
      <c r="AI127" s="29">
        <v>0</v>
      </c>
      <c r="AJ127" s="37">
        <v>0</v>
      </c>
      <c r="AK127" s="28">
        <v>4</v>
      </c>
      <c r="AL127" s="28">
        <v>3</v>
      </c>
      <c r="AM127" s="52">
        <v>0</v>
      </c>
      <c r="AN127" s="28">
        <v>3</v>
      </c>
      <c r="AO127" s="29">
        <v>0</v>
      </c>
      <c r="AP127" s="38">
        <v>3.3333333333333335</v>
      </c>
      <c r="AQ127" s="27">
        <v>3</v>
      </c>
      <c r="AR127" s="29">
        <v>0</v>
      </c>
      <c r="AS127" s="58">
        <v>0</v>
      </c>
      <c r="AT127" s="29">
        <v>0</v>
      </c>
      <c r="AU127" s="29">
        <v>0</v>
      </c>
      <c r="AV127" s="37">
        <v>3</v>
      </c>
      <c r="AW127" s="29">
        <v>0</v>
      </c>
      <c r="AX127" s="29">
        <v>0</v>
      </c>
      <c r="AY127" s="29">
        <v>0</v>
      </c>
      <c r="AZ127" s="27">
        <v>2</v>
      </c>
      <c r="BA127" s="57">
        <v>4</v>
      </c>
      <c r="BB127" s="85">
        <v>3</v>
      </c>
    </row>
    <row r="128" spans="1:54" ht="23.1" customHeight="1" x14ac:dyDescent="0.3">
      <c r="A128" s="87">
        <v>124</v>
      </c>
      <c r="B128" s="70" t="s">
        <v>54</v>
      </c>
      <c r="C128" s="71" t="s">
        <v>55</v>
      </c>
      <c r="D128" s="70" t="s">
        <v>450</v>
      </c>
      <c r="E128" s="70" t="s">
        <v>35</v>
      </c>
      <c r="F128" s="70" t="str">
        <f>REPT(CHAR(160),10)&amp;Working!$E128</f>
        <v>          A</v>
      </c>
      <c r="G128" s="61">
        <v>0</v>
      </c>
      <c r="H128" s="61">
        <v>0</v>
      </c>
      <c r="I128" s="61">
        <v>5</v>
      </c>
      <c r="J128" s="61">
        <v>0</v>
      </c>
      <c r="K128" s="72">
        <v>0</v>
      </c>
      <c r="L128" s="67">
        <v>5</v>
      </c>
      <c r="M128" s="61">
        <v>0</v>
      </c>
      <c r="N128" s="61">
        <v>5</v>
      </c>
      <c r="O128" s="61">
        <v>5</v>
      </c>
      <c r="P128" s="75">
        <v>0</v>
      </c>
      <c r="Q128" s="76">
        <v>5</v>
      </c>
      <c r="R128" s="38">
        <v>5</v>
      </c>
      <c r="S128" s="27">
        <v>0</v>
      </c>
      <c r="T128" s="16">
        <v>0</v>
      </c>
      <c r="U128" s="53">
        <v>0</v>
      </c>
      <c r="V128" s="16">
        <v>0</v>
      </c>
      <c r="W128" s="16">
        <v>0</v>
      </c>
      <c r="X128" s="37">
        <v>0</v>
      </c>
      <c r="Y128" s="16">
        <v>5</v>
      </c>
      <c r="Z128" s="16">
        <v>0</v>
      </c>
      <c r="AA128" s="16">
        <v>0</v>
      </c>
      <c r="AB128" s="16">
        <v>0</v>
      </c>
      <c r="AC128" s="16">
        <v>0</v>
      </c>
      <c r="AD128" s="37">
        <v>5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37">
        <v>0</v>
      </c>
      <c r="AK128" s="24">
        <v>5</v>
      </c>
      <c r="AL128" s="24">
        <v>4</v>
      </c>
      <c r="AM128" s="53">
        <v>0</v>
      </c>
      <c r="AN128" s="24">
        <v>5</v>
      </c>
      <c r="AO128" s="16">
        <v>0</v>
      </c>
      <c r="AP128" s="38">
        <v>4.666666666666667</v>
      </c>
      <c r="AQ128" s="27">
        <v>5</v>
      </c>
      <c r="AR128" s="16">
        <v>0</v>
      </c>
      <c r="AS128" s="25">
        <v>0</v>
      </c>
      <c r="AT128" s="16">
        <v>0</v>
      </c>
      <c r="AU128" s="16">
        <v>0</v>
      </c>
      <c r="AV128" s="37">
        <v>5</v>
      </c>
      <c r="AW128" s="16">
        <v>0</v>
      </c>
      <c r="AX128" s="16">
        <v>0</v>
      </c>
      <c r="AY128" s="29">
        <v>0</v>
      </c>
      <c r="AZ128" s="27">
        <v>4</v>
      </c>
      <c r="BA128" s="57">
        <v>5</v>
      </c>
      <c r="BB128" s="85">
        <v>4.5</v>
      </c>
    </row>
    <row r="129" spans="1:54" ht="23.1" customHeight="1" x14ac:dyDescent="0.3">
      <c r="A129" s="86">
        <v>125</v>
      </c>
      <c r="B129" s="63" t="s">
        <v>219</v>
      </c>
      <c r="C129" s="64" t="s">
        <v>220</v>
      </c>
      <c r="D129" s="63" t="s">
        <v>542</v>
      </c>
      <c r="E129" s="63" t="s">
        <v>161</v>
      </c>
      <c r="F129" s="63" t="str">
        <f>REPT(CHAR(160),10)&amp;Working!$E129</f>
        <v>          B</v>
      </c>
      <c r="G129" s="65">
        <v>0</v>
      </c>
      <c r="H129" s="65">
        <v>0</v>
      </c>
      <c r="I129" s="65">
        <v>5</v>
      </c>
      <c r="J129" s="65">
        <v>0</v>
      </c>
      <c r="K129" s="66">
        <v>0</v>
      </c>
      <c r="L129" s="67">
        <v>5</v>
      </c>
      <c r="M129" s="65">
        <v>0</v>
      </c>
      <c r="N129" s="65">
        <v>5</v>
      </c>
      <c r="O129" s="65">
        <v>5</v>
      </c>
      <c r="P129" s="68">
        <v>0</v>
      </c>
      <c r="Q129" s="69">
        <v>5</v>
      </c>
      <c r="R129" s="38">
        <v>5</v>
      </c>
      <c r="S129" s="27">
        <v>0</v>
      </c>
      <c r="T129" s="29">
        <v>0</v>
      </c>
      <c r="U129" s="52">
        <v>0</v>
      </c>
      <c r="V129" s="29">
        <v>0</v>
      </c>
      <c r="W129" s="29">
        <v>0</v>
      </c>
      <c r="X129" s="37">
        <v>0</v>
      </c>
      <c r="Y129" s="29">
        <v>5</v>
      </c>
      <c r="Z129" s="29">
        <v>0</v>
      </c>
      <c r="AA129" s="29">
        <v>0</v>
      </c>
      <c r="AB129" s="29">
        <v>0</v>
      </c>
      <c r="AC129" s="29">
        <v>0</v>
      </c>
      <c r="AD129" s="37">
        <v>5</v>
      </c>
      <c r="AE129" s="29">
        <v>0</v>
      </c>
      <c r="AF129" s="29">
        <v>0</v>
      </c>
      <c r="AG129" s="29">
        <v>0</v>
      </c>
      <c r="AH129" s="29">
        <v>0</v>
      </c>
      <c r="AI129" s="29">
        <v>0</v>
      </c>
      <c r="AJ129" s="37">
        <v>0</v>
      </c>
      <c r="AK129" s="28">
        <v>4</v>
      </c>
      <c r="AL129" s="28">
        <v>3</v>
      </c>
      <c r="AM129" s="52">
        <v>0</v>
      </c>
      <c r="AN129" s="28">
        <v>5</v>
      </c>
      <c r="AO129" s="29">
        <v>0</v>
      </c>
      <c r="AP129" s="38">
        <v>4</v>
      </c>
      <c r="AQ129" s="27">
        <v>4</v>
      </c>
      <c r="AR129" s="29">
        <v>0</v>
      </c>
      <c r="AS129" s="58">
        <v>0</v>
      </c>
      <c r="AT129" s="29">
        <v>0</v>
      </c>
      <c r="AU129" s="29">
        <v>0</v>
      </c>
      <c r="AV129" s="37">
        <v>4</v>
      </c>
      <c r="AW129" s="29">
        <v>0</v>
      </c>
      <c r="AX129" s="29">
        <v>0</v>
      </c>
      <c r="AY129" s="29">
        <v>0</v>
      </c>
      <c r="AZ129" s="27">
        <v>4</v>
      </c>
      <c r="BA129" s="57">
        <v>5</v>
      </c>
      <c r="BB129" s="85">
        <v>4.5</v>
      </c>
    </row>
    <row r="130" spans="1:54" ht="23.1" customHeight="1" x14ac:dyDescent="0.3">
      <c r="A130" s="87">
        <v>126</v>
      </c>
      <c r="B130" s="70" t="s">
        <v>237</v>
      </c>
      <c r="C130" s="71" t="s">
        <v>238</v>
      </c>
      <c r="D130" s="70" t="s">
        <v>542</v>
      </c>
      <c r="E130" s="70" t="s">
        <v>161</v>
      </c>
      <c r="F130" s="70" t="str">
        <f>REPT(CHAR(160),10)&amp;Working!$E130</f>
        <v>          B</v>
      </c>
      <c r="G130" s="61">
        <v>0</v>
      </c>
      <c r="H130" s="61">
        <v>0</v>
      </c>
      <c r="I130" s="61">
        <v>3</v>
      </c>
      <c r="J130" s="61">
        <v>0</v>
      </c>
      <c r="K130" s="72">
        <v>0</v>
      </c>
      <c r="L130" s="67">
        <v>3</v>
      </c>
      <c r="M130" s="61">
        <v>0</v>
      </c>
      <c r="N130" s="61">
        <v>3</v>
      </c>
      <c r="O130" s="61">
        <v>2</v>
      </c>
      <c r="P130" s="73">
        <v>0</v>
      </c>
      <c r="Q130" s="74">
        <v>2</v>
      </c>
      <c r="R130" s="38">
        <v>2.3333333333333335</v>
      </c>
      <c r="S130" s="27">
        <v>0</v>
      </c>
      <c r="T130" s="16">
        <v>0</v>
      </c>
      <c r="U130" s="51">
        <v>0</v>
      </c>
      <c r="V130" s="16">
        <v>0</v>
      </c>
      <c r="W130" s="16">
        <v>0</v>
      </c>
      <c r="X130" s="37">
        <v>0</v>
      </c>
      <c r="Y130" s="16">
        <v>2</v>
      </c>
      <c r="Z130" s="16">
        <v>0</v>
      </c>
      <c r="AA130" s="16">
        <v>0</v>
      </c>
      <c r="AB130" s="16">
        <v>0</v>
      </c>
      <c r="AC130" s="16">
        <v>0</v>
      </c>
      <c r="AD130" s="37">
        <v>2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37">
        <v>0</v>
      </c>
      <c r="AK130" s="22">
        <v>2</v>
      </c>
      <c r="AL130" s="22">
        <v>3</v>
      </c>
      <c r="AM130" s="51">
        <v>0</v>
      </c>
      <c r="AN130" s="22">
        <v>2</v>
      </c>
      <c r="AO130" s="16">
        <v>0</v>
      </c>
      <c r="AP130" s="38">
        <v>2.3333333333333335</v>
      </c>
      <c r="AQ130" s="27">
        <v>3</v>
      </c>
      <c r="AR130" s="16">
        <v>0</v>
      </c>
      <c r="AS130" s="26">
        <v>0</v>
      </c>
      <c r="AT130" s="16">
        <v>0</v>
      </c>
      <c r="AU130" s="16">
        <v>0</v>
      </c>
      <c r="AV130" s="37">
        <v>3</v>
      </c>
      <c r="AW130" s="16">
        <v>0</v>
      </c>
      <c r="AX130" s="16">
        <v>0</v>
      </c>
      <c r="AY130" s="29">
        <v>0</v>
      </c>
      <c r="AZ130" s="27">
        <v>2</v>
      </c>
      <c r="BA130" s="57">
        <v>3</v>
      </c>
      <c r="BB130" s="85">
        <v>2.5</v>
      </c>
    </row>
    <row r="131" spans="1:54" ht="23.1" customHeight="1" x14ac:dyDescent="0.3">
      <c r="A131" s="86">
        <v>127</v>
      </c>
      <c r="B131" s="63" t="s">
        <v>366</v>
      </c>
      <c r="C131" s="64" t="s">
        <v>367</v>
      </c>
      <c r="D131" s="63" t="s">
        <v>542</v>
      </c>
      <c r="E131" s="63" t="s">
        <v>493</v>
      </c>
      <c r="F131" s="63" t="str">
        <f>REPT(CHAR(160),10)&amp;Working!$E131</f>
        <v>          C</v>
      </c>
      <c r="G131" s="65">
        <v>0</v>
      </c>
      <c r="H131" s="65">
        <v>0</v>
      </c>
      <c r="I131" s="65">
        <v>5</v>
      </c>
      <c r="J131" s="65">
        <v>0</v>
      </c>
      <c r="K131" s="66">
        <v>0</v>
      </c>
      <c r="L131" s="67">
        <v>5</v>
      </c>
      <c r="M131" s="65">
        <v>0</v>
      </c>
      <c r="N131" s="65">
        <v>4</v>
      </c>
      <c r="O131" s="65">
        <v>4</v>
      </c>
      <c r="P131" s="68">
        <v>0</v>
      </c>
      <c r="Q131" s="69">
        <v>4</v>
      </c>
      <c r="R131" s="38">
        <v>4</v>
      </c>
      <c r="S131" s="27">
        <v>0</v>
      </c>
      <c r="T131" s="29">
        <v>0</v>
      </c>
      <c r="U131" s="52">
        <v>0</v>
      </c>
      <c r="V131" s="29">
        <v>0</v>
      </c>
      <c r="W131" s="29">
        <v>0</v>
      </c>
      <c r="X131" s="37">
        <v>0</v>
      </c>
      <c r="Y131" s="29">
        <v>4</v>
      </c>
      <c r="Z131" s="29">
        <v>0</v>
      </c>
      <c r="AA131" s="29">
        <v>0</v>
      </c>
      <c r="AB131" s="29">
        <v>0</v>
      </c>
      <c r="AC131" s="29">
        <v>0</v>
      </c>
      <c r="AD131" s="37">
        <v>4</v>
      </c>
      <c r="AE131" s="29">
        <v>0</v>
      </c>
      <c r="AF131" s="29">
        <v>0</v>
      </c>
      <c r="AG131" s="29">
        <v>0</v>
      </c>
      <c r="AH131" s="29">
        <v>0</v>
      </c>
      <c r="AI131" s="29">
        <v>0</v>
      </c>
      <c r="AJ131" s="37">
        <v>0</v>
      </c>
      <c r="AK131" s="28">
        <v>4</v>
      </c>
      <c r="AL131" s="28">
        <v>4</v>
      </c>
      <c r="AM131" s="52">
        <v>0</v>
      </c>
      <c r="AN131" s="28">
        <v>4</v>
      </c>
      <c r="AO131" s="29">
        <v>0</v>
      </c>
      <c r="AP131" s="38">
        <v>4</v>
      </c>
      <c r="AQ131" s="27">
        <v>5</v>
      </c>
      <c r="AR131" s="29">
        <v>0</v>
      </c>
      <c r="AS131" s="58">
        <v>0</v>
      </c>
      <c r="AT131" s="29">
        <v>0</v>
      </c>
      <c r="AU131" s="29">
        <v>0</v>
      </c>
      <c r="AV131" s="37">
        <v>5</v>
      </c>
      <c r="AW131" s="29">
        <v>0</v>
      </c>
      <c r="AX131" s="29">
        <v>0</v>
      </c>
      <c r="AY131" s="29">
        <v>0</v>
      </c>
      <c r="AZ131" s="27">
        <v>3</v>
      </c>
      <c r="BA131" s="57">
        <v>4</v>
      </c>
      <c r="BB131" s="85">
        <v>3.5</v>
      </c>
    </row>
    <row r="132" spans="1:54" ht="23.1" customHeight="1" x14ac:dyDescent="0.3">
      <c r="A132" s="87">
        <v>128</v>
      </c>
      <c r="B132" s="70" t="s">
        <v>368</v>
      </c>
      <c r="C132" s="71" t="s">
        <v>369</v>
      </c>
      <c r="D132" s="70" t="s">
        <v>450</v>
      </c>
      <c r="E132" s="70" t="s">
        <v>493</v>
      </c>
      <c r="F132" s="70" t="str">
        <f>REPT(CHAR(160),10)&amp;Working!$E132</f>
        <v>          C</v>
      </c>
      <c r="G132" s="61">
        <v>0</v>
      </c>
      <c r="H132" s="61">
        <v>0</v>
      </c>
      <c r="I132" s="61">
        <v>0</v>
      </c>
      <c r="J132" s="61">
        <v>0</v>
      </c>
      <c r="K132" s="72">
        <v>0</v>
      </c>
      <c r="L132" s="67">
        <v>0</v>
      </c>
      <c r="M132" s="61">
        <v>0</v>
      </c>
      <c r="N132" s="61">
        <v>0</v>
      </c>
      <c r="O132" s="61">
        <v>0</v>
      </c>
      <c r="P132" s="73">
        <v>0</v>
      </c>
      <c r="Q132" s="74">
        <v>0</v>
      </c>
      <c r="R132" s="38">
        <v>0</v>
      </c>
      <c r="S132" s="27">
        <v>0</v>
      </c>
      <c r="T132" s="16">
        <v>0</v>
      </c>
      <c r="U132" s="51">
        <v>0</v>
      </c>
      <c r="V132" s="16">
        <v>0</v>
      </c>
      <c r="W132" s="16">
        <v>0</v>
      </c>
      <c r="X132" s="37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37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37">
        <v>0</v>
      </c>
      <c r="AK132" s="22">
        <v>0</v>
      </c>
      <c r="AL132" s="22">
        <v>0</v>
      </c>
      <c r="AM132" s="51">
        <v>0</v>
      </c>
      <c r="AN132" s="22">
        <v>0</v>
      </c>
      <c r="AO132" s="16">
        <v>0</v>
      </c>
      <c r="AP132" s="38">
        <v>0</v>
      </c>
      <c r="AQ132" s="27">
        <v>0</v>
      </c>
      <c r="AR132" s="16">
        <v>0</v>
      </c>
      <c r="AS132" s="25">
        <v>0</v>
      </c>
      <c r="AT132" s="16">
        <v>0</v>
      </c>
      <c r="AU132" s="16">
        <v>0</v>
      </c>
      <c r="AV132" s="37">
        <v>0</v>
      </c>
      <c r="AW132" s="16">
        <v>0</v>
      </c>
      <c r="AX132" s="16">
        <v>0</v>
      </c>
      <c r="AY132" s="29">
        <v>0</v>
      </c>
      <c r="AZ132" s="27">
        <v>0</v>
      </c>
      <c r="BA132" s="57">
        <v>0</v>
      </c>
      <c r="BB132" s="85">
        <v>0</v>
      </c>
    </row>
    <row r="133" spans="1:54" ht="23.1" customHeight="1" x14ac:dyDescent="0.3">
      <c r="A133" s="86">
        <v>129</v>
      </c>
      <c r="B133" s="63" t="s">
        <v>251</v>
      </c>
      <c r="C133" s="64" t="s">
        <v>252</v>
      </c>
      <c r="D133" s="63" t="s">
        <v>542</v>
      </c>
      <c r="E133" s="63" t="s">
        <v>161</v>
      </c>
      <c r="F133" s="63" t="str">
        <f>REPT(CHAR(160),10)&amp;Working!$E133</f>
        <v>          B</v>
      </c>
      <c r="G133" s="65">
        <v>0</v>
      </c>
      <c r="H133" s="65">
        <v>0</v>
      </c>
      <c r="I133" s="65">
        <v>5</v>
      </c>
      <c r="J133" s="65">
        <v>0</v>
      </c>
      <c r="K133" s="66">
        <v>0</v>
      </c>
      <c r="L133" s="67">
        <v>5</v>
      </c>
      <c r="M133" s="65">
        <v>0</v>
      </c>
      <c r="N133" s="65">
        <v>5</v>
      </c>
      <c r="O133" s="65">
        <v>5</v>
      </c>
      <c r="P133" s="68">
        <v>0</v>
      </c>
      <c r="Q133" s="69">
        <v>5</v>
      </c>
      <c r="R133" s="38">
        <v>5</v>
      </c>
      <c r="S133" s="27">
        <v>0</v>
      </c>
      <c r="T133" s="29">
        <v>0</v>
      </c>
      <c r="U133" s="52">
        <v>0</v>
      </c>
      <c r="V133" s="29">
        <v>0</v>
      </c>
      <c r="W133" s="29">
        <v>0</v>
      </c>
      <c r="X133" s="37">
        <v>0</v>
      </c>
      <c r="Y133" s="29">
        <v>5</v>
      </c>
      <c r="Z133" s="29">
        <v>0</v>
      </c>
      <c r="AA133" s="29">
        <v>0</v>
      </c>
      <c r="AB133" s="29">
        <v>0</v>
      </c>
      <c r="AC133" s="29">
        <v>0</v>
      </c>
      <c r="AD133" s="37">
        <v>5</v>
      </c>
      <c r="AE133" s="29">
        <v>0</v>
      </c>
      <c r="AF133" s="29">
        <v>0</v>
      </c>
      <c r="AG133" s="29">
        <v>0</v>
      </c>
      <c r="AH133" s="29">
        <v>0</v>
      </c>
      <c r="AI133" s="29">
        <v>0</v>
      </c>
      <c r="AJ133" s="37">
        <v>0</v>
      </c>
      <c r="AK133" s="28">
        <v>5</v>
      </c>
      <c r="AL133" s="28">
        <v>5</v>
      </c>
      <c r="AM133" s="52">
        <v>0</v>
      </c>
      <c r="AN133" s="28">
        <v>4</v>
      </c>
      <c r="AO133" s="29">
        <v>0</v>
      </c>
      <c r="AP133" s="38">
        <v>4.666666666666667</v>
      </c>
      <c r="AQ133" s="27">
        <v>4</v>
      </c>
      <c r="AR133" s="29">
        <v>0</v>
      </c>
      <c r="AS133" s="58">
        <v>0</v>
      </c>
      <c r="AT133" s="29">
        <v>0</v>
      </c>
      <c r="AU133" s="29">
        <v>0</v>
      </c>
      <c r="AV133" s="37">
        <v>4</v>
      </c>
      <c r="AW133" s="29">
        <v>0</v>
      </c>
      <c r="AX133" s="29">
        <v>0</v>
      </c>
      <c r="AY133" s="29">
        <v>0</v>
      </c>
      <c r="AZ133" s="27">
        <v>5</v>
      </c>
      <c r="BA133" s="57">
        <v>5</v>
      </c>
      <c r="BB133" s="85">
        <v>5</v>
      </c>
    </row>
    <row r="134" spans="1:54" ht="23.1" customHeight="1" x14ac:dyDescent="0.3">
      <c r="A134" s="87">
        <v>130</v>
      </c>
      <c r="B134" s="70" t="s">
        <v>56</v>
      </c>
      <c r="C134" s="71" t="s">
        <v>57</v>
      </c>
      <c r="D134" s="70" t="s">
        <v>450</v>
      </c>
      <c r="E134" s="70" t="s">
        <v>35</v>
      </c>
      <c r="F134" s="70" t="str">
        <f>REPT(CHAR(160),10)&amp;Working!$E134</f>
        <v>          A</v>
      </c>
      <c r="G134" s="61">
        <v>0</v>
      </c>
      <c r="H134" s="61">
        <v>0</v>
      </c>
      <c r="I134" s="61">
        <v>4</v>
      </c>
      <c r="J134" s="61">
        <v>0</v>
      </c>
      <c r="K134" s="72">
        <v>0</v>
      </c>
      <c r="L134" s="67">
        <v>4</v>
      </c>
      <c r="M134" s="61">
        <v>0</v>
      </c>
      <c r="N134" s="61">
        <v>3</v>
      </c>
      <c r="O134" s="61">
        <v>4</v>
      </c>
      <c r="P134" s="73">
        <v>0</v>
      </c>
      <c r="Q134" s="74">
        <v>4</v>
      </c>
      <c r="R134" s="38">
        <v>3.6666666666666665</v>
      </c>
      <c r="S134" s="27">
        <v>0</v>
      </c>
      <c r="T134" s="16">
        <v>0</v>
      </c>
      <c r="U134" s="51">
        <v>0</v>
      </c>
      <c r="V134" s="16">
        <v>0</v>
      </c>
      <c r="W134" s="16">
        <v>0</v>
      </c>
      <c r="X134" s="37">
        <v>0</v>
      </c>
      <c r="Y134" s="16">
        <v>3</v>
      </c>
      <c r="Z134" s="16">
        <v>0</v>
      </c>
      <c r="AA134" s="16">
        <v>0</v>
      </c>
      <c r="AB134" s="16">
        <v>0</v>
      </c>
      <c r="AC134" s="16">
        <v>0</v>
      </c>
      <c r="AD134" s="37">
        <v>3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37">
        <v>0</v>
      </c>
      <c r="AK134" s="22">
        <v>4</v>
      </c>
      <c r="AL134" s="22">
        <v>3</v>
      </c>
      <c r="AM134" s="51">
        <v>0</v>
      </c>
      <c r="AN134" s="22">
        <v>4</v>
      </c>
      <c r="AO134" s="16">
        <v>0</v>
      </c>
      <c r="AP134" s="38">
        <v>3.6666666666666665</v>
      </c>
      <c r="AQ134" s="27">
        <v>5</v>
      </c>
      <c r="AR134" s="16">
        <v>0</v>
      </c>
      <c r="AS134" s="25">
        <v>0</v>
      </c>
      <c r="AT134" s="16">
        <v>0</v>
      </c>
      <c r="AU134" s="16">
        <v>0</v>
      </c>
      <c r="AV134" s="37">
        <v>5</v>
      </c>
      <c r="AW134" s="16">
        <v>0</v>
      </c>
      <c r="AX134" s="16">
        <v>0</v>
      </c>
      <c r="AY134" s="29">
        <v>0</v>
      </c>
      <c r="AZ134" s="27">
        <v>5</v>
      </c>
      <c r="BA134" s="57">
        <v>4</v>
      </c>
      <c r="BB134" s="85">
        <v>4.5</v>
      </c>
    </row>
    <row r="135" spans="1:54" ht="23.1" customHeight="1" x14ac:dyDescent="0.3">
      <c r="A135" s="86">
        <v>131</v>
      </c>
      <c r="B135" s="63" t="s">
        <v>265</v>
      </c>
      <c r="C135" s="64" t="s">
        <v>266</v>
      </c>
      <c r="D135" s="63" t="s">
        <v>542</v>
      </c>
      <c r="E135" s="63" t="s">
        <v>161</v>
      </c>
      <c r="F135" s="63" t="str">
        <f>REPT(CHAR(160),10)&amp;Working!$E135</f>
        <v>          B</v>
      </c>
      <c r="G135" s="65">
        <v>0</v>
      </c>
      <c r="H135" s="65">
        <v>0</v>
      </c>
      <c r="I135" s="65">
        <v>5</v>
      </c>
      <c r="J135" s="65">
        <v>0</v>
      </c>
      <c r="K135" s="66">
        <v>0</v>
      </c>
      <c r="L135" s="67">
        <v>5</v>
      </c>
      <c r="M135" s="65">
        <v>0</v>
      </c>
      <c r="N135" s="65">
        <v>5</v>
      </c>
      <c r="O135" s="65">
        <v>4</v>
      </c>
      <c r="P135" s="68">
        <v>0</v>
      </c>
      <c r="Q135" s="69">
        <v>4</v>
      </c>
      <c r="R135" s="38">
        <v>4.333333333333333</v>
      </c>
      <c r="S135" s="27">
        <v>0</v>
      </c>
      <c r="T135" s="29">
        <v>0</v>
      </c>
      <c r="U135" s="52">
        <v>0</v>
      </c>
      <c r="V135" s="29">
        <v>0</v>
      </c>
      <c r="W135" s="29">
        <v>0</v>
      </c>
      <c r="X135" s="37">
        <v>0</v>
      </c>
      <c r="Y135" s="29">
        <v>5</v>
      </c>
      <c r="Z135" s="29">
        <v>0</v>
      </c>
      <c r="AA135" s="29">
        <v>0</v>
      </c>
      <c r="AB135" s="29">
        <v>0</v>
      </c>
      <c r="AC135" s="29">
        <v>0</v>
      </c>
      <c r="AD135" s="37">
        <v>5</v>
      </c>
      <c r="AE135" s="29">
        <v>0</v>
      </c>
      <c r="AF135" s="29">
        <v>0</v>
      </c>
      <c r="AG135" s="29">
        <v>0</v>
      </c>
      <c r="AH135" s="29">
        <v>0</v>
      </c>
      <c r="AI135" s="29">
        <v>0</v>
      </c>
      <c r="AJ135" s="37">
        <v>0</v>
      </c>
      <c r="AK135" s="28">
        <v>5</v>
      </c>
      <c r="AL135" s="28">
        <v>5</v>
      </c>
      <c r="AM135" s="52">
        <v>0</v>
      </c>
      <c r="AN135" s="28">
        <v>5</v>
      </c>
      <c r="AO135" s="29">
        <v>0</v>
      </c>
      <c r="AP135" s="38">
        <v>5</v>
      </c>
      <c r="AQ135" s="27">
        <v>5</v>
      </c>
      <c r="AR135" s="29">
        <v>0</v>
      </c>
      <c r="AS135" s="58">
        <v>0</v>
      </c>
      <c r="AT135" s="29">
        <v>0</v>
      </c>
      <c r="AU135" s="29">
        <v>0</v>
      </c>
      <c r="AV135" s="37">
        <v>5</v>
      </c>
      <c r="AW135" s="29">
        <v>0</v>
      </c>
      <c r="AX135" s="29">
        <v>0</v>
      </c>
      <c r="AY135" s="29">
        <v>0</v>
      </c>
      <c r="AZ135" s="27">
        <v>5</v>
      </c>
      <c r="BA135" s="57">
        <v>5</v>
      </c>
      <c r="BB135" s="85">
        <v>5</v>
      </c>
    </row>
    <row r="136" spans="1:54" ht="23.1" customHeight="1" x14ac:dyDescent="0.3">
      <c r="A136" s="87">
        <v>132</v>
      </c>
      <c r="B136" s="70" t="s">
        <v>79</v>
      </c>
      <c r="C136" s="71" t="s">
        <v>80</v>
      </c>
      <c r="D136" s="70" t="s">
        <v>542</v>
      </c>
      <c r="E136" s="70" t="s">
        <v>35</v>
      </c>
      <c r="F136" s="70" t="str">
        <f>REPT(CHAR(160),10)&amp;Working!$E136</f>
        <v>          A</v>
      </c>
      <c r="G136" s="61">
        <v>0</v>
      </c>
      <c r="H136" s="61">
        <v>0</v>
      </c>
      <c r="I136" s="61">
        <v>3</v>
      </c>
      <c r="J136" s="61">
        <v>0</v>
      </c>
      <c r="K136" s="72">
        <v>0</v>
      </c>
      <c r="L136" s="67">
        <v>3</v>
      </c>
      <c r="M136" s="61">
        <v>0</v>
      </c>
      <c r="N136" s="61">
        <v>4</v>
      </c>
      <c r="O136" s="61">
        <v>4</v>
      </c>
      <c r="P136" s="73">
        <v>0</v>
      </c>
      <c r="Q136" s="74">
        <v>4</v>
      </c>
      <c r="R136" s="38">
        <v>4</v>
      </c>
      <c r="S136" s="27">
        <v>0</v>
      </c>
      <c r="T136" s="16">
        <v>0</v>
      </c>
      <c r="U136" s="51">
        <v>0</v>
      </c>
      <c r="V136" s="16">
        <v>0</v>
      </c>
      <c r="W136" s="16">
        <v>0</v>
      </c>
      <c r="X136" s="37">
        <v>0</v>
      </c>
      <c r="Y136" s="16">
        <v>4</v>
      </c>
      <c r="Z136" s="16">
        <v>0</v>
      </c>
      <c r="AA136" s="16">
        <v>0</v>
      </c>
      <c r="AB136" s="16">
        <v>0</v>
      </c>
      <c r="AC136" s="16">
        <v>0</v>
      </c>
      <c r="AD136" s="37">
        <v>4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37">
        <v>0</v>
      </c>
      <c r="AK136" s="22">
        <v>3</v>
      </c>
      <c r="AL136" s="22">
        <v>3</v>
      </c>
      <c r="AM136" s="51">
        <v>0</v>
      </c>
      <c r="AN136" s="22">
        <v>4</v>
      </c>
      <c r="AO136" s="16">
        <v>0</v>
      </c>
      <c r="AP136" s="38">
        <v>3.3333333333333335</v>
      </c>
      <c r="AQ136" s="27">
        <v>3</v>
      </c>
      <c r="AR136" s="16">
        <v>0</v>
      </c>
      <c r="AS136" s="25">
        <v>0</v>
      </c>
      <c r="AT136" s="16">
        <v>0</v>
      </c>
      <c r="AU136" s="16">
        <v>0</v>
      </c>
      <c r="AV136" s="37">
        <v>3</v>
      </c>
      <c r="AW136" s="16">
        <v>0</v>
      </c>
      <c r="AX136" s="16">
        <v>0</v>
      </c>
      <c r="AY136" s="29">
        <v>0</v>
      </c>
      <c r="AZ136" s="27">
        <v>2</v>
      </c>
      <c r="BA136" s="57">
        <v>4</v>
      </c>
      <c r="BB136" s="85">
        <v>3</v>
      </c>
    </row>
    <row r="137" spans="1:54" ht="23.1" customHeight="1" x14ac:dyDescent="0.3">
      <c r="A137" s="86">
        <v>133</v>
      </c>
      <c r="B137" s="63" t="s">
        <v>85</v>
      </c>
      <c r="C137" s="64" t="s">
        <v>86</v>
      </c>
      <c r="D137" s="63" t="s">
        <v>450</v>
      </c>
      <c r="E137" s="63" t="s">
        <v>35</v>
      </c>
      <c r="F137" s="63" t="str">
        <f>REPT(CHAR(160),10)&amp;Working!$E137</f>
        <v>          A</v>
      </c>
      <c r="G137" s="65">
        <v>0</v>
      </c>
      <c r="H137" s="65">
        <v>0</v>
      </c>
      <c r="I137" s="65">
        <v>3</v>
      </c>
      <c r="J137" s="65">
        <v>0</v>
      </c>
      <c r="K137" s="66">
        <v>0</v>
      </c>
      <c r="L137" s="67">
        <v>3</v>
      </c>
      <c r="M137" s="65">
        <v>0</v>
      </c>
      <c r="N137" s="65">
        <v>3</v>
      </c>
      <c r="O137" s="65">
        <v>3</v>
      </c>
      <c r="P137" s="68">
        <v>0</v>
      </c>
      <c r="Q137" s="69">
        <v>3</v>
      </c>
      <c r="R137" s="38">
        <v>3</v>
      </c>
      <c r="S137" s="27">
        <v>0</v>
      </c>
      <c r="T137" s="29">
        <v>0</v>
      </c>
      <c r="U137" s="52">
        <v>0</v>
      </c>
      <c r="V137" s="29">
        <v>0</v>
      </c>
      <c r="W137" s="29">
        <v>0</v>
      </c>
      <c r="X137" s="37">
        <v>0</v>
      </c>
      <c r="Y137" s="29">
        <v>4</v>
      </c>
      <c r="Z137" s="29">
        <v>0</v>
      </c>
      <c r="AA137" s="29">
        <v>0</v>
      </c>
      <c r="AB137" s="29">
        <v>0</v>
      </c>
      <c r="AC137" s="29">
        <v>0</v>
      </c>
      <c r="AD137" s="37">
        <v>4</v>
      </c>
      <c r="AE137" s="29">
        <v>0</v>
      </c>
      <c r="AF137" s="29">
        <v>0</v>
      </c>
      <c r="AG137" s="29">
        <v>0</v>
      </c>
      <c r="AH137" s="29">
        <v>0</v>
      </c>
      <c r="AI137" s="29">
        <v>0</v>
      </c>
      <c r="AJ137" s="37">
        <v>0</v>
      </c>
      <c r="AK137" s="28">
        <v>2</v>
      </c>
      <c r="AL137" s="28">
        <v>1</v>
      </c>
      <c r="AM137" s="52">
        <v>0</v>
      </c>
      <c r="AN137" s="28">
        <v>3</v>
      </c>
      <c r="AO137" s="29">
        <v>0</v>
      </c>
      <c r="AP137" s="38">
        <v>2</v>
      </c>
      <c r="AQ137" s="27">
        <v>2</v>
      </c>
      <c r="AR137" s="29">
        <v>0</v>
      </c>
      <c r="AS137" s="58">
        <v>0</v>
      </c>
      <c r="AT137" s="29">
        <v>0</v>
      </c>
      <c r="AU137" s="29">
        <v>0</v>
      </c>
      <c r="AV137" s="37">
        <v>2</v>
      </c>
      <c r="AW137" s="29">
        <v>0</v>
      </c>
      <c r="AX137" s="29">
        <v>0</v>
      </c>
      <c r="AY137" s="29">
        <v>0</v>
      </c>
      <c r="AZ137" s="27">
        <v>3</v>
      </c>
      <c r="BA137" s="57">
        <v>3</v>
      </c>
      <c r="BB137" s="85">
        <v>3</v>
      </c>
    </row>
    <row r="138" spans="1:54" ht="23.1" customHeight="1" x14ac:dyDescent="0.3">
      <c r="A138" s="87">
        <v>134</v>
      </c>
      <c r="B138" s="70" t="s">
        <v>253</v>
      </c>
      <c r="C138" s="71" t="s">
        <v>254</v>
      </c>
      <c r="D138" s="70" t="s">
        <v>450</v>
      </c>
      <c r="E138" s="70" t="s">
        <v>161</v>
      </c>
      <c r="F138" s="70" t="str">
        <f>REPT(CHAR(160),10)&amp;Working!$E138</f>
        <v>          B</v>
      </c>
      <c r="G138" s="61">
        <v>0</v>
      </c>
      <c r="H138" s="61">
        <v>0</v>
      </c>
      <c r="I138" s="61">
        <v>2</v>
      </c>
      <c r="J138" s="61">
        <v>0</v>
      </c>
      <c r="K138" s="72">
        <v>0</v>
      </c>
      <c r="L138" s="67">
        <v>2</v>
      </c>
      <c r="M138" s="61">
        <v>0</v>
      </c>
      <c r="N138" s="61">
        <v>2</v>
      </c>
      <c r="O138" s="61">
        <v>2</v>
      </c>
      <c r="P138" s="70">
        <v>0</v>
      </c>
      <c r="Q138" s="81">
        <v>2</v>
      </c>
      <c r="R138" s="38">
        <v>2</v>
      </c>
      <c r="S138" s="27">
        <v>0</v>
      </c>
      <c r="T138" s="16">
        <v>0</v>
      </c>
      <c r="U138" s="20">
        <v>0</v>
      </c>
      <c r="V138" s="16">
        <v>0</v>
      </c>
      <c r="W138" s="16">
        <v>0</v>
      </c>
      <c r="X138" s="37">
        <v>0</v>
      </c>
      <c r="Y138" s="16">
        <v>1</v>
      </c>
      <c r="Z138" s="16">
        <v>0</v>
      </c>
      <c r="AA138" s="16">
        <v>0</v>
      </c>
      <c r="AB138" s="16">
        <v>0</v>
      </c>
      <c r="AC138" s="16">
        <v>0</v>
      </c>
      <c r="AD138" s="37">
        <v>1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37">
        <v>0</v>
      </c>
      <c r="AK138" s="7">
        <v>2</v>
      </c>
      <c r="AL138" s="7">
        <v>2</v>
      </c>
      <c r="AM138" s="20">
        <v>0</v>
      </c>
      <c r="AN138" s="7">
        <v>2</v>
      </c>
      <c r="AO138" s="16">
        <v>0</v>
      </c>
      <c r="AP138" s="38">
        <v>2</v>
      </c>
      <c r="AQ138" s="27">
        <v>1</v>
      </c>
      <c r="AR138" s="16">
        <v>0</v>
      </c>
      <c r="AS138" s="25">
        <v>0</v>
      </c>
      <c r="AT138" s="16">
        <v>0</v>
      </c>
      <c r="AU138" s="16">
        <v>0</v>
      </c>
      <c r="AV138" s="37">
        <v>1</v>
      </c>
      <c r="AW138" s="16">
        <v>0</v>
      </c>
      <c r="AX138" s="16">
        <v>0</v>
      </c>
      <c r="AY138" s="29">
        <v>0</v>
      </c>
      <c r="AZ138" s="27">
        <v>2</v>
      </c>
      <c r="BA138" s="57">
        <v>2</v>
      </c>
      <c r="BB138" s="85">
        <v>2</v>
      </c>
    </row>
    <row r="139" spans="1:54" ht="23.1" customHeight="1" x14ac:dyDescent="0.3">
      <c r="A139" s="86">
        <v>135</v>
      </c>
      <c r="B139" s="63" t="s">
        <v>370</v>
      </c>
      <c r="C139" s="64" t="s">
        <v>371</v>
      </c>
      <c r="D139" s="63" t="s">
        <v>450</v>
      </c>
      <c r="E139" s="63" t="s">
        <v>493</v>
      </c>
      <c r="F139" s="63" t="str">
        <f>REPT(CHAR(160),10)&amp;Working!$E139</f>
        <v>          C</v>
      </c>
      <c r="G139" s="65">
        <v>0</v>
      </c>
      <c r="H139" s="65">
        <v>0</v>
      </c>
      <c r="I139" s="65">
        <v>3</v>
      </c>
      <c r="J139" s="65">
        <v>0</v>
      </c>
      <c r="K139" s="66">
        <v>0</v>
      </c>
      <c r="L139" s="67">
        <v>3</v>
      </c>
      <c r="M139" s="65">
        <v>0</v>
      </c>
      <c r="N139" s="65">
        <v>4</v>
      </c>
      <c r="O139" s="65">
        <v>4</v>
      </c>
      <c r="P139" s="63">
        <v>0</v>
      </c>
      <c r="Q139" s="82">
        <v>4</v>
      </c>
      <c r="R139" s="38">
        <v>4</v>
      </c>
      <c r="S139" s="27">
        <v>0</v>
      </c>
      <c r="T139" s="29">
        <v>0</v>
      </c>
      <c r="U139" s="56">
        <v>0</v>
      </c>
      <c r="V139" s="29">
        <v>0</v>
      </c>
      <c r="W139" s="29">
        <v>0</v>
      </c>
      <c r="X139" s="37">
        <v>0</v>
      </c>
      <c r="Y139" s="29">
        <v>4</v>
      </c>
      <c r="Z139" s="29">
        <v>0</v>
      </c>
      <c r="AA139" s="29">
        <v>0</v>
      </c>
      <c r="AB139" s="29">
        <v>0</v>
      </c>
      <c r="AC139" s="29">
        <v>0</v>
      </c>
      <c r="AD139" s="37">
        <v>4</v>
      </c>
      <c r="AE139" s="29">
        <v>0</v>
      </c>
      <c r="AF139" s="29">
        <v>0</v>
      </c>
      <c r="AG139" s="29">
        <v>0</v>
      </c>
      <c r="AH139" s="29">
        <v>0</v>
      </c>
      <c r="AI139" s="29">
        <v>0</v>
      </c>
      <c r="AJ139" s="37">
        <v>0</v>
      </c>
      <c r="AK139" s="49">
        <v>4</v>
      </c>
      <c r="AL139" s="49">
        <v>2</v>
      </c>
      <c r="AM139" s="56">
        <v>0</v>
      </c>
      <c r="AN139" s="49">
        <v>2</v>
      </c>
      <c r="AO139" s="29">
        <v>0</v>
      </c>
      <c r="AP139" s="38">
        <v>2.6666666666666665</v>
      </c>
      <c r="AQ139" s="27">
        <v>1</v>
      </c>
      <c r="AR139" s="29">
        <v>0</v>
      </c>
      <c r="AS139" s="58">
        <v>0</v>
      </c>
      <c r="AT139" s="29">
        <v>0</v>
      </c>
      <c r="AU139" s="29">
        <v>0</v>
      </c>
      <c r="AV139" s="37">
        <v>1</v>
      </c>
      <c r="AW139" s="29">
        <v>0</v>
      </c>
      <c r="AX139" s="29">
        <v>0</v>
      </c>
      <c r="AY139" s="29">
        <v>0</v>
      </c>
      <c r="AZ139" s="27">
        <v>3</v>
      </c>
      <c r="BA139" s="57">
        <v>4</v>
      </c>
      <c r="BB139" s="85">
        <v>3.5</v>
      </c>
    </row>
    <row r="140" spans="1:54" ht="23.1" customHeight="1" x14ac:dyDescent="0.3">
      <c r="A140" s="87">
        <v>136</v>
      </c>
      <c r="B140" s="70" t="s">
        <v>372</v>
      </c>
      <c r="C140" s="71" t="s">
        <v>373</v>
      </c>
      <c r="D140" s="70" t="s">
        <v>542</v>
      </c>
      <c r="E140" s="70" t="s">
        <v>493</v>
      </c>
      <c r="F140" s="70" t="str">
        <f>REPT(CHAR(160),10)&amp;Working!$E140</f>
        <v>          C</v>
      </c>
      <c r="G140" s="61">
        <v>0</v>
      </c>
      <c r="H140" s="61">
        <v>0</v>
      </c>
      <c r="I140" s="61">
        <v>3</v>
      </c>
      <c r="J140" s="61">
        <v>0</v>
      </c>
      <c r="K140" s="72">
        <v>0</v>
      </c>
      <c r="L140" s="67">
        <v>3</v>
      </c>
      <c r="M140" s="61">
        <v>0</v>
      </c>
      <c r="N140" s="61">
        <v>5</v>
      </c>
      <c r="O140" s="61">
        <v>5</v>
      </c>
      <c r="P140" s="70">
        <v>0</v>
      </c>
      <c r="Q140" s="81">
        <v>5</v>
      </c>
      <c r="R140" s="38">
        <v>5</v>
      </c>
      <c r="S140" s="27">
        <v>0</v>
      </c>
      <c r="T140" s="16">
        <v>0</v>
      </c>
      <c r="U140" s="20">
        <v>0</v>
      </c>
      <c r="V140" s="16">
        <v>0</v>
      </c>
      <c r="W140" s="16">
        <v>0</v>
      </c>
      <c r="X140" s="37">
        <v>0</v>
      </c>
      <c r="Y140" s="16">
        <v>5</v>
      </c>
      <c r="Z140" s="16">
        <v>0</v>
      </c>
      <c r="AA140" s="16">
        <v>0</v>
      </c>
      <c r="AB140" s="16">
        <v>0</v>
      </c>
      <c r="AC140" s="16">
        <v>0</v>
      </c>
      <c r="AD140" s="37">
        <v>5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37">
        <v>0</v>
      </c>
      <c r="AK140" s="7">
        <v>3</v>
      </c>
      <c r="AL140" s="7">
        <v>3</v>
      </c>
      <c r="AM140" s="20">
        <v>0</v>
      </c>
      <c r="AN140" s="7">
        <v>3</v>
      </c>
      <c r="AO140" s="16">
        <v>0</v>
      </c>
      <c r="AP140" s="38">
        <v>3</v>
      </c>
      <c r="AQ140" s="27">
        <v>3</v>
      </c>
      <c r="AR140" s="16">
        <v>0</v>
      </c>
      <c r="AS140" s="7">
        <v>0</v>
      </c>
      <c r="AT140" s="16">
        <v>0</v>
      </c>
      <c r="AU140" s="16">
        <v>0</v>
      </c>
      <c r="AV140" s="37">
        <v>3</v>
      </c>
      <c r="AW140" s="16">
        <v>0</v>
      </c>
      <c r="AX140" s="16">
        <v>0</v>
      </c>
      <c r="AY140" s="29">
        <v>0</v>
      </c>
      <c r="AZ140" s="27">
        <v>3</v>
      </c>
      <c r="BA140" s="57">
        <v>3</v>
      </c>
      <c r="BB140" s="85">
        <v>3</v>
      </c>
    </row>
    <row r="141" spans="1:54" ht="23.1" customHeight="1" x14ac:dyDescent="0.3">
      <c r="A141" s="86">
        <v>137</v>
      </c>
      <c r="B141" s="63" t="s">
        <v>267</v>
      </c>
      <c r="C141" s="64" t="s">
        <v>268</v>
      </c>
      <c r="D141" s="63" t="s">
        <v>542</v>
      </c>
      <c r="E141" s="63" t="s">
        <v>161</v>
      </c>
      <c r="F141" s="63" t="str">
        <f>REPT(CHAR(160),10)&amp;Working!$E141</f>
        <v>          B</v>
      </c>
      <c r="G141" s="65">
        <v>0</v>
      </c>
      <c r="H141" s="65">
        <v>0</v>
      </c>
      <c r="I141" s="65">
        <v>2</v>
      </c>
      <c r="J141" s="65">
        <v>0</v>
      </c>
      <c r="K141" s="66">
        <v>0</v>
      </c>
      <c r="L141" s="67">
        <v>2</v>
      </c>
      <c r="M141" s="65">
        <v>0</v>
      </c>
      <c r="N141" s="65">
        <v>4</v>
      </c>
      <c r="O141" s="65">
        <v>4</v>
      </c>
      <c r="P141" s="63">
        <v>0</v>
      </c>
      <c r="Q141" s="82">
        <v>4</v>
      </c>
      <c r="R141" s="38">
        <v>4</v>
      </c>
      <c r="S141" s="27">
        <v>0</v>
      </c>
      <c r="T141" s="29">
        <v>0</v>
      </c>
      <c r="U141" s="56">
        <v>0</v>
      </c>
      <c r="V141" s="29">
        <v>0</v>
      </c>
      <c r="W141" s="29">
        <v>0</v>
      </c>
      <c r="X141" s="37">
        <v>0</v>
      </c>
      <c r="Y141" s="29">
        <v>4</v>
      </c>
      <c r="Z141" s="29">
        <v>0</v>
      </c>
      <c r="AA141" s="29">
        <v>0</v>
      </c>
      <c r="AB141" s="29">
        <v>0</v>
      </c>
      <c r="AC141" s="29">
        <v>0</v>
      </c>
      <c r="AD141" s="37">
        <v>4</v>
      </c>
      <c r="AE141" s="29">
        <v>0</v>
      </c>
      <c r="AF141" s="29">
        <v>0</v>
      </c>
      <c r="AG141" s="29">
        <v>0</v>
      </c>
      <c r="AH141" s="29">
        <v>0</v>
      </c>
      <c r="AI141" s="29">
        <v>0</v>
      </c>
      <c r="AJ141" s="37">
        <v>0</v>
      </c>
      <c r="AK141" s="49">
        <v>3</v>
      </c>
      <c r="AL141" s="49">
        <v>2</v>
      </c>
      <c r="AM141" s="56">
        <v>0</v>
      </c>
      <c r="AN141" s="49">
        <v>3</v>
      </c>
      <c r="AO141" s="29">
        <v>0</v>
      </c>
      <c r="AP141" s="38">
        <v>2.6666666666666665</v>
      </c>
      <c r="AQ141" s="27">
        <v>2</v>
      </c>
      <c r="AR141" s="29">
        <v>0</v>
      </c>
      <c r="AS141" s="49">
        <v>0</v>
      </c>
      <c r="AT141" s="29">
        <v>0</v>
      </c>
      <c r="AU141" s="29">
        <v>0</v>
      </c>
      <c r="AV141" s="37">
        <v>2</v>
      </c>
      <c r="AW141" s="29">
        <v>0</v>
      </c>
      <c r="AX141" s="29">
        <v>0</v>
      </c>
      <c r="AY141" s="29">
        <v>0</v>
      </c>
      <c r="AZ141" s="27">
        <v>3</v>
      </c>
      <c r="BA141" s="57">
        <v>3</v>
      </c>
      <c r="BB141" s="85">
        <v>3</v>
      </c>
    </row>
    <row r="142" spans="1:54" ht="23.1" customHeight="1" x14ac:dyDescent="0.3">
      <c r="A142" s="87">
        <v>138</v>
      </c>
      <c r="B142" s="70" t="s">
        <v>281</v>
      </c>
      <c r="C142" s="71" t="s">
        <v>282</v>
      </c>
      <c r="D142" s="70" t="s">
        <v>542</v>
      </c>
      <c r="E142" s="70" t="s">
        <v>161</v>
      </c>
      <c r="F142" s="70" t="str">
        <f>REPT(CHAR(160),10)&amp;Working!$E142</f>
        <v>          B</v>
      </c>
      <c r="G142" s="61">
        <v>0</v>
      </c>
      <c r="H142" s="61">
        <v>0</v>
      </c>
      <c r="I142" s="61">
        <v>1</v>
      </c>
      <c r="J142" s="61">
        <v>0</v>
      </c>
      <c r="K142" s="72">
        <v>0</v>
      </c>
      <c r="L142" s="67">
        <v>1</v>
      </c>
      <c r="M142" s="61">
        <v>0</v>
      </c>
      <c r="N142" s="61">
        <v>4</v>
      </c>
      <c r="O142" s="61">
        <v>3</v>
      </c>
      <c r="P142" s="70">
        <v>0</v>
      </c>
      <c r="Q142" s="81">
        <v>3</v>
      </c>
      <c r="R142" s="38">
        <v>3.3333333333333335</v>
      </c>
      <c r="S142" s="27">
        <v>0</v>
      </c>
      <c r="T142" s="16">
        <v>0</v>
      </c>
      <c r="U142" s="20">
        <v>0</v>
      </c>
      <c r="V142" s="16">
        <v>0</v>
      </c>
      <c r="W142" s="16">
        <v>0</v>
      </c>
      <c r="X142" s="37">
        <v>0</v>
      </c>
      <c r="Y142" s="16">
        <v>3</v>
      </c>
      <c r="Z142" s="16">
        <v>0</v>
      </c>
      <c r="AA142" s="16">
        <v>0</v>
      </c>
      <c r="AB142" s="16">
        <v>0</v>
      </c>
      <c r="AC142" s="16">
        <v>0</v>
      </c>
      <c r="AD142" s="37">
        <v>3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37">
        <v>0</v>
      </c>
      <c r="AK142" s="7">
        <v>2</v>
      </c>
      <c r="AL142" s="7">
        <v>2</v>
      </c>
      <c r="AM142" s="20">
        <v>0</v>
      </c>
      <c r="AN142" s="7">
        <v>4</v>
      </c>
      <c r="AO142" s="16">
        <v>0</v>
      </c>
      <c r="AP142" s="38">
        <v>2.6666666666666665</v>
      </c>
      <c r="AQ142" s="27">
        <v>1</v>
      </c>
      <c r="AR142" s="16">
        <v>0</v>
      </c>
      <c r="AS142" s="7">
        <v>0</v>
      </c>
      <c r="AT142" s="16">
        <v>0</v>
      </c>
      <c r="AU142" s="16">
        <v>0</v>
      </c>
      <c r="AV142" s="37">
        <v>1</v>
      </c>
      <c r="AW142" s="16">
        <v>0</v>
      </c>
      <c r="AX142" s="16">
        <v>0</v>
      </c>
      <c r="AY142" s="29">
        <v>0</v>
      </c>
      <c r="AZ142" s="27">
        <v>2</v>
      </c>
      <c r="BA142" s="57">
        <v>3</v>
      </c>
      <c r="BB142" s="85">
        <v>2.5</v>
      </c>
    </row>
    <row r="143" spans="1:54" ht="23.1" customHeight="1" x14ac:dyDescent="0.3">
      <c r="A143" s="86">
        <v>139</v>
      </c>
      <c r="B143" s="63" t="s">
        <v>152</v>
      </c>
      <c r="C143" s="64" t="s">
        <v>153</v>
      </c>
      <c r="D143" s="63" t="s">
        <v>450</v>
      </c>
      <c r="E143" s="63" t="s">
        <v>35</v>
      </c>
      <c r="F143" s="63" t="str">
        <f>REPT(CHAR(160),10)&amp;Working!$E143</f>
        <v>          A</v>
      </c>
      <c r="G143" s="65">
        <v>0</v>
      </c>
      <c r="H143" s="65">
        <v>0</v>
      </c>
      <c r="I143" s="65">
        <v>3</v>
      </c>
      <c r="J143" s="65">
        <v>0</v>
      </c>
      <c r="K143" s="66">
        <v>0</v>
      </c>
      <c r="L143" s="67">
        <v>3</v>
      </c>
      <c r="M143" s="65">
        <v>0</v>
      </c>
      <c r="N143" s="65">
        <v>4</v>
      </c>
      <c r="O143" s="65">
        <v>4</v>
      </c>
      <c r="P143" s="63">
        <v>0</v>
      </c>
      <c r="Q143" s="82">
        <v>4</v>
      </c>
      <c r="R143" s="38">
        <v>4</v>
      </c>
      <c r="S143" s="27">
        <v>0</v>
      </c>
      <c r="T143" s="29">
        <v>0</v>
      </c>
      <c r="U143" s="56">
        <v>0</v>
      </c>
      <c r="V143" s="29">
        <v>0</v>
      </c>
      <c r="W143" s="29">
        <v>0</v>
      </c>
      <c r="X143" s="37">
        <v>0</v>
      </c>
      <c r="Y143" s="29">
        <v>4</v>
      </c>
      <c r="Z143" s="29">
        <v>0</v>
      </c>
      <c r="AA143" s="29">
        <v>0</v>
      </c>
      <c r="AB143" s="29">
        <v>0</v>
      </c>
      <c r="AC143" s="29">
        <v>0</v>
      </c>
      <c r="AD143" s="37">
        <v>4</v>
      </c>
      <c r="AE143" s="29">
        <v>0</v>
      </c>
      <c r="AF143" s="29">
        <v>0</v>
      </c>
      <c r="AG143" s="29">
        <v>0</v>
      </c>
      <c r="AH143" s="29">
        <v>0</v>
      </c>
      <c r="AI143" s="29">
        <v>0</v>
      </c>
      <c r="AJ143" s="37">
        <v>0</v>
      </c>
      <c r="AK143" s="49">
        <v>3</v>
      </c>
      <c r="AL143" s="49">
        <v>2</v>
      </c>
      <c r="AM143" s="56">
        <v>0</v>
      </c>
      <c r="AN143" s="49">
        <v>3</v>
      </c>
      <c r="AO143" s="29">
        <v>0</v>
      </c>
      <c r="AP143" s="38">
        <v>2.6666666666666665</v>
      </c>
      <c r="AQ143" s="27">
        <v>2</v>
      </c>
      <c r="AR143" s="29">
        <v>0</v>
      </c>
      <c r="AS143" s="49">
        <v>0</v>
      </c>
      <c r="AT143" s="29">
        <v>0</v>
      </c>
      <c r="AU143" s="29">
        <v>0</v>
      </c>
      <c r="AV143" s="37">
        <v>2</v>
      </c>
      <c r="AW143" s="29">
        <v>0</v>
      </c>
      <c r="AX143" s="29">
        <v>0</v>
      </c>
      <c r="AY143" s="29">
        <v>0</v>
      </c>
      <c r="AZ143" s="27">
        <v>3</v>
      </c>
      <c r="BA143" s="57">
        <v>3</v>
      </c>
      <c r="BB143" s="85">
        <v>3</v>
      </c>
    </row>
    <row r="144" spans="1:54" ht="23.1" customHeight="1" x14ac:dyDescent="0.3">
      <c r="A144" s="87">
        <v>140</v>
      </c>
      <c r="B144" s="70" t="s">
        <v>374</v>
      </c>
      <c r="C144" s="71" t="s">
        <v>375</v>
      </c>
      <c r="D144" s="70" t="s">
        <v>450</v>
      </c>
      <c r="E144" s="70" t="s">
        <v>493</v>
      </c>
      <c r="F144" s="70" t="str">
        <f>REPT(CHAR(160),10)&amp;Working!$E144</f>
        <v>          C</v>
      </c>
      <c r="G144" s="61">
        <v>0</v>
      </c>
      <c r="H144" s="61">
        <v>0</v>
      </c>
      <c r="I144" s="61">
        <v>3</v>
      </c>
      <c r="J144" s="61">
        <v>0</v>
      </c>
      <c r="K144" s="72">
        <v>0</v>
      </c>
      <c r="L144" s="67">
        <v>3</v>
      </c>
      <c r="M144" s="61">
        <v>0</v>
      </c>
      <c r="N144" s="61">
        <v>4</v>
      </c>
      <c r="O144" s="61">
        <v>3</v>
      </c>
      <c r="P144" s="70">
        <v>0</v>
      </c>
      <c r="Q144" s="81">
        <v>3</v>
      </c>
      <c r="R144" s="38">
        <v>3.3333333333333335</v>
      </c>
      <c r="S144" s="27">
        <v>0</v>
      </c>
      <c r="T144" s="16">
        <v>0</v>
      </c>
      <c r="U144" s="20">
        <v>0</v>
      </c>
      <c r="V144" s="16">
        <v>0</v>
      </c>
      <c r="W144" s="16">
        <v>0</v>
      </c>
      <c r="X144" s="37">
        <v>0</v>
      </c>
      <c r="Y144" s="16">
        <v>4</v>
      </c>
      <c r="Z144" s="16">
        <v>0</v>
      </c>
      <c r="AA144" s="16">
        <v>0</v>
      </c>
      <c r="AB144" s="16">
        <v>0</v>
      </c>
      <c r="AC144" s="16">
        <v>0</v>
      </c>
      <c r="AD144" s="37">
        <v>4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37">
        <v>0</v>
      </c>
      <c r="AK144" s="7">
        <v>3</v>
      </c>
      <c r="AL144" s="7">
        <v>3</v>
      </c>
      <c r="AM144" s="20">
        <v>0</v>
      </c>
      <c r="AN144" s="7">
        <v>3</v>
      </c>
      <c r="AO144" s="16">
        <v>0</v>
      </c>
      <c r="AP144" s="38">
        <v>3</v>
      </c>
      <c r="AQ144" s="27">
        <v>1</v>
      </c>
      <c r="AR144" s="16">
        <v>0</v>
      </c>
      <c r="AS144" s="7">
        <v>0</v>
      </c>
      <c r="AT144" s="16">
        <v>0</v>
      </c>
      <c r="AU144" s="16">
        <v>0</v>
      </c>
      <c r="AV144" s="37">
        <v>1</v>
      </c>
      <c r="AW144" s="16">
        <v>0</v>
      </c>
      <c r="AX144" s="16">
        <v>0</v>
      </c>
      <c r="AY144" s="29">
        <v>0</v>
      </c>
      <c r="AZ144" s="27">
        <v>3</v>
      </c>
      <c r="BA144" s="57">
        <v>2</v>
      </c>
      <c r="BB144" s="85">
        <v>2.5</v>
      </c>
    </row>
    <row r="145" spans="1:54" ht="23.1" customHeight="1" x14ac:dyDescent="0.3">
      <c r="A145" s="86">
        <v>141</v>
      </c>
      <c r="B145" s="63" t="s">
        <v>269</v>
      </c>
      <c r="C145" s="64" t="s">
        <v>270</v>
      </c>
      <c r="D145" s="63" t="s">
        <v>450</v>
      </c>
      <c r="E145" s="63" t="s">
        <v>161</v>
      </c>
      <c r="F145" s="63" t="str">
        <f>REPT(CHAR(160),10)&amp;Working!$E145</f>
        <v>          B</v>
      </c>
      <c r="G145" s="65">
        <v>0</v>
      </c>
      <c r="H145" s="65">
        <v>0</v>
      </c>
      <c r="I145" s="65">
        <v>5</v>
      </c>
      <c r="J145" s="65">
        <v>0</v>
      </c>
      <c r="K145" s="66">
        <v>0</v>
      </c>
      <c r="L145" s="67">
        <v>5</v>
      </c>
      <c r="M145" s="65">
        <v>0</v>
      </c>
      <c r="N145" s="65">
        <v>3</v>
      </c>
      <c r="O145" s="65">
        <v>4</v>
      </c>
      <c r="P145" s="63">
        <v>0</v>
      </c>
      <c r="Q145" s="82">
        <v>4</v>
      </c>
      <c r="R145" s="38">
        <v>3.6666666666666665</v>
      </c>
      <c r="S145" s="27">
        <v>0</v>
      </c>
      <c r="T145" s="29">
        <v>0</v>
      </c>
      <c r="U145" s="56">
        <v>0</v>
      </c>
      <c r="V145" s="29">
        <v>0</v>
      </c>
      <c r="W145" s="29">
        <v>0</v>
      </c>
      <c r="X145" s="37">
        <v>0</v>
      </c>
      <c r="Y145" s="29">
        <v>3</v>
      </c>
      <c r="Z145" s="29">
        <v>0</v>
      </c>
      <c r="AA145" s="29">
        <v>0</v>
      </c>
      <c r="AB145" s="29">
        <v>0</v>
      </c>
      <c r="AC145" s="29">
        <v>0</v>
      </c>
      <c r="AD145" s="37">
        <v>3</v>
      </c>
      <c r="AE145" s="29">
        <v>0</v>
      </c>
      <c r="AF145" s="29">
        <v>0</v>
      </c>
      <c r="AG145" s="29">
        <v>0</v>
      </c>
      <c r="AH145" s="29">
        <v>0</v>
      </c>
      <c r="AI145" s="29">
        <v>0</v>
      </c>
      <c r="AJ145" s="37">
        <v>0</v>
      </c>
      <c r="AK145" s="49">
        <v>4</v>
      </c>
      <c r="AL145" s="49">
        <v>3</v>
      </c>
      <c r="AM145" s="56">
        <v>0</v>
      </c>
      <c r="AN145" s="49">
        <v>5</v>
      </c>
      <c r="AO145" s="29">
        <v>0</v>
      </c>
      <c r="AP145" s="38">
        <v>4</v>
      </c>
      <c r="AQ145" s="27">
        <v>5</v>
      </c>
      <c r="AR145" s="29">
        <v>0</v>
      </c>
      <c r="AS145" s="49">
        <v>0</v>
      </c>
      <c r="AT145" s="29">
        <v>0</v>
      </c>
      <c r="AU145" s="29">
        <v>0</v>
      </c>
      <c r="AV145" s="37">
        <v>5</v>
      </c>
      <c r="AW145" s="29">
        <v>0</v>
      </c>
      <c r="AX145" s="29">
        <v>0</v>
      </c>
      <c r="AY145" s="29">
        <v>0</v>
      </c>
      <c r="AZ145" s="27">
        <v>5</v>
      </c>
      <c r="BA145" s="57">
        <v>4</v>
      </c>
      <c r="BB145" s="85">
        <v>4.5</v>
      </c>
    </row>
    <row r="146" spans="1:54" ht="23.1" customHeight="1" x14ac:dyDescent="0.3">
      <c r="A146" s="87">
        <v>142</v>
      </c>
      <c r="B146" s="70" t="s">
        <v>170</v>
      </c>
      <c r="C146" s="71" t="s">
        <v>171</v>
      </c>
      <c r="D146" s="70" t="s">
        <v>542</v>
      </c>
      <c r="E146" s="70" t="s">
        <v>161</v>
      </c>
      <c r="F146" s="70" t="str">
        <f>REPT(CHAR(160),10)&amp;Working!$E146</f>
        <v>          B</v>
      </c>
      <c r="G146" s="61">
        <v>0</v>
      </c>
      <c r="H146" s="61">
        <v>0</v>
      </c>
      <c r="I146" s="61">
        <v>2</v>
      </c>
      <c r="J146" s="61">
        <v>0</v>
      </c>
      <c r="K146" s="72">
        <v>0</v>
      </c>
      <c r="L146" s="67">
        <v>2</v>
      </c>
      <c r="M146" s="61">
        <v>0</v>
      </c>
      <c r="N146" s="61">
        <v>3</v>
      </c>
      <c r="O146" s="61">
        <v>4</v>
      </c>
      <c r="P146" s="70">
        <v>0</v>
      </c>
      <c r="Q146" s="81">
        <v>4</v>
      </c>
      <c r="R146" s="38">
        <v>3.6666666666666665</v>
      </c>
      <c r="S146" s="27">
        <v>0</v>
      </c>
      <c r="T146" s="16">
        <v>0</v>
      </c>
      <c r="U146" s="20">
        <v>0</v>
      </c>
      <c r="V146" s="16">
        <v>0</v>
      </c>
      <c r="W146" s="16">
        <v>0</v>
      </c>
      <c r="X146" s="37">
        <v>0</v>
      </c>
      <c r="Y146" s="16">
        <v>2</v>
      </c>
      <c r="Z146" s="16">
        <v>0</v>
      </c>
      <c r="AA146" s="16">
        <v>0</v>
      </c>
      <c r="AB146" s="16">
        <v>0</v>
      </c>
      <c r="AC146" s="16">
        <v>0</v>
      </c>
      <c r="AD146" s="37">
        <v>2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37">
        <v>0</v>
      </c>
      <c r="AK146" s="7">
        <v>2</v>
      </c>
      <c r="AL146" s="7">
        <v>4</v>
      </c>
      <c r="AM146" s="20">
        <v>0</v>
      </c>
      <c r="AN146" s="7">
        <v>3</v>
      </c>
      <c r="AO146" s="16">
        <v>0</v>
      </c>
      <c r="AP146" s="38">
        <v>3</v>
      </c>
      <c r="AQ146" s="27">
        <v>4</v>
      </c>
      <c r="AR146" s="16">
        <v>0</v>
      </c>
      <c r="AS146" s="7">
        <v>0</v>
      </c>
      <c r="AT146" s="16">
        <v>0</v>
      </c>
      <c r="AU146" s="16">
        <v>0</v>
      </c>
      <c r="AV146" s="37">
        <v>4</v>
      </c>
      <c r="AW146" s="16">
        <v>0</v>
      </c>
      <c r="AX146" s="16">
        <v>0</v>
      </c>
      <c r="AY146" s="29">
        <v>0</v>
      </c>
      <c r="AZ146" s="27">
        <v>2</v>
      </c>
      <c r="BA146" s="57">
        <v>3</v>
      </c>
      <c r="BB146" s="85">
        <v>2.5</v>
      </c>
    </row>
    <row r="147" spans="1:54" ht="23.1" customHeight="1" x14ac:dyDescent="0.3">
      <c r="A147" s="86">
        <v>143</v>
      </c>
      <c r="B147" s="63" t="s">
        <v>283</v>
      </c>
      <c r="C147" s="64" t="s">
        <v>284</v>
      </c>
      <c r="D147" s="63" t="s">
        <v>450</v>
      </c>
      <c r="E147" s="63" t="s">
        <v>161</v>
      </c>
      <c r="F147" s="63" t="str">
        <f>REPT(CHAR(160),10)&amp;Working!$E147</f>
        <v>          B</v>
      </c>
      <c r="G147" s="65">
        <v>0</v>
      </c>
      <c r="H147" s="65">
        <v>0</v>
      </c>
      <c r="I147" s="65">
        <v>2</v>
      </c>
      <c r="J147" s="65">
        <v>0</v>
      </c>
      <c r="K147" s="66">
        <v>0</v>
      </c>
      <c r="L147" s="67">
        <v>2</v>
      </c>
      <c r="M147" s="65">
        <v>0</v>
      </c>
      <c r="N147" s="65">
        <v>3</v>
      </c>
      <c r="O147" s="65">
        <v>3</v>
      </c>
      <c r="P147" s="63">
        <v>0</v>
      </c>
      <c r="Q147" s="82">
        <v>3</v>
      </c>
      <c r="R147" s="38">
        <v>3</v>
      </c>
      <c r="S147" s="27">
        <v>0</v>
      </c>
      <c r="T147" s="29">
        <v>0</v>
      </c>
      <c r="U147" s="56">
        <v>0</v>
      </c>
      <c r="V147" s="29">
        <v>0</v>
      </c>
      <c r="W147" s="29">
        <v>0</v>
      </c>
      <c r="X147" s="37">
        <v>0</v>
      </c>
      <c r="Y147" s="29">
        <v>0</v>
      </c>
      <c r="Z147" s="29">
        <v>0</v>
      </c>
      <c r="AA147" s="29">
        <v>0</v>
      </c>
      <c r="AB147" s="29">
        <v>0</v>
      </c>
      <c r="AC147" s="29">
        <v>0</v>
      </c>
      <c r="AD147" s="37">
        <v>0</v>
      </c>
      <c r="AE147" s="29">
        <v>0</v>
      </c>
      <c r="AF147" s="29">
        <v>0</v>
      </c>
      <c r="AG147" s="29">
        <v>0</v>
      </c>
      <c r="AH147" s="29">
        <v>0</v>
      </c>
      <c r="AI147" s="29">
        <v>0</v>
      </c>
      <c r="AJ147" s="37">
        <v>0</v>
      </c>
      <c r="AK147" s="49">
        <v>2</v>
      </c>
      <c r="AL147" s="49">
        <v>2</v>
      </c>
      <c r="AM147" s="56">
        <v>0</v>
      </c>
      <c r="AN147" s="49">
        <v>3</v>
      </c>
      <c r="AO147" s="29">
        <v>0</v>
      </c>
      <c r="AP147" s="38">
        <v>2.3333333333333335</v>
      </c>
      <c r="AQ147" s="27">
        <v>3</v>
      </c>
      <c r="AR147" s="29">
        <v>0</v>
      </c>
      <c r="AS147" s="49">
        <v>0</v>
      </c>
      <c r="AT147" s="29">
        <v>0</v>
      </c>
      <c r="AU147" s="29">
        <v>0</v>
      </c>
      <c r="AV147" s="37">
        <v>3</v>
      </c>
      <c r="AW147" s="29">
        <v>0</v>
      </c>
      <c r="AX147" s="29">
        <v>0</v>
      </c>
      <c r="AY147" s="29">
        <v>0</v>
      </c>
      <c r="AZ147" s="27">
        <v>2</v>
      </c>
      <c r="BA147" s="57">
        <v>3</v>
      </c>
      <c r="BB147" s="85">
        <v>2.5</v>
      </c>
    </row>
    <row r="148" spans="1:54" ht="23.1" customHeight="1" x14ac:dyDescent="0.3">
      <c r="A148" s="87">
        <v>144</v>
      </c>
      <c r="B148" s="70" t="s">
        <v>172</v>
      </c>
      <c r="C148" s="71" t="s">
        <v>173</v>
      </c>
      <c r="D148" s="70" t="s">
        <v>450</v>
      </c>
      <c r="E148" s="70" t="s">
        <v>161</v>
      </c>
      <c r="F148" s="70" t="str">
        <f>REPT(CHAR(160),10)&amp;Working!$E148</f>
        <v>          B</v>
      </c>
      <c r="G148" s="61">
        <v>0</v>
      </c>
      <c r="H148" s="61">
        <v>0</v>
      </c>
      <c r="I148" s="61">
        <v>3</v>
      </c>
      <c r="J148" s="61">
        <v>0</v>
      </c>
      <c r="K148" s="72">
        <v>0</v>
      </c>
      <c r="L148" s="67">
        <v>3</v>
      </c>
      <c r="M148" s="61">
        <v>0</v>
      </c>
      <c r="N148" s="61">
        <v>5</v>
      </c>
      <c r="O148" s="61">
        <v>4</v>
      </c>
      <c r="P148" s="70">
        <v>0</v>
      </c>
      <c r="Q148" s="81">
        <v>4</v>
      </c>
      <c r="R148" s="38">
        <v>4.333333333333333</v>
      </c>
      <c r="S148" s="27">
        <v>0</v>
      </c>
      <c r="T148" s="16">
        <v>0</v>
      </c>
      <c r="U148" s="20">
        <v>0</v>
      </c>
      <c r="V148" s="16">
        <v>0</v>
      </c>
      <c r="W148" s="16">
        <v>0</v>
      </c>
      <c r="X148" s="37">
        <v>0</v>
      </c>
      <c r="Y148" s="16">
        <v>5</v>
      </c>
      <c r="Z148" s="16">
        <v>0</v>
      </c>
      <c r="AA148" s="16">
        <v>0</v>
      </c>
      <c r="AB148" s="16">
        <v>0</v>
      </c>
      <c r="AC148" s="16">
        <v>0</v>
      </c>
      <c r="AD148" s="37">
        <v>5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37">
        <v>0</v>
      </c>
      <c r="AK148" s="7">
        <v>3</v>
      </c>
      <c r="AL148" s="7">
        <v>3</v>
      </c>
      <c r="AM148" s="20">
        <v>0</v>
      </c>
      <c r="AN148" s="7">
        <v>3</v>
      </c>
      <c r="AO148" s="16">
        <v>0</v>
      </c>
      <c r="AP148" s="38">
        <v>3</v>
      </c>
      <c r="AQ148" s="27">
        <v>3</v>
      </c>
      <c r="AR148" s="16">
        <v>0</v>
      </c>
      <c r="AS148" s="7">
        <v>0</v>
      </c>
      <c r="AT148" s="16">
        <v>0</v>
      </c>
      <c r="AU148" s="16">
        <v>0</v>
      </c>
      <c r="AV148" s="37">
        <v>3</v>
      </c>
      <c r="AW148" s="16">
        <v>0</v>
      </c>
      <c r="AX148" s="16">
        <v>0</v>
      </c>
      <c r="AY148" s="29">
        <v>0</v>
      </c>
      <c r="AZ148" s="27">
        <v>3</v>
      </c>
      <c r="BA148" s="57">
        <v>4</v>
      </c>
      <c r="BB148" s="85">
        <v>3.5</v>
      </c>
    </row>
    <row r="149" spans="1:54" ht="23.1" customHeight="1" x14ac:dyDescent="0.3">
      <c r="A149" s="86">
        <v>145</v>
      </c>
      <c r="B149" s="63" t="s">
        <v>376</v>
      </c>
      <c r="C149" s="64" t="s">
        <v>377</v>
      </c>
      <c r="D149" s="63" t="s">
        <v>542</v>
      </c>
      <c r="E149" s="63" t="s">
        <v>493</v>
      </c>
      <c r="F149" s="63" t="str">
        <f>REPT(CHAR(160),10)&amp;Working!$E149</f>
        <v>          C</v>
      </c>
      <c r="G149" s="65">
        <v>0</v>
      </c>
      <c r="H149" s="65">
        <v>0</v>
      </c>
      <c r="I149" s="65">
        <v>2</v>
      </c>
      <c r="J149" s="65">
        <v>0</v>
      </c>
      <c r="K149" s="66">
        <v>0</v>
      </c>
      <c r="L149" s="67">
        <v>2</v>
      </c>
      <c r="M149" s="65">
        <v>0</v>
      </c>
      <c r="N149" s="65">
        <v>3</v>
      </c>
      <c r="O149" s="65">
        <v>3</v>
      </c>
      <c r="P149" s="63">
        <v>0</v>
      </c>
      <c r="Q149" s="82">
        <v>3</v>
      </c>
      <c r="R149" s="38">
        <v>3</v>
      </c>
      <c r="S149" s="27">
        <v>0</v>
      </c>
      <c r="T149" s="29">
        <v>0</v>
      </c>
      <c r="U149" s="56">
        <v>0</v>
      </c>
      <c r="V149" s="29">
        <v>0</v>
      </c>
      <c r="W149" s="29">
        <v>0</v>
      </c>
      <c r="X149" s="37">
        <v>0</v>
      </c>
      <c r="Y149" s="29">
        <v>3</v>
      </c>
      <c r="Z149" s="29">
        <v>0</v>
      </c>
      <c r="AA149" s="29">
        <v>0</v>
      </c>
      <c r="AB149" s="29">
        <v>0</v>
      </c>
      <c r="AC149" s="29">
        <v>0</v>
      </c>
      <c r="AD149" s="37">
        <v>3</v>
      </c>
      <c r="AE149" s="29">
        <v>0</v>
      </c>
      <c r="AF149" s="29">
        <v>0</v>
      </c>
      <c r="AG149" s="29">
        <v>0</v>
      </c>
      <c r="AH149" s="29">
        <v>0</v>
      </c>
      <c r="AI149" s="29">
        <v>0</v>
      </c>
      <c r="AJ149" s="37">
        <v>0</v>
      </c>
      <c r="AK149" s="49">
        <v>3</v>
      </c>
      <c r="AL149" s="49">
        <v>4</v>
      </c>
      <c r="AM149" s="56">
        <v>0</v>
      </c>
      <c r="AN149" s="49">
        <v>3</v>
      </c>
      <c r="AO149" s="29">
        <v>0</v>
      </c>
      <c r="AP149" s="38">
        <v>3.3333333333333335</v>
      </c>
      <c r="AQ149" s="27">
        <v>3</v>
      </c>
      <c r="AR149" s="29">
        <v>0</v>
      </c>
      <c r="AS149" s="49">
        <v>0</v>
      </c>
      <c r="AT149" s="29">
        <v>0</v>
      </c>
      <c r="AU149" s="29">
        <v>0</v>
      </c>
      <c r="AV149" s="37">
        <v>3</v>
      </c>
      <c r="AW149" s="29">
        <v>0</v>
      </c>
      <c r="AX149" s="29">
        <v>0</v>
      </c>
      <c r="AY149" s="29">
        <v>0</v>
      </c>
      <c r="AZ149" s="27">
        <v>2</v>
      </c>
      <c r="BA149" s="57">
        <v>4</v>
      </c>
      <c r="BB149" s="85">
        <v>3</v>
      </c>
    </row>
    <row r="150" spans="1:54" ht="23.1" customHeight="1" x14ac:dyDescent="0.3">
      <c r="A150" s="87">
        <v>146</v>
      </c>
      <c r="B150" s="70" t="s">
        <v>378</v>
      </c>
      <c r="C150" s="71" t="s">
        <v>379</v>
      </c>
      <c r="D150" s="70" t="s">
        <v>542</v>
      </c>
      <c r="E150" s="70" t="s">
        <v>493</v>
      </c>
      <c r="F150" s="70" t="str">
        <f>REPT(CHAR(160),10)&amp;Working!$E150</f>
        <v>          C</v>
      </c>
      <c r="G150" s="61">
        <v>0</v>
      </c>
      <c r="H150" s="61">
        <v>0</v>
      </c>
      <c r="I150" s="61">
        <v>5</v>
      </c>
      <c r="J150" s="61">
        <v>0</v>
      </c>
      <c r="K150" s="72">
        <v>0</v>
      </c>
      <c r="L150" s="67">
        <v>5</v>
      </c>
      <c r="M150" s="61">
        <v>0</v>
      </c>
      <c r="N150" s="61">
        <v>5</v>
      </c>
      <c r="O150" s="61">
        <v>5</v>
      </c>
      <c r="P150" s="70">
        <v>0</v>
      </c>
      <c r="Q150" s="81">
        <v>5</v>
      </c>
      <c r="R150" s="38">
        <v>5</v>
      </c>
      <c r="S150" s="27">
        <v>0</v>
      </c>
      <c r="T150" s="16">
        <v>0</v>
      </c>
      <c r="U150" s="20">
        <v>0</v>
      </c>
      <c r="V150" s="16">
        <v>0</v>
      </c>
      <c r="W150" s="16">
        <v>0</v>
      </c>
      <c r="X150" s="37">
        <v>0</v>
      </c>
      <c r="Y150" s="16">
        <v>5</v>
      </c>
      <c r="Z150" s="16">
        <v>0</v>
      </c>
      <c r="AA150" s="16">
        <v>0</v>
      </c>
      <c r="AB150" s="16">
        <v>0</v>
      </c>
      <c r="AC150" s="16">
        <v>0</v>
      </c>
      <c r="AD150" s="37">
        <v>5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37">
        <v>0</v>
      </c>
      <c r="AK150" s="7">
        <v>5</v>
      </c>
      <c r="AL150" s="7">
        <v>5</v>
      </c>
      <c r="AM150" s="20">
        <v>0</v>
      </c>
      <c r="AN150" s="7">
        <v>5</v>
      </c>
      <c r="AO150" s="16">
        <v>0</v>
      </c>
      <c r="AP150" s="38">
        <v>5</v>
      </c>
      <c r="AQ150" s="27">
        <v>5</v>
      </c>
      <c r="AR150" s="16">
        <v>0</v>
      </c>
      <c r="AS150" s="7">
        <v>0</v>
      </c>
      <c r="AT150" s="16">
        <v>0</v>
      </c>
      <c r="AU150" s="16">
        <v>0</v>
      </c>
      <c r="AV150" s="37">
        <v>5</v>
      </c>
      <c r="AW150" s="16">
        <v>0</v>
      </c>
      <c r="AX150" s="16">
        <v>0</v>
      </c>
      <c r="AY150" s="29">
        <v>0</v>
      </c>
      <c r="AZ150" s="27">
        <v>5</v>
      </c>
      <c r="BA150" s="57">
        <v>5</v>
      </c>
      <c r="BB150" s="85">
        <v>5</v>
      </c>
    </row>
    <row r="151" spans="1:54" ht="23.1" customHeight="1" x14ac:dyDescent="0.3">
      <c r="A151" s="86">
        <v>147</v>
      </c>
      <c r="B151" s="63" t="s">
        <v>154</v>
      </c>
      <c r="C151" s="64" t="s">
        <v>155</v>
      </c>
      <c r="D151" s="63" t="s">
        <v>450</v>
      </c>
      <c r="E151" s="63" t="s">
        <v>35</v>
      </c>
      <c r="F151" s="63" t="str">
        <f>REPT(CHAR(160),10)&amp;Working!$E151</f>
        <v>          A</v>
      </c>
      <c r="G151" s="65">
        <v>0</v>
      </c>
      <c r="H151" s="65">
        <v>0</v>
      </c>
      <c r="I151" s="65">
        <v>3</v>
      </c>
      <c r="J151" s="65">
        <v>0</v>
      </c>
      <c r="K151" s="66">
        <v>0</v>
      </c>
      <c r="L151" s="67">
        <v>3</v>
      </c>
      <c r="M151" s="65">
        <v>0</v>
      </c>
      <c r="N151" s="65">
        <v>4</v>
      </c>
      <c r="O151" s="65">
        <v>3</v>
      </c>
      <c r="P151" s="63">
        <v>0</v>
      </c>
      <c r="Q151" s="82">
        <v>3</v>
      </c>
      <c r="R151" s="38">
        <v>3.3333333333333335</v>
      </c>
      <c r="S151" s="27">
        <v>0</v>
      </c>
      <c r="T151" s="29">
        <v>0</v>
      </c>
      <c r="U151" s="56">
        <v>0</v>
      </c>
      <c r="V151" s="29">
        <v>0</v>
      </c>
      <c r="W151" s="29">
        <v>0</v>
      </c>
      <c r="X151" s="37">
        <v>0</v>
      </c>
      <c r="Y151" s="29">
        <v>3</v>
      </c>
      <c r="Z151" s="29">
        <v>0</v>
      </c>
      <c r="AA151" s="29">
        <v>0</v>
      </c>
      <c r="AB151" s="29">
        <v>0</v>
      </c>
      <c r="AC151" s="29">
        <v>0</v>
      </c>
      <c r="AD151" s="37">
        <v>3</v>
      </c>
      <c r="AE151" s="29">
        <v>0</v>
      </c>
      <c r="AF151" s="29">
        <v>0</v>
      </c>
      <c r="AG151" s="29">
        <v>0</v>
      </c>
      <c r="AH151" s="29">
        <v>0</v>
      </c>
      <c r="AI151" s="29">
        <v>0</v>
      </c>
      <c r="AJ151" s="37">
        <v>0</v>
      </c>
      <c r="AK151" s="49">
        <v>4</v>
      </c>
      <c r="AL151" s="49">
        <v>3</v>
      </c>
      <c r="AM151" s="56">
        <v>0</v>
      </c>
      <c r="AN151" s="49">
        <v>4</v>
      </c>
      <c r="AO151" s="29">
        <v>0</v>
      </c>
      <c r="AP151" s="38">
        <v>3.6666666666666665</v>
      </c>
      <c r="AQ151" s="27">
        <v>2</v>
      </c>
      <c r="AR151" s="29">
        <v>0</v>
      </c>
      <c r="AS151" s="49">
        <v>0</v>
      </c>
      <c r="AT151" s="29">
        <v>0</v>
      </c>
      <c r="AU151" s="29">
        <v>0</v>
      </c>
      <c r="AV151" s="37">
        <v>2</v>
      </c>
      <c r="AW151" s="29">
        <v>0</v>
      </c>
      <c r="AX151" s="29">
        <v>0</v>
      </c>
      <c r="AY151" s="29">
        <v>0</v>
      </c>
      <c r="AZ151" s="27">
        <v>3</v>
      </c>
      <c r="BA151" s="57">
        <v>3</v>
      </c>
      <c r="BB151" s="85">
        <v>3</v>
      </c>
    </row>
    <row r="152" spans="1:54" ht="23.1" customHeight="1" x14ac:dyDescent="0.3">
      <c r="A152" s="87">
        <v>148</v>
      </c>
      <c r="B152" s="70" t="s">
        <v>380</v>
      </c>
      <c r="C152" s="71" t="s">
        <v>381</v>
      </c>
      <c r="D152" s="70" t="s">
        <v>450</v>
      </c>
      <c r="E152" s="70" t="s">
        <v>493</v>
      </c>
      <c r="F152" s="70" t="str">
        <f>REPT(CHAR(160),10)&amp;Working!$E152</f>
        <v>          C</v>
      </c>
      <c r="G152" s="61">
        <v>0</v>
      </c>
      <c r="H152" s="61">
        <v>0</v>
      </c>
      <c r="I152" s="61">
        <v>3</v>
      </c>
      <c r="J152" s="61">
        <v>0</v>
      </c>
      <c r="K152" s="72">
        <v>0</v>
      </c>
      <c r="L152" s="67">
        <v>3</v>
      </c>
      <c r="M152" s="61">
        <v>0</v>
      </c>
      <c r="N152" s="61">
        <v>4</v>
      </c>
      <c r="O152" s="61">
        <v>3</v>
      </c>
      <c r="P152" s="70">
        <v>0</v>
      </c>
      <c r="Q152" s="81">
        <v>3</v>
      </c>
      <c r="R152" s="38">
        <v>3.3333333333333335</v>
      </c>
      <c r="S152" s="27">
        <v>0</v>
      </c>
      <c r="T152" s="16">
        <v>0</v>
      </c>
      <c r="U152" s="20">
        <v>0</v>
      </c>
      <c r="V152" s="16">
        <v>0</v>
      </c>
      <c r="W152" s="16">
        <v>0</v>
      </c>
      <c r="X152" s="37">
        <v>0</v>
      </c>
      <c r="Y152" s="16">
        <v>4</v>
      </c>
      <c r="Z152" s="16">
        <v>0</v>
      </c>
      <c r="AA152" s="16">
        <v>0</v>
      </c>
      <c r="AB152" s="16">
        <v>0</v>
      </c>
      <c r="AC152" s="16">
        <v>0</v>
      </c>
      <c r="AD152" s="37">
        <v>4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37">
        <v>0</v>
      </c>
      <c r="AK152" s="7">
        <v>3</v>
      </c>
      <c r="AL152" s="7">
        <v>3</v>
      </c>
      <c r="AM152" s="20">
        <v>0</v>
      </c>
      <c r="AN152" s="7">
        <v>3</v>
      </c>
      <c r="AO152" s="16">
        <v>0</v>
      </c>
      <c r="AP152" s="38">
        <v>3</v>
      </c>
      <c r="AQ152" s="27">
        <v>1</v>
      </c>
      <c r="AR152" s="16">
        <v>0</v>
      </c>
      <c r="AS152" s="7">
        <v>0</v>
      </c>
      <c r="AT152" s="16">
        <v>0</v>
      </c>
      <c r="AU152" s="16">
        <v>0</v>
      </c>
      <c r="AV152" s="37">
        <v>1</v>
      </c>
      <c r="AW152" s="16">
        <v>0</v>
      </c>
      <c r="AX152" s="16">
        <v>0</v>
      </c>
      <c r="AY152" s="29">
        <v>0</v>
      </c>
      <c r="AZ152" s="27">
        <v>3</v>
      </c>
      <c r="BA152" s="57">
        <v>2</v>
      </c>
      <c r="BB152" s="85">
        <v>2.5</v>
      </c>
    </row>
    <row r="153" spans="1:54" ht="23.1" customHeight="1" x14ac:dyDescent="0.3">
      <c r="A153" s="86">
        <v>149</v>
      </c>
      <c r="B153" s="63" t="s">
        <v>156</v>
      </c>
      <c r="C153" s="64" t="s">
        <v>382</v>
      </c>
      <c r="D153" s="63" t="s">
        <v>450</v>
      </c>
      <c r="E153" s="63" t="s">
        <v>35</v>
      </c>
      <c r="F153" s="63" t="str">
        <f>REPT(CHAR(160),10)&amp;Working!$E153</f>
        <v>          A</v>
      </c>
      <c r="G153" s="65">
        <v>0</v>
      </c>
      <c r="H153" s="65">
        <v>0</v>
      </c>
      <c r="I153" s="65">
        <v>3</v>
      </c>
      <c r="J153" s="65">
        <v>0</v>
      </c>
      <c r="K153" s="66">
        <v>0</v>
      </c>
      <c r="L153" s="67">
        <v>3</v>
      </c>
      <c r="M153" s="65">
        <v>0</v>
      </c>
      <c r="N153" s="65">
        <v>5</v>
      </c>
      <c r="O153" s="65">
        <v>3</v>
      </c>
      <c r="P153" s="63">
        <v>0</v>
      </c>
      <c r="Q153" s="82">
        <v>3</v>
      </c>
      <c r="R153" s="38">
        <v>3.6666666666666665</v>
      </c>
      <c r="S153" s="27">
        <v>0</v>
      </c>
      <c r="T153" s="29">
        <v>0</v>
      </c>
      <c r="U153" s="56">
        <v>0</v>
      </c>
      <c r="V153" s="29">
        <v>0</v>
      </c>
      <c r="W153" s="29">
        <v>0</v>
      </c>
      <c r="X153" s="37">
        <v>0</v>
      </c>
      <c r="Y153" s="29">
        <v>3</v>
      </c>
      <c r="Z153" s="29">
        <v>0</v>
      </c>
      <c r="AA153" s="29">
        <v>0</v>
      </c>
      <c r="AB153" s="29">
        <v>0</v>
      </c>
      <c r="AC153" s="29">
        <v>0</v>
      </c>
      <c r="AD153" s="37">
        <v>3</v>
      </c>
      <c r="AE153" s="29">
        <v>0</v>
      </c>
      <c r="AF153" s="29">
        <v>0</v>
      </c>
      <c r="AG153" s="29">
        <v>0</v>
      </c>
      <c r="AH153" s="29">
        <v>0</v>
      </c>
      <c r="AI153" s="29">
        <v>0</v>
      </c>
      <c r="AJ153" s="37">
        <v>0</v>
      </c>
      <c r="AK153" s="49">
        <v>3</v>
      </c>
      <c r="AL153" s="49">
        <v>3</v>
      </c>
      <c r="AM153" s="56">
        <v>0</v>
      </c>
      <c r="AN153" s="49">
        <v>4</v>
      </c>
      <c r="AO153" s="29">
        <v>0</v>
      </c>
      <c r="AP153" s="38">
        <v>3.3333333333333335</v>
      </c>
      <c r="AQ153" s="27">
        <v>3</v>
      </c>
      <c r="AR153" s="29">
        <v>0</v>
      </c>
      <c r="AS153" s="49">
        <v>0</v>
      </c>
      <c r="AT153" s="29">
        <v>0</v>
      </c>
      <c r="AU153" s="29">
        <v>0</v>
      </c>
      <c r="AV153" s="37">
        <v>3</v>
      </c>
      <c r="AW153" s="29">
        <v>0</v>
      </c>
      <c r="AX153" s="29">
        <v>0</v>
      </c>
      <c r="AY153" s="29">
        <v>0</v>
      </c>
      <c r="AZ153" s="27">
        <v>4</v>
      </c>
      <c r="BA153" s="57">
        <v>3</v>
      </c>
      <c r="BB153" s="85">
        <v>3.5</v>
      </c>
    </row>
    <row r="154" spans="1:54" ht="23.1" customHeight="1" x14ac:dyDescent="0.3">
      <c r="A154" s="87">
        <v>150</v>
      </c>
      <c r="B154" s="70" t="s">
        <v>383</v>
      </c>
      <c r="C154" s="71" t="s">
        <v>384</v>
      </c>
      <c r="D154" s="70" t="s">
        <v>542</v>
      </c>
      <c r="E154" s="70" t="s">
        <v>493</v>
      </c>
      <c r="F154" s="70" t="str">
        <f>REPT(CHAR(160),10)&amp;Working!$E154</f>
        <v>          C</v>
      </c>
      <c r="G154" s="61">
        <v>0</v>
      </c>
      <c r="H154" s="61">
        <v>0</v>
      </c>
      <c r="I154" s="61">
        <v>4</v>
      </c>
      <c r="J154" s="61">
        <v>0</v>
      </c>
      <c r="K154" s="72">
        <v>0</v>
      </c>
      <c r="L154" s="67">
        <v>4</v>
      </c>
      <c r="M154" s="61">
        <v>0</v>
      </c>
      <c r="N154" s="61">
        <v>3</v>
      </c>
      <c r="O154" s="61">
        <v>4</v>
      </c>
      <c r="P154" s="70">
        <v>0</v>
      </c>
      <c r="Q154" s="81">
        <v>4</v>
      </c>
      <c r="R154" s="38">
        <v>3.6666666666666665</v>
      </c>
      <c r="S154" s="27">
        <v>0</v>
      </c>
      <c r="T154" s="16">
        <v>0</v>
      </c>
      <c r="U154" s="20">
        <v>0</v>
      </c>
      <c r="V154" s="16">
        <v>0</v>
      </c>
      <c r="W154" s="16">
        <v>0</v>
      </c>
      <c r="X154" s="37">
        <v>0</v>
      </c>
      <c r="Y154" s="16">
        <v>4</v>
      </c>
      <c r="Z154" s="16">
        <v>0</v>
      </c>
      <c r="AA154" s="16">
        <v>0</v>
      </c>
      <c r="AB154" s="16">
        <v>0</v>
      </c>
      <c r="AC154" s="16">
        <v>0</v>
      </c>
      <c r="AD154" s="37">
        <v>4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37">
        <v>0</v>
      </c>
      <c r="AK154" s="7">
        <v>3</v>
      </c>
      <c r="AL154" s="7">
        <v>4</v>
      </c>
      <c r="AM154" s="20">
        <v>0</v>
      </c>
      <c r="AN154" s="7">
        <v>4</v>
      </c>
      <c r="AO154" s="16">
        <v>0</v>
      </c>
      <c r="AP154" s="38">
        <v>3.6666666666666665</v>
      </c>
      <c r="AQ154" s="27">
        <v>5</v>
      </c>
      <c r="AR154" s="16">
        <v>0</v>
      </c>
      <c r="AS154" s="7">
        <v>0</v>
      </c>
      <c r="AT154" s="16">
        <v>0</v>
      </c>
      <c r="AU154" s="16">
        <v>0</v>
      </c>
      <c r="AV154" s="37">
        <v>5</v>
      </c>
      <c r="AW154" s="16">
        <v>0</v>
      </c>
      <c r="AX154" s="16">
        <v>0</v>
      </c>
      <c r="AY154" s="29">
        <v>0</v>
      </c>
      <c r="AZ154" s="27">
        <v>4</v>
      </c>
      <c r="BA154" s="57">
        <v>4</v>
      </c>
      <c r="BB154" s="85">
        <v>4</v>
      </c>
    </row>
    <row r="155" spans="1:54" ht="23.1" customHeight="1" x14ac:dyDescent="0.3">
      <c r="A155" s="86">
        <v>151</v>
      </c>
      <c r="B155" s="63" t="s">
        <v>46</v>
      </c>
      <c r="C155" s="64" t="s">
        <v>47</v>
      </c>
      <c r="D155" s="63" t="s">
        <v>450</v>
      </c>
      <c r="E155" s="63" t="s">
        <v>35</v>
      </c>
      <c r="F155" s="63" t="str">
        <f>REPT(CHAR(160),10)&amp;Working!$E155</f>
        <v>          A</v>
      </c>
      <c r="G155" s="65">
        <v>0</v>
      </c>
      <c r="H155" s="65">
        <v>0</v>
      </c>
      <c r="I155" s="65">
        <v>5</v>
      </c>
      <c r="J155" s="65">
        <v>0</v>
      </c>
      <c r="K155" s="66">
        <v>0</v>
      </c>
      <c r="L155" s="67">
        <v>5</v>
      </c>
      <c r="M155" s="65">
        <v>0</v>
      </c>
      <c r="N155" s="65">
        <v>5</v>
      </c>
      <c r="O155" s="65">
        <v>5</v>
      </c>
      <c r="P155" s="63">
        <v>0</v>
      </c>
      <c r="Q155" s="82">
        <v>5</v>
      </c>
      <c r="R155" s="38">
        <v>5</v>
      </c>
      <c r="S155" s="27">
        <v>0</v>
      </c>
      <c r="T155" s="29">
        <v>0</v>
      </c>
      <c r="U155" s="56">
        <v>0</v>
      </c>
      <c r="V155" s="29">
        <v>0</v>
      </c>
      <c r="W155" s="29">
        <v>0</v>
      </c>
      <c r="X155" s="37">
        <v>0</v>
      </c>
      <c r="Y155" s="29">
        <v>4</v>
      </c>
      <c r="Z155" s="29">
        <v>0</v>
      </c>
      <c r="AA155" s="29">
        <v>0</v>
      </c>
      <c r="AB155" s="29">
        <v>0</v>
      </c>
      <c r="AC155" s="29">
        <v>0</v>
      </c>
      <c r="AD155" s="37">
        <v>4</v>
      </c>
      <c r="AE155" s="29">
        <v>0</v>
      </c>
      <c r="AF155" s="29">
        <v>0</v>
      </c>
      <c r="AG155" s="29">
        <v>0</v>
      </c>
      <c r="AH155" s="29">
        <v>0</v>
      </c>
      <c r="AI155" s="29">
        <v>0</v>
      </c>
      <c r="AJ155" s="37">
        <v>0</v>
      </c>
      <c r="AK155" s="49">
        <v>5</v>
      </c>
      <c r="AL155" s="49">
        <v>5</v>
      </c>
      <c r="AM155" s="56">
        <v>0</v>
      </c>
      <c r="AN155" s="49">
        <v>5</v>
      </c>
      <c r="AO155" s="29">
        <v>0</v>
      </c>
      <c r="AP155" s="38">
        <v>5</v>
      </c>
      <c r="AQ155" s="27">
        <v>5</v>
      </c>
      <c r="AR155" s="29">
        <v>0</v>
      </c>
      <c r="AS155" s="49">
        <v>0</v>
      </c>
      <c r="AT155" s="29">
        <v>0</v>
      </c>
      <c r="AU155" s="29">
        <v>0</v>
      </c>
      <c r="AV155" s="37">
        <v>5</v>
      </c>
      <c r="AW155" s="29">
        <v>0</v>
      </c>
      <c r="AX155" s="29">
        <v>0</v>
      </c>
      <c r="AY155" s="29">
        <v>0</v>
      </c>
      <c r="AZ155" s="27">
        <v>5</v>
      </c>
      <c r="BA155" s="57">
        <v>5</v>
      </c>
      <c r="BB155" s="85">
        <v>5</v>
      </c>
    </row>
    <row r="156" spans="1:54" ht="23.1" customHeight="1" x14ac:dyDescent="0.3">
      <c r="A156" s="87">
        <v>152</v>
      </c>
      <c r="B156" s="70" t="s">
        <v>83</v>
      </c>
      <c r="C156" s="71" t="s">
        <v>84</v>
      </c>
      <c r="D156" s="70" t="s">
        <v>450</v>
      </c>
      <c r="E156" s="70" t="s">
        <v>35</v>
      </c>
      <c r="F156" s="70" t="str">
        <f>REPT(CHAR(160),10)&amp;Working!$E156</f>
        <v>          A</v>
      </c>
      <c r="G156" s="61">
        <v>0</v>
      </c>
      <c r="H156" s="61">
        <v>0</v>
      </c>
      <c r="I156" s="61">
        <v>5</v>
      </c>
      <c r="J156" s="61">
        <v>0</v>
      </c>
      <c r="K156" s="72">
        <v>0</v>
      </c>
      <c r="L156" s="67">
        <v>5</v>
      </c>
      <c r="M156" s="61">
        <v>0</v>
      </c>
      <c r="N156" s="61">
        <v>5</v>
      </c>
      <c r="O156" s="61">
        <v>5</v>
      </c>
      <c r="P156" s="70">
        <v>0</v>
      </c>
      <c r="Q156" s="81">
        <v>5</v>
      </c>
      <c r="R156" s="38">
        <v>5</v>
      </c>
      <c r="S156" s="27">
        <v>0</v>
      </c>
      <c r="T156" s="16">
        <v>0</v>
      </c>
      <c r="U156" s="20">
        <v>0</v>
      </c>
      <c r="V156" s="16">
        <v>0</v>
      </c>
      <c r="W156" s="16">
        <v>0</v>
      </c>
      <c r="X156" s="37">
        <v>0</v>
      </c>
      <c r="Y156" s="16">
        <v>5</v>
      </c>
      <c r="Z156" s="16">
        <v>0</v>
      </c>
      <c r="AA156" s="16">
        <v>0</v>
      </c>
      <c r="AB156" s="16">
        <v>0</v>
      </c>
      <c r="AC156" s="16">
        <v>0</v>
      </c>
      <c r="AD156" s="37">
        <v>5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37">
        <v>0</v>
      </c>
      <c r="AK156" s="7">
        <v>5</v>
      </c>
      <c r="AL156" s="7">
        <v>5</v>
      </c>
      <c r="AM156" s="20">
        <v>0</v>
      </c>
      <c r="AN156" s="7">
        <v>5</v>
      </c>
      <c r="AO156" s="16">
        <v>0</v>
      </c>
      <c r="AP156" s="38">
        <v>5</v>
      </c>
      <c r="AQ156" s="27">
        <v>5</v>
      </c>
      <c r="AR156" s="16">
        <v>0</v>
      </c>
      <c r="AS156" s="7">
        <v>0</v>
      </c>
      <c r="AT156" s="16">
        <v>0</v>
      </c>
      <c r="AU156" s="16">
        <v>0</v>
      </c>
      <c r="AV156" s="37">
        <v>5</v>
      </c>
      <c r="AW156" s="16">
        <v>0</v>
      </c>
      <c r="AX156" s="16">
        <v>0</v>
      </c>
      <c r="AY156" s="29">
        <v>0</v>
      </c>
      <c r="AZ156" s="27">
        <v>5</v>
      </c>
      <c r="BA156" s="57">
        <v>5</v>
      </c>
      <c r="BB156" s="85">
        <v>5</v>
      </c>
    </row>
    <row r="157" spans="1:54" ht="23.1" customHeight="1" x14ac:dyDescent="0.3">
      <c r="A157" s="86">
        <v>153</v>
      </c>
      <c r="B157" s="63" t="s">
        <v>385</v>
      </c>
      <c r="C157" s="64" t="s">
        <v>386</v>
      </c>
      <c r="D157" s="63" t="s">
        <v>450</v>
      </c>
      <c r="E157" s="63" t="s">
        <v>493</v>
      </c>
      <c r="F157" s="63" t="str">
        <f>REPT(CHAR(160),10)&amp;Working!$E157</f>
        <v>          C</v>
      </c>
      <c r="G157" s="65">
        <v>0</v>
      </c>
      <c r="H157" s="65">
        <v>0</v>
      </c>
      <c r="I157" s="65">
        <v>4</v>
      </c>
      <c r="J157" s="65">
        <v>0</v>
      </c>
      <c r="K157" s="66">
        <v>0</v>
      </c>
      <c r="L157" s="67">
        <v>4</v>
      </c>
      <c r="M157" s="65">
        <v>0</v>
      </c>
      <c r="N157" s="65">
        <v>5</v>
      </c>
      <c r="O157" s="65">
        <v>5</v>
      </c>
      <c r="P157" s="63">
        <v>0</v>
      </c>
      <c r="Q157" s="82">
        <v>5</v>
      </c>
      <c r="R157" s="38">
        <v>5</v>
      </c>
      <c r="S157" s="27">
        <v>0</v>
      </c>
      <c r="T157" s="29">
        <v>0</v>
      </c>
      <c r="U157" s="56">
        <v>0</v>
      </c>
      <c r="V157" s="29">
        <v>0</v>
      </c>
      <c r="W157" s="29">
        <v>0</v>
      </c>
      <c r="X157" s="37">
        <v>0</v>
      </c>
      <c r="Y157" s="29">
        <v>4</v>
      </c>
      <c r="Z157" s="29">
        <v>0</v>
      </c>
      <c r="AA157" s="29">
        <v>0</v>
      </c>
      <c r="AB157" s="29">
        <v>0</v>
      </c>
      <c r="AC157" s="29">
        <v>0</v>
      </c>
      <c r="AD157" s="37">
        <v>4</v>
      </c>
      <c r="AE157" s="29">
        <v>0</v>
      </c>
      <c r="AF157" s="29">
        <v>0</v>
      </c>
      <c r="AG157" s="29">
        <v>0</v>
      </c>
      <c r="AH157" s="29">
        <v>0</v>
      </c>
      <c r="AI157" s="29">
        <v>0</v>
      </c>
      <c r="AJ157" s="37">
        <v>0</v>
      </c>
      <c r="AK157" s="49">
        <v>4</v>
      </c>
      <c r="AL157" s="49">
        <v>3</v>
      </c>
      <c r="AM157" s="56">
        <v>0</v>
      </c>
      <c r="AN157" s="49">
        <v>4</v>
      </c>
      <c r="AO157" s="29">
        <v>0</v>
      </c>
      <c r="AP157" s="38">
        <v>3.6666666666666665</v>
      </c>
      <c r="AQ157" s="27">
        <v>4</v>
      </c>
      <c r="AR157" s="29">
        <v>0</v>
      </c>
      <c r="AS157" s="49">
        <v>0</v>
      </c>
      <c r="AT157" s="29">
        <v>0</v>
      </c>
      <c r="AU157" s="29">
        <v>0</v>
      </c>
      <c r="AV157" s="37">
        <v>4</v>
      </c>
      <c r="AW157" s="29">
        <v>0</v>
      </c>
      <c r="AX157" s="29">
        <v>0</v>
      </c>
      <c r="AY157" s="29">
        <v>0</v>
      </c>
      <c r="AZ157" s="27">
        <v>4</v>
      </c>
      <c r="BA157" s="57">
        <v>4</v>
      </c>
      <c r="BB157" s="85">
        <v>4</v>
      </c>
    </row>
    <row r="158" spans="1:54" ht="23.1" customHeight="1" x14ac:dyDescent="0.3">
      <c r="A158" s="87">
        <v>154</v>
      </c>
      <c r="B158" s="70" t="s">
        <v>93</v>
      </c>
      <c r="C158" s="71" t="s">
        <v>94</v>
      </c>
      <c r="D158" s="70" t="s">
        <v>542</v>
      </c>
      <c r="E158" s="70" t="s">
        <v>35</v>
      </c>
      <c r="F158" s="70" t="str">
        <f>REPT(CHAR(160),10)&amp;Working!$E158</f>
        <v>          A</v>
      </c>
      <c r="G158" s="61">
        <v>0</v>
      </c>
      <c r="H158" s="61">
        <v>0</v>
      </c>
      <c r="I158" s="61">
        <v>2</v>
      </c>
      <c r="J158" s="61">
        <v>0</v>
      </c>
      <c r="K158" s="72">
        <v>0</v>
      </c>
      <c r="L158" s="67">
        <v>2</v>
      </c>
      <c r="M158" s="61">
        <v>0</v>
      </c>
      <c r="N158" s="61">
        <v>4</v>
      </c>
      <c r="O158" s="61">
        <v>4</v>
      </c>
      <c r="P158" s="70">
        <v>0</v>
      </c>
      <c r="Q158" s="81">
        <v>4</v>
      </c>
      <c r="R158" s="38">
        <v>4</v>
      </c>
      <c r="S158" s="27">
        <v>0</v>
      </c>
      <c r="T158" s="16">
        <v>0</v>
      </c>
      <c r="U158" s="20">
        <v>0</v>
      </c>
      <c r="V158" s="16">
        <v>0</v>
      </c>
      <c r="W158" s="16">
        <v>0</v>
      </c>
      <c r="X158" s="37">
        <v>0</v>
      </c>
      <c r="Y158" s="16">
        <v>4</v>
      </c>
      <c r="Z158" s="16">
        <v>0</v>
      </c>
      <c r="AA158" s="16">
        <v>0</v>
      </c>
      <c r="AB158" s="16">
        <v>0</v>
      </c>
      <c r="AC158" s="16">
        <v>0</v>
      </c>
      <c r="AD158" s="37">
        <v>4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37">
        <v>0</v>
      </c>
      <c r="AK158" s="7">
        <v>3</v>
      </c>
      <c r="AL158" s="7">
        <v>3</v>
      </c>
      <c r="AM158" s="20">
        <v>0</v>
      </c>
      <c r="AN158" s="7">
        <v>3</v>
      </c>
      <c r="AO158" s="16">
        <v>0</v>
      </c>
      <c r="AP158" s="38">
        <v>3</v>
      </c>
      <c r="AQ158" s="27">
        <v>1</v>
      </c>
      <c r="AR158" s="16">
        <v>0</v>
      </c>
      <c r="AS158" s="7">
        <v>0</v>
      </c>
      <c r="AT158" s="16">
        <v>0</v>
      </c>
      <c r="AU158" s="16">
        <v>0</v>
      </c>
      <c r="AV158" s="37">
        <v>1</v>
      </c>
      <c r="AW158" s="16">
        <v>0</v>
      </c>
      <c r="AX158" s="16">
        <v>0</v>
      </c>
      <c r="AY158" s="29">
        <v>0</v>
      </c>
      <c r="AZ158" s="27">
        <v>3</v>
      </c>
      <c r="BA158" s="57">
        <v>3</v>
      </c>
      <c r="BB158" s="85">
        <v>3</v>
      </c>
    </row>
    <row r="159" spans="1:54" ht="23.1" customHeight="1" x14ac:dyDescent="0.3">
      <c r="A159" s="86">
        <v>155</v>
      </c>
      <c r="B159" s="63" t="s">
        <v>188</v>
      </c>
      <c r="C159" s="64" t="s">
        <v>189</v>
      </c>
      <c r="D159" s="63" t="s">
        <v>542</v>
      </c>
      <c r="E159" s="63" t="s">
        <v>161</v>
      </c>
      <c r="F159" s="63" t="str">
        <f>REPT(CHAR(160),10)&amp;Working!$E159</f>
        <v>          B</v>
      </c>
      <c r="G159" s="65">
        <v>0</v>
      </c>
      <c r="H159" s="65">
        <v>0</v>
      </c>
      <c r="I159" s="65">
        <v>4</v>
      </c>
      <c r="J159" s="65">
        <v>0</v>
      </c>
      <c r="K159" s="66">
        <v>0</v>
      </c>
      <c r="L159" s="67">
        <v>4</v>
      </c>
      <c r="M159" s="65">
        <v>0</v>
      </c>
      <c r="N159" s="65">
        <v>3</v>
      </c>
      <c r="O159" s="65">
        <v>3</v>
      </c>
      <c r="P159" s="63">
        <v>0</v>
      </c>
      <c r="Q159" s="82">
        <v>3</v>
      </c>
      <c r="R159" s="38">
        <v>3</v>
      </c>
      <c r="S159" s="27">
        <v>0</v>
      </c>
      <c r="T159" s="29">
        <v>0</v>
      </c>
      <c r="U159" s="56">
        <v>0</v>
      </c>
      <c r="V159" s="29">
        <v>0</v>
      </c>
      <c r="W159" s="29">
        <v>0</v>
      </c>
      <c r="X159" s="37">
        <v>0</v>
      </c>
      <c r="Y159" s="29">
        <v>4</v>
      </c>
      <c r="Z159" s="29">
        <v>0</v>
      </c>
      <c r="AA159" s="29">
        <v>0</v>
      </c>
      <c r="AB159" s="29">
        <v>0</v>
      </c>
      <c r="AC159" s="29">
        <v>0</v>
      </c>
      <c r="AD159" s="37">
        <v>4</v>
      </c>
      <c r="AE159" s="29">
        <v>0</v>
      </c>
      <c r="AF159" s="29">
        <v>0</v>
      </c>
      <c r="AG159" s="29">
        <v>0</v>
      </c>
      <c r="AH159" s="29">
        <v>0</v>
      </c>
      <c r="AI159" s="29">
        <v>0</v>
      </c>
      <c r="AJ159" s="37">
        <v>0</v>
      </c>
      <c r="AK159" s="49">
        <v>3</v>
      </c>
      <c r="AL159" s="49">
        <v>2</v>
      </c>
      <c r="AM159" s="56">
        <v>0</v>
      </c>
      <c r="AN159" s="49">
        <v>3</v>
      </c>
      <c r="AO159" s="29">
        <v>0</v>
      </c>
      <c r="AP159" s="38">
        <v>2.6666666666666665</v>
      </c>
      <c r="AQ159" s="27">
        <v>4</v>
      </c>
      <c r="AR159" s="29">
        <v>0</v>
      </c>
      <c r="AS159" s="49">
        <v>0</v>
      </c>
      <c r="AT159" s="29">
        <v>0</v>
      </c>
      <c r="AU159" s="29">
        <v>0</v>
      </c>
      <c r="AV159" s="37">
        <v>4</v>
      </c>
      <c r="AW159" s="29">
        <v>0</v>
      </c>
      <c r="AX159" s="29">
        <v>0</v>
      </c>
      <c r="AY159" s="29">
        <v>0</v>
      </c>
      <c r="AZ159" s="27">
        <v>5</v>
      </c>
      <c r="BA159" s="57">
        <v>3</v>
      </c>
      <c r="BB159" s="85">
        <v>4</v>
      </c>
    </row>
    <row r="160" spans="1:54" ht="23.1" customHeight="1" x14ac:dyDescent="0.3">
      <c r="A160" s="87">
        <v>156</v>
      </c>
      <c r="B160" s="70" t="s">
        <v>174</v>
      </c>
      <c r="C160" s="71" t="s">
        <v>175</v>
      </c>
      <c r="D160" s="70" t="s">
        <v>450</v>
      </c>
      <c r="E160" s="70" t="s">
        <v>161</v>
      </c>
      <c r="F160" s="70" t="str">
        <f>REPT(CHAR(160),10)&amp;Working!$E160</f>
        <v>          B</v>
      </c>
      <c r="G160" s="61">
        <v>0</v>
      </c>
      <c r="H160" s="61">
        <v>0</v>
      </c>
      <c r="I160" s="61">
        <v>3</v>
      </c>
      <c r="J160" s="61">
        <v>0</v>
      </c>
      <c r="K160" s="72">
        <v>0</v>
      </c>
      <c r="L160" s="67">
        <v>3</v>
      </c>
      <c r="M160" s="61">
        <v>0</v>
      </c>
      <c r="N160" s="61">
        <v>4</v>
      </c>
      <c r="O160" s="61">
        <v>3</v>
      </c>
      <c r="P160" s="70">
        <v>0</v>
      </c>
      <c r="Q160" s="81">
        <v>3</v>
      </c>
      <c r="R160" s="38">
        <v>3.3333333333333335</v>
      </c>
      <c r="S160" s="27">
        <v>0</v>
      </c>
      <c r="T160" s="16">
        <v>0</v>
      </c>
      <c r="U160" s="20">
        <v>0</v>
      </c>
      <c r="V160" s="16">
        <v>0</v>
      </c>
      <c r="W160" s="16">
        <v>0</v>
      </c>
      <c r="X160" s="37">
        <v>0</v>
      </c>
      <c r="Y160" s="16">
        <v>4</v>
      </c>
      <c r="Z160" s="16">
        <v>0</v>
      </c>
      <c r="AA160" s="16">
        <v>0</v>
      </c>
      <c r="AB160" s="16">
        <v>0</v>
      </c>
      <c r="AC160" s="16">
        <v>0</v>
      </c>
      <c r="AD160" s="37">
        <v>4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37">
        <v>0</v>
      </c>
      <c r="AK160" s="7">
        <v>3</v>
      </c>
      <c r="AL160" s="7">
        <v>3</v>
      </c>
      <c r="AM160" s="20">
        <v>0</v>
      </c>
      <c r="AN160" s="7">
        <v>4</v>
      </c>
      <c r="AO160" s="16">
        <v>0</v>
      </c>
      <c r="AP160" s="38">
        <v>3.3333333333333335</v>
      </c>
      <c r="AQ160" s="27">
        <v>3</v>
      </c>
      <c r="AR160" s="16">
        <v>0</v>
      </c>
      <c r="AS160" s="7">
        <v>0</v>
      </c>
      <c r="AT160" s="16">
        <v>0</v>
      </c>
      <c r="AU160" s="16">
        <v>0</v>
      </c>
      <c r="AV160" s="37">
        <v>3</v>
      </c>
      <c r="AW160" s="16">
        <v>0</v>
      </c>
      <c r="AX160" s="16">
        <v>0</v>
      </c>
      <c r="AY160" s="29">
        <v>0</v>
      </c>
      <c r="AZ160" s="27">
        <v>4</v>
      </c>
      <c r="BA160" s="57">
        <v>3</v>
      </c>
      <c r="BB160" s="85">
        <v>3.5</v>
      </c>
    </row>
    <row r="161" spans="1:54" ht="23.1" customHeight="1" x14ac:dyDescent="0.3">
      <c r="A161" s="86">
        <v>157</v>
      </c>
      <c r="B161" s="63" t="s">
        <v>205</v>
      </c>
      <c r="C161" s="64" t="s">
        <v>206</v>
      </c>
      <c r="D161" s="63" t="s">
        <v>450</v>
      </c>
      <c r="E161" s="63" t="s">
        <v>161</v>
      </c>
      <c r="F161" s="63" t="str">
        <f>REPT(CHAR(160),10)&amp;Working!$E161</f>
        <v>          B</v>
      </c>
      <c r="G161" s="65">
        <v>0</v>
      </c>
      <c r="H161" s="65">
        <v>0</v>
      </c>
      <c r="I161" s="65">
        <v>5</v>
      </c>
      <c r="J161" s="65">
        <v>0</v>
      </c>
      <c r="K161" s="66">
        <v>0</v>
      </c>
      <c r="L161" s="67">
        <v>5</v>
      </c>
      <c r="M161" s="65">
        <v>0</v>
      </c>
      <c r="N161" s="65">
        <v>3</v>
      </c>
      <c r="O161" s="65">
        <v>5</v>
      </c>
      <c r="P161" s="63">
        <v>0</v>
      </c>
      <c r="Q161" s="82">
        <v>5</v>
      </c>
      <c r="R161" s="38">
        <v>4.333333333333333</v>
      </c>
      <c r="S161" s="27">
        <v>0</v>
      </c>
      <c r="T161" s="29">
        <v>0</v>
      </c>
      <c r="U161" s="56">
        <v>0</v>
      </c>
      <c r="V161" s="29">
        <v>0</v>
      </c>
      <c r="W161" s="29">
        <v>0</v>
      </c>
      <c r="X161" s="37">
        <v>0</v>
      </c>
      <c r="Y161" s="29">
        <v>3</v>
      </c>
      <c r="Z161" s="29">
        <v>0</v>
      </c>
      <c r="AA161" s="29">
        <v>0</v>
      </c>
      <c r="AB161" s="29">
        <v>0</v>
      </c>
      <c r="AC161" s="29">
        <v>0</v>
      </c>
      <c r="AD161" s="37">
        <v>3</v>
      </c>
      <c r="AE161" s="29">
        <v>0</v>
      </c>
      <c r="AF161" s="29">
        <v>0</v>
      </c>
      <c r="AG161" s="29">
        <v>0</v>
      </c>
      <c r="AH161" s="29">
        <v>0</v>
      </c>
      <c r="AI161" s="29">
        <v>0</v>
      </c>
      <c r="AJ161" s="37">
        <v>0</v>
      </c>
      <c r="AK161" s="49">
        <v>4</v>
      </c>
      <c r="AL161" s="49">
        <v>4</v>
      </c>
      <c r="AM161" s="56">
        <v>0</v>
      </c>
      <c r="AN161" s="49">
        <v>4</v>
      </c>
      <c r="AO161" s="29">
        <v>0</v>
      </c>
      <c r="AP161" s="38">
        <v>4</v>
      </c>
      <c r="AQ161" s="27">
        <v>4</v>
      </c>
      <c r="AR161" s="29">
        <v>0</v>
      </c>
      <c r="AS161" s="49">
        <v>0</v>
      </c>
      <c r="AT161" s="29">
        <v>0</v>
      </c>
      <c r="AU161" s="29">
        <v>0</v>
      </c>
      <c r="AV161" s="37">
        <v>4</v>
      </c>
      <c r="AW161" s="29">
        <v>0</v>
      </c>
      <c r="AX161" s="29">
        <v>0</v>
      </c>
      <c r="AY161" s="29">
        <v>0</v>
      </c>
      <c r="AZ161" s="27">
        <v>5</v>
      </c>
      <c r="BA161" s="57">
        <v>5</v>
      </c>
      <c r="BB161" s="85">
        <v>5</v>
      </c>
    </row>
    <row r="162" spans="1:54" ht="23.1" customHeight="1" x14ac:dyDescent="0.3">
      <c r="A162" s="87">
        <v>158</v>
      </c>
      <c r="B162" s="70" t="s">
        <v>387</v>
      </c>
      <c r="C162" s="71" t="s">
        <v>388</v>
      </c>
      <c r="D162" s="70" t="s">
        <v>450</v>
      </c>
      <c r="E162" s="70" t="s">
        <v>493</v>
      </c>
      <c r="F162" s="70" t="str">
        <f>REPT(CHAR(160),10)&amp;Working!$E162</f>
        <v>          C</v>
      </c>
      <c r="G162" s="61">
        <v>0</v>
      </c>
      <c r="H162" s="61">
        <v>0</v>
      </c>
      <c r="I162" s="61">
        <v>3</v>
      </c>
      <c r="J162" s="61">
        <v>0</v>
      </c>
      <c r="K162" s="72">
        <v>0</v>
      </c>
      <c r="L162" s="67">
        <v>3</v>
      </c>
      <c r="M162" s="61">
        <v>0</v>
      </c>
      <c r="N162" s="61">
        <v>4</v>
      </c>
      <c r="O162" s="61">
        <v>4</v>
      </c>
      <c r="P162" s="70">
        <v>0</v>
      </c>
      <c r="Q162" s="81">
        <v>4</v>
      </c>
      <c r="R162" s="38">
        <v>4</v>
      </c>
      <c r="S162" s="27">
        <v>0</v>
      </c>
      <c r="T162" s="16">
        <v>0</v>
      </c>
      <c r="U162" s="20">
        <v>0</v>
      </c>
      <c r="V162" s="16">
        <v>0</v>
      </c>
      <c r="W162" s="16">
        <v>0</v>
      </c>
      <c r="X162" s="37">
        <v>0</v>
      </c>
      <c r="Y162" s="16">
        <v>4</v>
      </c>
      <c r="Z162" s="16">
        <v>0</v>
      </c>
      <c r="AA162" s="16">
        <v>0</v>
      </c>
      <c r="AB162" s="16">
        <v>0</v>
      </c>
      <c r="AC162" s="16">
        <v>0</v>
      </c>
      <c r="AD162" s="37">
        <v>4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37">
        <v>0</v>
      </c>
      <c r="AK162" s="7">
        <v>4</v>
      </c>
      <c r="AL162" s="7">
        <v>3</v>
      </c>
      <c r="AM162" s="20">
        <v>0</v>
      </c>
      <c r="AN162" s="7">
        <v>4</v>
      </c>
      <c r="AO162" s="16">
        <v>0</v>
      </c>
      <c r="AP162" s="38">
        <v>3.6666666666666665</v>
      </c>
      <c r="AQ162" s="27">
        <v>3</v>
      </c>
      <c r="AR162" s="16">
        <v>0</v>
      </c>
      <c r="AS162" s="7">
        <v>0</v>
      </c>
      <c r="AT162" s="16">
        <v>0</v>
      </c>
      <c r="AU162" s="16">
        <v>0</v>
      </c>
      <c r="AV162" s="37">
        <v>3</v>
      </c>
      <c r="AW162" s="16">
        <v>0</v>
      </c>
      <c r="AX162" s="16">
        <v>0</v>
      </c>
      <c r="AY162" s="29">
        <v>0</v>
      </c>
      <c r="AZ162" s="27">
        <v>4</v>
      </c>
      <c r="BA162" s="57">
        <v>3</v>
      </c>
      <c r="BB162" s="85">
        <v>3.5</v>
      </c>
    </row>
    <row r="163" spans="1:54" ht="23.1" customHeight="1" x14ac:dyDescent="0.3">
      <c r="A163" s="86">
        <v>159</v>
      </c>
      <c r="B163" s="63" t="s">
        <v>190</v>
      </c>
      <c r="C163" s="64" t="s">
        <v>191</v>
      </c>
      <c r="D163" s="63" t="s">
        <v>450</v>
      </c>
      <c r="E163" s="63" t="s">
        <v>161</v>
      </c>
      <c r="F163" s="63" t="str">
        <f>REPT(CHAR(160),10)&amp;Working!$E163</f>
        <v>          B</v>
      </c>
      <c r="G163" s="65">
        <v>0</v>
      </c>
      <c r="H163" s="65">
        <v>0</v>
      </c>
      <c r="I163" s="65">
        <v>1</v>
      </c>
      <c r="J163" s="65">
        <v>0</v>
      </c>
      <c r="K163" s="66">
        <v>0</v>
      </c>
      <c r="L163" s="67">
        <v>1</v>
      </c>
      <c r="M163" s="65">
        <v>0</v>
      </c>
      <c r="N163" s="65">
        <v>2</v>
      </c>
      <c r="O163" s="65">
        <v>2</v>
      </c>
      <c r="P163" s="63">
        <v>0</v>
      </c>
      <c r="Q163" s="82">
        <v>2</v>
      </c>
      <c r="R163" s="38">
        <v>2</v>
      </c>
      <c r="S163" s="27">
        <v>0</v>
      </c>
      <c r="T163" s="29">
        <v>0</v>
      </c>
      <c r="U163" s="56">
        <v>0</v>
      </c>
      <c r="V163" s="29">
        <v>0</v>
      </c>
      <c r="W163" s="29">
        <v>0</v>
      </c>
      <c r="X163" s="37">
        <v>0</v>
      </c>
      <c r="Y163" s="29">
        <v>2</v>
      </c>
      <c r="Z163" s="29">
        <v>0</v>
      </c>
      <c r="AA163" s="29">
        <v>0</v>
      </c>
      <c r="AB163" s="29">
        <v>0</v>
      </c>
      <c r="AC163" s="29">
        <v>0</v>
      </c>
      <c r="AD163" s="37">
        <v>2</v>
      </c>
      <c r="AE163" s="29">
        <v>0</v>
      </c>
      <c r="AF163" s="29">
        <v>0</v>
      </c>
      <c r="AG163" s="29">
        <v>0</v>
      </c>
      <c r="AH163" s="29">
        <v>0</v>
      </c>
      <c r="AI163" s="29">
        <v>0</v>
      </c>
      <c r="AJ163" s="37">
        <v>0</v>
      </c>
      <c r="AK163" s="49">
        <v>2</v>
      </c>
      <c r="AL163" s="49">
        <v>1</v>
      </c>
      <c r="AM163" s="56">
        <v>0</v>
      </c>
      <c r="AN163" s="49">
        <v>2</v>
      </c>
      <c r="AO163" s="29">
        <v>0</v>
      </c>
      <c r="AP163" s="38">
        <v>1.6666666666666667</v>
      </c>
      <c r="AQ163" s="27">
        <v>1</v>
      </c>
      <c r="AR163" s="29">
        <v>0</v>
      </c>
      <c r="AS163" s="49">
        <v>0</v>
      </c>
      <c r="AT163" s="29">
        <v>0</v>
      </c>
      <c r="AU163" s="29">
        <v>0</v>
      </c>
      <c r="AV163" s="37">
        <v>1</v>
      </c>
      <c r="AW163" s="29">
        <v>0</v>
      </c>
      <c r="AX163" s="29">
        <v>0</v>
      </c>
      <c r="AY163" s="29">
        <v>0</v>
      </c>
      <c r="AZ163" s="27">
        <v>2</v>
      </c>
      <c r="BA163" s="57">
        <v>2</v>
      </c>
      <c r="BB163" s="85">
        <v>2</v>
      </c>
    </row>
    <row r="164" spans="1:54" ht="23.1" customHeight="1" x14ac:dyDescent="0.3">
      <c r="A164" s="87">
        <v>160</v>
      </c>
      <c r="B164" s="70" t="s">
        <v>157</v>
      </c>
      <c r="C164" s="71" t="s">
        <v>158</v>
      </c>
      <c r="D164" s="70" t="s">
        <v>542</v>
      </c>
      <c r="E164" s="70" t="s">
        <v>35</v>
      </c>
      <c r="F164" s="70" t="str">
        <f>REPT(CHAR(160),10)&amp;Working!$E164</f>
        <v>          A</v>
      </c>
      <c r="G164" s="61">
        <v>0</v>
      </c>
      <c r="H164" s="61">
        <v>0</v>
      </c>
      <c r="I164" s="61">
        <v>3</v>
      </c>
      <c r="J164" s="61">
        <v>0</v>
      </c>
      <c r="K164" s="72">
        <v>0</v>
      </c>
      <c r="L164" s="67">
        <v>3</v>
      </c>
      <c r="M164" s="61">
        <v>0</v>
      </c>
      <c r="N164" s="61">
        <v>3</v>
      </c>
      <c r="O164" s="61">
        <v>3</v>
      </c>
      <c r="P164" s="70">
        <v>0</v>
      </c>
      <c r="Q164" s="81">
        <v>3</v>
      </c>
      <c r="R164" s="38">
        <v>3</v>
      </c>
      <c r="S164" s="27">
        <v>0</v>
      </c>
      <c r="T164" s="16">
        <v>0</v>
      </c>
      <c r="U164" s="20">
        <v>0</v>
      </c>
      <c r="V164" s="16">
        <v>0</v>
      </c>
      <c r="W164" s="16">
        <v>0</v>
      </c>
      <c r="X164" s="37">
        <v>0</v>
      </c>
      <c r="Y164" s="16">
        <v>3</v>
      </c>
      <c r="Z164" s="16">
        <v>0</v>
      </c>
      <c r="AA164" s="16">
        <v>0</v>
      </c>
      <c r="AB164" s="16">
        <v>0</v>
      </c>
      <c r="AC164" s="16">
        <v>0</v>
      </c>
      <c r="AD164" s="37">
        <v>3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37">
        <v>0</v>
      </c>
      <c r="AK164" s="7">
        <v>3</v>
      </c>
      <c r="AL164" s="7">
        <v>3</v>
      </c>
      <c r="AM164" s="20">
        <v>0</v>
      </c>
      <c r="AN164" s="7">
        <v>3</v>
      </c>
      <c r="AO164" s="16">
        <v>0</v>
      </c>
      <c r="AP164" s="38">
        <v>3</v>
      </c>
      <c r="AQ164" s="27">
        <v>5</v>
      </c>
      <c r="AR164" s="16">
        <v>0</v>
      </c>
      <c r="AS164" s="7">
        <v>0</v>
      </c>
      <c r="AT164" s="16">
        <v>0</v>
      </c>
      <c r="AU164" s="16">
        <v>0</v>
      </c>
      <c r="AV164" s="37">
        <v>5</v>
      </c>
      <c r="AW164" s="16">
        <v>0</v>
      </c>
      <c r="AX164" s="16">
        <v>0</v>
      </c>
      <c r="AY164" s="29">
        <v>0</v>
      </c>
      <c r="AZ164" s="27">
        <v>4</v>
      </c>
      <c r="BA164" s="57">
        <v>3</v>
      </c>
      <c r="BB164" s="85">
        <v>3.5</v>
      </c>
    </row>
    <row r="165" spans="1:54" ht="23.1" customHeight="1" x14ac:dyDescent="0.3">
      <c r="A165" s="86">
        <v>161</v>
      </c>
      <c r="B165" s="63" t="s">
        <v>389</v>
      </c>
      <c r="C165" s="64" t="s">
        <v>390</v>
      </c>
      <c r="D165" s="63" t="s">
        <v>450</v>
      </c>
      <c r="E165" s="63" t="s">
        <v>493</v>
      </c>
      <c r="F165" s="63" t="str">
        <f>REPT(CHAR(160),10)&amp;Working!$E165</f>
        <v>          C</v>
      </c>
      <c r="G165" s="65">
        <v>0</v>
      </c>
      <c r="H165" s="65">
        <v>0</v>
      </c>
      <c r="I165" s="65">
        <v>4</v>
      </c>
      <c r="J165" s="65">
        <v>0</v>
      </c>
      <c r="K165" s="66">
        <v>0</v>
      </c>
      <c r="L165" s="67">
        <v>4</v>
      </c>
      <c r="M165" s="65">
        <v>0</v>
      </c>
      <c r="N165" s="65">
        <v>2</v>
      </c>
      <c r="O165" s="65">
        <v>3</v>
      </c>
      <c r="P165" s="63">
        <v>0</v>
      </c>
      <c r="Q165" s="82">
        <v>3</v>
      </c>
      <c r="R165" s="38">
        <v>2.6666666666666665</v>
      </c>
      <c r="S165" s="27">
        <v>0</v>
      </c>
      <c r="T165" s="29">
        <v>0</v>
      </c>
      <c r="U165" s="56">
        <v>0</v>
      </c>
      <c r="V165" s="29">
        <v>0</v>
      </c>
      <c r="W165" s="29">
        <v>0</v>
      </c>
      <c r="X165" s="37">
        <v>0</v>
      </c>
      <c r="Y165" s="29">
        <v>3</v>
      </c>
      <c r="Z165" s="29">
        <v>0</v>
      </c>
      <c r="AA165" s="29">
        <v>0</v>
      </c>
      <c r="AB165" s="29">
        <v>0</v>
      </c>
      <c r="AC165" s="29">
        <v>0</v>
      </c>
      <c r="AD165" s="37">
        <v>3</v>
      </c>
      <c r="AE165" s="29">
        <v>0</v>
      </c>
      <c r="AF165" s="29">
        <v>0</v>
      </c>
      <c r="AG165" s="29">
        <v>0</v>
      </c>
      <c r="AH165" s="29">
        <v>0</v>
      </c>
      <c r="AI165" s="29">
        <v>0</v>
      </c>
      <c r="AJ165" s="37">
        <v>0</v>
      </c>
      <c r="AK165" s="49">
        <v>3</v>
      </c>
      <c r="AL165" s="49">
        <v>2</v>
      </c>
      <c r="AM165" s="56">
        <v>0</v>
      </c>
      <c r="AN165" s="49">
        <v>3</v>
      </c>
      <c r="AO165" s="29">
        <v>0</v>
      </c>
      <c r="AP165" s="38">
        <v>2.6666666666666665</v>
      </c>
      <c r="AQ165" s="27">
        <v>5</v>
      </c>
      <c r="AR165" s="29">
        <v>0</v>
      </c>
      <c r="AS165" s="49">
        <v>0</v>
      </c>
      <c r="AT165" s="29">
        <v>0</v>
      </c>
      <c r="AU165" s="29">
        <v>0</v>
      </c>
      <c r="AV165" s="37">
        <v>5</v>
      </c>
      <c r="AW165" s="29">
        <v>0</v>
      </c>
      <c r="AX165" s="29">
        <v>0</v>
      </c>
      <c r="AY165" s="29">
        <v>0</v>
      </c>
      <c r="AZ165" s="27">
        <v>5</v>
      </c>
      <c r="BA165" s="57">
        <v>3</v>
      </c>
      <c r="BB165" s="85">
        <v>4</v>
      </c>
    </row>
    <row r="166" spans="1:54" ht="23.1" customHeight="1" x14ac:dyDescent="0.3">
      <c r="A166" s="87">
        <v>162</v>
      </c>
      <c r="B166" s="70" t="s">
        <v>391</v>
      </c>
      <c r="C166" s="71" t="s">
        <v>392</v>
      </c>
      <c r="D166" s="70" t="s">
        <v>450</v>
      </c>
      <c r="E166" s="70" t="s">
        <v>493</v>
      </c>
      <c r="F166" s="70" t="str">
        <f>REPT(CHAR(160),10)&amp;Working!$E166</f>
        <v>          C</v>
      </c>
      <c r="G166" s="61">
        <v>0</v>
      </c>
      <c r="H166" s="61">
        <v>0</v>
      </c>
      <c r="I166" s="61">
        <v>2</v>
      </c>
      <c r="J166" s="61">
        <v>0</v>
      </c>
      <c r="K166" s="72">
        <v>0</v>
      </c>
      <c r="L166" s="67">
        <v>2</v>
      </c>
      <c r="M166" s="61">
        <v>0</v>
      </c>
      <c r="N166" s="61">
        <v>3</v>
      </c>
      <c r="O166" s="61">
        <v>0</v>
      </c>
      <c r="P166" s="70">
        <v>0</v>
      </c>
      <c r="Q166" s="81">
        <v>0</v>
      </c>
      <c r="R166" s="38">
        <v>1</v>
      </c>
      <c r="S166" s="27">
        <v>0</v>
      </c>
      <c r="T166" s="16">
        <v>0</v>
      </c>
      <c r="U166" s="20">
        <v>0</v>
      </c>
      <c r="V166" s="16">
        <v>0</v>
      </c>
      <c r="W166" s="16">
        <v>0</v>
      </c>
      <c r="X166" s="37">
        <v>0</v>
      </c>
      <c r="Y166" s="16">
        <v>2</v>
      </c>
      <c r="Z166" s="16">
        <v>0</v>
      </c>
      <c r="AA166" s="16">
        <v>0</v>
      </c>
      <c r="AB166" s="16">
        <v>0</v>
      </c>
      <c r="AC166" s="16">
        <v>0</v>
      </c>
      <c r="AD166" s="37">
        <v>2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37">
        <v>0</v>
      </c>
      <c r="AK166" s="7">
        <v>2</v>
      </c>
      <c r="AL166" s="7">
        <v>1</v>
      </c>
      <c r="AM166" s="20">
        <v>0</v>
      </c>
      <c r="AN166" s="7">
        <v>3</v>
      </c>
      <c r="AO166" s="16">
        <v>0</v>
      </c>
      <c r="AP166" s="38">
        <v>2</v>
      </c>
      <c r="AQ166" s="27">
        <v>2</v>
      </c>
      <c r="AR166" s="16">
        <v>0</v>
      </c>
      <c r="AS166" s="7">
        <v>0</v>
      </c>
      <c r="AT166" s="16">
        <v>0</v>
      </c>
      <c r="AU166" s="16">
        <v>0</v>
      </c>
      <c r="AV166" s="37">
        <v>2</v>
      </c>
      <c r="AW166" s="16">
        <v>0</v>
      </c>
      <c r="AX166" s="16">
        <v>0</v>
      </c>
      <c r="AY166" s="29">
        <v>0</v>
      </c>
      <c r="AZ166" s="27">
        <v>3</v>
      </c>
      <c r="BA166" s="57">
        <v>2</v>
      </c>
      <c r="BB166" s="85">
        <v>2.5</v>
      </c>
    </row>
    <row r="167" spans="1:54" ht="23.1" customHeight="1" x14ac:dyDescent="0.3">
      <c r="A167" s="86">
        <v>163</v>
      </c>
      <c r="B167" s="63" t="s">
        <v>221</v>
      </c>
      <c r="C167" s="64" t="s">
        <v>222</v>
      </c>
      <c r="D167" s="63" t="s">
        <v>450</v>
      </c>
      <c r="E167" s="63" t="s">
        <v>161</v>
      </c>
      <c r="F167" s="63" t="str">
        <f>REPT(CHAR(160),10)&amp;Working!$E167</f>
        <v>          B</v>
      </c>
      <c r="G167" s="65">
        <v>0</v>
      </c>
      <c r="H167" s="65">
        <v>0</v>
      </c>
      <c r="I167" s="65">
        <v>3</v>
      </c>
      <c r="J167" s="65">
        <v>0</v>
      </c>
      <c r="K167" s="66">
        <v>0</v>
      </c>
      <c r="L167" s="67">
        <v>3</v>
      </c>
      <c r="M167" s="65">
        <v>0</v>
      </c>
      <c r="N167" s="65">
        <v>3</v>
      </c>
      <c r="O167" s="65">
        <v>3</v>
      </c>
      <c r="P167" s="63">
        <v>0</v>
      </c>
      <c r="Q167" s="82">
        <v>3</v>
      </c>
      <c r="R167" s="38">
        <v>3</v>
      </c>
      <c r="S167" s="27">
        <v>0</v>
      </c>
      <c r="T167" s="29">
        <v>0</v>
      </c>
      <c r="U167" s="56">
        <v>0</v>
      </c>
      <c r="V167" s="29">
        <v>0</v>
      </c>
      <c r="W167" s="29">
        <v>0</v>
      </c>
      <c r="X167" s="37">
        <v>0</v>
      </c>
      <c r="Y167" s="29">
        <v>3</v>
      </c>
      <c r="Z167" s="29">
        <v>0</v>
      </c>
      <c r="AA167" s="29">
        <v>0</v>
      </c>
      <c r="AB167" s="29">
        <v>0</v>
      </c>
      <c r="AC167" s="29">
        <v>0</v>
      </c>
      <c r="AD167" s="37">
        <v>3</v>
      </c>
      <c r="AE167" s="29">
        <v>0</v>
      </c>
      <c r="AF167" s="29">
        <v>0</v>
      </c>
      <c r="AG167" s="29">
        <v>0</v>
      </c>
      <c r="AH167" s="29">
        <v>0</v>
      </c>
      <c r="AI167" s="29">
        <v>0</v>
      </c>
      <c r="AJ167" s="37">
        <v>0</v>
      </c>
      <c r="AK167" s="49">
        <v>3</v>
      </c>
      <c r="AL167" s="49">
        <v>3</v>
      </c>
      <c r="AM167" s="56">
        <v>0</v>
      </c>
      <c r="AN167" s="49">
        <v>4</v>
      </c>
      <c r="AO167" s="29">
        <v>0</v>
      </c>
      <c r="AP167" s="38">
        <v>3.3333333333333335</v>
      </c>
      <c r="AQ167" s="27">
        <v>2</v>
      </c>
      <c r="AR167" s="29">
        <v>0</v>
      </c>
      <c r="AS167" s="49">
        <v>0</v>
      </c>
      <c r="AT167" s="29">
        <v>0</v>
      </c>
      <c r="AU167" s="29">
        <v>0</v>
      </c>
      <c r="AV167" s="37">
        <v>2</v>
      </c>
      <c r="AW167" s="29">
        <v>0</v>
      </c>
      <c r="AX167" s="29">
        <v>0</v>
      </c>
      <c r="AY167" s="29">
        <v>0</v>
      </c>
      <c r="AZ167" s="27">
        <v>3</v>
      </c>
      <c r="BA167" s="57">
        <v>3</v>
      </c>
      <c r="BB167" s="85">
        <v>3</v>
      </c>
    </row>
    <row r="168" spans="1:54" ht="23.1" customHeight="1" x14ac:dyDescent="0.3">
      <c r="A168" s="87">
        <v>164</v>
      </c>
      <c r="B168" s="70" t="s">
        <v>207</v>
      </c>
      <c r="C168" s="71" t="s">
        <v>208</v>
      </c>
      <c r="D168" s="70" t="s">
        <v>542</v>
      </c>
      <c r="E168" s="70" t="s">
        <v>161</v>
      </c>
      <c r="F168" s="70" t="str">
        <f>REPT(CHAR(160),10)&amp;Working!$E168</f>
        <v>          B</v>
      </c>
      <c r="G168" s="61">
        <v>0</v>
      </c>
      <c r="H168" s="61">
        <v>0</v>
      </c>
      <c r="I168" s="61">
        <v>4</v>
      </c>
      <c r="J168" s="61">
        <v>0</v>
      </c>
      <c r="K168" s="72">
        <v>0</v>
      </c>
      <c r="L168" s="67">
        <v>4</v>
      </c>
      <c r="M168" s="61">
        <v>0</v>
      </c>
      <c r="N168" s="61">
        <v>4</v>
      </c>
      <c r="O168" s="61">
        <v>3</v>
      </c>
      <c r="P168" s="70">
        <v>0</v>
      </c>
      <c r="Q168" s="81">
        <v>3</v>
      </c>
      <c r="R168" s="38">
        <v>3.3333333333333335</v>
      </c>
      <c r="S168" s="27">
        <v>0</v>
      </c>
      <c r="T168" s="16">
        <v>0</v>
      </c>
      <c r="U168" s="20">
        <v>0</v>
      </c>
      <c r="V168" s="16">
        <v>0</v>
      </c>
      <c r="W168" s="16">
        <v>0</v>
      </c>
      <c r="X168" s="37">
        <v>0</v>
      </c>
      <c r="Y168" s="16">
        <v>4</v>
      </c>
      <c r="Z168" s="16">
        <v>0</v>
      </c>
      <c r="AA168" s="16">
        <v>0</v>
      </c>
      <c r="AB168" s="16">
        <v>0</v>
      </c>
      <c r="AC168" s="16">
        <v>0</v>
      </c>
      <c r="AD168" s="37">
        <v>4</v>
      </c>
      <c r="AE168" s="16">
        <v>0</v>
      </c>
      <c r="AF168" s="16">
        <v>0</v>
      </c>
      <c r="AG168" s="16">
        <v>0</v>
      </c>
      <c r="AH168" s="16">
        <v>0</v>
      </c>
      <c r="AI168" s="16">
        <v>0</v>
      </c>
      <c r="AJ168" s="37">
        <v>0</v>
      </c>
      <c r="AK168" s="7">
        <v>3</v>
      </c>
      <c r="AL168" s="7">
        <v>4</v>
      </c>
      <c r="AM168" s="20">
        <v>0</v>
      </c>
      <c r="AN168" s="7">
        <v>4</v>
      </c>
      <c r="AO168" s="16">
        <v>0</v>
      </c>
      <c r="AP168" s="38">
        <v>3.6666666666666665</v>
      </c>
      <c r="AQ168" s="27">
        <v>4</v>
      </c>
      <c r="AR168" s="16">
        <v>0</v>
      </c>
      <c r="AS168" s="7">
        <v>0</v>
      </c>
      <c r="AT168" s="16">
        <v>0</v>
      </c>
      <c r="AU168" s="16">
        <v>0</v>
      </c>
      <c r="AV168" s="37">
        <v>4</v>
      </c>
      <c r="AW168" s="16">
        <v>0</v>
      </c>
      <c r="AX168" s="16">
        <v>0</v>
      </c>
      <c r="AY168" s="29">
        <v>0</v>
      </c>
      <c r="AZ168" s="27">
        <v>4</v>
      </c>
      <c r="BA168" s="57">
        <v>4</v>
      </c>
      <c r="BB168" s="85">
        <v>4</v>
      </c>
    </row>
    <row r="169" spans="1:54" ht="23.1" customHeight="1" x14ac:dyDescent="0.3">
      <c r="A169" s="86">
        <v>165</v>
      </c>
      <c r="B169" s="63" t="s">
        <v>48</v>
      </c>
      <c r="C169" s="64" t="s">
        <v>49</v>
      </c>
      <c r="D169" s="63" t="s">
        <v>450</v>
      </c>
      <c r="E169" s="63" t="s">
        <v>35</v>
      </c>
      <c r="F169" s="63" t="str">
        <f>REPT(CHAR(160),10)&amp;Working!$E169</f>
        <v>          A</v>
      </c>
      <c r="G169" s="65">
        <v>0</v>
      </c>
      <c r="H169" s="65">
        <v>0</v>
      </c>
      <c r="I169" s="65">
        <v>4</v>
      </c>
      <c r="J169" s="65">
        <v>0</v>
      </c>
      <c r="K169" s="66">
        <v>0</v>
      </c>
      <c r="L169" s="67">
        <v>4</v>
      </c>
      <c r="M169" s="65">
        <v>0</v>
      </c>
      <c r="N169" s="65">
        <v>4</v>
      </c>
      <c r="O169" s="65">
        <v>4</v>
      </c>
      <c r="P169" s="63">
        <v>0</v>
      </c>
      <c r="Q169" s="82">
        <v>4</v>
      </c>
      <c r="R169" s="38">
        <v>4</v>
      </c>
      <c r="S169" s="27">
        <v>0</v>
      </c>
      <c r="T169" s="29">
        <v>0</v>
      </c>
      <c r="U169" s="56">
        <v>0</v>
      </c>
      <c r="V169" s="29">
        <v>0</v>
      </c>
      <c r="W169" s="29">
        <v>0</v>
      </c>
      <c r="X169" s="37">
        <v>0</v>
      </c>
      <c r="Y169" s="29">
        <v>4</v>
      </c>
      <c r="Z169" s="29">
        <v>0</v>
      </c>
      <c r="AA169" s="29">
        <v>0</v>
      </c>
      <c r="AB169" s="29">
        <v>0</v>
      </c>
      <c r="AC169" s="29">
        <v>0</v>
      </c>
      <c r="AD169" s="37">
        <v>4</v>
      </c>
      <c r="AE169" s="29">
        <v>0</v>
      </c>
      <c r="AF169" s="29">
        <v>0</v>
      </c>
      <c r="AG169" s="29">
        <v>0</v>
      </c>
      <c r="AH169" s="29">
        <v>0</v>
      </c>
      <c r="AI169" s="29">
        <v>0</v>
      </c>
      <c r="AJ169" s="37">
        <v>0</v>
      </c>
      <c r="AK169" s="49">
        <v>4</v>
      </c>
      <c r="AL169" s="49">
        <v>4</v>
      </c>
      <c r="AM169" s="56">
        <v>0</v>
      </c>
      <c r="AN169" s="49">
        <v>4</v>
      </c>
      <c r="AO169" s="29">
        <v>0</v>
      </c>
      <c r="AP169" s="38">
        <v>4</v>
      </c>
      <c r="AQ169" s="27">
        <v>2</v>
      </c>
      <c r="AR169" s="29">
        <v>0</v>
      </c>
      <c r="AS169" s="49">
        <v>0</v>
      </c>
      <c r="AT169" s="29">
        <v>0</v>
      </c>
      <c r="AU169" s="29">
        <v>0</v>
      </c>
      <c r="AV169" s="37">
        <v>2</v>
      </c>
      <c r="AW169" s="29">
        <v>0</v>
      </c>
      <c r="AX169" s="29">
        <v>0</v>
      </c>
      <c r="AY169" s="29">
        <v>0</v>
      </c>
      <c r="AZ169" s="27">
        <v>4</v>
      </c>
      <c r="BA169" s="57">
        <v>4</v>
      </c>
      <c r="BB169" s="85">
        <v>4</v>
      </c>
    </row>
    <row r="170" spans="1:54" ht="23.1" customHeight="1" x14ac:dyDescent="0.3">
      <c r="A170" s="87">
        <v>166</v>
      </c>
      <c r="B170" s="70" t="s">
        <v>159</v>
      </c>
      <c r="C170" s="71" t="s">
        <v>160</v>
      </c>
      <c r="D170" s="70" t="s">
        <v>450</v>
      </c>
      <c r="E170" s="70" t="s">
        <v>35</v>
      </c>
      <c r="F170" s="70" t="str">
        <f>REPT(CHAR(160),10)&amp;Working!$E170</f>
        <v>          A</v>
      </c>
      <c r="G170" s="61">
        <v>0</v>
      </c>
      <c r="H170" s="61">
        <v>0</v>
      </c>
      <c r="I170" s="61">
        <v>3</v>
      </c>
      <c r="J170" s="61">
        <v>0</v>
      </c>
      <c r="K170" s="72">
        <v>0</v>
      </c>
      <c r="L170" s="67">
        <v>3</v>
      </c>
      <c r="M170" s="61">
        <v>0</v>
      </c>
      <c r="N170" s="61">
        <v>5</v>
      </c>
      <c r="O170" s="61">
        <v>4</v>
      </c>
      <c r="P170" s="70">
        <v>0</v>
      </c>
      <c r="Q170" s="81">
        <v>4</v>
      </c>
      <c r="R170" s="38">
        <v>4.333333333333333</v>
      </c>
      <c r="S170" s="27">
        <v>0</v>
      </c>
      <c r="T170" s="16">
        <v>0</v>
      </c>
      <c r="U170" s="20">
        <v>0</v>
      </c>
      <c r="V170" s="16">
        <v>0</v>
      </c>
      <c r="W170" s="16">
        <v>0</v>
      </c>
      <c r="X170" s="37">
        <v>0</v>
      </c>
      <c r="Y170" s="16">
        <v>5</v>
      </c>
      <c r="Z170" s="16">
        <v>0</v>
      </c>
      <c r="AA170" s="16">
        <v>0</v>
      </c>
      <c r="AB170" s="16">
        <v>0</v>
      </c>
      <c r="AC170" s="16">
        <v>0</v>
      </c>
      <c r="AD170" s="37">
        <v>5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37">
        <v>0</v>
      </c>
      <c r="AK170" s="7">
        <v>4</v>
      </c>
      <c r="AL170" s="7">
        <v>3</v>
      </c>
      <c r="AM170" s="20">
        <v>0</v>
      </c>
      <c r="AN170" s="7">
        <v>3</v>
      </c>
      <c r="AO170" s="16">
        <v>0</v>
      </c>
      <c r="AP170" s="38">
        <v>3.3333333333333335</v>
      </c>
      <c r="AQ170" s="27">
        <v>3</v>
      </c>
      <c r="AR170" s="16">
        <v>0</v>
      </c>
      <c r="AS170" s="7">
        <v>0</v>
      </c>
      <c r="AT170" s="16">
        <v>0</v>
      </c>
      <c r="AU170" s="16">
        <v>0</v>
      </c>
      <c r="AV170" s="37">
        <v>3</v>
      </c>
      <c r="AW170" s="16">
        <v>0</v>
      </c>
      <c r="AX170" s="16">
        <v>0</v>
      </c>
      <c r="AY170" s="29">
        <v>0</v>
      </c>
      <c r="AZ170" s="27">
        <v>3</v>
      </c>
      <c r="BA170" s="57">
        <v>4</v>
      </c>
      <c r="BB170" s="85">
        <v>3.5</v>
      </c>
    </row>
    <row r="171" spans="1:54" ht="23.1" customHeight="1" x14ac:dyDescent="0.3">
      <c r="A171" s="86">
        <v>167</v>
      </c>
      <c r="B171" s="63" t="s">
        <v>192</v>
      </c>
      <c r="C171" s="64" t="s">
        <v>193</v>
      </c>
      <c r="D171" s="63" t="s">
        <v>450</v>
      </c>
      <c r="E171" s="63" t="s">
        <v>161</v>
      </c>
      <c r="F171" s="63" t="str">
        <f>REPT(CHAR(160),10)&amp;Working!$E171</f>
        <v>          B</v>
      </c>
      <c r="G171" s="65">
        <v>0</v>
      </c>
      <c r="H171" s="65">
        <v>0</v>
      </c>
      <c r="I171" s="65">
        <v>5</v>
      </c>
      <c r="J171" s="65">
        <v>0</v>
      </c>
      <c r="K171" s="66">
        <v>0</v>
      </c>
      <c r="L171" s="67">
        <v>5</v>
      </c>
      <c r="M171" s="65">
        <v>0</v>
      </c>
      <c r="N171" s="65">
        <v>5</v>
      </c>
      <c r="O171" s="65">
        <v>5</v>
      </c>
      <c r="P171" s="63">
        <v>0</v>
      </c>
      <c r="Q171" s="82">
        <v>5</v>
      </c>
      <c r="R171" s="38">
        <v>5</v>
      </c>
      <c r="S171" s="27">
        <v>0</v>
      </c>
      <c r="T171" s="29">
        <v>0</v>
      </c>
      <c r="U171" s="56">
        <v>0</v>
      </c>
      <c r="V171" s="29">
        <v>0</v>
      </c>
      <c r="W171" s="29">
        <v>0</v>
      </c>
      <c r="X171" s="37">
        <v>0</v>
      </c>
      <c r="Y171" s="29">
        <v>5</v>
      </c>
      <c r="Z171" s="29">
        <v>0</v>
      </c>
      <c r="AA171" s="29">
        <v>0</v>
      </c>
      <c r="AB171" s="29">
        <v>0</v>
      </c>
      <c r="AC171" s="29">
        <v>0</v>
      </c>
      <c r="AD171" s="37">
        <v>5</v>
      </c>
      <c r="AE171" s="29">
        <v>0</v>
      </c>
      <c r="AF171" s="29">
        <v>0</v>
      </c>
      <c r="AG171" s="29">
        <v>0</v>
      </c>
      <c r="AH171" s="29">
        <v>0</v>
      </c>
      <c r="AI171" s="29">
        <v>0</v>
      </c>
      <c r="AJ171" s="37">
        <v>0</v>
      </c>
      <c r="AK171" s="49">
        <v>5</v>
      </c>
      <c r="AL171" s="49">
        <v>5</v>
      </c>
      <c r="AM171" s="56">
        <v>0</v>
      </c>
      <c r="AN171" s="49">
        <v>5</v>
      </c>
      <c r="AO171" s="29">
        <v>0</v>
      </c>
      <c r="AP171" s="38">
        <v>5</v>
      </c>
      <c r="AQ171" s="27">
        <v>5</v>
      </c>
      <c r="AR171" s="29">
        <v>0</v>
      </c>
      <c r="AS171" s="49">
        <v>0</v>
      </c>
      <c r="AT171" s="29">
        <v>0</v>
      </c>
      <c r="AU171" s="29">
        <v>0</v>
      </c>
      <c r="AV171" s="37">
        <v>5</v>
      </c>
      <c r="AW171" s="29">
        <v>0</v>
      </c>
      <c r="AX171" s="29">
        <v>0</v>
      </c>
      <c r="AY171" s="29">
        <v>0</v>
      </c>
      <c r="AZ171" s="27">
        <v>5</v>
      </c>
      <c r="BA171" s="57">
        <v>5</v>
      </c>
      <c r="BB171" s="85">
        <v>5</v>
      </c>
    </row>
    <row r="172" spans="1:54" ht="23.1" customHeight="1" x14ac:dyDescent="0.3">
      <c r="A172" s="87">
        <v>168</v>
      </c>
      <c r="B172" s="70" t="s">
        <v>223</v>
      </c>
      <c r="C172" s="71" t="s">
        <v>224</v>
      </c>
      <c r="D172" s="70" t="s">
        <v>542</v>
      </c>
      <c r="E172" s="70" t="s">
        <v>161</v>
      </c>
      <c r="F172" s="70" t="str">
        <f>REPT(CHAR(160),10)&amp;Working!$E172</f>
        <v>          B</v>
      </c>
      <c r="G172" s="61">
        <v>0</v>
      </c>
      <c r="H172" s="61">
        <v>0</v>
      </c>
      <c r="I172" s="61">
        <v>5</v>
      </c>
      <c r="J172" s="61">
        <v>0</v>
      </c>
      <c r="K172" s="72">
        <v>0</v>
      </c>
      <c r="L172" s="67">
        <v>5</v>
      </c>
      <c r="M172" s="61">
        <v>0</v>
      </c>
      <c r="N172" s="61">
        <v>5</v>
      </c>
      <c r="O172" s="61">
        <v>5</v>
      </c>
      <c r="P172" s="70">
        <v>0</v>
      </c>
      <c r="Q172" s="81">
        <v>5</v>
      </c>
      <c r="R172" s="38">
        <v>5</v>
      </c>
      <c r="S172" s="27">
        <v>0</v>
      </c>
      <c r="T172" s="16">
        <v>0</v>
      </c>
      <c r="U172" s="20">
        <v>0</v>
      </c>
      <c r="V172" s="16">
        <v>0</v>
      </c>
      <c r="W172" s="16">
        <v>0</v>
      </c>
      <c r="X172" s="37">
        <v>0</v>
      </c>
      <c r="Y172" s="16">
        <v>5</v>
      </c>
      <c r="Z172" s="16">
        <v>0</v>
      </c>
      <c r="AA172" s="16">
        <v>0</v>
      </c>
      <c r="AB172" s="16">
        <v>0</v>
      </c>
      <c r="AC172" s="16">
        <v>0</v>
      </c>
      <c r="AD172" s="37">
        <v>5</v>
      </c>
      <c r="AE172" s="16">
        <v>0</v>
      </c>
      <c r="AF172" s="16">
        <v>0</v>
      </c>
      <c r="AG172" s="16">
        <v>0</v>
      </c>
      <c r="AH172" s="16">
        <v>0</v>
      </c>
      <c r="AI172" s="16">
        <v>0</v>
      </c>
      <c r="AJ172" s="37">
        <v>0</v>
      </c>
      <c r="AK172" s="7">
        <v>5</v>
      </c>
      <c r="AL172" s="7">
        <v>5</v>
      </c>
      <c r="AM172" s="20">
        <v>0</v>
      </c>
      <c r="AN172" s="7">
        <v>5</v>
      </c>
      <c r="AO172" s="16">
        <v>0</v>
      </c>
      <c r="AP172" s="38">
        <v>5</v>
      </c>
      <c r="AQ172" s="27">
        <v>1</v>
      </c>
      <c r="AR172" s="16">
        <v>0</v>
      </c>
      <c r="AS172" s="7">
        <v>0</v>
      </c>
      <c r="AT172" s="16">
        <v>0</v>
      </c>
      <c r="AU172" s="16">
        <v>0</v>
      </c>
      <c r="AV172" s="37">
        <v>1</v>
      </c>
      <c r="AW172" s="16">
        <v>0</v>
      </c>
      <c r="AX172" s="16">
        <v>0</v>
      </c>
      <c r="AY172" s="29">
        <v>0</v>
      </c>
      <c r="AZ172" s="27">
        <v>4</v>
      </c>
      <c r="BA172" s="57">
        <v>5</v>
      </c>
      <c r="BB172" s="85">
        <v>4.5</v>
      </c>
    </row>
    <row r="173" spans="1:54" ht="23.1" customHeight="1" x14ac:dyDescent="0.3">
      <c r="A173" s="86">
        <v>169</v>
      </c>
      <c r="B173" s="63" t="s">
        <v>393</v>
      </c>
      <c r="C173" s="64" t="s">
        <v>394</v>
      </c>
      <c r="D173" s="63" t="s">
        <v>450</v>
      </c>
      <c r="E173" s="63" t="s">
        <v>493</v>
      </c>
      <c r="F173" s="63" t="str">
        <f>REPT(CHAR(160),10)&amp;Working!$E173</f>
        <v>          C</v>
      </c>
      <c r="G173" s="65">
        <v>0</v>
      </c>
      <c r="H173" s="65">
        <v>0</v>
      </c>
      <c r="I173" s="65">
        <v>4</v>
      </c>
      <c r="J173" s="65">
        <v>0</v>
      </c>
      <c r="K173" s="66">
        <v>0</v>
      </c>
      <c r="L173" s="67">
        <v>4</v>
      </c>
      <c r="M173" s="65">
        <v>0</v>
      </c>
      <c r="N173" s="65">
        <v>3</v>
      </c>
      <c r="O173" s="65">
        <v>3</v>
      </c>
      <c r="P173" s="63">
        <v>0</v>
      </c>
      <c r="Q173" s="82">
        <v>3</v>
      </c>
      <c r="R173" s="38">
        <v>3</v>
      </c>
      <c r="S173" s="27">
        <v>0</v>
      </c>
      <c r="T173" s="29">
        <v>0</v>
      </c>
      <c r="U173" s="56">
        <v>0</v>
      </c>
      <c r="V173" s="29">
        <v>0</v>
      </c>
      <c r="W173" s="29">
        <v>0</v>
      </c>
      <c r="X173" s="37">
        <v>0</v>
      </c>
      <c r="Y173" s="29">
        <v>3</v>
      </c>
      <c r="Z173" s="29">
        <v>0</v>
      </c>
      <c r="AA173" s="29">
        <v>0</v>
      </c>
      <c r="AB173" s="29">
        <v>0</v>
      </c>
      <c r="AC173" s="29">
        <v>0</v>
      </c>
      <c r="AD173" s="37">
        <v>3</v>
      </c>
      <c r="AE173" s="29">
        <v>0</v>
      </c>
      <c r="AF173" s="29">
        <v>0</v>
      </c>
      <c r="AG173" s="29">
        <v>0</v>
      </c>
      <c r="AH173" s="29">
        <v>0</v>
      </c>
      <c r="AI173" s="29">
        <v>0</v>
      </c>
      <c r="AJ173" s="37">
        <v>0</v>
      </c>
      <c r="AK173" s="49">
        <v>3</v>
      </c>
      <c r="AL173" s="49">
        <v>3</v>
      </c>
      <c r="AM173" s="56">
        <v>0</v>
      </c>
      <c r="AN173" s="49">
        <v>4</v>
      </c>
      <c r="AO173" s="29">
        <v>0</v>
      </c>
      <c r="AP173" s="38">
        <v>3.3333333333333335</v>
      </c>
      <c r="AQ173" s="27">
        <v>1</v>
      </c>
      <c r="AR173" s="29">
        <v>0</v>
      </c>
      <c r="AS173" s="49">
        <v>0</v>
      </c>
      <c r="AT173" s="29">
        <v>0</v>
      </c>
      <c r="AU173" s="29">
        <v>0</v>
      </c>
      <c r="AV173" s="37">
        <v>1</v>
      </c>
      <c r="AW173" s="29">
        <v>0</v>
      </c>
      <c r="AX173" s="29">
        <v>0</v>
      </c>
      <c r="AY173" s="29">
        <v>0</v>
      </c>
      <c r="AZ173" s="27">
        <v>4</v>
      </c>
      <c r="BA173" s="57">
        <v>4</v>
      </c>
      <c r="BB173" s="85">
        <v>4</v>
      </c>
    </row>
    <row r="174" spans="1:54" ht="23.1" customHeight="1" x14ac:dyDescent="0.3">
      <c r="A174" s="87">
        <v>170</v>
      </c>
      <c r="B174" s="70" t="s">
        <v>395</v>
      </c>
      <c r="C174" s="71" t="s">
        <v>396</v>
      </c>
      <c r="D174" s="70" t="s">
        <v>542</v>
      </c>
      <c r="E174" s="70" t="s">
        <v>493</v>
      </c>
      <c r="F174" s="70" t="str">
        <f>REPT(CHAR(160),10)&amp;Working!$E174</f>
        <v>          C</v>
      </c>
      <c r="G174" s="61">
        <v>0</v>
      </c>
      <c r="H174" s="61">
        <v>0</v>
      </c>
      <c r="I174" s="61">
        <v>4</v>
      </c>
      <c r="J174" s="61">
        <v>0</v>
      </c>
      <c r="K174" s="72">
        <v>0</v>
      </c>
      <c r="L174" s="67">
        <v>4</v>
      </c>
      <c r="M174" s="61">
        <v>0</v>
      </c>
      <c r="N174" s="61">
        <v>4</v>
      </c>
      <c r="O174" s="61">
        <v>4</v>
      </c>
      <c r="P174" s="70">
        <v>0</v>
      </c>
      <c r="Q174" s="81">
        <v>4</v>
      </c>
      <c r="R174" s="38">
        <v>4</v>
      </c>
      <c r="S174" s="27">
        <v>0</v>
      </c>
      <c r="T174" s="16">
        <v>0</v>
      </c>
      <c r="U174" s="20">
        <v>0</v>
      </c>
      <c r="V174" s="16">
        <v>0</v>
      </c>
      <c r="W174" s="16">
        <v>0</v>
      </c>
      <c r="X174" s="37">
        <v>0</v>
      </c>
      <c r="Y174" s="16">
        <v>4</v>
      </c>
      <c r="Z174" s="16">
        <v>0</v>
      </c>
      <c r="AA174" s="16">
        <v>0</v>
      </c>
      <c r="AB174" s="16">
        <v>0</v>
      </c>
      <c r="AC174" s="16">
        <v>0</v>
      </c>
      <c r="AD174" s="37">
        <v>4</v>
      </c>
      <c r="AE174" s="16">
        <v>0</v>
      </c>
      <c r="AF174" s="16">
        <v>0</v>
      </c>
      <c r="AG174" s="16">
        <v>0</v>
      </c>
      <c r="AH174" s="16">
        <v>0</v>
      </c>
      <c r="AI174" s="16">
        <v>0</v>
      </c>
      <c r="AJ174" s="37">
        <v>0</v>
      </c>
      <c r="AK174" s="7">
        <v>3</v>
      </c>
      <c r="AL174" s="7">
        <v>2</v>
      </c>
      <c r="AM174" s="20">
        <v>0</v>
      </c>
      <c r="AN174" s="7">
        <v>4</v>
      </c>
      <c r="AO174" s="16">
        <v>0</v>
      </c>
      <c r="AP174" s="38">
        <v>3</v>
      </c>
      <c r="AQ174" s="27">
        <v>4</v>
      </c>
      <c r="AR174" s="16">
        <v>0</v>
      </c>
      <c r="AS174" s="7">
        <v>0</v>
      </c>
      <c r="AT174" s="16">
        <v>0</v>
      </c>
      <c r="AU174" s="16">
        <v>0</v>
      </c>
      <c r="AV174" s="37">
        <v>4</v>
      </c>
      <c r="AW174" s="16">
        <v>0</v>
      </c>
      <c r="AX174" s="16">
        <v>0</v>
      </c>
      <c r="AY174" s="29">
        <v>0</v>
      </c>
      <c r="AZ174" s="27">
        <v>5</v>
      </c>
      <c r="BA174" s="57">
        <v>4</v>
      </c>
      <c r="BB174" s="85">
        <v>4.5</v>
      </c>
    </row>
    <row r="175" spans="1:54" ht="23.1" customHeight="1" x14ac:dyDescent="0.3">
      <c r="A175" s="86">
        <v>171</v>
      </c>
      <c r="B175" s="63" t="s">
        <v>285</v>
      </c>
      <c r="C175" s="64" t="s">
        <v>286</v>
      </c>
      <c r="D175" s="63" t="s">
        <v>542</v>
      </c>
      <c r="E175" s="63" t="s">
        <v>161</v>
      </c>
      <c r="F175" s="63" t="str">
        <f>REPT(CHAR(160),10)&amp;Working!$E175</f>
        <v>          B</v>
      </c>
      <c r="G175" s="65">
        <v>0</v>
      </c>
      <c r="H175" s="65">
        <v>0</v>
      </c>
      <c r="I175" s="65">
        <v>3</v>
      </c>
      <c r="J175" s="65">
        <v>0</v>
      </c>
      <c r="K175" s="66">
        <v>0</v>
      </c>
      <c r="L175" s="67">
        <v>3</v>
      </c>
      <c r="M175" s="65">
        <v>0</v>
      </c>
      <c r="N175" s="65">
        <v>4</v>
      </c>
      <c r="O175" s="65">
        <v>3</v>
      </c>
      <c r="P175" s="63">
        <v>0</v>
      </c>
      <c r="Q175" s="82">
        <v>3</v>
      </c>
      <c r="R175" s="38">
        <v>3.3333333333333335</v>
      </c>
      <c r="S175" s="27">
        <v>0</v>
      </c>
      <c r="T175" s="29">
        <v>0</v>
      </c>
      <c r="U175" s="56">
        <v>0</v>
      </c>
      <c r="V175" s="29">
        <v>0</v>
      </c>
      <c r="W175" s="29">
        <v>0</v>
      </c>
      <c r="X175" s="37">
        <v>0</v>
      </c>
      <c r="Y175" s="29">
        <v>3</v>
      </c>
      <c r="Z175" s="29">
        <v>0</v>
      </c>
      <c r="AA175" s="29">
        <v>0</v>
      </c>
      <c r="AB175" s="29">
        <v>0</v>
      </c>
      <c r="AC175" s="29">
        <v>0</v>
      </c>
      <c r="AD175" s="37">
        <v>3</v>
      </c>
      <c r="AE175" s="29">
        <v>0</v>
      </c>
      <c r="AF175" s="29">
        <v>0</v>
      </c>
      <c r="AG175" s="29">
        <v>0</v>
      </c>
      <c r="AH175" s="29">
        <v>0</v>
      </c>
      <c r="AI175" s="29">
        <v>0</v>
      </c>
      <c r="AJ175" s="37">
        <v>0</v>
      </c>
      <c r="AK175" s="49">
        <v>4</v>
      </c>
      <c r="AL175" s="49">
        <v>3</v>
      </c>
      <c r="AM175" s="56">
        <v>0</v>
      </c>
      <c r="AN175" s="49">
        <v>4</v>
      </c>
      <c r="AO175" s="29">
        <v>0</v>
      </c>
      <c r="AP175" s="38">
        <v>3.6666666666666665</v>
      </c>
      <c r="AQ175" s="27">
        <v>3</v>
      </c>
      <c r="AR175" s="29">
        <v>0</v>
      </c>
      <c r="AS175" s="49">
        <v>0</v>
      </c>
      <c r="AT175" s="29">
        <v>0</v>
      </c>
      <c r="AU175" s="29">
        <v>0</v>
      </c>
      <c r="AV175" s="37">
        <v>3</v>
      </c>
      <c r="AW175" s="29">
        <v>0</v>
      </c>
      <c r="AX175" s="29">
        <v>0</v>
      </c>
      <c r="AY175" s="29">
        <v>0</v>
      </c>
      <c r="AZ175" s="27">
        <v>4</v>
      </c>
      <c r="BA175" s="57">
        <v>3</v>
      </c>
      <c r="BB175" s="85">
        <v>3.5</v>
      </c>
    </row>
    <row r="176" spans="1:54" ht="23.1" customHeight="1" x14ac:dyDescent="0.3">
      <c r="A176" s="87">
        <v>172</v>
      </c>
      <c r="B176" s="70" t="s">
        <v>397</v>
      </c>
      <c r="C176" s="71" t="s">
        <v>539</v>
      </c>
      <c r="D176" s="70" t="s">
        <v>542</v>
      </c>
      <c r="E176" s="70" t="s">
        <v>289</v>
      </c>
      <c r="F176" s="70" t="str">
        <f>REPT(CHAR(160),10)&amp;Working!$E176</f>
        <v>          D</v>
      </c>
      <c r="G176" s="61">
        <v>0</v>
      </c>
      <c r="H176" s="61">
        <v>0</v>
      </c>
      <c r="I176" s="61">
        <v>0</v>
      </c>
      <c r="J176" s="61">
        <v>0</v>
      </c>
      <c r="K176" s="72">
        <v>0</v>
      </c>
      <c r="L176" s="67">
        <v>0</v>
      </c>
      <c r="M176" s="61">
        <v>0</v>
      </c>
      <c r="N176" s="61">
        <v>0</v>
      </c>
      <c r="O176" s="61">
        <v>0</v>
      </c>
      <c r="P176" s="70">
        <v>0</v>
      </c>
      <c r="Q176" s="81">
        <v>0</v>
      </c>
      <c r="R176" s="38">
        <v>0</v>
      </c>
      <c r="S176" s="27">
        <v>0</v>
      </c>
      <c r="T176" s="16">
        <v>0</v>
      </c>
      <c r="U176" s="20">
        <v>0</v>
      </c>
      <c r="V176" s="16">
        <v>0</v>
      </c>
      <c r="W176" s="16">
        <v>0</v>
      </c>
      <c r="X176" s="37">
        <v>0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37">
        <v>0</v>
      </c>
      <c r="AE176" s="16">
        <v>0</v>
      </c>
      <c r="AF176" s="16">
        <v>0</v>
      </c>
      <c r="AG176" s="16">
        <v>0</v>
      </c>
      <c r="AH176" s="16">
        <v>0</v>
      </c>
      <c r="AI176" s="16">
        <v>0</v>
      </c>
      <c r="AJ176" s="37">
        <v>0</v>
      </c>
      <c r="AK176" s="7">
        <v>0</v>
      </c>
      <c r="AL176" s="7">
        <v>0</v>
      </c>
      <c r="AM176" s="20">
        <v>0</v>
      </c>
      <c r="AN176" s="7">
        <v>0</v>
      </c>
      <c r="AO176" s="16">
        <v>0</v>
      </c>
      <c r="AP176" s="38">
        <v>0</v>
      </c>
      <c r="AQ176" s="27">
        <v>0</v>
      </c>
      <c r="AR176" s="16">
        <v>0</v>
      </c>
      <c r="AS176" s="7">
        <v>0</v>
      </c>
      <c r="AT176" s="16">
        <v>0</v>
      </c>
      <c r="AU176" s="16">
        <v>0</v>
      </c>
      <c r="AV176" s="37">
        <v>0</v>
      </c>
      <c r="AW176" s="16">
        <v>0</v>
      </c>
      <c r="AX176" s="16">
        <v>0</v>
      </c>
      <c r="AY176" s="29">
        <v>0</v>
      </c>
      <c r="AZ176" s="27">
        <v>0</v>
      </c>
      <c r="BA176" s="57">
        <v>0</v>
      </c>
      <c r="BB176" s="85">
        <v>0</v>
      </c>
    </row>
    <row r="177" spans="1:54" ht="23.1" customHeight="1" x14ac:dyDescent="0.3">
      <c r="A177" s="86">
        <v>173</v>
      </c>
      <c r="B177" s="63" t="s">
        <v>398</v>
      </c>
      <c r="C177" s="64" t="s">
        <v>399</v>
      </c>
      <c r="D177" s="63" t="s">
        <v>542</v>
      </c>
      <c r="E177" s="63" t="s">
        <v>493</v>
      </c>
      <c r="F177" s="63" t="str">
        <f>REPT(CHAR(160),10)&amp;Working!$E177</f>
        <v>          C</v>
      </c>
      <c r="G177" s="65">
        <v>0</v>
      </c>
      <c r="H177" s="65">
        <v>0</v>
      </c>
      <c r="I177" s="65">
        <v>3</v>
      </c>
      <c r="J177" s="65">
        <v>0</v>
      </c>
      <c r="K177" s="66">
        <v>0</v>
      </c>
      <c r="L177" s="67">
        <v>3</v>
      </c>
      <c r="M177" s="65">
        <v>0</v>
      </c>
      <c r="N177" s="65">
        <v>4</v>
      </c>
      <c r="O177" s="65">
        <v>3</v>
      </c>
      <c r="P177" s="63">
        <v>0</v>
      </c>
      <c r="Q177" s="82">
        <v>3</v>
      </c>
      <c r="R177" s="38">
        <v>3.3333333333333335</v>
      </c>
      <c r="S177" s="27">
        <v>0</v>
      </c>
      <c r="T177" s="29">
        <v>0</v>
      </c>
      <c r="U177" s="56">
        <v>0</v>
      </c>
      <c r="V177" s="29">
        <v>0</v>
      </c>
      <c r="W177" s="29">
        <v>0</v>
      </c>
      <c r="X177" s="37">
        <v>0</v>
      </c>
      <c r="Y177" s="29">
        <v>3</v>
      </c>
      <c r="Z177" s="29">
        <v>0</v>
      </c>
      <c r="AA177" s="29">
        <v>0</v>
      </c>
      <c r="AB177" s="29">
        <v>0</v>
      </c>
      <c r="AC177" s="29">
        <v>0</v>
      </c>
      <c r="AD177" s="37">
        <v>3</v>
      </c>
      <c r="AE177" s="29">
        <v>0</v>
      </c>
      <c r="AF177" s="29">
        <v>0</v>
      </c>
      <c r="AG177" s="29">
        <v>0</v>
      </c>
      <c r="AH177" s="29">
        <v>0</v>
      </c>
      <c r="AI177" s="29">
        <v>0</v>
      </c>
      <c r="AJ177" s="37">
        <v>0</v>
      </c>
      <c r="AK177" s="49">
        <v>3</v>
      </c>
      <c r="AL177" s="49">
        <v>2</v>
      </c>
      <c r="AM177" s="56">
        <v>0</v>
      </c>
      <c r="AN177" s="49">
        <v>3</v>
      </c>
      <c r="AO177" s="29">
        <v>0</v>
      </c>
      <c r="AP177" s="38">
        <v>2.6666666666666665</v>
      </c>
      <c r="AQ177" s="27">
        <v>1</v>
      </c>
      <c r="AR177" s="29">
        <v>0</v>
      </c>
      <c r="AS177" s="49">
        <v>0</v>
      </c>
      <c r="AT177" s="29">
        <v>0</v>
      </c>
      <c r="AU177" s="29">
        <v>0</v>
      </c>
      <c r="AV177" s="37">
        <v>1</v>
      </c>
      <c r="AW177" s="29">
        <v>0</v>
      </c>
      <c r="AX177" s="29">
        <v>0</v>
      </c>
      <c r="AY177" s="29">
        <v>0</v>
      </c>
      <c r="AZ177" s="27">
        <v>3</v>
      </c>
      <c r="BA177" s="57">
        <v>3</v>
      </c>
      <c r="BB177" s="85">
        <v>3</v>
      </c>
    </row>
    <row r="178" spans="1:54" ht="23.1" customHeight="1" x14ac:dyDescent="0.3">
      <c r="A178" s="87">
        <v>174</v>
      </c>
      <c r="B178" s="70" t="s">
        <v>400</v>
      </c>
      <c r="C178" s="71" t="s">
        <v>401</v>
      </c>
      <c r="D178" s="70" t="s">
        <v>542</v>
      </c>
      <c r="E178" s="70" t="s">
        <v>493</v>
      </c>
      <c r="F178" s="70" t="str">
        <f>REPT(CHAR(160),10)&amp;Working!$E178</f>
        <v>          C</v>
      </c>
      <c r="G178" s="61">
        <v>0</v>
      </c>
      <c r="H178" s="61">
        <v>0</v>
      </c>
      <c r="I178" s="61">
        <v>4</v>
      </c>
      <c r="J178" s="61">
        <v>0</v>
      </c>
      <c r="K178" s="72">
        <v>0</v>
      </c>
      <c r="L178" s="67">
        <v>4</v>
      </c>
      <c r="M178" s="61">
        <v>0</v>
      </c>
      <c r="N178" s="61">
        <v>4</v>
      </c>
      <c r="O178" s="61">
        <v>4</v>
      </c>
      <c r="P178" s="70">
        <v>0</v>
      </c>
      <c r="Q178" s="81">
        <v>4</v>
      </c>
      <c r="R178" s="38">
        <v>4</v>
      </c>
      <c r="S178" s="27">
        <v>0</v>
      </c>
      <c r="T178" s="16">
        <v>0</v>
      </c>
      <c r="U178" s="20">
        <v>0</v>
      </c>
      <c r="V178" s="16">
        <v>0</v>
      </c>
      <c r="W178" s="16">
        <v>0</v>
      </c>
      <c r="X178" s="37">
        <v>0</v>
      </c>
      <c r="Y178" s="16">
        <v>4</v>
      </c>
      <c r="Z178" s="16">
        <v>0</v>
      </c>
      <c r="AA178" s="16">
        <v>0</v>
      </c>
      <c r="AB178" s="16">
        <v>0</v>
      </c>
      <c r="AC178" s="16">
        <v>0</v>
      </c>
      <c r="AD178" s="37">
        <v>4</v>
      </c>
      <c r="AE178" s="16">
        <v>0</v>
      </c>
      <c r="AF178" s="16">
        <v>0</v>
      </c>
      <c r="AG178" s="16">
        <v>0</v>
      </c>
      <c r="AH178" s="16">
        <v>0</v>
      </c>
      <c r="AI178" s="16">
        <v>0</v>
      </c>
      <c r="AJ178" s="37">
        <v>0</v>
      </c>
      <c r="AK178" s="7">
        <v>4</v>
      </c>
      <c r="AL178" s="7">
        <v>3</v>
      </c>
      <c r="AM178" s="20">
        <v>0</v>
      </c>
      <c r="AN178" s="7">
        <v>4</v>
      </c>
      <c r="AO178" s="16">
        <v>0</v>
      </c>
      <c r="AP178" s="38">
        <v>3.6666666666666665</v>
      </c>
      <c r="AQ178" s="27">
        <v>3</v>
      </c>
      <c r="AR178" s="16">
        <v>0</v>
      </c>
      <c r="AS178" s="7">
        <v>0</v>
      </c>
      <c r="AT178" s="16">
        <v>0</v>
      </c>
      <c r="AU178" s="16">
        <v>0</v>
      </c>
      <c r="AV178" s="37">
        <v>3</v>
      </c>
      <c r="AW178" s="16">
        <v>0</v>
      </c>
      <c r="AX178" s="16">
        <v>0</v>
      </c>
      <c r="AY178" s="29">
        <v>0</v>
      </c>
      <c r="AZ178" s="27">
        <v>4</v>
      </c>
      <c r="BA178" s="57">
        <v>3</v>
      </c>
      <c r="BB178" s="85">
        <v>3.5</v>
      </c>
    </row>
    <row r="179" spans="1:54" ht="23.1" customHeight="1" x14ac:dyDescent="0.3">
      <c r="A179" s="86">
        <v>175</v>
      </c>
      <c r="B179" s="63" t="s">
        <v>120</v>
      </c>
      <c r="C179" s="64" t="s">
        <v>121</v>
      </c>
      <c r="D179" s="63" t="s">
        <v>450</v>
      </c>
      <c r="E179" s="63" t="s">
        <v>35</v>
      </c>
      <c r="F179" s="63" t="str">
        <f>REPT(CHAR(160),10)&amp;Working!$E179</f>
        <v>          A</v>
      </c>
      <c r="G179" s="65">
        <v>0</v>
      </c>
      <c r="H179" s="65">
        <v>0</v>
      </c>
      <c r="I179" s="65">
        <v>3</v>
      </c>
      <c r="J179" s="65">
        <v>0</v>
      </c>
      <c r="K179" s="66">
        <v>0</v>
      </c>
      <c r="L179" s="67">
        <v>3</v>
      </c>
      <c r="M179" s="65">
        <v>0</v>
      </c>
      <c r="N179" s="65">
        <v>3</v>
      </c>
      <c r="O179" s="65">
        <v>4</v>
      </c>
      <c r="P179" s="63">
        <v>0</v>
      </c>
      <c r="Q179" s="82">
        <v>4</v>
      </c>
      <c r="R179" s="38">
        <v>3.6666666666666665</v>
      </c>
      <c r="S179" s="27">
        <v>0</v>
      </c>
      <c r="T179" s="29">
        <v>0</v>
      </c>
      <c r="U179" s="56">
        <v>0</v>
      </c>
      <c r="V179" s="29">
        <v>0</v>
      </c>
      <c r="W179" s="29">
        <v>0</v>
      </c>
      <c r="X179" s="37">
        <v>0</v>
      </c>
      <c r="Y179" s="29">
        <v>4</v>
      </c>
      <c r="Z179" s="29">
        <v>0</v>
      </c>
      <c r="AA179" s="29">
        <v>0</v>
      </c>
      <c r="AB179" s="29">
        <v>0</v>
      </c>
      <c r="AC179" s="29">
        <v>0</v>
      </c>
      <c r="AD179" s="37">
        <v>4</v>
      </c>
      <c r="AE179" s="29">
        <v>0</v>
      </c>
      <c r="AF179" s="29">
        <v>0</v>
      </c>
      <c r="AG179" s="29">
        <v>0</v>
      </c>
      <c r="AH179" s="29">
        <v>0</v>
      </c>
      <c r="AI179" s="29">
        <v>0</v>
      </c>
      <c r="AJ179" s="37">
        <v>0</v>
      </c>
      <c r="AK179" s="49">
        <v>3</v>
      </c>
      <c r="AL179" s="49">
        <v>4</v>
      </c>
      <c r="AM179" s="56">
        <v>0</v>
      </c>
      <c r="AN179" s="49">
        <v>4</v>
      </c>
      <c r="AO179" s="29">
        <v>0</v>
      </c>
      <c r="AP179" s="38">
        <v>3.6666666666666665</v>
      </c>
      <c r="AQ179" s="27">
        <v>3</v>
      </c>
      <c r="AR179" s="29">
        <v>0</v>
      </c>
      <c r="AS179" s="49">
        <v>0</v>
      </c>
      <c r="AT179" s="29">
        <v>0</v>
      </c>
      <c r="AU179" s="29">
        <v>0</v>
      </c>
      <c r="AV179" s="37">
        <v>3</v>
      </c>
      <c r="AW179" s="29">
        <v>0</v>
      </c>
      <c r="AX179" s="29">
        <v>0</v>
      </c>
      <c r="AY179" s="29">
        <v>0</v>
      </c>
      <c r="AZ179" s="27">
        <v>4</v>
      </c>
      <c r="BA179" s="57">
        <v>3</v>
      </c>
      <c r="BB179" s="85">
        <v>3.5</v>
      </c>
    </row>
    <row r="180" spans="1:54" ht="23.1" customHeight="1" x14ac:dyDescent="0.3">
      <c r="A180" s="87">
        <v>176</v>
      </c>
      <c r="B180" s="70" t="s">
        <v>402</v>
      </c>
      <c r="C180" s="71" t="s">
        <v>403</v>
      </c>
      <c r="D180" s="70" t="s">
        <v>450</v>
      </c>
      <c r="E180" s="70" t="s">
        <v>493</v>
      </c>
      <c r="F180" s="70" t="str">
        <f>REPT(CHAR(160),10)&amp;Working!$E180</f>
        <v>          C</v>
      </c>
      <c r="G180" s="61">
        <v>0</v>
      </c>
      <c r="H180" s="61">
        <v>0</v>
      </c>
      <c r="I180" s="61">
        <v>0</v>
      </c>
      <c r="J180" s="61">
        <v>0</v>
      </c>
      <c r="K180" s="72">
        <v>0</v>
      </c>
      <c r="L180" s="67">
        <v>0</v>
      </c>
      <c r="M180" s="61">
        <v>0</v>
      </c>
      <c r="N180" s="61">
        <v>0</v>
      </c>
      <c r="O180" s="61">
        <v>0</v>
      </c>
      <c r="P180" s="70">
        <v>0</v>
      </c>
      <c r="Q180" s="81">
        <v>0</v>
      </c>
      <c r="R180" s="38">
        <v>0</v>
      </c>
      <c r="S180" s="27">
        <v>0</v>
      </c>
      <c r="T180" s="16">
        <v>0</v>
      </c>
      <c r="U180" s="20">
        <v>0</v>
      </c>
      <c r="V180" s="16">
        <v>0</v>
      </c>
      <c r="W180" s="16">
        <v>0</v>
      </c>
      <c r="X180" s="37">
        <v>0</v>
      </c>
      <c r="Y180" s="16">
        <v>0</v>
      </c>
      <c r="Z180" s="16">
        <v>0</v>
      </c>
      <c r="AA180" s="16">
        <v>0</v>
      </c>
      <c r="AB180" s="16">
        <v>0</v>
      </c>
      <c r="AC180" s="16">
        <v>0</v>
      </c>
      <c r="AD180" s="37">
        <v>0</v>
      </c>
      <c r="AE180" s="16">
        <v>0</v>
      </c>
      <c r="AF180" s="16">
        <v>0</v>
      </c>
      <c r="AG180" s="16">
        <v>0</v>
      </c>
      <c r="AH180" s="16">
        <v>0</v>
      </c>
      <c r="AI180" s="16">
        <v>0</v>
      </c>
      <c r="AJ180" s="37">
        <v>0</v>
      </c>
      <c r="AK180" s="7">
        <v>0</v>
      </c>
      <c r="AL180" s="7">
        <v>0</v>
      </c>
      <c r="AM180" s="20">
        <v>0</v>
      </c>
      <c r="AN180" s="7">
        <v>0</v>
      </c>
      <c r="AO180" s="16">
        <v>0</v>
      </c>
      <c r="AP180" s="38">
        <v>0</v>
      </c>
      <c r="AQ180" s="27">
        <v>0</v>
      </c>
      <c r="AR180" s="16">
        <v>0</v>
      </c>
      <c r="AS180" s="7">
        <v>0</v>
      </c>
      <c r="AT180" s="16">
        <v>0</v>
      </c>
      <c r="AU180" s="16">
        <v>0</v>
      </c>
      <c r="AV180" s="37">
        <v>0</v>
      </c>
      <c r="AW180" s="16">
        <v>0</v>
      </c>
      <c r="AX180" s="16">
        <v>0</v>
      </c>
      <c r="AY180" s="29">
        <v>0</v>
      </c>
      <c r="AZ180" s="27">
        <v>0</v>
      </c>
      <c r="BA180" s="57">
        <v>0</v>
      </c>
      <c r="BB180" s="85">
        <v>0</v>
      </c>
    </row>
    <row r="181" spans="1:54" ht="23.1" customHeight="1" x14ac:dyDescent="0.3">
      <c r="A181" s="86">
        <v>177</v>
      </c>
      <c r="B181" s="63" t="s">
        <v>271</v>
      </c>
      <c r="C181" s="64" t="s">
        <v>272</v>
      </c>
      <c r="D181" s="63" t="s">
        <v>450</v>
      </c>
      <c r="E181" s="63" t="s">
        <v>161</v>
      </c>
      <c r="F181" s="63" t="str">
        <f>REPT(CHAR(160),10)&amp;Working!$E181</f>
        <v>          B</v>
      </c>
      <c r="G181" s="65">
        <v>0</v>
      </c>
      <c r="H181" s="65">
        <v>0</v>
      </c>
      <c r="I181" s="65">
        <v>3</v>
      </c>
      <c r="J181" s="65">
        <v>0</v>
      </c>
      <c r="K181" s="66">
        <v>0</v>
      </c>
      <c r="L181" s="67">
        <v>3</v>
      </c>
      <c r="M181" s="65">
        <v>0</v>
      </c>
      <c r="N181" s="65">
        <v>4</v>
      </c>
      <c r="O181" s="65">
        <v>4</v>
      </c>
      <c r="P181" s="63">
        <v>0</v>
      </c>
      <c r="Q181" s="82">
        <v>4</v>
      </c>
      <c r="R181" s="38">
        <v>4</v>
      </c>
      <c r="S181" s="27">
        <v>0</v>
      </c>
      <c r="T181" s="29">
        <v>0</v>
      </c>
      <c r="U181" s="56">
        <v>0</v>
      </c>
      <c r="V181" s="29">
        <v>0</v>
      </c>
      <c r="W181" s="29">
        <v>0</v>
      </c>
      <c r="X181" s="37">
        <v>0</v>
      </c>
      <c r="Y181" s="29">
        <v>3</v>
      </c>
      <c r="Z181" s="29">
        <v>0</v>
      </c>
      <c r="AA181" s="29">
        <v>0</v>
      </c>
      <c r="AB181" s="29">
        <v>0</v>
      </c>
      <c r="AC181" s="29">
        <v>0</v>
      </c>
      <c r="AD181" s="37">
        <v>3</v>
      </c>
      <c r="AE181" s="29">
        <v>0</v>
      </c>
      <c r="AF181" s="29">
        <v>0</v>
      </c>
      <c r="AG181" s="29">
        <v>0</v>
      </c>
      <c r="AH181" s="29">
        <v>0</v>
      </c>
      <c r="AI181" s="29">
        <v>0</v>
      </c>
      <c r="AJ181" s="37">
        <v>0</v>
      </c>
      <c r="AK181" s="49">
        <v>3</v>
      </c>
      <c r="AL181" s="49">
        <v>3</v>
      </c>
      <c r="AM181" s="56">
        <v>0</v>
      </c>
      <c r="AN181" s="49">
        <v>4</v>
      </c>
      <c r="AO181" s="29">
        <v>0</v>
      </c>
      <c r="AP181" s="38">
        <v>3.3333333333333335</v>
      </c>
      <c r="AQ181" s="27">
        <v>3</v>
      </c>
      <c r="AR181" s="29">
        <v>0</v>
      </c>
      <c r="AS181" s="49">
        <v>0</v>
      </c>
      <c r="AT181" s="29">
        <v>0</v>
      </c>
      <c r="AU181" s="29">
        <v>0</v>
      </c>
      <c r="AV181" s="37">
        <v>3</v>
      </c>
      <c r="AW181" s="29">
        <v>0</v>
      </c>
      <c r="AX181" s="29">
        <v>0</v>
      </c>
      <c r="AY181" s="29">
        <v>0</v>
      </c>
      <c r="AZ181" s="27">
        <v>4</v>
      </c>
      <c r="BA181" s="57">
        <v>3</v>
      </c>
      <c r="BB181" s="85">
        <v>3.5</v>
      </c>
    </row>
    <row r="182" spans="1:54" ht="23.1" customHeight="1" x14ac:dyDescent="0.3">
      <c r="A182" s="87">
        <v>178</v>
      </c>
      <c r="B182" s="70" t="s">
        <v>52</v>
      </c>
      <c r="C182" s="71" t="s">
        <v>53</v>
      </c>
      <c r="D182" s="70" t="s">
        <v>542</v>
      </c>
      <c r="E182" s="70" t="s">
        <v>35</v>
      </c>
      <c r="F182" s="70" t="str">
        <f>REPT(CHAR(160),10)&amp;Working!$E182</f>
        <v>          A</v>
      </c>
      <c r="G182" s="61">
        <v>0</v>
      </c>
      <c r="H182" s="61">
        <v>0</v>
      </c>
      <c r="I182" s="61">
        <v>5</v>
      </c>
      <c r="J182" s="61">
        <v>0</v>
      </c>
      <c r="K182" s="72">
        <v>0</v>
      </c>
      <c r="L182" s="67">
        <v>5</v>
      </c>
      <c r="M182" s="61">
        <v>0</v>
      </c>
      <c r="N182" s="61">
        <v>5</v>
      </c>
      <c r="O182" s="61">
        <v>4</v>
      </c>
      <c r="P182" s="70">
        <v>0</v>
      </c>
      <c r="Q182" s="81">
        <v>4</v>
      </c>
      <c r="R182" s="38">
        <v>4.333333333333333</v>
      </c>
      <c r="S182" s="27">
        <v>0</v>
      </c>
      <c r="T182" s="16">
        <v>0</v>
      </c>
      <c r="U182" s="20">
        <v>0</v>
      </c>
      <c r="V182" s="16">
        <v>0</v>
      </c>
      <c r="W182" s="16">
        <v>0</v>
      </c>
      <c r="X182" s="37">
        <v>0</v>
      </c>
      <c r="Y182" s="16">
        <v>5</v>
      </c>
      <c r="Z182" s="16">
        <v>0</v>
      </c>
      <c r="AA182" s="16">
        <v>0</v>
      </c>
      <c r="AB182" s="16">
        <v>0</v>
      </c>
      <c r="AC182" s="16">
        <v>0</v>
      </c>
      <c r="AD182" s="37">
        <v>5</v>
      </c>
      <c r="AE182" s="16">
        <v>0</v>
      </c>
      <c r="AF182" s="16">
        <v>0</v>
      </c>
      <c r="AG182" s="16">
        <v>0</v>
      </c>
      <c r="AH182" s="16">
        <v>0</v>
      </c>
      <c r="AI182" s="16">
        <v>0</v>
      </c>
      <c r="AJ182" s="37">
        <v>0</v>
      </c>
      <c r="AK182" s="7">
        <v>5</v>
      </c>
      <c r="AL182" s="7">
        <v>5</v>
      </c>
      <c r="AM182" s="20">
        <v>0</v>
      </c>
      <c r="AN182" s="7">
        <v>5</v>
      </c>
      <c r="AO182" s="16">
        <v>0</v>
      </c>
      <c r="AP182" s="38">
        <v>5</v>
      </c>
      <c r="AQ182" s="27">
        <v>5</v>
      </c>
      <c r="AR182" s="16">
        <v>0</v>
      </c>
      <c r="AS182" s="7">
        <v>0</v>
      </c>
      <c r="AT182" s="16">
        <v>0</v>
      </c>
      <c r="AU182" s="16">
        <v>0</v>
      </c>
      <c r="AV182" s="37">
        <v>5</v>
      </c>
      <c r="AW182" s="16">
        <v>0</v>
      </c>
      <c r="AX182" s="16">
        <v>0</v>
      </c>
      <c r="AY182" s="29">
        <v>0</v>
      </c>
      <c r="AZ182" s="27">
        <v>5</v>
      </c>
      <c r="BA182" s="57">
        <v>5</v>
      </c>
      <c r="BB182" s="85">
        <v>5</v>
      </c>
    </row>
    <row r="183" spans="1:54" ht="23.1" customHeight="1" x14ac:dyDescent="0.3">
      <c r="A183" s="86">
        <v>179</v>
      </c>
      <c r="B183" s="63" t="s">
        <v>239</v>
      </c>
      <c r="C183" s="64" t="s">
        <v>240</v>
      </c>
      <c r="D183" s="63" t="s">
        <v>542</v>
      </c>
      <c r="E183" s="63" t="s">
        <v>161</v>
      </c>
      <c r="F183" s="63" t="str">
        <f>REPT(CHAR(160),10)&amp;Working!$E183</f>
        <v>          B</v>
      </c>
      <c r="G183" s="65">
        <v>0</v>
      </c>
      <c r="H183" s="65">
        <v>0</v>
      </c>
      <c r="I183" s="65">
        <v>4</v>
      </c>
      <c r="J183" s="65">
        <v>0</v>
      </c>
      <c r="K183" s="66">
        <v>0</v>
      </c>
      <c r="L183" s="67">
        <v>4</v>
      </c>
      <c r="M183" s="65">
        <v>0</v>
      </c>
      <c r="N183" s="65">
        <v>5</v>
      </c>
      <c r="O183" s="65">
        <v>5</v>
      </c>
      <c r="P183" s="63">
        <v>0</v>
      </c>
      <c r="Q183" s="82">
        <v>5</v>
      </c>
      <c r="R183" s="38">
        <v>5</v>
      </c>
      <c r="S183" s="27">
        <v>0</v>
      </c>
      <c r="T183" s="29">
        <v>0</v>
      </c>
      <c r="U183" s="56">
        <v>0</v>
      </c>
      <c r="V183" s="29">
        <v>0</v>
      </c>
      <c r="W183" s="29">
        <v>0</v>
      </c>
      <c r="X183" s="37">
        <v>0</v>
      </c>
      <c r="Y183" s="29">
        <v>4</v>
      </c>
      <c r="Z183" s="29">
        <v>0</v>
      </c>
      <c r="AA183" s="29">
        <v>0</v>
      </c>
      <c r="AB183" s="29">
        <v>0</v>
      </c>
      <c r="AC183" s="29">
        <v>0</v>
      </c>
      <c r="AD183" s="37">
        <v>4</v>
      </c>
      <c r="AE183" s="29">
        <v>0</v>
      </c>
      <c r="AF183" s="29">
        <v>0</v>
      </c>
      <c r="AG183" s="29">
        <v>0</v>
      </c>
      <c r="AH183" s="29">
        <v>0</v>
      </c>
      <c r="AI183" s="29">
        <v>0</v>
      </c>
      <c r="AJ183" s="37">
        <v>0</v>
      </c>
      <c r="AK183" s="49">
        <v>5</v>
      </c>
      <c r="AL183" s="49">
        <v>5</v>
      </c>
      <c r="AM183" s="56">
        <v>0</v>
      </c>
      <c r="AN183" s="49">
        <v>5</v>
      </c>
      <c r="AO183" s="29">
        <v>0</v>
      </c>
      <c r="AP183" s="38">
        <v>5</v>
      </c>
      <c r="AQ183" s="27">
        <v>5</v>
      </c>
      <c r="AR183" s="29">
        <v>0</v>
      </c>
      <c r="AS183" s="49">
        <v>0</v>
      </c>
      <c r="AT183" s="29">
        <v>0</v>
      </c>
      <c r="AU183" s="29">
        <v>0</v>
      </c>
      <c r="AV183" s="37">
        <v>5</v>
      </c>
      <c r="AW183" s="29">
        <v>0</v>
      </c>
      <c r="AX183" s="29">
        <v>0</v>
      </c>
      <c r="AY183" s="29">
        <v>0</v>
      </c>
      <c r="AZ183" s="27">
        <v>4</v>
      </c>
      <c r="BA183" s="57">
        <v>5</v>
      </c>
      <c r="BB183" s="85">
        <v>4.5</v>
      </c>
    </row>
    <row r="184" spans="1:54" ht="23.1" customHeight="1" x14ac:dyDescent="0.3">
      <c r="A184" s="87">
        <v>180</v>
      </c>
      <c r="B184" s="70" t="s">
        <v>255</v>
      </c>
      <c r="C184" s="71" t="s">
        <v>256</v>
      </c>
      <c r="D184" s="70" t="s">
        <v>450</v>
      </c>
      <c r="E184" s="70" t="s">
        <v>161</v>
      </c>
      <c r="F184" s="70" t="str">
        <f>REPT(CHAR(160),10)&amp;Working!$E184</f>
        <v>          B</v>
      </c>
      <c r="G184" s="61">
        <v>0</v>
      </c>
      <c r="H184" s="61">
        <v>0</v>
      </c>
      <c r="I184" s="61">
        <v>5</v>
      </c>
      <c r="J184" s="61">
        <v>0</v>
      </c>
      <c r="K184" s="72">
        <v>0</v>
      </c>
      <c r="L184" s="67">
        <v>5</v>
      </c>
      <c r="M184" s="61">
        <v>0</v>
      </c>
      <c r="N184" s="61">
        <v>5</v>
      </c>
      <c r="O184" s="61">
        <v>5</v>
      </c>
      <c r="P184" s="70">
        <v>0</v>
      </c>
      <c r="Q184" s="81">
        <v>5</v>
      </c>
      <c r="R184" s="38">
        <v>5</v>
      </c>
      <c r="S184" s="27">
        <v>0</v>
      </c>
      <c r="T184" s="16">
        <v>0</v>
      </c>
      <c r="U184" s="20">
        <v>0</v>
      </c>
      <c r="V184" s="16">
        <v>0</v>
      </c>
      <c r="W184" s="16">
        <v>0</v>
      </c>
      <c r="X184" s="37">
        <v>0</v>
      </c>
      <c r="Y184" s="16">
        <v>5</v>
      </c>
      <c r="Z184" s="16">
        <v>0</v>
      </c>
      <c r="AA184" s="16">
        <v>0</v>
      </c>
      <c r="AB184" s="16">
        <v>0</v>
      </c>
      <c r="AC184" s="16">
        <v>0</v>
      </c>
      <c r="AD184" s="37">
        <v>5</v>
      </c>
      <c r="AE184" s="16">
        <v>0</v>
      </c>
      <c r="AF184" s="16">
        <v>0</v>
      </c>
      <c r="AG184" s="16">
        <v>0</v>
      </c>
      <c r="AH184" s="16">
        <v>0</v>
      </c>
      <c r="AI184" s="16">
        <v>0</v>
      </c>
      <c r="AJ184" s="37">
        <v>0</v>
      </c>
      <c r="AK184" s="7">
        <v>4</v>
      </c>
      <c r="AL184" s="7">
        <v>5</v>
      </c>
      <c r="AM184" s="20">
        <v>0</v>
      </c>
      <c r="AN184" s="7">
        <v>5</v>
      </c>
      <c r="AO184" s="16">
        <v>0</v>
      </c>
      <c r="AP184" s="38">
        <v>4.666666666666667</v>
      </c>
      <c r="AQ184" s="27">
        <v>5</v>
      </c>
      <c r="AR184" s="16">
        <v>0</v>
      </c>
      <c r="AS184" s="7">
        <v>0</v>
      </c>
      <c r="AT184" s="16">
        <v>0</v>
      </c>
      <c r="AU184" s="16">
        <v>0</v>
      </c>
      <c r="AV184" s="37">
        <v>5</v>
      </c>
      <c r="AW184" s="16">
        <v>0</v>
      </c>
      <c r="AX184" s="16">
        <v>0</v>
      </c>
      <c r="AY184" s="29">
        <v>0</v>
      </c>
      <c r="AZ184" s="27">
        <v>5</v>
      </c>
      <c r="BA184" s="57">
        <v>5</v>
      </c>
      <c r="BB184" s="85">
        <v>5</v>
      </c>
    </row>
    <row r="185" spans="1:54" ht="23.1" customHeight="1" x14ac:dyDescent="0.3">
      <c r="A185" s="86">
        <v>181</v>
      </c>
      <c r="B185" s="63" t="s">
        <v>404</v>
      </c>
      <c r="C185" s="64" t="s">
        <v>405</v>
      </c>
      <c r="D185" s="63" t="s">
        <v>450</v>
      </c>
      <c r="E185" s="63" t="s">
        <v>493</v>
      </c>
      <c r="F185" s="63" t="str">
        <f>REPT(CHAR(160),10)&amp;Working!$E185</f>
        <v>          C</v>
      </c>
      <c r="G185" s="65">
        <v>0</v>
      </c>
      <c r="H185" s="65">
        <v>0</v>
      </c>
      <c r="I185" s="65">
        <v>4</v>
      </c>
      <c r="J185" s="65">
        <v>0</v>
      </c>
      <c r="K185" s="66">
        <v>0</v>
      </c>
      <c r="L185" s="67">
        <v>4</v>
      </c>
      <c r="M185" s="65">
        <v>0</v>
      </c>
      <c r="N185" s="65">
        <v>4</v>
      </c>
      <c r="O185" s="65">
        <v>4</v>
      </c>
      <c r="P185" s="63">
        <v>0</v>
      </c>
      <c r="Q185" s="82">
        <v>4</v>
      </c>
      <c r="R185" s="38">
        <v>4</v>
      </c>
      <c r="S185" s="27">
        <v>0</v>
      </c>
      <c r="T185" s="29">
        <v>0</v>
      </c>
      <c r="U185" s="56">
        <v>0</v>
      </c>
      <c r="V185" s="29">
        <v>0</v>
      </c>
      <c r="W185" s="29">
        <v>0</v>
      </c>
      <c r="X185" s="37">
        <v>0</v>
      </c>
      <c r="Y185" s="29">
        <v>5</v>
      </c>
      <c r="Z185" s="29">
        <v>0</v>
      </c>
      <c r="AA185" s="29">
        <v>0</v>
      </c>
      <c r="AB185" s="29">
        <v>0</v>
      </c>
      <c r="AC185" s="29">
        <v>0</v>
      </c>
      <c r="AD185" s="37">
        <v>5</v>
      </c>
      <c r="AE185" s="29">
        <v>0</v>
      </c>
      <c r="AF185" s="29">
        <v>0</v>
      </c>
      <c r="AG185" s="29">
        <v>0</v>
      </c>
      <c r="AH185" s="29">
        <v>0</v>
      </c>
      <c r="AI185" s="29">
        <v>0</v>
      </c>
      <c r="AJ185" s="37">
        <v>0</v>
      </c>
      <c r="AK185" s="49">
        <v>3</v>
      </c>
      <c r="AL185" s="49">
        <v>3</v>
      </c>
      <c r="AM185" s="56">
        <v>0</v>
      </c>
      <c r="AN185" s="49">
        <v>4</v>
      </c>
      <c r="AO185" s="29">
        <v>0</v>
      </c>
      <c r="AP185" s="38">
        <v>3.3333333333333335</v>
      </c>
      <c r="AQ185" s="27">
        <v>3</v>
      </c>
      <c r="AR185" s="29">
        <v>0</v>
      </c>
      <c r="AS185" s="49">
        <v>0</v>
      </c>
      <c r="AT185" s="29">
        <v>0</v>
      </c>
      <c r="AU185" s="29">
        <v>0</v>
      </c>
      <c r="AV185" s="37">
        <v>3</v>
      </c>
      <c r="AW185" s="29">
        <v>0</v>
      </c>
      <c r="AX185" s="29">
        <v>0</v>
      </c>
      <c r="AY185" s="29">
        <v>0</v>
      </c>
      <c r="AZ185" s="27">
        <v>4</v>
      </c>
      <c r="BA185" s="57">
        <v>5</v>
      </c>
      <c r="BB185" s="85">
        <v>4.5</v>
      </c>
    </row>
    <row r="186" spans="1:54" ht="23.1" customHeight="1" x14ac:dyDescent="0.3">
      <c r="A186" s="87">
        <v>182</v>
      </c>
      <c r="B186" s="70" t="s">
        <v>44</v>
      </c>
      <c r="C186" s="71" t="s">
        <v>45</v>
      </c>
      <c r="D186" s="70" t="s">
        <v>450</v>
      </c>
      <c r="E186" s="70" t="s">
        <v>35</v>
      </c>
      <c r="F186" s="70" t="str">
        <f>REPT(CHAR(160),10)&amp;Working!$E186</f>
        <v>          A</v>
      </c>
      <c r="G186" s="61">
        <v>0</v>
      </c>
      <c r="H186" s="61">
        <v>0</v>
      </c>
      <c r="I186" s="61">
        <v>5</v>
      </c>
      <c r="J186" s="61">
        <v>0</v>
      </c>
      <c r="K186" s="72">
        <v>0</v>
      </c>
      <c r="L186" s="67">
        <v>5</v>
      </c>
      <c r="M186" s="61">
        <v>0</v>
      </c>
      <c r="N186" s="61">
        <v>5</v>
      </c>
      <c r="O186" s="61">
        <v>5</v>
      </c>
      <c r="P186" s="70">
        <v>0</v>
      </c>
      <c r="Q186" s="81">
        <v>5</v>
      </c>
      <c r="R186" s="38">
        <v>5</v>
      </c>
      <c r="S186" s="27">
        <v>0</v>
      </c>
      <c r="T186" s="16">
        <v>0</v>
      </c>
      <c r="U186" s="20">
        <v>0</v>
      </c>
      <c r="V186" s="16">
        <v>0</v>
      </c>
      <c r="W186" s="16">
        <v>0</v>
      </c>
      <c r="X186" s="37">
        <v>0</v>
      </c>
      <c r="Y186" s="16">
        <v>4</v>
      </c>
      <c r="Z186" s="16">
        <v>0</v>
      </c>
      <c r="AA186" s="16">
        <v>0</v>
      </c>
      <c r="AB186" s="16">
        <v>0</v>
      </c>
      <c r="AC186" s="16">
        <v>0</v>
      </c>
      <c r="AD186" s="37">
        <v>4</v>
      </c>
      <c r="AE186" s="16">
        <v>0</v>
      </c>
      <c r="AF186" s="16">
        <v>0</v>
      </c>
      <c r="AG186" s="16">
        <v>0</v>
      </c>
      <c r="AH186" s="16">
        <v>0</v>
      </c>
      <c r="AI186" s="16">
        <v>0</v>
      </c>
      <c r="AJ186" s="37">
        <v>0</v>
      </c>
      <c r="AK186" s="7">
        <v>5</v>
      </c>
      <c r="AL186" s="7">
        <v>5</v>
      </c>
      <c r="AM186" s="20">
        <v>0</v>
      </c>
      <c r="AN186" s="7">
        <v>5</v>
      </c>
      <c r="AO186" s="16">
        <v>0</v>
      </c>
      <c r="AP186" s="38">
        <v>5</v>
      </c>
      <c r="AQ186" s="27">
        <v>5</v>
      </c>
      <c r="AR186" s="16">
        <v>0</v>
      </c>
      <c r="AS186" s="7">
        <v>0</v>
      </c>
      <c r="AT186" s="16">
        <v>0</v>
      </c>
      <c r="AU186" s="16">
        <v>0</v>
      </c>
      <c r="AV186" s="37">
        <v>5</v>
      </c>
      <c r="AW186" s="16">
        <v>0</v>
      </c>
      <c r="AX186" s="16">
        <v>0</v>
      </c>
      <c r="AY186" s="29">
        <v>0</v>
      </c>
      <c r="AZ186" s="27">
        <v>5</v>
      </c>
      <c r="BA186" s="57">
        <v>5</v>
      </c>
      <c r="BB186" s="85">
        <v>5</v>
      </c>
    </row>
    <row r="187" spans="1:54" ht="23.1" customHeight="1" x14ac:dyDescent="0.3">
      <c r="A187" s="86">
        <v>183</v>
      </c>
      <c r="B187" s="63" t="s">
        <v>406</v>
      </c>
      <c r="C187" s="64" t="s">
        <v>407</v>
      </c>
      <c r="D187" s="63" t="s">
        <v>450</v>
      </c>
      <c r="E187" s="63" t="s">
        <v>493</v>
      </c>
      <c r="F187" s="63" t="str">
        <f>REPT(CHAR(160),10)&amp;Working!$E187</f>
        <v>          C</v>
      </c>
      <c r="G187" s="65">
        <v>0</v>
      </c>
      <c r="H187" s="65">
        <v>0</v>
      </c>
      <c r="I187" s="65">
        <v>4</v>
      </c>
      <c r="J187" s="65">
        <v>0</v>
      </c>
      <c r="K187" s="66">
        <v>0</v>
      </c>
      <c r="L187" s="67">
        <v>4</v>
      </c>
      <c r="M187" s="65">
        <v>0</v>
      </c>
      <c r="N187" s="65">
        <v>5</v>
      </c>
      <c r="O187" s="65">
        <v>5</v>
      </c>
      <c r="P187" s="63">
        <v>0</v>
      </c>
      <c r="Q187" s="82">
        <v>5</v>
      </c>
      <c r="R187" s="38">
        <v>5</v>
      </c>
      <c r="S187" s="27">
        <v>0</v>
      </c>
      <c r="T187" s="29">
        <v>0</v>
      </c>
      <c r="U187" s="56">
        <v>0</v>
      </c>
      <c r="V187" s="29">
        <v>0</v>
      </c>
      <c r="W187" s="29">
        <v>0</v>
      </c>
      <c r="X187" s="37">
        <v>0</v>
      </c>
      <c r="Y187" s="29">
        <v>5</v>
      </c>
      <c r="Z187" s="29">
        <v>0</v>
      </c>
      <c r="AA187" s="29">
        <v>0</v>
      </c>
      <c r="AB187" s="29">
        <v>0</v>
      </c>
      <c r="AC187" s="29">
        <v>0</v>
      </c>
      <c r="AD187" s="37">
        <v>5</v>
      </c>
      <c r="AE187" s="29">
        <v>0</v>
      </c>
      <c r="AF187" s="29">
        <v>0</v>
      </c>
      <c r="AG187" s="29">
        <v>0</v>
      </c>
      <c r="AH187" s="29">
        <v>0</v>
      </c>
      <c r="AI187" s="29">
        <v>0</v>
      </c>
      <c r="AJ187" s="37">
        <v>0</v>
      </c>
      <c r="AK187" s="49">
        <v>5</v>
      </c>
      <c r="AL187" s="49">
        <v>5</v>
      </c>
      <c r="AM187" s="56">
        <v>0</v>
      </c>
      <c r="AN187" s="49">
        <v>5</v>
      </c>
      <c r="AO187" s="29">
        <v>0</v>
      </c>
      <c r="AP187" s="38">
        <v>5</v>
      </c>
      <c r="AQ187" s="27">
        <v>5</v>
      </c>
      <c r="AR187" s="29">
        <v>0</v>
      </c>
      <c r="AS187" s="49">
        <v>0</v>
      </c>
      <c r="AT187" s="29">
        <v>0</v>
      </c>
      <c r="AU187" s="29">
        <v>0</v>
      </c>
      <c r="AV187" s="37">
        <v>5</v>
      </c>
      <c r="AW187" s="29">
        <v>0</v>
      </c>
      <c r="AX187" s="29">
        <v>0</v>
      </c>
      <c r="AY187" s="29">
        <v>0</v>
      </c>
      <c r="AZ187" s="27">
        <v>5</v>
      </c>
      <c r="BA187" s="57">
        <v>4</v>
      </c>
      <c r="BB187" s="85">
        <v>4.5</v>
      </c>
    </row>
    <row r="188" spans="1:54" ht="23.1" customHeight="1" x14ac:dyDescent="0.3">
      <c r="A188" s="87">
        <v>184</v>
      </c>
      <c r="B188" s="70" t="s">
        <v>287</v>
      </c>
      <c r="C188" s="71" t="s">
        <v>288</v>
      </c>
      <c r="D188" s="70" t="s">
        <v>450</v>
      </c>
      <c r="E188" s="70" t="s">
        <v>161</v>
      </c>
      <c r="F188" s="70" t="str">
        <f>REPT(CHAR(160),10)&amp;Working!$E188</f>
        <v>          B</v>
      </c>
      <c r="G188" s="61">
        <v>0</v>
      </c>
      <c r="H188" s="61">
        <v>0</v>
      </c>
      <c r="I188" s="61">
        <v>3</v>
      </c>
      <c r="J188" s="61">
        <v>0</v>
      </c>
      <c r="K188" s="72">
        <v>0</v>
      </c>
      <c r="L188" s="67">
        <v>3</v>
      </c>
      <c r="M188" s="61">
        <v>0</v>
      </c>
      <c r="N188" s="61">
        <v>4</v>
      </c>
      <c r="O188" s="61">
        <v>4</v>
      </c>
      <c r="P188" s="70">
        <v>0</v>
      </c>
      <c r="Q188" s="81">
        <v>4</v>
      </c>
      <c r="R188" s="38">
        <v>4</v>
      </c>
      <c r="S188" s="27">
        <v>0</v>
      </c>
      <c r="T188" s="16">
        <v>0</v>
      </c>
      <c r="U188" s="20">
        <v>0</v>
      </c>
      <c r="V188" s="16">
        <v>0</v>
      </c>
      <c r="W188" s="16">
        <v>0</v>
      </c>
      <c r="X188" s="37">
        <v>0</v>
      </c>
      <c r="Y188" s="16">
        <v>4</v>
      </c>
      <c r="Z188" s="16">
        <v>0</v>
      </c>
      <c r="AA188" s="16">
        <v>0</v>
      </c>
      <c r="AB188" s="16">
        <v>0</v>
      </c>
      <c r="AC188" s="16">
        <v>0</v>
      </c>
      <c r="AD188" s="37">
        <v>4</v>
      </c>
      <c r="AE188" s="16">
        <v>0</v>
      </c>
      <c r="AF188" s="16">
        <v>0</v>
      </c>
      <c r="AG188" s="16">
        <v>0</v>
      </c>
      <c r="AH188" s="16">
        <v>0</v>
      </c>
      <c r="AI188" s="16">
        <v>0</v>
      </c>
      <c r="AJ188" s="37">
        <v>0</v>
      </c>
      <c r="AK188" s="7">
        <v>3</v>
      </c>
      <c r="AL188" s="7">
        <v>0</v>
      </c>
      <c r="AM188" s="20">
        <v>0</v>
      </c>
      <c r="AN188" s="7">
        <v>4</v>
      </c>
      <c r="AO188" s="16">
        <v>0</v>
      </c>
      <c r="AP188" s="38">
        <v>2.3333333333333335</v>
      </c>
      <c r="AQ188" s="27">
        <v>3</v>
      </c>
      <c r="AR188" s="16">
        <v>0</v>
      </c>
      <c r="AS188" s="7">
        <v>0</v>
      </c>
      <c r="AT188" s="16">
        <v>0</v>
      </c>
      <c r="AU188" s="16">
        <v>0</v>
      </c>
      <c r="AV188" s="37">
        <v>3</v>
      </c>
      <c r="AW188" s="16">
        <v>0</v>
      </c>
      <c r="AX188" s="16">
        <v>0</v>
      </c>
      <c r="AY188" s="29">
        <v>0</v>
      </c>
      <c r="AZ188" s="27">
        <v>4</v>
      </c>
      <c r="BA188" s="57">
        <v>3</v>
      </c>
      <c r="BB188" s="85">
        <v>3.5</v>
      </c>
    </row>
    <row r="189" spans="1:54" ht="23.1" customHeight="1" x14ac:dyDescent="0.3">
      <c r="A189" s="86">
        <v>185</v>
      </c>
      <c r="B189" s="63" t="s">
        <v>408</v>
      </c>
      <c r="C189" s="64" t="s">
        <v>409</v>
      </c>
      <c r="D189" s="63" t="s">
        <v>450</v>
      </c>
      <c r="E189" s="63" t="s">
        <v>493</v>
      </c>
      <c r="F189" s="63" t="str">
        <f>REPT(CHAR(160),10)&amp;Working!$E189</f>
        <v>          C</v>
      </c>
      <c r="G189" s="65">
        <v>0</v>
      </c>
      <c r="H189" s="65">
        <v>0</v>
      </c>
      <c r="I189" s="65">
        <v>1</v>
      </c>
      <c r="J189" s="65">
        <v>0</v>
      </c>
      <c r="K189" s="66">
        <v>0</v>
      </c>
      <c r="L189" s="67">
        <v>1</v>
      </c>
      <c r="M189" s="65">
        <v>0</v>
      </c>
      <c r="N189" s="65">
        <v>3</v>
      </c>
      <c r="O189" s="65">
        <v>2</v>
      </c>
      <c r="P189" s="63">
        <v>0</v>
      </c>
      <c r="Q189" s="82">
        <v>2</v>
      </c>
      <c r="R189" s="38">
        <v>2.3333333333333335</v>
      </c>
      <c r="S189" s="27">
        <v>0</v>
      </c>
      <c r="T189" s="29">
        <v>0</v>
      </c>
      <c r="U189" s="56">
        <v>0</v>
      </c>
      <c r="V189" s="29">
        <v>0</v>
      </c>
      <c r="W189" s="29">
        <v>0</v>
      </c>
      <c r="X189" s="37">
        <v>0</v>
      </c>
      <c r="Y189" s="29">
        <v>2</v>
      </c>
      <c r="Z189" s="29">
        <v>0</v>
      </c>
      <c r="AA189" s="29">
        <v>0</v>
      </c>
      <c r="AB189" s="29">
        <v>0</v>
      </c>
      <c r="AC189" s="29">
        <v>0</v>
      </c>
      <c r="AD189" s="37">
        <v>2</v>
      </c>
      <c r="AE189" s="29">
        <v>0</v>
      </c>
      <c r="AF189" s="29">
        <v>0</v>
      </c>
      <c r="AG189" s="29">
        <v>0</v>
      </c>
      <c r="AH189" s="29">
        <v>0</v>
      </c>
      <c r="AI189" s="29">
        <v>0</v>
      </c>
      <c r="AJ189" s="37">
        <v>0</v>
      </c>
      <c r="AK189" s="49">
        <v>2</v>
      </c>
      <c r="AL189" s="49">
        <v>2</v>
      </c>
      <c r="AM189" s="56">
        <v>0</v>
      </c>
      <c r="AN189" s="49">
        <v>3</v>
      </c>
      <c r="AO189" s="29">
        <v>0</v>
      </c>
      <c r="AP189" s="38">
        <v>2.3333333333333335</v>
      </c>
      <c r="AQ189" s="27">
        <v>2</v>
      </c>
      <c r="AR189" s="29">
        <v>0</v>
      </c>
      <c r="AS189" s="49">
        <v>0</v>
      </c>
      <c r="AT189" s="29">
        <v>0</v>
      </c>
      <c r="AU189" s="29">
        <v>0</v>
      </c>
      <c r="AV189" s="37">
        <v>2</v>
      </c>
      <c r="AW189" s="29">
        <v>0</v>
      </c>
      <c r="AX189" s="29">
        <v>0</v>
      </c>
      <c r="AY189" s="29">
        <v>0</v>
      </c>
      <c r="AZ189" s="27">
        <v>2</v>
      </c>
      <c r="BA189" s="57">
        <v>1</v>
      </c>
      <c r="BB189" s="85">
        <v>1.5</v>
      </c>
    </row>
    <row r="190" spans="1:54" ht="23.1" customHeight="1" x14ac:dyDescent="0.3">
      <c r="A190" s="87">
        <v>186</v>
      </c>
      <c r="B190" s="70" t="s">
        <v>410</v>
      </c>
      <c r="C190" s="71" t="s">
        <v>411</v>
      </c>
      <c r="D190" s="70" t="s">
        <v>450</v>
      </c>
      <c r="E190" s="70" t="s">
        <v>493</v>
      </c>
      <c r="F190" s="70" t="str">
        <f>REPT(CHAR(160),10)&amp;Working!$E190</f>
        <v>          C</v>
      </c>
      <c r="G190" s="61">
        <v>0</v>
      </c>
      <c r="H190" s="61">
        <v>0</v>
      </c>
      <c r="I190" s="61">
        <v>2</v>
      </c>
      <c r="J190" s="61">
        <v>0</v>
      </c>
      <c r="K190" s="72">
        <v>0</v>
      </c>
      <c r="L190" s="67">
        <v>2</v>
      </c>
      <c r="M190" s="61">
        <v>0</v>
      </c>
      <c r="N190" s="61">
        <v>3</v>
      </c>
      <c r="O190" s="61">
        <v>3</v>
      </c>
      <c r="P190" s="70">
        <v>0</v>
      </c>
      <c r="Q190" s="81">
        <v>3</v>
      </c>
      <c r="R190" s="38">
        <v>3</v>
      </c>
      <c r="S190" s="27">
        <v>0</v>
      </c>
      <c r="T190" s="16">
        <v>0</v>
      </c>
      <c r="U190" s="20">
        <v>0</v>
      </c>
      <c r="V190" s="16">
        <v>0</v>
      </c>
      <c r="W190" s="16">
        <v>0</v>
      </c>
      <c r="X190" s="37">
        <v>0</v>
      </c>
      <c r="Y190" s="16">
        <v>3</v>
      </c>
      <c r="Z190" s="16">
        <v>0</v>
      </c>
      <c r="AA190" s="16">
        <v>0</v>
      </c>
      <c r="AB190" s="16">
        <v>0</v>
      </c>
      <c r="AC190" s="16">
        <v>0</v>
      </c>
      <c r="AD190" s="37">
        <v>3</v>
      </c>
      <c r="AE190" s="16">
        <v>0</v>
      </c>
      <c r="AF190" s="16">
        <v>0</v>
      </c>
      <c r="AG190" s="16">
        <v>0</v>
      </c>
      <c r="AH190" s="16">
        <v>0</v>
      </c>
      <c r="AI190" s="16">
        <v>0</v>
      </c>
      <c r="AJ190" s="37">
        <v>0</v>
      </c>
      <c r="AK190" s="7">
        <v>2</v>
      </c>
      <c r="AL190" s="7">
        <v>2</v>
      </c>
      <c r="AM190" s="20">
        <v>0</v>
      </c>
      <c r="AN190" s="7">
        <v>3</v>
      </c>
      <c r="AO190" s="16">
        <v>0</v>
      </c>
      <c r="AP190" s="38">
        <v>2.3333333333333335</v>
      </c>
      <c r="AQ190" s="27">
        <v>2</v>
      </c>
      <c r="AR190" s="16">
        <v>0</v>
      </c>
      <c r="AS190" s="7">
        <v>0</v>
      </c>
      <c r="AT190" s="16">
        <v>0</v>
      </c>
      <c r="AU190" s="16">
        <v>0</v>
      </c>
      <c r="AV190" s="37">
        <v>2</v>
      </c>
      <c r="AW190" s="16">
        <v>0</v>
      </c>
      <c r="AX190" s="16">
        <v>0</v>
      </c>
      <c r="AY190" s="29">
        <v>0</v>
      </c>
      <c r="AZ190" s="27">
        <v>2</v>
      </c>
      <c r="BA190" s="57">
        <v>2</v>
      </c>
      <c r="BB190" s="85">
        <v>2</v>
      </c>
    </row>
    <row r="191" spans="1:54" ht="23.1" customHeight="1" x14ac:dyDescent="0.3">
      <c r="A191" s="86">
        <v>187</v>
      </c>
      <c r="B191" s="63" t="s">
        <v>412</v>
      </c>
      <c r="C191" s="64" t="s">
        <v>413</v>
      </c>
      <c r="D191" s="63" t="s">
        <v>542</v>
      </c>
      <c r="E191" s="63" t="s">
        <v>493</v>
      </c>
      <c r="F191" s="63" t="str">
        <f>REPT(CHAR(160),10)&amp;Working!$E191</f>
        <v>          C</v>
      </c>
      <c r="G191" s="65">
        <v>0</v>
      </c>
      <c r="H191" s="65">
        <v>0</v>
      </c>
      <c r="I191" s="65">
        <v>2</v>
      </c>
      <c r="J191" s="65">
        <v>0</v>
      </c>
      <c r="K191" s="66">
        <v>0</v>
      </c>
      <c r="L191" s="67">
        <v>2</v>
      </c>
      <c r="M191" s="65">
        <v>0</v>
      </c>
      <c r="N191" s="65">
        <v>2</v>
      </c>
      <c r="O191" s="65">
        <v>2</v>
      </c>
      <c r="P191" s="63">
        <v>0</v>
      </c>
      <c r="Q191" s="82">
        <v>2</v>
      </c>
      <c r="R191" s="38">
        <v>2</v>
      </c>
      <c r="S191" s="27">
        <v>0</v>
      </c>
      <c r="T191" s="29">
        <v>0</v>
      </c>
      <c r="U191" s="56">
        <v>0</v>
      </c>
      <c r="V191" s="29">
        <v>0</v>
      </c>
      <c r="W191" s="29">
        <v>0</v>
      </c>
      <c r="X191" s="37">
        <v>0</v>
      </c>
      <c r="Y191" s="29">
        <v>2</v>
      </c>
      <c r="Z191" s="29">
        <v>0</v>
      </c>
      <c r="AA191" s="29">
        <v>0</v>
      </c>
      <c r="AB191" s="29">
        <v>0</v>
      </c>
      <c r="AC191" s="29">
        <v>0</v>
      </c>
      <c r="AD191" s="37">
        <v>2</v>
      </c>
      <c r="AE191" s="29">
        <v>0</v>
      </c>
      <c r="AF191" s="29">
        <v>0</v>
      </c>
      <c r="AG191" s="29">
        <v>0</v>
      </c>
      <c r="AH191" s="29">
        <v>0</v>
      </c>
      <c r="AI191" s="29">
        <v>0</v>
      </c>
      <c r="AJ191" s="37">
        <v>0</v>
      </c>
      <c r="AK191" s="49">
        <v>2</v>
      </c>
      <c r="AL191" s="49">
        <v>3</v>
      </c>
      <c r="AM191" s="56">
        <v>0</v>
      </c>
      <c r="AN191" s="49">
        <v>4</v>
      </c>
      <c r="AO191" s="29">
        <v>0</v>
      </c>
      <c r="AP191" s="38">
        <v>3</v>
      </c>
      <c r="AQ191" s="27">
        <v>1</v>
      </c>
      <c r="AR191" s="29">
        <v>0</v>
      </c>
      <c r="AS191" s="49">
        <v>0</v>
      </c>
      <c r="AT191" s="29">
        <v>0</v>
      </c>
      <c r="AU191" s="29">
        <v>0</v>
      </c>
      <c r="AV191" s="37">
        <v>1</v>
      </c>
      <c r="AW191" s="29">
        <v>0</v>
      </c>
      <c r="AX191" s="29">
        <v>0</v>
      </c>
      <c r="AY191" s="29">
        <v>0</v>
      </c>
      <c r="AZ191" s="27">
        <v>4</v>
      </c>
      <c r="BA191" s="57">
        <v>2</v>
      </c>
      <c r="BB191" s="85">
        <v>3</v>
      </c>
    </row>
    <row r="192" spans="1:54" ht="23.1" customHeight="1" x14ac:dyDescent="0.3">
      <c r="A192" s="87">
        <v>188</v>
      </c>
      <c r="B192" s="70" t="s">
        <v>148</v>
      </c>
      <c r="C192" s="71" t="s">
        <v>149</v>
      </c>
      <c r="D192" s="70" t="s">
        <v>542</v>
      </c>
      <c r="E192" s="70" t="s">
        <v>35</v>
      </c>
      <c r="F192" s="70" t="str">
        <f>REPT(CHAR(160),10)&amp;Working!$E192</f>
        <v>          A</v>
      </c>
      <c r="G192" s="61">
        <v>0</v>
      </c>
      <c r="H192" s="61">
        <v>0</v>
      </c>
      <c r="I192" s="61">
        <v>2</v>
      </c>
      <c r="J192" s="61">
        <v>0</v>
      </c>
      <c r="K192" s="72">
        <v>0</v>
      </c>
      <c r="L192" s="67">
        <v>2</v>
      </c>
      <c r="M192" s="61">
        <v>0</v>
      </c>
      <c r="N192" s="61">
        <v>2</v>
      </c>
      <c r="O192" s="61">
        <v>2</v>
      </c>
      <c r="P192" s="70">
        <v>0</v>
      </c>
      <c r="Q192" s="81">
        <v>2</v>
      </c>
      <c r="R192" s="38">
        <v>2</v>
      </c>
      <c r="S192" s="27">
        <v>0</v>
      </c>
      <c r="T192" s="16">
        <v>0</v>
      </c>
      <c r="U192" s="20">
        <v>0</v>
      </c>
      <c r="V192" s="16">
        <v>0</v>
      </c>
      <c r="W192" s="16">
        <v>0</v>
      </c>
      <c r="X192" s="37">
        <v>0</v>
      </c>
      <c r="Y192" s="16">
        <v>2</v>
      </c>
      <c r="Z192" s="16">
        <v>0</v>
      </c>
      <c r="AA192" s="16">
        <v>0</v>
      </c>
      <c r="AB192" s="16">
        <v>0</v>
      </c>
      <c r="AC192" s="16">
        <v>0</v>
      </c>
      <c r="AD192" s="37">
        <v>2</v>
      </c>
      <c r="AE192" s="16">
        <v>0</v>
      </c>
      <c r="AF192" s="16">
        <v>0</v>
      </c>
      <c r="AG192" s="16">
        <v>0</v>
      </c>
      <c r="AH192" s="16">
        <v>0</v>
      </c>
      <c r="AI192" s="16">
        <v>0</v>
      </c>
      <c r="AJ192" s="37">
        <v>0</v>
      </c>
      <c r="AK192" s="7">
        <v>2</v>
      </c>
      <c r="AL192" s="7">
        <v>2</v>
      </c>
      <c r="AM192" s="20">
        <v>0</v>
      </c>
      <c r="AN192" s="7">
        <v>2</v>
      </c>
      <c r="AO192" s="16">
        <v>0</v>
      </c>
      <c r="AP192" s="38">
        <v>2</v>
      </c>
      <c r="AQ192" s="27">
        <v>2</v>
      </c>
      <c r="AR192" s="16">
        <v>0</v>
      </c>
      <c r="AS192" s="7">
        <v>0</v>
      </c>
      <c r="AT192" s="16">
        <v>0</v>
      </c>
      <c r="AU192" s="16">
        <v>0</v>
      </c>
      <c r="AV192" s="37">
        <v>2</v>
      </c>
      <c r="AW192" s="16">
        <v>0</v>
      </c>
      <c r="AX192" s="16">
        <v>0</v>
      </c>
      <c r="AY192" s="29">
        <v>0</v>
      </c>
      <c r="AZ192" s="27">
        <v>3</v>
      </c>
      <c r="BA192" s="57">
        <v>3</v>
      </c>
      <c r="BB192" s="85">
        <v>3</v>
      </c>
    </row>
    <row r="193" spans="1:54" ht="23.1" customHeight="1" x14ac:dyDescent="0.3">
      <c r="A193" s="86">
        <v>189</v>
      </c>
      <c r="B193" s="63" t="s">
        <v>414</v>
      </c>
      <c r="C193" s="64" t="s">
        <v>415</v>
      </c>
      <c r="D193" s="63" t="s">
        <v>450</v>
      </c>
      <c r="E193" s="63" t="s">
        <v>493</v>
      </c>
      <c r="F193" s="63" t="str">
        <f>REPT(CHAR(160),10)&amp;Working!$E193</f>
        <v>          C</v>
      </c>
      <c r="G193" s="65">
        <v>0</v>
      </c>
      <c r="H193" s="65">
        <v>0</v>
      </c>
      <c r="I193" s="65">
        <v>2</v>
      </c>
      <c r="J193" s="65">
        <v>0</v>
      </c>
      <c r="K193" s="66">
        <v>0</v>
      </c>
      <c r="L193" s="67">
        <v>2</v>
      </c>
      <c r="M193" s="65">
        <v>0</v>
      </c>
      <c r="N193" s="65">
        <v>3</v>
      </c>
      <c r="O193" s="65">
        <v>2</v>
      </c>
      <c r="P193" s="63">
        <v>0</v>
      </c>
      <c r="Q193" s="82">
        <v>2</v>
      </c>
      <c r="R193" s="38">
        <v>2.3333333333333335</v>
      </c>
      <c r="S193" s="27">
        <v>0</v>
      </c>
      <c r="T193" s="29">
        <v>0</v>
      </c>
      <c r="U193" s="56">
        <v>0</v>
      </c>
      <c r="V193" s="29">
        <v>0</v>
      </c>
      <c r="W193" s="29">
        <v>0</v>
      </c>
      <c r="X193" s="37">
        <v>0</v>
      </c>
      <c r="Y193" s="29">
        <v>2</v>
      </c>
      <c r="Z193" s="29">
        <v>0</v>
      </c>
      <c r="AA193" s="29">
        <v>0</v>
      </c>
      <c r="AB193" s="29">
        <v>0</v>
      </c>
      <c r="AC193" s="29">
        <v>0</v>
      </c>
      <c r="AD193" s="37">
        <v>2</v>
      </c>
      <c r="AE193" s="29">
        <v>0</v>
      </c>
      <c r="AF193" s="29">
        <v>0</v>
      </c>
      <c r="AG193" s="29">
        <v>0</v>
      </c>
      <c r="AH193" s="29">
        <v>0</v>
      </c>
      <c r="AI193" s="29">
        <v>0</v>
      </c>
      <c r="AJ193" s="37">
        <v>0</v>
      </c>
      <c r="AK193" s="49">
        <v>2</v>
      </c>
      <c r="AL193" s="49">
        <v>2</v>
      </c>
      <c r="AM193" s="56">
        <v>0</v>
      </c>
      <c r="AN193" s="49">
        <v>2</v>
      </c>
      <c r="AO193" s="29">
        <v>0</v>
      </c>
      <c r="AP193" s="38">
        <v>2</v>
      </c>
      <c r="AQ193" s="27">
        <v>3</v>
      </c>
      <c r="AR193" s="29">
        <v>0</v>
      </c>
      <c r="AS193" s="49">
        <v>0</v>
      </c>
      <c r="AT193" s="29">
        <v>0</v>
      </c>
      <c r="AU193" s="29">
        <v>0</v>
      </c>
      <c r="AV193" s="37">
        <v>3</v>
      </c>
      <c r="AW193" s="29">
        <v>0</v>
      </c>
      <c r="AX193" s="29">
        <v>0</v>
      </c>
      <c r="AY193" s="29">
        <v>0</v>
      </c>
      <c r="AZ193" s="27">
        <v>3</v>
      </c>
      <c r="BA193" s="57">
        <v>3</v>
      </c>
      <c r="BB193" s="85">
        <v>3</v>
      </c>
    </row>
    <row r="194" spans="1:54" ht="23.1" customHeight="1" x14ac:dyDescent="0.3">
      <c r="A194" s="87">
        <v>190</v>
      </c>
      <c r="B194" s="70" t="s">
        <v>416</v>
      </c>
      <c r="C194" s="71" t="s">
        <v>417</v>
      </c>
      <c r="D194" s="70" t="s">
        <v>542</v>
      </c>
      <c r="E194" s="70" t="s">
        <v>289</v>
      </c>
      <c r="F194" s="70" t="str">
        <f>REPT(CHAR(160),10)&amp;Working!$E194</f>
        <v>          D</v>
      </c>
      <c r="G194" s="61">
        <v>0</v>
      </c>
      <c r="H194" s="61">
        <v>0</v>
      </c>
      <c r="I194" s="61">
        <v>3</v>
      </c>
      <c r="J194" s="61">
        <v>0</v>
      </c>
      <c r="K194" s="72">
        <v>0</v>
      </c>
      <c r="L194" s="67">
        <v>3</v>
      </c>
      <c r="M194" s="61">
        <v>0</v>
      </c>
      <c r="N194" s="61">
        <v>3</v>
      </c>
      <c r="O194" s="61">
        <v>3</v>
      </c>
      <c r="P194" s="70">
        <v>0</v>
      </c>
      <c r="Q194" s="81">
        <v>3</v>
      </c>
      <c r="R194" s="38">
        <v>3</v>
      </c>
      <c r="S194" s="27">
        <v>0</v>
      </c>
      <c r="T194" s="16">
        <v>0</v>
      </c>
      <c r="U194" s="20">
        <v>0</v>
      </c>
      <c r="V194" s="16">
        <v>0</v>
      </c>
      <c r="W194" s="16">
        <v>0</v>
      </c>
      <c r="X194" s="37">
        <v>0</v>
      </c>
      <c r="Y194" s="16">
        <v>3</v>
      </c>
      <c r="Z194" s="16">
        <v>0</v>
      </c>
      <c r="AA194" s="16">
        <v>0</v>
      </c>
      <c r="AB194" s="16">
        <v>0</v>
      </c>
      <c r="AC194" s="16">
        <v>0</v>
      </c>
      <c r="AD194" s="37">
        <v>3</v>
      </c>
      <c r="AE194" s="16">
        <v>0</v>
      </c>
      <c r="AF194" s="16">
        <v>0</v>
      </c>
      <c r="AG194" s="16">
        <v>0</v>
      </c>
      <c r="AH194" s="16">
        <v>0</v>
      </c>
      <c r="AI194" s="16">
        <v>0</v>
      </c>
      <c r="AJ194" s="37">
        <v>0</v>
      </c>
      <c r="AK194" s="7">
        <v>3</v>
      </c>
      <c r="AL194" s="7">
        <v>3</v>
      </c>
      <c r="AM194" s="20">
        <v>0</v>
      </c>
      <c r="AN194" s="7">
        <v>4</v>
      </c>
      <c r="AO194" s="16">
        <v>0</v>
      </c>
      <c r="AP194" s="38">
        <v>3.3333333333333335</v>
      </c>
      <c r="AQ194" s="27">
        <v>1</v>
      </c>
      <c r="AR194" s="16">
        <v>0</v>
      </c>
      <c r="AS194" s="7">
        <v>0</v>
      </c>
      <c r="AT194" s="16">
        <v>0</v>
      </c>
      <c r="AU194" s="16">
        <v>0</v>
      </c>
      <c r="AV194" s="37">
        <v>1</v>
      </c>
      <c r="AW194" s="16">
        <v>0</v>
      </c>
      <c r="AX194" s="16">
        <v>0</v>
      </c>
      <c r="AY194" s="29">
        <v>0</v>
      </c>
      <c r="AZ194" s="27">
        <v>3</v>
      </c>
      <c r="BA194" s="57">
        <v>3</v>
      </c>
      <c r="BB194" s="85">
        <v>3</v>
      </c>
    </row>
    <row r="195" spans="1:54" ht="23.1" customHeight="1" x14ac:dyDescent="0.3">
      <c r="A195" s="86">
        <v>191</v>
      </c>
      <c r="B195" s="63" t="s">
        <v>418</v>
      </c>
      <c r="C195" s="64" t="s">
        <v>419</v>
      </c>
      <c r="D195" s="63" t="s">
        <v>450</v>
      </c>
      <c r="E195" s="63" t="s">
        <v>493</v>
      </c>
      <c r="F195" s="63" t="str">
        <f>REPT(CHAR(160),10)&amp;Working!$E195</f>
        <v>          C</v>
      </c>
      <c r="G195" s="65">
        <v>0</v>
      </c>
      <c r="H195" s="65">
        <v>0</v>
      </c>
      <c r="I195" s="65">
        <v>4</v>
      </c>
      <c r="J195" s="65">
        <v>0</v>
      </c>
      <c r="K195" s="66">
        <v>0</v>
      </c>
      <c r="L195" s="67">
        <v>4</v>
      </c>
      <c r="M195" s="65">
        <v>0</v>
      </c>
      <c r="N195" s="65">
        <v>5</v>
      </c>
      <c r="O195" s="65">
        <v>4</v>
      </c>
      <c r="P195" s="63">
        <v>0</v>
      </c>
      <c r="Q195" s="82">
        <v>4</v>
      </c>
      <c r="R195" s="38">
        <v>4.333333333333333</v>
      </c>
      <c r="S195" s="27">
        <v>0</v>
      </c>
      <c r="T195" s="29">
        <v>0</v>
      </c>
      <c r="U195" s="56">
        <v>0</v>
      </c>
      <c r="V195" s="29">
        <v>0</v>
      </c>
      <c r="W195" s="29">
        <v>0</v>
      </c>
      <c r="X195" s="37">
        <v>0</v>
      </c>
      <c r="Y195" s="29">
        <v>4</v>
      </c>
      <c r="Z195" s="29">
        <v>0</v>
      </c>
      <c r="AA195" s="29">
        <v>0</v>
      </c>
      <c r="AB195" s="29">
        <v>0</v>
      </c>
      <c r="AC195" s="29">
        <v>0</v>
      </c>
      <c r="AD195" s="37">
        <v>4</v>
      </c>
      <c r="AE195" s="29">
        <v>0</v>
      </c>
      <c r="AF195" s="29">
        <v>0</v>
      </c>
      <c r="AG195" s="29">
        <v>0</v>
      </c>
      <c r="AH195" s="29">
        <v>0</v>
      </c>
      <c r="AI195" s="29">
        <v>0</v>
      </c>
      <c r="AJ195" s="37">
        <v>0</v>
      </c>
      <c r="AK195" s="49">
        <v>5</v>
      </c>
      <c r="AL195" s="49">
        <v>4</v>
      </c>
      <c r="AM195" s="56">
        <v>0</v>
      </c>
      <c r="AN195" s="49">
        <v>5</v>
      </c>
      <c r="AO195" s="29">
        <v>0</v>
      </c>
      <c r="AP195" s="38">
        <v>4.666666666666667</v>
      </c>
      <c r="AQ195" s="27">
        <v>3</v>
      </c>
      <c r="AR195" s="29">
        <v>0</v>
      </c>
      <c r="AS195" s="49">
        <v>0</v>
      </c>
      <c r="AT195" s="29">
        <v>0</v>
      </c>
      <c r="AU195" s="29">
        <v>0</v>
      </c>
      <c r="AV195" s="37">
        <v>3</v>
      </c>
      <c r="AW195" s="29">
        <v>0</v>
      </c>
      <c r="AX195" s="29">
        <v>0</v>
      </c>
      <c r="AY195" s="29">
        <v>0</v>
      </c>
      <c r="AZ195" s="27">
        <v>5</v>
      </c>
      <c r="BA195" s="57">
        <v>4</v>
      </c>
      <c r="BB195" s="85">
        <v>4.5</v>
      </c>
    </row>
    <row r="196" spans="1:54" ht="23.1" customHeight="1" x14ac:dyDescent="0.3">
      <c r="A196" s="87">
        <v>192</v>
      </c>
      <c r="B196" s="70" t="s">
        <v>420</v>
      </c>
      <c r="C196" s="71" t="s">
        <v>421</v>
      </c>
      <c r="D196" s="70" t="s">
        <v>450</v>
      </c>
      <c r="E196" s="70" t="s">
        <v>493</v>
      </c>
      <c r="F196" s="70" t="str">
        <f>REPT(CHAR(160),10)&amp;Working!$E196</f>
        <v>          C</v>
      </c>
      <c r="G196" s="61">
        <v>0</v>
      </c>
      <c r="H196" s="61">
        <v>0</v>
      </c>
      <c r="I196" s="61">
        <v>3</v>
      </c>
      <c r="J196" s="61">
        <v>0</v>
      </c>
      <c r="K196" s="72">
        <v>0</v>
      </c>
      <c r="L196" s="67">
        <v>3</v>
      </c>
      <c r="M196" s="61">
        <v>0</v>
      </c>
      <c r="N196" s="61">
        <v>3</v>
      </c>
      <c r="O196" s="61">
        <v>3</v>
      </c>
      <c r="P196" s="70">
        <v>0</v>
      </c>
      <c r="Q196" s="81">
        <v>3</v>
      </c>
      <c r="R196" s="38">
        <v>3</v>
      </c>
      <c r="S196" s="27">
        <v>0</v>
      </c>
      <c r="T196" s="16">
        <v>0</v>
      </c>
      <c r="U196" s="20">
        <v>0</v>
      </c>
      <c r="V196" s="16">
        <v>0</v>
      </c>
      <c r="W196" s="16">
        <v>0</v>
      </c>
      <c r="X196" s="37">
        <v>0</v>
      </c>
      <c r="Y196" s="16">
        <v>3</v>
      </c>
      <c r="Z196" s="16">
        <v>0</v>
      </c>
      <c r="AA196" s="16">
        <v>0</v>
      </c>
      <c r="AB196" s="16">
        <v>0</v>
      </c>
      <c r="AC196" s="16">
        <v>0</v>
      </c>
      <c r="AD196" s="37">
        <v>3</v>
      </c>
      <c r="AE196" s="16">
        <v>0</v>
      </c>
      <c r="AF196" s="16">
        <v>0</v>
      </c>
      <c r="AG196" s="16">
        <v>0</v>
      </c>
      <c r="AH196" s="16">
        <v>0</v>
      </c>
      <c r="AI196" s="16">
        <v>0</v>
      </c>
      <c r="AJ196" s="37">
        <v>0</v>
      </c>
      <c r="AK196" s="7">
        <v>3</v>
      </c>
      <c r="AL196" s="7">
        <v>3</v>
      </c>
      <c r="AM196" s="20">
        <v>0</v>
      </c>
      <c r="AN196" s="7">
        <v>4</v>
      </c>
      <c r="AO196" s="16">
        <v>0</v>
      </c>
      <c r="AP196" s="38">
        <v>3.3333333333333335</v>
      </c>
      <c r="AQ196" s="27">
        <v>3</v>
      </c>
      <c r="AR196" s="16">
        <v>0</v>
      </c>
      <c r="AS196" s="7">
        <v>0</v>
      </c>
      <c r="AT196" s="16">
        <v>0</v>
      </c>
      <c r="AU196" s="16">
        <v>0</v>
      </c>
      <c r="AV196" s="37">
        <v>3</v>
      </c>
      <c r="AW196" s="16">
        <v>0</v>
      </c>
      <c r="AX196" s="16">
        <v>0</v>
      </c>
      <c r="AY196" s="29">
        <v>0</v>
      </c>
      <c r="AZ196" s="27">
        <v>3</v>
      </c>
      <c r="BA196" s="57">
        <v>3</v>
      </c>
      <c r="BB196" s="85">
        <v>3</v>
      </c>
    </row>
    <row r="197" spans="1:54" ht="23.1" customHeight="1" x14ac:dyDescent="0.3">
      <c r="A197" s="86">
        <v>193</v>
      </c>
      <c r="B197" s="63" t="s">
        <v>422</v>
      </c>
      <c r="C197" s="64" t="s">
        <v>423</v>
      </c>
      <c r="D197" s="63" t="s">
        <v>450</v>
      </c>
      <c r="E197" s="63" t="s">
        <v>493</v>
      </c>
      <c r="F197" s="63" t="str">
        <f>REPT(CHAR(160),10)&amp;Working!$E197</f>
        <v>          C</v>
      </c>
      <c r="G197" s="65">
        <v>0</v>
      </c>
      <c r="H197" s="65">
        <v>0</v>
      </c>
      <c r="I197" s="65">
        <v>4</v>
      </c>
      <c r="J197" s="65">
        <v>0</v>
      </c>
      <c r="K197" s="66">
        <v>0</v>
      </c>
      <c r="L197" s="67">
        <v>4</v>
      </c>
      <c r="M197" s="65">
        <v>0</v>
      </c>
      <c r="N197" s="65">
        <v>5</v>
      </c>
      <c r="O197" s="65">
        <v>3</v>
      </c>
      <c r="P197" s="63">
        <v>0</v>
      </c>
      <c r="Q197" s="82">
        <v>3</v>
      </c>
      <c r="R197" s="38">
        <v>3.6666666666666665</v>
      </c>
      <c r="S197" s="27">
        <v>0</v>
      </c>
      <c r="T197" s="29">
        <v>0</v>
      </c>
      <c r="U197" s="56">
        <v>0</v>
      </c>
      <c r="V197" s="29">
        <v>0</v>
      </c>
      <c r="W197" s="29">
        <v>0</v>
      </c>
      <c r="X197" s="37">
        <v>0</v>
      </c>
      <c r="Y197" s="29">
        <v>3</v>
      </c>
      <c r="Z197" s="29">
        <v>0</v>
      </c>
      <c r="AA197" s="29">
        <v>0</v>
      </c>
      <c r="AB197" s="29">
        <v>0</v>
      </c>
      <c r="AC197" s="29">
        <v>0</v>
      </c>
      <c r="AD197" s="37">
        <v>3</v>
      </c>
      <c r="AE197" s="29">
        <v>0</v>
      </c>
      <c r="AF197" s="29">
        <v>0</v>
      </c>
      <c r="AG197" s="29">
        <v>0</v>
      </c>
      <c r="AH197" s="29">
        <v>0</v>
      </c>
      <c r="AI197" s="29">
        <v>0</v>
      </c>
      <c r="AJ197" s="37">
        <v>0</v>
      </c>
      <c r="AK197" s="49">
        <v>3</v>
      </c>
      <c r="AL197" s="49">
        <v>4</v>
      </c>
      <c r="AM197" s="56">
        <v>0</v>
      </c>
      <c r="AN197" s="49">
        <v>4</v>
      </c>
      <c r="AO197" s="29">
        <v>0</v>
      </c>
      <c r="AP197" s="38">
        <v>3.6666666666666665</v>
      </c>
      <c r="AQ197" s="27">
        <v>4</v>
      </c>
      <c r="AR197" s="29">
        <v>0</v>
      </c>
      <c r="AS197" s="49">
        <v>0</v>
      </c>
      <c r="AT197" s="29">
        <v>0</v>
      </c>
      <c r="AU197" s="29">
        <v>0</v>
      </c>
      <c r="AV197" s="37">
        <v>4</v>
      </c>
      <c r="AW197" s="29">
        <v>0</v>
      </c>
      <c r="AX197" s="29">
        <v>0</v>
      </c>
      <c r="AY197" s="29">
        <v>0</v>
      </c>
      <c r="AZ197" s="27">
        <v>4</v>
      </c>
      <c r="BA197" s="57">
        <v>5</v>
      </c>
      <c r="BB197" s="85">
        <v>4.5</v>
      </c>
    </row>
    <row r="198" spans="1:54" ht="23.1" customHeight="1" x14ac:dyDescent="0.3">
      <c r="A198" s="87">
        <v>194</v>
      </c>
      <c r="B198" s="70" t="s">
        <v>424</v>
      </c>
      <c r="C198" s="71" t="s">
        <v>425</v>
      </c>
      <c r="D198" s="70" t="s">
        <v>450</v>
      </c>
      <c r="E198" s="70" t="s">
        <v>493</v>
      </c>
      <c r="F198" s="70" t="str">
        <f>REPT(CHAR(160),10)&amp;Working!$E198</f>
        <v>          C</v>
      </c>
      <c r="G198" s="61">
        <v>0</v>
      </c>
      <c r="H198" s="61">
        <v>0</v>
      </c>
      <c r="I198" s="61">
        <v>4</v>
      </c>
      <c r="J198" s="61">
        <v>0</v>
      </c>
      <c r="K198" s="72">
        <v>0</v>
      </c>
      <c r="L198" s="67">
        <v>4</v>
      </c>
      <c r="M198" s="61">
        <v>0</v>
      </c>
      <c r="N198" s="61">
        <v>3</v>
      </c>
      <c r="O198" s="61">
        <v>3</v>
      </c>
      <c r="P198" s="70">
        <v>0</v>
      </c>
      <c r="Q198" s="81">
        <v>3</v>
      </c>
      <c r="R198" s="38">
        <v>3</v>
      </c>
      <c r="S198" s="27">
        <v>0</v>
      </c>
      <c r="T198" s="16">
        <v>0</v>
      </c>
      <c r="U198" s="20">
        <v>0</v>
      </c>
      <c r="V198" s="16">
        <v>0</v>
      </c>
      <c r="W198" s="16">
        <v>0</v>
      </c>
      <c r="X198" s="37">
        <v>0</v>
      </c>
      <c r="Y198" s="16">
        <v>4</v>
      </c>
      <c r="Z198" s="16">
        <v>0</v>
      </c>
      <c r="AA198" s="16">
        <v>0</v>
      </c>
      <c r="AB198" s="16">
        <v>0</v>
      </c>
      <c r="AC198" s="16">
        <v>0</v>
      </c>
      <c r="AD198" s="37">
        <v>4</v>
      </c>
      <c r="AE198" s="16">
        <v>0</v>
      </c>
      <c r="AF198" s="16">
        <v>0</v>
      </c>
      <c r="AG198" s="16">
        <v>0</v>
      </c>
      <c r="AH198" s="16">
        <v>0</v>
      </c>
      <c r="AI198" s="16">
        <v>0</v>
      </c>
      <c r="AJ198" s="37">
        <v>0</v>
      </c>
      <c r="AK198" s="7">
        <v>3</v>
      </c>
      <c r="AL198" s="7">
        <v>3</v>
      </c>
      <c r="AM198" s="20">
        <v>0</v>
      </c>
      <c r="AN198" s="7">
        <v>4</v>
      </c>
      <c r="AO198" s="16">
        <v>0</v>
      </c>
      <c r="AP198" s="38">
        <v>3.3333333333333335</v>
      </c>
      <c r="AQ198" s="27">
        <v>4</v>
      </c>
      <c r="AR198" s="16">
        <v>0</v>
      </c>
      <c r="AS198" s="7">
        <v>0</v>
      </c>
      <c r="AT198" s="16">
        <v>0</v>
      </c>
      <c r="AU198" s="16">
        <v>0</v>
      </c>
      <c r="AV198" s="37">
        <v>4</v>
      </c>
      <c r="AW198" s="16">
        <v>0</v>
      </c>
      <c r="AX198" s="16">
        <v>0</v>
      </c>
      <c r="AY198" s="29">
        <v>0</v>
      </c>
      <c r="AZ198" s="27">
        <v>2</v>
      </c>
      <c r="BA198" s="57">
        <v>4</v>
      </c>
      <c r="BB198" s="85">
        <v>3</v>
      </c>
    </row>
    <row r="199" spans="1:54" ht="23.1" customHeight="1" x14ac:dyDescent="0.3">
      <c r="A199" s="86">
        <v>195</v>
      </c>
      <c r="B199" s="63" t="s">
        <v>426</v>
      </c>
      <c r="C199" s="64" t="s">
        <v>427</v>
      </c>
      <c r="D199" s="63" t="s">
        <v>450</v>
      </c>
      <c r="E199" s="63" t="s">
        <v>289</v>
      </c>
      <c r="F199" s="63" t="str">
        <f>REPT(CHAR(160),10)&amp;Working!$E199</f>
        <v>          D</v>
      </c>
      <c r="G199" s="65">
        <v>0</v>
      </c>
      <c r="H199" s="65">
        <v>0</v>
      </c>
      <c r="I199" s="65">
        <v>3</v>
      </c>
      <c r="J199" s="65">
        <v>0</v>
      </c>
      <c r="K199" s="66">
        <v>0</v>
      </c>
      <c r="L199" s="67">
        <v>3</v>
      </c>
      <c r="M199" s="65">
        <v>0</v>
      </c>
      <c r="N199" s="65">
        <v>4</v>
      </c>
      <c r="O199" s="65">
        <v>3</v>
      </c>
      <c r="P199" s="63">
        <v>0</v>
      </c>
      <c r="Q199" s="82">
        <v>3</v>
      </c>
      <c r="R199" s="38">
        <v>3.3333333333333335</v>
      </c>
      <c r="S199" s="27">
        <v>0</v>
      </c>
      <c r="T199" s="29">
        <v>0</v>
      </c>
      <c r="U199" s="56">
        <v>0</v>
      </c>
      <c r="V199" s="29">
        <v>0</v>
      </c>
      <c r="W199" s="29">
        <v>0</v>
      </c>
      <c r="X199" s="37">
        <v>0</v>
      </c>
      <c r="Y199" s="29">
        <v>3</v>
      </c>
      <c r="Z199" s="29">
        <v>0</v>
      </c>
      <c r="AA199" s="29">
        <v>0</v>
      </c>
      <c r="AB199" s="29">
        <v>0</v>
      </c>
      <c r="AC199" s="29">
        <v>0</v>
      </c>
      <c r="AD199" s="37">
        <v>3</v>
      </c>
      <c r="AE199" s="29">
        <v>0</v>
      </c>
      <c r="AF199" s="29">
        <v>0</v>
      </c>
      <c r="AG199" s="29">
        <v>0</v>
      </c>
      <c r="AH199" s="29">
        <v>0</v>
      </c>
      <c r="AI199" s="29">
        <v>0</v>
      </c>
      <c r="AJ199" s="37">
        <v>0</v>
      </c>
      <c r="AK199" s="49">
        <v>3</v>
      </c>
      <c r="AL199" s="49">
        <v>3</v>
      </c>
      <c r="AM199" s="56">
        <v>0</v>
      </c>
      <c r="AN199" s="49">
        <v>4</v>
      </c>
      <c r="AO199" s="29">
        <v>0</v>
      </c>
      <c r="AP199" s="38">
        <v>3.3333333333333335</v>
      </c>
      <c r="AQ199" s="27">
        <v>3</v>
      </c>
      <c r="AR199" s="29">
        <v>0</v>
      </c>
      <c r="AS199" s="49">
        <v>0</v>
      </c>
      <c r="AT199" s="29">
        <v>0</v>
      </c>
      <c r="AU199" s="29">
        <v>0</v>
      </c>
      <c r="AV199" s="37">
        <v>3</v>
      </c>
      <c r="AW199" s="29">
        <v>0</v>
      </c>
      <c r="AX199" s="29">
        <v>0</v>
      </c>
      <c r="AY199" s="29">
        <v>0</v>
      </c>
      <c r="AZ199" s="27">
        <v>3</v>
      </c>
      <c r="BA199" s="57">
        <v>3</v>
      </c>
      <c r="BB199" s="85">
        <v>3</v>
      </c>
    </row>
    <row r="200" spans="1:54" ht="23.1" customHeight="1" x14ac:dyDescent="0.3">
      <c r="A200" s="87">
        <v>196</v>
      </c>
      <c r="B200" s="70" t="s">
        <v>428</v>
      </c>
      <c r="C200" s="71" t="s">
        <v>429</v>
      </c>
      <c r="D200" s="70" t="s">
        <v>450</v>
      </c>
      <c r="E200" s="70" t="s">
        <v>493</v>
      </c>
      <c r="F200" s="70" t="str">
        <f>REPT(CHAR(160),10)&amp;Working!$E200</f>
        <v>          C</v>
      </c>
      <c r="G200" s="61">
        <v>0</v>
      </c>
      <c r="H200" s="61">
        <v>0</v>
      </c>
      <c r="I200" s="61">
        <v>4</v>
      </c>
      <c r="J200" s="61">
        <v>0</v>
      </c>
      <c r="K200" s="72">
        <v>0</v>
      </c>
      <c r="L200" s="67">
        <v>4</v>
      </c>
      <c r="M200" s="61">
        <v>0</v>
      </c>
      <c r="N200" s="61">
        <v>5</v>
      </c>
      <c r="O200" s="61">
        <v>4</v>
      </c>
      <c r="P200" s="70">
        <v>0</v>
      </c>
      <c r="Q200" s="81">
        <v>4</v>
      </c>
      <c r="R200" s="38">
        <v>4.333333333333333</v>
      </c>
      <c r="S200" s="27">
        <v>0</v>
      </c>
      <c r="T200" s="16">
        <v>0</v>
      </c>
      <c r="U200" s="20">
        <v>0</v>
      </c>
      <c r="V200" s="16">
        <v>0</v>
      </c>
      <c r="W200" s="16">
        <v>0</v>
      </c>
      <c r="X200" s="37">
        <v>0</v>
      </c>
      <c r="Y200" s="16">
        <v>4</v>
      </c>
      <c r="Z200" s="16">
        <v>0</v>
      </c>
      <c r="AA200" s="16">
        <v>0</v>
      </c>
      <c r="AB200" s="16">
        <v>0</v>
      </c>
      <c r="AC200" s="16">
        <v>0</v>
      </c>
      <c r="AD200" s="37">
        <v>4</v>
      </c>
      <c r="AE200" s="16">
        <v>0</v>
      </c>
      <c r="AF200" s="16">
        <v>0</v>
      </c>
      <c r="AG200" s="16">
        <v>0</v>
      </c>
      <c r="AH200" s="16">
        <v>0</v>
      </c>
      <c r="AI200" s="16">
        <v>4</v>
      </c>
      <c r="AJ200" s="37">
        <v>0</v>
      </c>
      <c r="AK200" s="7">
        <v>4</v>
      </c>
      <c r="AL200" s="7">
        <v>4</v>
      </c>
      <c r="AM200" s="20">
        <v>0</v>
      </c>
      <c r="AN200" s="7">
        <v>5</v>
      </c>
      <c r="AO200" s="16">
        <v>0</v>
      </c>
      <c r="AP200" s="38">
        <v>4.333333333333333</v>
      </c>
      <c r="AQ200" s="27">
        <v>3</v>
      </c>
      <c r="AR200" s="16">
        <v>0</v>
      </c>
      <c r="AS200" s="7">
        <v>0</v>
      </c>
      <c r="AT200" s="16">
        <v>0</v>
      </c>
      <c r="AU200" s="16">
        <v>0</v>
      </c>
      <c r="AV200" s="37">
        <v>3</v>
      </c>
      <c r="AW200" s="16">
        <v>0</v>
      </c>
      <c r="AX200" s="16">
        <v>0</v>
      </c>
      <c r="AY200" s="29">
        <v>0</v>
      </c>
      <c r="AZ200" s="27">
        <v>4</v>
      </c>
      <c r="BA200" s="57">
        <v>5</v>
      </c>
      <c r="BB200" s="85">
        <v>4.5</v>
      </c>
    </row>
    <row r="201" spans="1:54" ht="23.1" customHeight="1" x14ac:dyDescent="0.3">
      <c r="A201" s="86">
        <v>197</v>
      </c>
      <c r="B201" s="63" t="s">
        <v>430</v>
      </c>
      <c r="C201" s="64" t="s">
        <v>431</v>
      </c>
      <c r="D201" s="63" t="s">
        <v>542</v>
      </c>
      <c r="E201" s="63" t="s">
        <v>493</v>
      </c>
      <c r="F201" s="63" t="str">
        <f>REPT(CHAR(160),10)&amp;Working!$E201</f>
        <v>          C</v>
      </c>
      <c r="G201" s="65">
        <v>0</v>
      </c>
      <c r="H201" s="65">
        <v>0</v>
      </c>
      <c r="I201" s="65">
        <v>3</v>
      </c>
      <c r="J201" s="65">
        <v>0</v>
      </c>
      <c r="K201" s="66">
        <v>0</v>
      </c>
      <c r="L201" s="67"/>
      <c r="M201" s="65">
        <v>0</v>
      </c>
      <c r="N201" s="65">
        <v>2</v>
      </c>
      <c r="O201" s="65">
        <v>3</v>
      </c>
      <c r="P201" s="63">
        <v>0</v>
      </c>
      <c r="Q201" s="82">
        <v>3</v>
      </c>
      <c r="R201" s="37"/>
      <c r="S201" s="27">
        <v>0</v>
      </c>
      <c r="T201" s="29">
        <v>0</v>
      </c>
      <c r="U201" s="56">
        <v>0</v>
      </c>
      <c r="V201" s="29">
        <v>0</v>
      </c>
      <c r="W201" s="29">
        <v>0</v>
      </c>
      <c r="X201" s="37">
        <v>0</v>
      </c>
      <c r="Y201" s="29">
        <v>4</v>
      </c>
      <c r="Z201" s="29">
        <v>0</v>
      </c>
      <c r="AA201" s="29">
        <v>0</v>
      </c>
      <c r="AB201" s="29">
        <v>0</v>
      </c>
      <c r="AC201" s="29">
        <v>0</v>
      </c>
      <c r="AD201" s="37"/>
      <c r="AE201" s="29">
        <v>0</v>
      </c>
      <c r="AF201" s="29">
        <v>0</v>
      </c>
      <c r="AG201" s="29">
        <v>0</v>
      </c>
      <c r="AH201" s="29">
        <v>0</v>
      </c>
      <c r="AI201" s="29">
        <v>0</v>
      </c>
      <c r="AJ201" s="37"/>
      <c r="AK201" s="49">
        <v>2</v>
      </c>
      <c r="AL201" s="49">
        <v>2</v>
      </c>
      <c r="AM201" s="56">
        <v>0</v>
      </c>
      <c r="AN201" s="49">
        <v>3</v>
      </c>
      <c r="AO201" s="29">
        <v>0</v>
      </c>
      <c r="AP201" s="37"/>
      <c r="AQ201" s="27">
        <v>2</v>
      </c>
      <c r="AR201" s="29">
        <v>0</v>
      </c>
      <c r="AS201" s="49">
        <v>0</v>
      </c>
      <c r="AT201" s="29">
        <v>0</v>
      </c>
      <c r="AU201" s="29">
        <v>0</v>
      </c>
      <c r="AV201" s="37"/>
      <c r="AW201" s="29">
        <v>0</v>
      </c>
      <c r="AX201" s="29">
        <v>0</v>
      </c>
      <c r="AY201" s="29">
        <v>0</v>
      </c>
      <c r="AZ201" s="27">
        <v>3</v>
      </c>
      <c r="BA201" s="57">
        <v>3</v>
      </c>
      <c r="BB201" s="85"/>
    </row>
    <row r="202" spans="1:54" ht="23.1" customHeight="1" x14ac:dyDescent="0.3">
      <c r="A202" s="87">
        <v>198</v>
      </c>
      <c r="B202" s="70" t="s">
        <v>176</v>
      </c>
      <c r="C202" s="71" t="s">
        <v>177</v>
      </c>
      <c r="D202" s="70" t="s">
        <v>542</v>
      </c>
      <c r="E202" s="70" t="s">
        <v>161</v>
      </c>
      <c r="F202" s="70" t="str">
        <f>REPT(CHAR(160),10)&amp;Working!$E202</f>
        <v>          B</v>
      </c>
      <c r="G202" s="61">
        <v>0</v>
      </c>
      <c r="H202" s="61">
        <v>0</v>
      </c>
      <c r="I202" s="61" t="s">
        <v>35</v>
      </c>
      <c r="J202" s="61">
        <v>0</v>
      </c>
      <c r="K202" s="72">
        <v>0</v>
      </c>
      <c r="L202" s="67">
        <v>0</v>
      </c>
      <c r="M202" s="61">
        <v>0</v>
      </c>
      <c r="N202" s="61" t="s">
        <v>581</v>
      </c>
      <c r="O202" s="61" t="s">
        <v>581</v>
      </c>
      <c r="P202" s="70">
        <v>0</v>
      </c>
      <c r="Q202" s="81" t="s">
        <v>581</v>
      </c>
      <c r="R202" s="37">
        <v>0</v>
      </c>
      <c r="S202" s="27">
        <v>0</v>
      </c>
      <c r="T202" s="16">
        <v>0</v>
      </c>
      <c r="U202" s="20">
        <v>0</v>
      </c>
      <c r="V202" s="16">
        <v>0</v>
      </c>
      <c r="W202" s="16">
        <v>0</v>
      </c>
      <c r="X202" s="37">
        <v>0</v>
      </c>
      <c r="Y202" s="16" t="s">
        <v>581</v>
      </c>
      <c r="Z202" s="16">
        <v>0</v>
      </c>
      <c r="AA202" s="16">
        <v>0</v>
      </c>
      <c r="AB202" s="16">
        <v>0</v>
      </c>
      <c r="AC202" s="16">
        <v>0</v>
      </c>
      <c r="AD202" s="37">
        <v>0</v>
      </c>
      <c r="AE202" s="16">
        <v>0</v>
      </c>
      <c r="AF202" s="16">
        <v>0</v>
      </c>
      <c r="AG202" s="16">
        <v>0</v>
      </c>
      <c r="AH202" s="16">
        <v>0</v>
      </c>
      <c r="AI202" s="16">
        <v>0</v>
      </c>
      <c r="AJ202" s="37">
        <v>0</v>
      </c>
      <c r="AK202" s="7" t="s">
        <v>581</v>
      </c>
      <c r="AL202" s="7" t="s">
        <v>581</v>
      </c>
      <c r="AM202" s="20">
        <v>0</v>
      </c>
      <c r="AN202" s="7" t="s">
        <v>581</v>
      </c>
      <c r="AO202" s="16">
        <v>0</v>
      </c>
      <c r="AP202" s="37">
        <v>0</v>
      </c>
      <c r="AQ202" s="27" t="s">
        <v>581</v>
      </c>
      <c r="AR202" s="16">
        <v>0</v>
      </c>
      <c r="AS202" s="7">
        <v>0</v>
      </c>
      <c r="AT202" s="16">
        <v>0</v>
      </c>
      <c r="AU202" s="16">
        <v>0</v>
      </c>
      <c r="AV202" s="37">
        <v>0</v>
      </c>
      <c r="AW202" s="16">
        <v>0</v>
      </c>
      <c r="AX202" s="16">
        <v>0</v>
      </c>
      <c r="AY202" s="29">
        <v>0</v>
      </c>
      <c r="AZ202" s="27" t="s">
        <v>581</v>
      </c>
      <c r="BA202" s="57" t="s">
        <v>581</v>
      </c>
      <c r="BB202" s="85">
        <v>0</v>
      </c>
    </row>
    <row r="203" spans="1:54" ht="23.1" customHeight="1" x14ac:dyDescent="0.3">
      <c r="A203" s="86">
        <v>199</v>
      </c>
      <c r="B203" s="63" t="s">
        <v>432</v>
      </c>
      <c r="C203" s="64" t="s">
        <v>433</v>
      </c>
      <c r="D203" s="63" t="s">
        <v>542</v>
      </c>
      <c r="E203" s="63" t="s">
        <v>289</v>
      </c>
      <c r="F203" s="63" t="str">
        <f>REPT(CHAR(160),10)&amp;Working!$E203</f>
        <v>          D</v>
      </c>
      <c r="G203" s="65">
        <v>0</v>
      </c>
      <c r="H203" s="65">
        <v>0</v>
      </c>
      <c r="I203" s="65">
        <v>3</v>
      </c>
      <c r="J203" s="65">
        <v>0</v>
      </c>
      <c r="K203" s="66">
        <v>0</v>
      </c>
      <c r="L203" s="67">
        <v>0.6</v>
      </c>
      <c r="M203" s="65">
        <v>0</v>
      </c>
      <c r="N203" s="65">
        <v>3</v>
      </c>
      <c r="O203" s="65">
        <v>3</v>
      </c>
      <c r="P203" s="68">
        <v>0</v>
      </c>
      <c r="Q203" s="69">
        <v>3</v>
      </c>
      <c r="R203" s="37">
        <v>1.8</v>
      </c>
      <c r="S203" s="27">
        <v>0</v>
      </c>
      <c r="T203" s="29">
        <v>0</v>
      </c>
      <c r="U203" s="52">
        <v>0</v>
      </c>
      <c r="V203" s="29">
        <v>0</v>
      </c>
      <c r="W203" s="29">
        <v>0</v>
      </c>
      <c r="X203" s="37">
        <v>0</v>
      </c>
      <c r="Y203" s="29">
        <v>3</v>
      </c>
      <c r="Z203" s="29">
        <v>0</v>
      </c>
      <c r="AA203" s="29">
        <v>0</v>
      </c>
      <c r="AB203" s="29">
        <v>0</v>
      </c>
      <c r="AC203" s="29">
        <v>0</v>
      </c>
      <c r="AD203" s="37">
        <v>0.6</v>
      </c>
      <c r="AE203" s="29">
        <v>0</v>
      </c>
      <c r="AF203" s="29">
        <v>0</v>
      </c>
      <c r="AG203" s="29">
        <v>0</v>
      </c>
      <c r="AH203" s="29">
        <v>0</v>
      </c>
      <c r="AI203" s="29">
        <v>0</v>
      </c>
      <c r="AJ203" s="37">
        <v>0</v>
      </c>
      <c r="AK203" s="28">
        <v>3</v>
      </c>
      <c r="AL203" s="28">
        <v>2</v>
      </c>
      <c r="AM203" s="52">
        <v>0</v>
      </c>
      <c r="AN203" s="28">
        <v>3</v>
      </c>
      <c r="AO203" s="29">
        <v>0</v>
      </c>
      <c r="AP203" s="37">
        <v>1.6</v>
      </c>
      <c r="AQ203" s="27">
        <v>3</v>
      </c>
      <c r="AR203" s="29">
        <v>0</v>
      </c>
      <c r="AS203" s="49">
        <v>0</v>
      </c>
      <c r="AT203" s="29">
        <v>0</v>
      </c>
      <c r="AU203" s="29">
        <v>0</v>
      </c>
      <c r="AV203" s="37">
        <v>0.6</v>
      </c>
      <c r="AW203" s="29">
        <v>0</v>
      </c>
      <c r="AX203" s="29">
        <v>0</v>
      </c>
      <c r="AY203" s="29">
        <v>0</v>
      </c>
      <c r="AZ203" s="27">
        <v>2</v>
      </c>
      <c r="BA203" s="57">
        <v>3</v>
      </c>
      <c r="BB203" s="85">
        <v>1</v>
      </c>
    </row>
    <row r="204" spans="1:54" ht="23.1" customHeight="1" x14ac:dyDescent="0.3">
      <c r="A204" s="87">
        <v>200</v>
      </c>
      <c r="B204" s="70" t="s">
        <v>434</v>
      </c>
      <c r="C204" s="71" t="s">
        <v>435</v>
      </c>
      <c r="D204" s="70" t="s">
        <v>450</v>
      </c>
      <c r="E204" s="70" t="s">
        <v>493</v>
      </c>
      <c r="F204" s="70" t="str">
        <f>REPT(CHAR(160),10)&amp;Working!$E204</f>
        <v>          C</v>
      </c>
      <c r="G204" s="61">
        <v>0</v>
      </c>
      <c r="H204" s="61">
        <v>0</v>
      </c>
      <c r="I204" s="61">
        <v>2</v>
      </c>
      <c r="J204" s="61">
        <v>0</v>
      </c>
      <c r="K204" s="72">
        <v>0</v>
      </c>
      <c r="L204" s="67">
        <v>0.4</v>
      </c>
      <c r="M204" s="61">
        <v>0</v>
      </c>
      <c r="N204" s="61">
        <v>3</v>
      </c>
      <c r="O204" s="61">
        <v>2</v>
      </c>
      <c r="P204" s="73">
        <v>0</v>
      </c>
      <c r="Q204" s="74">
        <v>2</v>
      </c>
      <c r="R204" s="37">
        <v>1.4</v>
      </c>
      <c r="S204" s="27">
        <v>0</v>
      </c>
      <c r="T204" s="16">
        <v>0</v>
      </c>
      <c r="U204" s="51">
        <v>0</v>
      </c>
      <c r="V204" s="16">
        <v>0</v>
      </c>
      <c r="W204" s="16">
        <v>0</v>
      </c>
      <c r="X204" s="37">
        <v>0</v>
      </c>
      <c r="Y204" s="16">
        <v>3</v>
      </c>
      <c r="Z204" s="16">
        <v>0</v>
      </c>
      <c r="AA204" s="16">
        <v>0</v>
      </c>
      <c r="AB204" s="16">
        <v>0</v>
      </c>
      <c r="AC204" s="16">
        <v>0</v>
      </c>
      <c r="AD204" s="37">
        <v>0.6</v>
      </c>
      <c r="AE204" s="16">
        <v>0</v>
      </c>
      <c r="AF204" s="16">
        <v>0</v>
      </c>
      <c r="AG204" s="16">
        <v>0</v>
      </c>
      <c r="AH204" s="16">
        <v>0</v>
      </c>
      <c r="AI204" s="16">
        <v>0</v>
      </c>
      <c r="AJ204" s="37">
        <v>0</v>
      </c>
      <c r="AK204" s="22">
        <v>3</v>
      </c>
      <c r="AL204" s="22">
        <v>3</v>
      </c>
      <c r="AM204" s="51">
        <v>0</v>
      </c>
      <c r="AN204" s="22">
        <v>3</v>
      </c>
      <c r="AO204" s="16">
        <v>0</v>
      </c>
      <c r="AP204" s="37">
        <v>1.8</v>
      </c>
      <c r="AQ204" s="27">
        <v>2</v>
      </c>
      <c r="AR204" s="16">
        <v>0</v>
      </c>
      <c r="AS204" s="7">
        <v>0</v>
      </c>
      <c r="AT204" s="16">
        <v>0</v>
      </c>
      <c r="AU204" s="16">
        <v>0</v>
      </c>
      <c r="AV204" s="37">
        <v>0.4</v>
      </c>
      <c r="AW204" s="16">
        <v>0</v>
      </c>
      <c r="AX204" s="16">
        <v>0</v>
      </c>
      <c r="AY204" s="29">
        <v>0</v>
      </c>
      <c r="AZ204" s="27">
        <v>3</v>
      </c>
      <c r="BA204" s="57">
        <v>3</v>
      </c>
      <c r="BB204" s="85">
        <v>1.2</v>
      </c>
    </row>
    <row r="205" spans="1:54" ht="23.1" customHeight="1" x14ac:dyDescent="0.3">
      <c r="A205" s="86">
        <v>201</v>
      </c>
      <c r="B205" s="63" t="s">
        <v>436</v>
      </c>
      <c r="C205" s="64" t="s">
        <v>437</v>
      </c>
      <c r="D205" s="63" t="s">
        <v>450</v>
      </c>
      <c r="E205" s="63" t="s">
        <v>493</v>
      </c>
      <c r="F205" s="63" t="str">
        <f>REPT(CHAR(160),10)&amp;Working!$E205</f>
        <v>          C</v>
      </c>
      <c r="G205" s="65">
        <v>0</v>
      </c>
      <c r="H205" s="65">
        <v>0</v>
      </c>
      <c r="I205" s="65">
        <v>3</v>
      </c>
      <c r="J205" s="65">
        <v>0</v>
      </c>
      <c r="K205" s="66">
        <v>0</v>
      </c>
      <c r="L205" s="67">
        <v>0.6</v>
      </c>
      <c r="M205" s="65">
        <v>0</v>
      </c>
      <c r="N205" s="65">
        <v>3</v>
      </c>
      <c r="O205" s="65">
        <v>3</v>
      </c>
      <c r="P205" s="68">
        <v>0</v>
      </c>
      <c r="Q205" s="69">
        <v>3</v>
      </c>
      <c r="R205" s="37">
        <v>1.8</v>
      </c>
      <c r="S205" s="27">
        <v>0</v>
      </c>
      <c r="T205" s="29">
        <v>0</v>
      </c>
      <c r="U205" s="52">
        <v>0</v>
      </c>
      <c r="V205" s="29">
        <v>0</v>
      </c>
      <c r="W205" s="29">
        <v>0</v>
      </c>
      <c r="X205" s="37">
        <v>0</v>
      </c>
      <c r="Y205" s="29">
        <v>2</v>
      </c>
      <c r="Z205" s="29">
        <v>0</v>
      </c>
      <c r="AA205" s="29">
        <v>0</v>
      </c>
      <c r="AB205" s="29">
        <v>0</v>
      </c>
      <c r="AC205" s="29">
        <v>0</v>
      </c>
      <c r="AD205" s="37">
        <v>0.4</v>
      </c>
      <c r="AE205" s="29">
        <v>0</v>
      </c>
      <c r="AF205" s="29">
        <v>0</v>
      </c>
      <c r="AG205" s="29">
        <v>0</v>
      </c>
      <c r="AH205" s="29">
        <v>0</v>
      </c>
      <c r="AI205" s="29">
        <v>0</v>
      </c>
      <c r="AJ205" s="37">
        <v>0</v>
      </c>
      <c r="AK205" s="28">
        <v>2</v>
      </c>
      <c r="AL205" s="28">
        <v>2</v>
      </c>
      <c r="AM205" s="52">
        <v>0</v>
      </c>
      <c r="AN205" s="28">
        <v>2</v>
      </c>
      <c r="AO205" s="29">
        <v>0</v>
      </c>
      <c r="AP205" s="37">
        <v>1.2</v>
      </c>
      <c r="AQ205" s="27">
        <v>3</v>
      </c>
      <c r="AR205" s="29">
        <v>0</v>
      </c>
      <c r="AS205" s="58">
        <v>0</v>
      </c>
      <c r="AT205" s="29">
        <v>0</v>
      </c>
      <c r="AU205" s="29">
        <v>0</v>
      </c>
      <c r="AV205" s="37">
        <v>0.6</v>
      </c>
      <c r="AW205" s="29">
        <v>0</v>
      </c>
      <c r="AX205" s="29">
        <v>0</v>
      </c>
      <c r="AY205" s="29">
        <v>0</v>
      </c>
      <c r="AZ205" s="27">
        <v>3</v>
      </c>
      <c r="BA205" s="57">
        <v>2</v>
      </c>
      <c r="BB205" s="85">
        <v>1</v>
      </c>
    </row>
    <row r="206" spans="1:54" ht="23.1" customHeight="1" x14ac:dyDescent="0.3">
      <c r="A206" s="87">
        <v>202</v>
      </c>
      <c r="B206" s="70" t="s">
        <v>438</v>
      </c>
      <c r="C206" s="71" t="s">
        <v>439</v>
      </c>
      <c r="D206" s="70" t="s">
        <v>450</v>
      </c>
      <c r="E206" s="70" t="s">
        <v>289</v>
      </c>
      <c r="F206" s="70" t="str">
        <f>REPT(CHAR(160),10)&amp;Working!$E206</f>
        <v>          D</v>
      </c>
      <c r="G206" s="61">
        <v>0</v>
      </c>
      <c r="H206" s="61">
        <v>0</v>
      </c>
      <c r="I206" s="61">
        <v>0</v>
      </c>
      <c r="J206" s="61">
        <v>0</v>
      </c>
      <c r="K206" s="72">
        <v>0</v>
      </c>
      <c r="L206" s="67">
        <v>0</v>
      </c>
      <c r="M206" s="61">
        <v>0</v>
      </c>
      <c r="N206" s="61">
        <v>0</v>
      </c>
      <c r="O206" s="61">
        <v>0</v>
      </c>
      <c r="P206" s="75">
        <v>0</v>
      </c>
      <c r="Q206" s="76">
        <v>0</v>
      </c>
      <c r="R206" s="37">
        <v>0</v>
      </c>
      <c r="S206" s="27">
        <v>0</v>
      </c>
      <c r="T206" s="16">
        <v>0</v>
      </c>
      <c r="U206" s="53">
        <v>0</v>
      </c>
      <c r="V206" s="16">
        <v>0</v>
      </c>
      <c r="W206" s="16">
        <v>0</v>
      </c>
      <c r="X206" s="37">
        <v>0</v>
      </c>
      <c r="Y206" s="16">
        <v>0</v>
      </c>
      <c r="Z206" s="16">
        <v>0</v>
      </c>
      <c r="AA206" s="16">
        <v>0</v>
      </c>
      <c r="AB206" s="16">
        <v>0</v>
      </c>
      <c r="AC206" s="16">
        <v>0</v>
      </c>
      <c r="AD206" s="37">
        <v>0</v>
      </c>
      <c r="AE206" s="16">
        <v>0</v>
      </c>
      <c r="AF206" s="16">
        <v>0</v>
      </c>
      <c r="AG206" s="16">
        <v>0</v>
      </c>
      <c r="AH206" s="16">
        <v>0</v>
      </c>
      <c r="AI206" s="16">
        <v>0</v>
      </c>
      <c r="AJ206" s="37">
        <v>0</v>
      </c>
      <c r="AK206" s="24">
        <v>0</v>
      </c>
      <c r="AL206" s="24">
        <v>0</v>
      </c>
      <c r="AM206" s="53">
        <v>0</v>
      </c>
      <c r="AN206" s="24">
        <v>0</v>
      </c>
      <c r="AO206" s="16">
        <v>0</v>
      </c>
      <c r="AP206" s="37">
        <v>0</v>
      </c>
      <c r="AQ206" s="27">
        <v>0</v>
      </c>
      <c r="AR206" s="16">
        <v>0</v>
      </c>
      <c r="AS206" s="25">
        <v>0</v>
      </c>
      <c r="AT206" s="16">
        <v>0</v>
      </c>
      <c r="AU206" s="16">
        <v>0</v>
      </c>
      <c r="AV206" s="37">
        <v>0</v>
      </c>
      <c r="AW206" s="16">
        <v>0</v>
      </c>
      <c r="AX206" s="16">
        <v>0</v>
      </c>
      <c r="AY206" s="29">
        <v>0</v>
      </c>
      <c r="AZ206" s="27">
        <v>0</v>
      </c>
      <c r="BA206" s="57">
        <v>0</v>
      </c>
      <c r="BB206" s="85">
        <v>0</v>
      </c>
    </row>
    <row r="207" spans="1:54" ht="23.1" customHeight="1" x14ac:dyDescent="0.3">
      <c r="A207" s="86">
        <v>203</v>
      </c>
      <c r="B207" s="63" t="s">
        <v>440</v>
      </c>
      <c r="C207" s="64" t="s">
        <v>441</v>
      </c>
      <c r="D207" s="63" t="s">
        <v>450</v>
      </c>
      <c r="E207" s="63" t="s">
        <v>289</v>
      </c>
      <c r="F207" s="63" t="str">
        <f>REPT(CHAR(160),10)&amp;Working!$E207</f>
        <v>          D</v>
      </c>
      <c r="G207" s="65">
        <v>0</v>
      </c>
      <c r="H207" s="65">
        <v>0</v>
      </c>
      <c r="I207" s="65">
        <v>3</v>
      </c>
      <c r="J207" s="65">
        <v>0</v>
      </c>
      <c r="K207" s="66">
        <v>0</v>
      </c>
      <c r="L207" s="67">
        <v>0.6</v>
      </c>
      <c r="M207" s="65">
        <v>0</v>
      </c>
      <c r="N207" s="65">
        <v>3</v>
      </c>
      <c r="O207" s="65">
        <v>4</v>
      </c>
      <c r="P207" s="68">
        <v>0</v>
      </c>
      <c r="Q207" s="69">
        <v>4</v>
      </c>
      <c r="R207" s="37">
        <v>2.2000000000000002</v>
      </c>
      <c r="S207" s="27">
        <v>0</v>
      </c>
      <c r="T207" s="29">
        <v>0</v>
      </c>
      <c r="U207" s="52">
        <v>0</v>
      </c>
      <c r="V207" s="29">
        <v>0</v>
      </c>
      <c r="W207" s="29">
        <v>0</v>
      </c>
      <c r="X207" s="37">
        <v>0</v>
      </c>
      <c r="Y207" s="29">
        <v>4</v>
      </c>
      <c r="Z207" s="29">
        <v>0</v>
      </c>
      <c r="AA207" s="29">
        <v>0</v>
      </c>
      <c r="AB207" s="29">
        <v>0</v>
      </c>
      <c r="AC207" s="29">
        <v>0</v>
      </c>
      <c r="AD207" s="37">
        <v>0.8</v>
      </c>
      <c r="AE207" s="29">
        <v>0</v>
      </c>
      <c r="AF207" s="29">
        <v>0</v>
      </c>
      <c r="AG207" s="29">
        <v>0</v>
      </c>
      <c r="AH207" s="29">
        <v>0</v>
      </c>
      <c r="AI207" s="29">
        <v>0</v>
      </c>
      <c r="AJ207" s="37">
        <v>0</v>
      </c>
      <c r="AK207" s="28">
        <v>3</v>
      </c>
      <c r="AL207" s="28">
        <v>4</v>
      </c>
      <c r="AM207" s="52">
        <v>0</v>
      </c>
      <c r="AN207" s="28">
        <v>3</v>
      </c>
      <c r="AO207" s="29">
        <v>0</v>
      </c>
      <c r="AP207" s="37">
        <v>2</v>
      </c>
      <c r="AQ207" s="27">
        <v>3</v>
      </c>
      <c r="AR207" s="29">
        <v>0</v>
      </c>
      <c r="AS207" s="58">
        <v>0</v>
      </c>
      <c r="AT207" s="29">
        <v>0</v>
      </c>
      <c r="AU207" s="29">
        <v>0</v>
      </c>
      <c r="AV207" s="37">
        <v>0.6</v>
      </c>
      <c r="AW207" s="29">
        <v>0</v>
      </c>
      <c r="AX207" s="29">
        <v>0</v>
      </c>
      <c r="AY207" s="29">
        <v>0</v>
      </c>
      <c r="AZ207" s="27">
        <v>3</v>
      </c>
      <c r="BA207" s="57">
        <v>3</v>
      </c>
      <c r="BB207" s="85">
        <v>1.2</v>
      </c>
    </row>
    <row r="208" spans="1:54" ht="23.1" customHeight="1" x14ac:dyDescent="0.3">
      <c r="A208" s="87">
        <v>204</v>
      </c>
      <c r="B208" s="70" t="s">
        <v>442</v>
      </c>
      <c r="C208" s="71" t="s">
        <v>443</v>
      </c>
      <c r="D208" s="70" t="s">
        <v>450</v>
      </c>
      <c r="E208" s="70" t="s">
        <v>289</v>
      </c>
      <c r="F208" s="70" t="str">
        <f>REPT(CHAR(160),10)&amp;Working!$E208</f>
        <v>          D</v>
      </c>
      <c r="G208" s="61">
        <v>0</v>
      </c>
      <c r="H208" s="61">
        <v>0</v>
      </c>
      <c r="I208" s="61">
        <v>2</v>
      </c>
      <c r="J208" s="61">
        <v>0</v>
      </c>
      <c r="K208" s="72">
        <v>0</v>
      </c>
      <c r="L208" s="67">
        <v>0.4</v>
      </c>
      <c r="M208" s="61">
        <v>0</v>
      </c>
      <c r="N208" s="61">
        <v>2</v>
      </c>
      <c r="O208" s="61">
        <v>3</v>
      </c>
      <c r="P208" s="73">
        <v>0</v>
      </c>
      <c r="Q208" s="74">
        <v>3</v>
      </c>
      <c r="R208" s="37">
        <v>1.6</v>
      </c>
      <c r="S208" s="27">
        <v>0</v>
      </c>
      <c r="T208" s="16">
        <v>0</v>
      </c>
      <c r="U208" s="51">
        <v>0</v>
      </c>
      <c r="V208" s="16">
        <v>0</v>
      </c>
      <c r="W208" s="16">
        <v>0</v>
      </c>
      <c r="X208" s="37">
        <v>0</v>
      </c>
      <c r="Y208" s="16">
        <v>2</v>
      </c>
      <c r="Z208" s="16">
        <v>0</v>
      </c>
      <c r="AA208" s="16">
        <v>0</v>
      </c>
      <c r="AB208" s="16">
        <v>0</v>
      </c>
      <c r="AC208" s="16">
        <v>0</v>
      </c>
      <c r="AD208" s="37">
        <v>0.4</v>
      </c>
      <c r="AE208" s="16">
        <v>0</v>
      </c>
      <c r="AF208" s="16">
        <v>0</v>
      </c>
      <c r="AG208" s="16">
        <v>0</v>
      </c>
      <c r="AH208" s="16">
        <v>0</v>
      </c>
      <c r="AI208" s="16">
        <v>0</v>
      </c>
      <c r="AJ208" s="37">
        <v>0</v>
      </c>
      <c r="AK208" s="22">
        <v>2</v>
      </c>
      <c r="AL208" s="22">
        <v>3</v>
      </c>
      <c r="AM208" s="51">
        <v>0</v>
      </c>
      <c r="AN208" s="22">
        <v>3</v>
      </c>
      <c r="AO208" s="16">
        <v>0</v>
      </c>
      <c r="AP208" s="37">
        <v>1.6</v>
      </c>
      <c r="AQ208" s="27">
        <v>3</v>
      </c>
      <c r="AR208" s="16">
        <v>0</v>
      </c>
      <c r="AS208" s="26">
        <v>0</v>
      </c>
      <c r="AT208" s="16">
        <v>0</v>
      </c>
      <c r="AU208" s="16">
        <v>0</v>
      </c>
      <c r="AV208" s="37">
        <v>0.6</v>
      </c>
      <c r="AW208" s="16">
        <v>0</v>
      </c>
      <c r="AX208" s="16">
        <v>0</v>
      </c>
      <c r="AY208" s="29">
        <v>0</v>
      </c>
      <c r="AZ208" s="27">
        <v>3</v>
      </c>
      <c r="BA208" s="57">
        <v>3</v>
      </c>
      <c r="BB208" s="85">
        <v>1.2</v>
      </c>
    </row>
    <row r="209" spans="1:54" ht="23.1" customHeight="1" x14ac:dyDescent="0.3">
      <c r="A209" s="86">
        <v>205</v>
      </c>
      <c r="B209" s="63" t="s">
        <v>444</v>
      </c>
      <c r="C209" s="64" t="s">
        <v>445</v>
      </c>
      <c r="D209" s="63" t="s">
        <v>450</v>
      </c>
      <c r="E209" s="63" t="s">
        <v>289</v>
      </c>
      <c r="F209" s="63" t="str">
        <f>REPT(CHAR(160),10)&amp;Working!$E209</f>
        <v>          D</v>
      </c>
      <c r="G209" s="65">
        <v>0</v>
      </c>
      <c r="H209" s="65">
        <v>0</v>
      </c>
      <c r="I209" s="65">
        <v>2</v>
      </c>
      <c r="J209" s="65">
        <v>0</v>
      </c>
      <c r="K209" s="66">
        <v>0</v>
      </c>
      <c r="L209" s="67">
        <v>0.4</v>
      </c>
      <c r="M209" s="65">
        <v>0</v>
      </c>
      <c r="N209" s="65">
        <v>3</v>
      </c>
      <c r="O209" s="65">
        <v>3</v>
      </c>
      <c r="P209" s="68">
        <v>0</v>
      </c>
      <c r="Q209" s="69">
        <v>3</v>
      </c>
      <c r="R209" s="37">
        <v>1.8</v>
      </c>
      <c r="S209" s="27">
        <v>0</v>
      </c>
      <c r="T209" s="29">
        <v>0</v>
      </c>
      <c r="U209" s="52">
        <v>0</v>
      </c>
      <c r="V209" s="29">
        <v>0</v>
      </c>
      <c r="W209" s="29">
        <v>0</v>
      </c>
      <c r="X209" s="37">
        <v>0</v>
      </c>
      <c r="Y209" s="29">
        <v>2</v>
      </c>
      <c r="Z209" s="29">
        <v>0</v>
      </c>
      <c r="AA209" s="29">
        <v>0</v>
      </c>
      <c r="AB209" s="29">
        <v>0</v>
      </c>
      <c r="AC209" s="29">
        <v>0</v>
      </c>
      <c r="AD209" s="37">
        <v>0.4</v>
      </c>
      <c r="AE209" s="29">
        <v>0</v>
      </c>
      <c r="AF209" s="29">
        <v>0</v>
      </c>
      <c r="AG209" s="29">
        <v>0</v>
      </c>
      <c r="AH209" s="29">
        <v>0</v>
      </c>
      <c r="AI209" s="29">
        <v>0</v>
      </c>
      <c r="AJ209" s="37">
        <v>0</v>
      </c>
      <c r="AK209" s="28">
        <v>2</v>
      </c>
      <c r="AL209" s="28">
        <v>2</v>
      </c>
      <c r="AM209" s="52">
        <v>0</v>
      </c>
      <c r="AN209" s="28">
        <v>2</v>
      </c>
      <c r="AO209" s="29">
        <v>0</v>
      </c>
      <c r="AP209" s="37">
        <v>1.2</v>
      </c>
      <c r="AQ209" s="27">
        <v>2</v>
      </c>
      <c r="AR209" s="29">
        <v>0</v>
      </c>
      <c r="AS209" s="58">
        <v>0</v>
      </c>
      <c r="AT209" s="29">
        <v>0</v>
      </c>
      <c r="AU209" s="29">
        <v>0</v>
      </c>
      <c r="AV209" s="37">
        <v>0.4</v>
      </c>
      <c r="AW209" s="29">
        <v>0</v>
      </c>
      <c r="AX209" s="29">
        <v>0</v>
      </c>
      <c r="AY209" s="29">
        <v>0</v>
      </c>
      <c r="AZ209" s="27">
        <v>3</v>
      </c>
      <c r="BA209" s="57">
        <v>2</v>
      </c>
      <c r="BB209" s="85">
        <v>1</v>
      </c>
    </row>
    <row r="210" spans="1:54" ht="23.1" customHeight="1" x14ac:dyDescent="0.3">
      <c r="A210" s="87">
        <v>206</v>
      </c>
      <c r="B210" s="70" t="s">
        <v>446</v>
      </c>
      <c r="C210" s="71" t="s">
        <v>447</v>
      </c>
      <c r="D210" s="70" t="s">
        <v>450</v>
      </c>
      <c r="E210" s="70" t="s">
        <v>289</v>
      </c>
      <c r="F210" s="70" t="str">
        <f>REPT(CHAR(160),10)&amp;Working!$E210</f>
        <v>          D</v>
      </c>
      <c r="G210" s="61">
        <v>0</v>
      </c>
      <c r="H210" s="61">
        <v>0</v>
      </c>
      <c r="I210" s="61">
        <v>2</v>
      </c>
      <c r="J210" s="61">
        <v>0</v>
      </c>
      <c r="K210" s="72">
        <v>0</v>
      </c>
      <c r="L210" s="67">
        <v>0.4</v>
      </c>
      <c r="M210" s="61">
        <v>0</v>
      </c>
      <c r="N210" s="61">
        <v>3</v>
      </c>
      <c r="O210" s="61">
        <v>3</v>
      </c>
      <c r="P210" s="73">
        <v>0</v>
      </c>
      <c r="Q210" s="74">
        <v>3</v>
      </c>
      <c r="R210" s="37">
        <v>1.8</v>
      </c>
      <c r="S210" s="27">
        <v>0</v>
      </c>
      <c r="T210" s="16">
        <v>0</v>
      </c>
      <c r="U210" s="51">
        <v>0</v>
      </c>
      <c r="V210" s="16">
        <v>0</v>
      </c>
      <c r="W210" s="16">
        <v>0</v>
      </c>
      <c r="X210" s="37">
        <v>0</v>
      </c>
      <c r="Y210" s="16">
        <v>2</v>
      </c>
      <c r="Z210" s="16">
        <v>0</v>
      </c>
      <c r="AA210" s="16">
        <v>0</v>
      </c>
      <c r="AB210" s="16">
        <v>0</v>
      </c>
      <c r="AC210" s="16">
        <v>0</v>
      </c>
      <c r="AD210" s="37">
        <v>0.4</v>
      </c>
      <c r="AE210" s="16">
        <v>0</v>
      </c>
      <c r="AF210" s="16">
        <v>0</v>
      </c>
      <c r="AG210" s="16">
        <v>0</v>
      </c>
      <c r="AH210" s="16">
        <v>0</v>
      </c>
      <c r="AI210" s="16">
        <v>0</v>
      </c>
      <c r="AJ210" s="37">
        <v>0</v>
      </c>
      <c r="AK210" s="22">
        <v>2</v>
      </c>
      <c r="AL210" s="22">
        <v>2</v>
      </c>
      <c r="AM210" s="51">
        <v>0</v>
      </c>
      <c r="AN210" s="22">
        <v>3</v>
      </c>
      <c r="AO210" s="16">
        <v>0</v>
      </c>
      <c r="AP210" s="37">
        <v>1.4</v>
      </c>
      <c r="AQ210" s="27">
        <v>2</v>
      </c>
      <c r="AR210" s="16">
        <v>0</v>
      </c>
      <c r="AS210" s="25">
        <v>0</v>
      </c>
      <c r="AT210" s="16">
        <v>0</v>
      </c>
      <c r="AU210" s="16">
        <v>0</v>
      </c>
      <c r="AV210" s="37">
        <v>0.4</v>
      </c>
      <c r="AW210" s="16">
        <v>0</v>
      </c>
      <c r="AX210" s="16">
        <v>0</v>
      </c>
      <c r="AY210" s="29">
        <v>0</v>
      </c>
      <c r="AZ210" s="27">
        <v>2</v>
      </c>
      <c r="BA210" s="57">
        <v>3</v>
      </c>
      <c r="BB210" s="85">
        <v>1</v>
      </c>
    </row>
    <row r="211" spans="1:54" ht="23.1" customHeight="1" x14ac:dyDescent="0.3">
      <c r="A211" s="86">
        <v>207</v>
      </c>
      <c r="B211" s="63" t="s">
        <v>448</v>
      </c>
      <c r="C211" s="64" t="s">
        <v>449</v>
      </c>
      <c r="D211" s="63" t="s">
        <v>450</v>
      </c>
      <c r="E211" s="63" t="s">
        <v>289</v>
      </c>
      <c r="F211" s="63" t="str">
        <f>REPT(CHAR(160),10)&amp;Working!$E211</f>
        <v>          D</v>
      </c>
      <c r="G211" s="65">
        <v>0</v>
      </c>
      <c r="H211" s="65">
        <v>0</v>
      </c>
      <c r="I211" s="65">
        <v>2</v>
      </c>
      <c r="J211" s="65">
        <v>0</v>
      </c>
      <c r="K211" s="66">
        <v>0</v>
      </c>
      <c r="L211" s="67">
        <v>0.4</v>
      </c>
      <c r="M211" s="65">
        <v>0</v>
      </c>
      <c r="N211" s="65">
        <v>2</v>
      </c>
      <c r="O211" s="65">
        <v>3</v>
      </c>
      <c r="P211" s="68">
        <v>0</v>
      </c>
      <c r="Q211" s="69">
        <v>3</v>
      </c>
      <c r="R211" s="37">
        <v>1.6</v>
      </c>
      <c r="S211" s="27">
        <v>0</v>
      </c>
      <c r="T211" s="29">
        <v>0</v>
      </c>
      <c r="U211" s="52">
        <v>0</v>
      </c>
      <c r="V211" s="29">
        <v>0</v>
      </c>
      <c r="W211" s="29">
        <v>0</v>
      </c>
      <c r="X211" s="37">
        <v>0</v>
      </c>
      <c r="Y211" s="29">
        <v>2</v>
      </c>
      <c r="Z211" s="29">
        <v>0</v>
      </c>
      <c r="AA211" s="29">
        <v>0</v>
      </c>
      <c r="AB211" s="29">
        <v>0</v>
      </c>
      <c r="AC211" s="29">
        <v>0</v>
      </c>
      <c r="AD211" s="37">
        <v>0.4</v>
      </c>
      <c r="AE211" s="29">
        <v>0</v>
      </c>
      <c r="AF211" s="29">
        <v>0</v>
      </c>
      <c r="AG211" s="29">
        <v>0</v>
      </c>
      <c r="AH211" s="29">
        <v>0</v>
      </c>
      <c r="AI211" s="29">
        <v>0</v>
      </c>
      <c r="AJ211" s="37">
        <v>0</v>
      </c>
      <c r="AK211" s="28">
        <v>2</v>
      </c>
      <c r="AL211" s="28">
        <v>3</v>
      </c>
      <c r="AM211" s="52">
        <v>0</v>
      </c>
      <c r="AN211" s="28">
        <v>3</v>
      </c>
      <c r="AO211" s="29">
        <v>0</v>
      </c>
      <c r="AP211" s="37">
        <v>1.6</v>
      </c>
      <c r="AQ211" s="27">
        <v>3</v>
      </c>
      <c r="AR211" s="29">
        <v>0</v>
      </c>
      <c r="AS211" s="58">
        <v>0</v>
      </c>
      <c r="AT211" s="29">
        <v>0</v>
      </c>
      <c r="AU211" s="29">
        <v>0</v>
      </c>
      <c r="AV211" s="37">
        <v>0.6</v>
      </c>
      <c r="AW211" s="29">
        <v>0</v>
      </c>
      <c r="AX211" s="29">
        <v>0</v>
      </c>
      <c r="AY211" s="29">
        <v>0</v>
      </c>
      <c r="AZ211" s="27">
        <v>3</v>
      </c>
      <c r="BA211" s="57">
        <v>3</v>
      </c>
      <c r="BB211" s="85">
        <v>1.2</v>
      </c>
    </row>
    <row r="212" spans="1:54" ht="23.1" customHeight="1" x14ac:dyDescent="0.3">
      <c r="A212" s="87">
        <v>208</v>
      </c>
      <c r="B212" s="70" t="s">
        <v>74</v>
      </c>
      <c r="C212" s="71" t="s">
        <v>494</v>
      </c>
      <c r="D212" s="70" t="s">
        <v>450</v>
      </c>
      <c r="E212" s="70" t="s">
        <v>289</v>
      </c>
      <c r="F212" s="70" t="str">
        <f>REPT(CHAR(160),10)&amp;Working!$E212</f>
        <v>          D</v>
      </c>
      <c r="G212" s="61">
        <v>0</v>
      </c>
      <c r="H212" s="61">
        <v>0</v>
      </c>
      <c r="I212" s="61">
        <v>3</v>
      </c>
      <c r="J212" s="61">
        <v>0</v>
      </c>
      <c r="K212" s="72">
        <v>0</v>
      </c>
      <c r="L212" s="67">
        <v>0.6</v>
      </c>
      <c r="M212" s="61">
        <v>0</v>
      </c>
      <c r="N212" s="61">
        <v>4</v>
      </c>
      <c r="O212" s="61">
        <v>3</v>
      </c>
      <c r="P212" s="73">
        <v>0</v>
      </c>
      <c r="Q212" s="74">
        <v>3</v>
      </c>
      <c r="R212" s="37">
        <v>2</v>
      </c>
      <c r="S212" s="27">
        <v>0</v>
      </c>
      <c r="T212" s="16">
        <v>0</v>
      </c>
      <c r="U212" s="51">
        <v>0</v>
      </c>
      <c r="V212" s="16">
        <v>0</v>
      </c>
      <c r="W212" s="16">
        <v>0</v>
      </c>
      <c r="X212" s="37">
        <v>0</v>
      </c>
      <c r="Y212" s="16">
        <v>4</v>
      </c>
      <c r="Z212" s="16">
        <v>0</v>
      </c>
      <c r="AA212" s="16">
        <v>0</v>
      </c>
      <c r="AB212" s="16">
        <v>0</v>
      </c>
      <c r="AC212" s="16">
        <v>0</v>
      </c>
      <c r="AD212" s="37">
        <v>0.8</v>
      </c>
      <c r="AE212" s="16">
        <v>0</v>
      </c>
      <c r="AF212" s="16">
        <v>0</v>
      </c>
      <c r="AG212" s="16">
        <v>0</v>
      </c>
      <c r="AH212" s="16">
        <v>0</v>
      </c>
      <c r="AI212" s="16">
        <v>0</v>
      </c>
      <c r="AJ212" s="37">
        <v>0</v>
      </c>
      <c r="AK212" s="22">
        <v>2</v>
      </c>
      <c r="AL212" s="22">
        <v>3</v>
      </c>
      <c r="AM212" s="51">
        <v>0</v>
      </c>
      <c r="AN212" s="22">
        <v>3</v>
      </c>
      <c r="AO212" s="16">
        <v>0</v>
      </c>
      <c r="AP212" s="37">
        <v>1.6</v>
      </c>
      <c r="AQ212" s="27">
        <v>3</v>
      </c>
      <c r="AR212" s="16">
        <v>0</v>
      </c>
      <c r="AS212" s="25">
        <v>0</v>
      </c>
      <c r="AT212" s="16">
        <v>0</v>
      </c>
      <c r="AU212" s="16">
        <v>0</v>
      </c>
      <c r="AV212" s="37">
        <v>0.6</v>
      </c>
      <c r="AW212" s="16">
        <v>0</v>
      </c>
      <c r="AX212" s="16">
        <v>0</v>
      </c>
      <c r="AY212" s="29">
        <v>0</v>
      </c>
      <c r="AZ212" s="27">
        <v>3</v>
      </c>
      <c r="BA212" s="57">
        <v>3</v>
      </c>
      <c r="BB212" s="85">
        <v>1.2</v>
      </c>
    </row>
    <row r="213" spans="1:54" ht="23.1" customHeight="1" x14ac:dyDescent="0.3">
      <c r="A213" s="86">
        <v>209</v>
      </c>
      <c r="B213" s="63" t="s">
        <v>451</v>
      </c>
      <c r="C213" s="64" t="s">
        <v>452</v>
      </c>
      <c r="D213" s="63" t="s">
        <v>450</v>
      </c>
      <c r="E213" s="63" t="s">
        <v>289</v>
      </c>
      <c r="F213" s="63" t="str">
        <f>REPT(CHAR(160),10)&amp;Working!$E213</f>
        <v>          D</v>
      </c>
      <c r="G213" s="65">
        <v>0</v>
      </c>
      <c r="H213" s="65">
        <v>0</v>
      </c>
      <c r="I213" s="65">
        <v>2</v>
      </c>
      <c r="J213" s="65">
        <v>0</v>
      </c>
      <c r="K213" s="66">
        <v>0</v>
      </c>
      <c r="L213" s="67">
        <v>0.4</v>
      </c>
      <c r="M213" s="65">
        <v>0</v>
      </c>
      <c r="N213" s="65">
        <v>2</v>
      </c>
      <c r="O213" s="65">
        <v>2</v>
      </c>
      <c r="P213" s="68">
        <v>0</v>
      </c>
      <c r="Q213" s="69">
        <v>2</v>
      </c>
      <c r="R213" s="37">
        <v>1.2</v>
      </c>
      <c r="S213" s="27">
        <v>0</v>
      </c>
      <c r="T213" s="29">
        <v>0</v>
      </c>
      <c r="U213" s="52">
        <v>0</v>
      </c>
      <c r="V213" s="29">
        <v>0</v>
      </c>
      <c r="W213" s="29">
        <v>0</v>
      </c>
      <c r="X213" s="37">
        <v>0</v>
      </c>
      <c r="Y213" s="29">
        <v>2</v>
      </c>
      <c r="Z213" s="29">
        <v>0</v>
      </c>
      <c r="AA213" s="29">
        <v>0</v>
      </c>
      <c r="AB213" s="29">
        <v>0</v>
      </c>
      <c r="AC213" s="29">
        <v>0</v>
      </c>
      <c r="AD213" s="37">
        <v>0.4</v>
      </c>
      <c r="AE213" s="29">
        <v>0</v>
      </c>
      <c r="AF213" s="29">
        <v>0</v>
      </c>
      <c r="AG213" s="29">
        <v>0</v>
      </c>
      <c r="AH213" s="29">
        <v>0</v>
      </c>
      <c r="AI213" s="29">
        <v>0</v>
      </c>
      <c r="AJ213" s="37">
        <v>0</v>
      </c>
      <c r="AK213" s="28">
        <v>2</v>
      </c>
      <c r="AL213" s="28">
        <v>2</v>
      </c>
      <c r="AM213" s="52">
        <v>0</v>
      </c>
      <c r="AN213" s="28">
        <v>3</v>
      </c>
      <c r="AO213" s="29">
        <v>0</v>
      </c>
      <c r="AP213" s="37">
        <v>1.4</v>
      </c>
      <c r="AQ213" s="27">
        <v>2</v>
      </c>
      <c r="AR213" s="29">
        <v>0</v>
      </c>
      <c r="AS213" s="58">
        <v>0</v>
      </c>
      <c r="AT213" s="29">
        <v>0</v>
      </c>
      <c r="AU213" s="29">
        <v>0</v>
      </c>
      <c r="AV213" s="37">
        <v>0.4</v>
      </c>
      <c r="AW213" s="29">
        <v>0</v>
      </c>
      <c r="AX213" s="29">
        <v>0</v>
      </c>
      <c r="AY213" s="29">
        <v>0</v>
      </c>
      <c r="AZ213" s="27">
        <v>3</v>
      </c>
      <c r="BA213" s="57">
        <v>3</v>
      </c>
      <c r="BB213" s="85">
        <v>1.2</v>
      </c>
    </row>
    <row r="214" spans="1:54" ht="23.1" customHeight="1" x14ac:dyDescent="0.3">
      <c r="A214" s="87">
        <v>210</v>
      </c>
      <c r="B214" s="70" t="s">
        <v>453</v>
      </c>
      <c r="C214" s="71" t="s">
        <v>454</v>
      </c>
      <c r="D214" s="70" t="s">
        <v>450</v>
      </c>
      <c r="E214" s="70" t="s">
        <v>289</v>
      </c>
      <c r="F214" s="70" t="str">
        <f>REPT(CHAR(160),10)&amp;Working!$E214</f>
        <v>          D</v>
      </c>
      <c r="G214" s="61">
        <v>0</v>
      </c>
      <c r="H214" s="61">
        <v>0</v>
      </c>
      <c r="I214" s="61">
        <v>2</v>
      </c>
      <c r="J214" s="61">
        <v>0</v>
      </c>
      <c r="K214" s="72">
        <v>0</v>
      </c>
      <c r="L214" s="67">
        <v>0.4</v>
      </c>
      <c r="M214" s="61">
        <v>0</v>
      </c>
      <c r="N214" s="61">
        <v>2</v>
      </c>
      <c r="O214" s="61">
        <v>2</v>
      </c>
      <c r="P214" s="73">
        <v>0</v>
      </c>
      <c r="Q214" s="74">
        <v>2</v>
      </c>
      <c r="R214" s="37">
        <v>1.2</v>
      </c>
      <c r="S214" s="27">
        <v>0</v>
      </c>
      <c r="T214" s="16">
        <v>0</v>
      </c>
      <c r="U214" s="51">
        <v>0</v>
      </c>
      <c r="V214" s="16">
        <v>0</v>
      </c>
      <c r="W214" s="16">
        <v>0</v>
      </c>
      <c r="X214" s="37">
        <v>0</v>
      </c>
      <c r="Y214" s="16">
        <v>3</v>
      </c>
      <c r="Z214" s="16">
        <v>0</v>
      </c>
      <c r="AA214" s="16">
        <v>0</v>
      </c>
      <c r="AB214" s="16">
        <v>0</v>
      </c>
      <c r="AC214" s="16">
        <v>0</v>
      </c>
      <c r="AD214" s="37">
        <v>0.6</v>
      </c>
      <c r="AE214" s="16">
        <v>0</v>
      </c>
      <c r="AF214" s="16">
        <v>0</v>
      </c>
      <c r="AG214" s="16">
        <v>0</v>
      </c>
      <c r="AH214" s="16">
        <v>0</v>
      </c>
      <c r="AI214" s="16">
        <v>0</v>
      </c>
      <c r="AJ214" s="37">
        <v>0</v>
      </c>
      <c r="AK214" s="22">
        <v>3</v>
      </c>
      <c r="AL214" s="22">
        <v>3</v>
      </c>
      <c r="AM214" s="51">
        <v>0</v>
      </c>
      <c r="AN214" s="22">
        <v>3</v>
      </c>
      <c r="AO214" s="16">
        <v>0</v>
      </c>
      <c r="AP214" s="37">
        <v>1.8</v>
      </c>
      <c r="AQ214" s="27">
        <v>2</v>
      </c>
      <c r="AR214" s="16">
        <v>0</v>
      </c>
      <c r="AS214" s="25">
        <v>0</v>
      </c>
      <c r="AT214" s="16">
        <v>0</v>
      </c>
      <c r="AU214" s="16">
        <v>0</v>
      </c>
      <c r="AV214" s="37">
        <v>0.4</v>
      </c>
      <c r="AW214" s="16">
        <v>0</v>
      </c>
      <c r="AX214" s="16">
        <v>0</v>
      </c>
      <c r="AY214" s="29">
        <v>0</v>
      </c>
      <c r="AZ214" s="27">
        <v>3</v>
      </c>
      <c r="BA214" s="57">
        <v>2</v>
      </c>
      <c r="BB214" s="85">
        <v>1</v>
      </c>
    </row>
    <row r="215" spans="1:54" ht="23.1" customHeight="1" x14ac:dyDescent="0.3">
      <c r="A215" s="86">
        <v>211</v>
      </c>
      <c r="B215" s="63" t="s">
        <v>455</v>
      </c>
      <c r="C215" s="64" t="s">
        <v>456</v>
      </c>
      <c r="D215" s="63" t="s">
        <v>542</v>
      </c>
      <c r="E215" s="63" t="s">
        <v>289</v>
      </c>
      <c r="F215" s="63" t="str">
        <f>REPT(CHAR(160),10)&amp;Working!$E215</f>
        <v>          D</v>
      </c>
      <c r="G215" s="65">
        <v>0</v>
      </c>
      <c r="H215" s="65">
        <v>0</v>
      </c>
      <c r="I215" s="65">
        <v>3</v>
      </c>
      <c r="J215" s="65">
        <v>0</v>
      </c>
      <c r="K215" s="66">
        <v>0</v>
      </c>
      <c r="L215" s="67">
        <v>0.6</v>
      </c>
      <c r="M215" s="65">
        <v>0</v>
      </c>
      <c r="N215" s="65">
        <v>4</v>
      </c>
      <c r="O215" s="65">
        <v>3</v>
      </c>
      <c r="P215" s="68">
        <v>0</v>
      </c>
      <c r="Q215" s="69">
        <v>3</v>
      </c>
      <c r="R215" s="37">
        <v>2</v>
      </c>
      <c r="S215" s="27">
        <v>0</v>
      </c>
      <c r="T215" s="29">
        <v>0</v>
      </c>
      <c r="U215" s="52">
        <v>0</v>
      </c>
      <c r="V215" s="29">
        <v>0</v>
      </c>
      <c r="W215" s="29">
        <v>0</v>
      </c>
      <c r="X215" s="37">
        <v>0</v>
      </c>
      <c r="Y215" s="29">
        <v>3</v>
      </c>
      <c r="Z215" s="29">
        <v>0</v>
      </c>
      <c r="AA215" s="29">
        <v>0</v>
      </c>
      <c r="AB215" s="29">
        <v>0</v>
      </c>
      <c r="AC215" s="29">
        <v>0</v>
      </c>
      <c r="AD215" s="37">
        <v>0.6</v>
      </c>
      <c r="AE215" s="29">
        <v>0</v>
      </c>
      <c r="AF215" s="29">
        <v>0</v>
      </c>
      <c r="AG215" s="29">
        <v>0</v>
      </c>
      <c r="AH215" s="29">
        <v>0</v>
      </c>
      <c r="AI215" s="29">
        <v>0</v>
      </c>
      <c r="AJ215" s="37">
        <v>0</v>
      </c>
      <c r="AK215" s="28">
        <v>3</v>
      </c>
      <c r="AL215" s="28">
        <v>3</v>
      </c>
      <c r="AM215" s="52">
        <v>0</v>
      </c>
      <c r="AN215" s="28">
        <v>4</v>
      </c>
      <c r="AO215" s="29">
        <v>0</v>
      </c>
      <c r="AP215" s="37">
        <v>2</v>
      </c>
      <c r="AQ215" s="27">
        <v>3</v>
      </c>
      <c r="AR215" s="29">
        <v>0</v>
      </c>
      <c r="AS215" s="58">
        <v>0</v>
      </c>
      <c r="AT215" s="29">
        <v>0</v>
      </c>
      <c r="AU215" s="29">
        <v>0</v>
      </c>
      <c r="AV215" s="37">
        <v>0.6</v>
      </c>
      <c r="AW215" s="29">
        <v>0</v>
      </c>
      <c r="AX215" s="29">
        <v>0</v>
      </c>
      <c r="AY215" s="29">
        <v>0</v>
      </c>
      <c r="AZ215" s="27">
        <v>3</v>
      </c>
      <c r="BA215" s="57">
        <v>3</v>
      </c>
      <c r="BB215" s="85">
        <v>1.2</v>
      </c>
    </row>
    <row r="216" spans="1:54" ht="23.1" customHeight="1" x14ac:dyDescent="0.3">
      <c r="A216" s="87">
        <v>212</v>
      </c>
      <c r="B216" s="70" t="s">
        <v>457</v>
      </c>
      <c r="C216" s="71" t="s">
        <v>458</v>
      </c>
      <c r="D216" s="70" t="s">
        <v>542</v>
      </c>
      <c r="E216" s="70" t="s">
        <v>289</v>
      </c>
      <c r="F216" s="70" t="str">
        <f>REPT(CHAR(160),10)&amp;Working!$E216</f>
        <v>          D</v>
      </c>
      <c r="G216" s="61">
        <v>0</v>
      </c>
      <c r="H216" s="61">
        <v>0</v>
      </c>
      <c r="I216" s="61">
        <v>4</v>
      </c>
      <c r="J216" s="61">
        <v>0</v>
      </c>
      <c r="K216" s="72">
        <v>0</v>
      </c>
      <c r="L216" s="67">
        <v>0.8</v>
      </c>
      <c r="M216" s="61">
        <v>0</v>
      </c>
      <c r="N216" s="61">
        <v>5</v>
      </c>
      <c r="O216" s="61">
        <v>5</v>
      </c>
      <c r="P216" s="79">
        <v>0</v>
      </c>
      <c r="Q216" s="80">
        <v>5</v>
      </c>
      <c r="R216" s="37">
        <v>3</v>
      </c>
      <c r="S216" s="27">
        <v>0</v>
      </c>
      <c r="T216" s="16">
        <v>0</v>
      </c>
      <c r="U216" s="55">
        <v>0</v>
      </c>
      <c r="V216" s="16">
        <v>0</v>
      </c>
      <c r="W216" s="16">
        <v>0</v>
      </c>
      <c r="X216" s="37">
        <v>0</v>
      </c>
      <c r="Y216" s="16">
        <v>5</v>
      </c>
      <c r="Z216" s="16">
        <v>0</v>
      </c>
      <c r="AA216" s="16">
        <v>0</v>
      </c>
      <c r="AB216" s="16">
        <v>0</v>
      </c>
      <c r="AC216" s="16">
        <v>0</v>
      </c>
      <c r="AD216" s="37">
        <v>1</v>
      </c>
      <c r="AE216" s="16">
        <v>0</v>
      </c>
      <c r="AF216" s="16">
        <v>0</v>
      </c>
      <c r="AG216" s="16">
        <v>0</v>
      </c>
      <c r="AH216" s="16">
        <v>0</v>
      </c>
      <c r="AI216" s="16">
        <v>0</v>
      </c>
      <c r="AJ216" s="37">
        <v>0</v>
      </c>
      <c r="AK216" s="26">
        <v>4</v>
      </c>
      <c r="AL216" s="26">
        <v>4</v>
      </c>
      <c r="AM216" s="55">
        <v>0</v>
      </c>
      <c r="AN216" s="26">
        <v>4</v>
      </c>
      <c r="AO216" s="16">
        <v>0</v>
      </c>
      <c r="AP216" s="37">
        <v>2.4</v>
      </c>
      <c r="AQ216" s="27">
        <v>3</v>
      </c>
      <c r="AR216" s="16">
        <v>0</v>
      </c>
      <c r="AS216" s="25">
        <v>0</v>
      </c>
      <c r="AT216" s="16">
        <v>0</v>
      </c>
      <c r="AU216" s="16">
        <v>0</v>
      </c>
      <c r="AV216" s="37">
        <v>0.6</v>
      </c>
      <c r="AW216" s="16">
        <v>0</v>
      </c>
      <c r="AX216" s="16">
        <v>0</v>
      </c>
      <c r="AY216" s="29">
        <v>0</v>
      </c>
      <c r="AZ216" s="27">
        <v>3</v>
      </c>
      <c r="BA216" s="57">
        <v>4</v>
      </c>
      <c r="BB216" s="85">
        <v>1.4</v>
      </c>
    </row>
    <row r="217" spans="1:54" ht="23.1" customHeight="1" x14ac:dyDescent="0.3">
      <c r="A217" s="86">
        <v>213</v>
      </c>
      <c r="B217" s="63" t="s">
        <v>459</v>
      </c>
      <c r="C217" s="64" t="s">
        <v>460</v>
      </c>
      <c r="D217" s="63" t="s">
        <v>542</v>
      </c>
      <c r="E217" s="63" t="s">
        <v>289</v>
      </c>
      <c r="F217" s="63" t="str">
        <f>REPT(CHAR(160),10)&amp;Working!$E217</f>
        <v>          D</v>
      </c>
      <c r="G217" s="65">
        <v>0</v>
      </c>
      <c r="H217" s="65">
        <v>0</v>
      </c>
      <c r="I217" s="65">
        <v>1</v>
      </c>
      <c r="J217" s="65">
        <v>0</v>
      </c>
      <c r="K217" s="66">
        <v>0</v>
      </c>
      <c r="L217" s="67">
        <v>0.2</v>
      </c>
      <c r="M217" s="65">
        <v>0</v>
      </c>
      <c r="N217" s="65">
        <v>2</v>
      </c>
      <c r="O217" s="65">
        <v>2</v>
      </c>
      <c r="P217" s="68">
        <v>0</v>
      </c>
      <c r="Q217" s="69">
        <v>2</v>
      </c>
      <c r="R217" s="37">
        <v>1.2</v>
      </c>
      <c r="S217" s="27">
        <v>0</v>
      </c>
      <c r="T217" s="29">
        <v>0</v>
      </c>
      <c r="U217" s="52">
        <v>0</v>
      </c>
      <c r="V217" s="29">
        <v>0</v>
      </c>
      <c r="W217" s="29">
        <v>0</v>
      </c>
      <c r="X217" s="37">
        <v>0</v>
      </c>
      <c r="Y217" s="29">
        <v>3</v>
      </c>
      <c r="Z217" s="29">
        <v>0</v>
      </c>
      <c r="AA217" s="29">
        <v>0</v>
      </c>
      <c r="AB217" s="29">
        <v>0</v>
      </c>
      <c r="AC217" s="29">
        <v>0</v>
      </c>
      <c r="AD217" s="37">
        <v>0.6</v>
      </c>
      <c r="AE217" s="29">
        <v>0</v>
      </c>
      <c r="AF217" s="29">
        <v>0</v>
      </c>
      <c r="AG217" s="29">
        <v>0</v>
      </c>
      <c r="AH217" s="29">
        <v>0</v>
      </c>
      <c r="AI217" s="29">
        <v>0</v>
      </c>
      <c r="AJ217" s="37">
        <v>0</v>
      </c>
      <c r="AK217" s="28">
        <v>1</v>
      </c>
      <c r="AL217" s="28">
        <v>1</v>
      </c>
      <c r="AM217" s="52">
        <v>0</v>
      </c>
      <c r="AN217" s="28">
        <v>1</v>
      </c>
      <c r="AO217" s="29">
        <v>0</v>
      </c>
      <c r="AP217" s="37">
        <v>0.6</v>
      </c>
      <c r="AQ217" s="27">
        <v>2</v>
      </c>
      <c r="AR217" s="29">
        <v>0</v>
      </c>
      <c r="AS217" s="58">
        <v>0</v>
      </c>
      <c r="AT217" s="29">
        <v>0</v>
      </c>
      <c r="AU217" s="29">
        <v>0</v>
      </c>
      <c r="AV217" s="37">
        <v>0.4</v>
      </c>
      <c r="AW217" s="29">
        <v>0</v>
      </c>
      <c r="AX217" s="29">
        <v>0</v>
      </c>
      <c r="AY217" s="29">
        <v>0</v>
      </c>
      <c r="AZ217" s="27">
        <v>2</v>
      </c>
      <c r="BA217" s="57">
        <v>1</v>
      </c>
      <c r="BB217" s="85">
        <v>0.6</v>
      </c>
    </row>
    <row r="218" spans="1:54" ht="23.1" customHeight="1" x14ac:dyDescent="0.3">
      <c r="A218" s="87">
        <v>214</v>
      </c>
      <c r="B218" s="70" t="s">
        <v>461</v>
      </c>
      <c r="C218" s="71" t="s">
        <v>462</v>
      </c>
      <c r="D218" s="70" t="s">
        <v>450</v>
      </c>
      <c r="E218" s="70" t="s">
        <v>289</v>
      </c>
      <c r="F218" s="70" t="str">
        <f>REPT(CHAR(160),10)&amp;Working!$E218</f>
        <v>          D</v>
      </c>
      <c r="G218" s="61">
        <v>0</v>
      </c>
      <c r="H218" s="61">
        <v>0</v>
      </c>
      <c r="I218" s="61">
        <v>3</v>
      </c>
      <c r="J218" s="61">
        <v>0</v>
      </c>
      <c r="K218" s="72">
        <v>0</v>
      </c>
      <c r="L218" s="67">
        <v>0.6</v>
      </c>
      <c r="M218" s="61">
        <v>0</v>
      </c>
      <c r="N218" s="61">
        <v>2</v>
      </c>
      <c r="O218" s="61">
        <v>4</v>
      </c>
      <c r="P218" s="73">
        <v>0</v>
      </c>
      <c r="Q218" s="74">
        <v>4</v>
      </c>
      <c r="R218" s="37">
        <v>2</v>
      </c>
      <c r="S218" s="27">
        <v>0</v>
      </c>
      <c r="T218" s="16">
        <v>0</v>
      </c>
      <c r="U218" s="51">
        <v>0</v>
      </c>
      <c r="V218" s="16">
        <v>0</v>
      </c>
      <c r="W218" s="16">
        <v>0</v>
      </c>
      <c r="X218" s="37">
        <v>0</v>
      </c>
      <c r="Y218" s="16">
        <v>3</v>
      </c>
      <c r="Z218" s="16">
        <v>0</v>
      </c>
      <c r="AA218" s="16">
        <v>0</v>
      </c>
      <c r="AB218" s="16">
        <v>0</v>
      </c>
      <c r="AC218" s="16">
        <v>0</v>
      </c>
      <c r="AD218" s="37">
        <v>0.6</v>
      </c>
      <c r="AE218" s="16">
        <v>0</v>
      </c>
      <c r="AF218" s="16">
        <v>0</v>
      </c>
      <c r="AG218" s="16">
        <v>0</v>
      </c>
      <c r="AH218" s="16">
        <v>0</v>
      </c>
      <c r="AI218" s="16">
        <v>0</v>
      </c>
      <c r="AJ218" s="37">
        <v>0</v>
      </c>
      <c r="AK218" s="22">
        <v>3</v>
      </c>
      <c r="AL218" s="22">
        <v>3</v>
      </c>
      <c r="AM218" s="51">
        <v>0</v>
      </c>
      <c r="AN218" s="22">
        <v>4</v>
      </c>
      <c r="AO218" s="16">
        <v>0</v>
      </c>
      <c r="AP218" s="37">
        <v>2</v>
      </c>
      <c r="AQ218" s="27">
        <v>3</v>
      </c>
      <c r="AR218" s="16">
        <v>0</v>
      </c>
      <c r="AS218" s="26">
        <v>0</v>
      </c>
      <c r="AT218" s="16">
        <v>0</v>
      </c>
      <c r="AU218" s="16">
        <v>0</v>
      </c>
      <c r="AV218" s="37">
        <v>0.6</v>
      </c>
      <c r="AW218" s="16">
        <v>0</v>
      </c>
      <c r="AX218" s="16">
        <v>0</v>
      </c>
      <c r="AY218" s="29">
        <v>0</v>
      </c>
      <c r="AZ218" s="27">
        <v>3</v>
      </c>
      <c r="BA218" s="57">
        <v>3</v>
      </c>
      <c r="BB218" s="85">
        <v>1.2</v>
      </c>
    </row>
    <row r="219" spans="1:54" ht="23.1" customHeight="1" x14ac:dyDescent="0.3">
      <c r="A219" s="86">
        <v>215</v>
      </c>
      <c r="B219" s="63" t="s">
        <v>463</v>
      </c>
      <c r="C219" s="64" t="s">
        <v>464</v>
      </c>
      <c r="D219" s="63" t="s">
        <v>450</v>
      </c>
      <c r="E219" s="63" t="s">
        <v>289</v>
      </c>
      <c r="F219" s="63" t="str">
        <f>REPT(CHAR(160),10)&amp;Working!$E219</f>
        <v>          D</v>
      </c>
      <c r="G219" s="65">
        <v>0</v>
      </c>
      <c r="H219" s="65">
        <v>0</v>
      </c>
      <c r="I219" s="65">
        <v>2</v>
      </c>
      <c r="J219" s="65">
        <v>0</v>
      </c>
      <c r="K219" s="66">
        <v>0</v>
      </c>
      <c r="L219" s="67">
        <v>0.4</v>
      </c>
      <c r="M219" s="65">
        <v>0</v>
      </c>
      <c r="N219" s="65">
        <v>2</v>
      </c>
      <c r="O219" s="65">
        <v>3</v>
      </c>
      <c r="P219" s="68">
        <v>0</v>
      </c>
      <c r="Q219" s="69">
        <v>3</v>
      </c>
      <c r="R219" s="37">
        <v>1.6</v>
      </c>
      <c r="S219" s="27">
        <v>0</v>
      </c>
      <c r="T219" s="29">
        <v>0</v>
      </c>
      <c r="U219" s="52">
        <v>0</v>
      </c>
      <c r="V219" s="29">
        <v>0</v>
      </c>
      <c r="W219" s="29">
        <v>0</v>
      </c>
      <c r="X219" s="37">
        <v>0</v>
      </c>
      <c r="Y219" s="29">
        <v>2</v>
      </c>
      <c r="Z219" s="29">
        <v>0</v>
      </c>
      <c r="AA219" s="29">
        <v>0</v>
      </c>
      <c r="AB219" s="29">
        <v>0</v>
      </c>
      <c r="AC219" s="29">
        <v>0</v>
      </c>
      <c r="AD219" s="37">
        <v>0.4</v>
      </c>
      <c r="AE219" s="29">
        <v>0</v>
      </c>
      <c r="AF219" s="29">
        <v>0</v>
      </c>
      <c r="AG219" s="29">
        <v>0</v>
      </c>
      <c r="AH219" s="29">
        <v>0</v>
      </c>
      <c r="AI219" s="29">
        <v>0</v>
      </c>
      <c r="AJ219" s="37">
        <v>0</v>
      </c>
      <c r="AK219" s="28">
        <v>2</v>
      </c>
      <c r="AL219" s="28">
        <v>2</v>
      </c>
      <c r="AM219" s="52">
        <v>0</v>
      </c>
      <c r="AN219" s="28">
        <v>3</v>
      </c>
      <c r="AO219" s="29">
        <v>0</v>
      </c>
      <c r="AP219" s="37">
        <v>1.4</v>
      </c>
      <c r="AQ219" s="27">
        <v>2</v>
      </c>
      <c r="AR219" s="29">
        <v>0</v>
      </c>
      <c r="AS219" s="58">
        <v>0</v>
      </c>
      <c r="AT219" s="29">
        <v>0</v>
      </c>
      <c r="AU219" s="29">
        <v>0</v>
      </c>
      <c r="AV219" s="37">
        <v>0.4</v>
      </c>
      <c r="AW219" s="29">
        <v>0</v>
      </c>
      <c r="AX219" s="29">
        <v>0</v>
      </c>
      <c r="AY219" s="29">
        <v>0</v>
      </c>
      <c r="AZ219" s="27">
        <v>3</v>
      </c>
      <c r="BA219" s="57">
        <v>3</v>
      </c>
      <c r="BB219" s="85">
        <v>1.2</v>
      </c>
    </row>
    <row r="220" spans="1:54" ht="23.1" customHeight="1" x14ac:dyDescent="0.3">
      <c r="A220" s="87">
        <v>216</v>
      </c>
      <c r="B220" s="70" t="s">
        <v>465</v>
      </c>
      <c r="C220" s="71" t="s">
        <v>466</v>
      </c>
      <c r="D220" s="70" t="s">
        <v>450</v>
      </c>
      <c r="E220" s="70" t="s">
        <v>289</v>
      </c>
      <c r="F220" s="70" t="str">
        <f>REPT(CHAR(160),10)&amp;Working!$E220</f>
        <v>          D</v>
      </c>
      <c r="G220" s="61">
        <v>0</v>
      </c>
      <c r="H220" s="61">
        <v>0</v>
      </c>
      <c r="I220" s="61">
        <v>2</v>
      </c>
      <c r="J220" s="61">
        <v>0</v>
      </c>
      <c r="K220" s="72">
        <v>0</v>
      </c>
      <c r="L220" s="67">
        <v>0.4</v>
      </c>
      <c r="M220" s="61">
        <v>0</v>
      </c>
      <c r="N220" s="61">
        <v>2</v>
      </c>
      <c r="O220" s="61">
        <v>3</v>
      </c>
      <c r="P220" s="75">
        <v>0</v>
      </c>
      <c r="Q220" s="76">
        <v>3</v>
      </c>
      <c r="R220" s="37">
        <v>1.6</v>
      </c>
      <c r="S220" s="27">
        <v>0</v>
      </c>
      <c r="T220" s="16">
        <v>0</v>
      </c>
      <c r="U220" s="53">
        <v>0</v>
      </c>
      <c r="V220" s="16">
        <v>0</v>
      </c>
      <c r="W220" s="16">
        <v>0</v>
      </c>
      <c r="X220" s="37">
        <v>0</v>
      </c>
      <c r="Y220" s="16">
        <v>3</v>
      </c>
      <c r="Z220" s="16">
        <v>0</v>
      </c>
      <c r="AA220" s="16">
        <v>0</v>
      </c>
      <c r="AB220" s="16">
        <v>0</v>
      </c>
      <c r="AC220" s="16">
        <v>0</v>
      </c>
      <c r="AD220" s="37">
        <v>0.6</v>
      </c>
      <c r="AE220" s="16">
        <v>0</v>
      </c>
      <c r="AF220" s="16">
        <v>0</v>
      </c>
      <c r="AG220" s="16">
        <v>0</v>
      </c>
      <c r="AH220" s="16">
        <v>0</v>
      </c>
      <c r="AI220" s="16">
        <v>0</v>
      </c>
      <c r="AJ220" s="37">
        <v>0</v>
      </c>
      <c r="AK220" s="24">
        <v>2</v>
      </c>
      <c r="AL220" s="24">
        <v>3</v>
      </c>
      <c r="AM220" s="53">
        <v>0</v>
      </c>
      <c r="AN220" s="24">
        <v>3</v>
      </c>
      <c r="AO220" s="16">
        <v>0</v>
      </c>
      <c r="AP220" s="37">
        <v>1.6</v>
      </c>
      <c r="AQ220" s="27">
        <v>3</v>
      </c>
      <c r="AR220" s="16">
        <v>0</v>
      </c>
      <c r="AS220" s="25">
        <v>0</v>
      </c>
      <c r="AT220" s="16">
        <v>0</v>
      </c>
      <c r="AU220" s="16">
        <v>0</v>
      </c>
      <c r="AV220" s="37">
        <v>0.6</v>
      </c>
      <c r="AW220" s="16">
        <v>0</v>
      </c>
      <c r="AX220" s="16">
        <v>0</v>
      </c>
      <c r="AY220" s="29">
        <v>0</v>
      </c>
      <c r="AZ220" s="27">
        <v>2</v>
      </c>
      <c r="BA220" s="57">
        <v>2</v>
      </c>
      <c r="BB220" s="85">
        <v>0.8</v>
      </c>
    </row>
    <row r="221" spans="1:54" ht="23.1" customHeight="1" x14ac:dyDescent="0.3">
      <c r="A221" s="86">
        <v>217</v>
      </c>
      <c r="B221" s="63" t="s">
        <v>467</v>
      </c>
      <c r="C221" s="64" t="s">
        <v>468</v>
      </c>
      <c r="D221" s="63" t="s">
        <v>542</v>
      </c>
      <c r="E221" s="63" t="s">
        <v>289</v>
      </c>
      <c r="F221" s="63" t="str">
        <f>REPT(CHAR(160),10)&amp;Working!$E221</f>
        <v>          D</v>
      </c>
      <c r="G221" s="65">
        <v>0</v>
      </c>
      <c r="H221" s="65">
        <v>0</v>
      </c>
      <c r="I221" s="65">
        <v>3</v>
      </c>
      <c r="J221" s="65">
        <v>0</v>
      </c>
      <c r="K221" s="66">
        <v>0</v>
      </c>
      <c r="L221" s="67">
        <v>0.6</v>
      </c>
      <c r="M221" s="65">
        <v>0</v>
      </c>
      <c r="N221" s="65">
        <v>4</v>
      </c>
      <c r="O221" s="65">
        <v>5</v>
      </c>
      <c r="P221" s="68">
        <v>0</v>
      </c>
      <c r="Q221" s="69">
        <v>5</v>
      </c>
      <c r="R221" s="37">
        <v>2.8</v>
      </c>
      <c r="S221" s="27">
        <v>0</v>
      </c>
      <c r="T221" s="29">
        <v>0</v>
      </c>
      <c r="U221" s="52">
        <v>0</v>
      </c>
      <c r="V221" s="29">
        <v>0</v>
      </c>
      <c r="W221" s="29">
        <v>0</v>
      </c>
      <c r="X221" s="37">
        <v>0</v>
      </c>
      <c r="Y221" s="29">
        <v>4</v>
      </c>
      <c r="Z221" s="29">
        <v>0</v>
      </c>
      <c r="AA221" s="29">
        <v>0</v>
      </c>
      <c r="AB221" s="29">
        <v>0</v>
      </c>
      <c r="AC221" s="29">
        <v>0</v>
      </c>
      <c r="AD221" s="37">
        <v>0.8</v>
      </c>
      <c r="AE221" s="29">
        <v>0</v>
      </c>
      <c r="AF221" s="29">
        <v>0</v>
      </c>
      <c r="AG221" s="29">
        <v>0</v>
      </c>
      <c r="AH221" s="29">
        <v>0</v>
      </c>
      <c r="AI221" s="29">
        <v>0</v>
      </c>
      <c r="AJ221" s="37">
        <v>0</v>
      </c>
      <c r="AK221" s="28">
        <v>3</v>
      </c>
      <c r="AL221" s="28">
        <v>3</v>
      </c>
      <c r="AM221" s="52">
        <v>0</v>
      </c>
      <c r="AN221" s="28">
        <v>4</v>
      </c>
      <c r="AO221" s="29">
        <v>0</v>
      </c>
      <c r="AP221" s="37">
        <v>2</v>
      </c>
      <c r="AQ221" s="27">
        <v>4</v>
      </c>
      <c r="AR221" s="29">
        <v>0</v>
      </c>
      <c r="AS221" s="58">
        <v>0</v>
      </c>
      <c r="AT221" s="29">
        <v>0</v>
      </c>
      <c r="AU221" s="29">
        <v>0</v>
      </c>
      <c r="AV221" s="37">
        <v>0.8</v>
      </c>
      <c r="AW221" s="29">
        <v>0</v>
      </c>
      <c r="AX221" s="29">
        <v>0</v>
      </c>
      <c r="AY221" s="29">
        <v>0</v>
      </c>
      <c r="AZ221" s="27">
        <v>3</v>
      </c>
      <c r="BA221" s="57">
        <v>3</v>
      </c>
      <c r="BB221" s="85">
        <v>1.2</v>
      </c>
    </row>
    <row r="222" spans="1:54" ht="23.1" customHeight="1" x14ac:dyDescent="0.3">
      <c r="A222" s="87">
        <v>218</v>
      </c>
      <c r="B222" s="70" t="s">
        <v>469</v>
      </c>
      <c r="C222" s="71" t="s">
        <v>470</v>
      </c>
      <c r="D222" s="70" t="s">
        <v>450</v>
      </c>
      <c r="E222" s="70" t="s">
        <v>289</v>
      </c>
      <c r="F222" s="70" t="str">
        <f>REPT(CHAR(160),10)&amp;Working!$E222</f>
        <v>          D</v>
      </c>
      <c r="G222" s="61">
        <v>0</v>
      </c>
      <c r="H222" s="61">
        <v>0</v>
      </c>
      <c r="I222" s="61">
        <v>2</v>
      </c>
      <c r="J222" s="61">
        <v>0</v>
      </c>
      <c r="K222" s="72">
        <v>0</v>
      </c>
      <c r="L222" s="67">
        <v>0.4</v>
      </c>
      <c r="M222" s="61">
        <v>0</v>
      </c>
      <c r="N222" s="61">
        <v>2</v>
      </c>
      <c r="O222" s="61">
        <v>3</v>
      </c>
      <c r="P222" s="73">
        <v>0</v>
      </c>
      <c r="Q222" s="74">
        <v>3</v>
      </c>
      <c r="R222" s="37">
        <v>1.6</v>
      </c>
      <c r="S222" s="27">
        <v>0</v>
      </c>
      <c r="T222" s="16">
        <v>0</v>
      </c>
      <c r="U222" s="51">
        <v>0</v>
      </c>
      <c r="V222" s="16">
        <v>0</v>
      </c>
      <c r="W222" s="16">
        <v>0</v>
      </c>
      <c r="X222" s="37">
        <v>0</v>
      </c>
      <c r="Y222" s="16">
        <v>2</v>
      </c>
      <c r="Z222" s="16">
        <v>0</v>
      </c>
      <c r="AA222" s="16">
        <v>0</v>
      </c>
      <c r="AB222" s="16">
        <v>0</v>
      </c>
      <c r="AC222" s="16">
        <v>0</v>
      </c>
      <c r="AD222" s="37">
        <v>0.4</v>
      </c>
      <c r="AE222" s="16">
        <v>0</v>
      </c>
      <c r="AF222" s="16">
        <v>0</v>
      </c>
      <c r="AG222" s="16">
        <v>0</v>
      </c>
      <c r="AH222" s="16">
        <v>0</v>
      </c>
      <c r="AI222" s="16">
        <v>0</v>
      </c>
      <c r="AJ222" s="37">
        <v>0</v>
      </c>
      <c r="AK222" s="22">
        <v>2</v>
      </c>
      <c r="AL222" s="22">
        <v>2</v>
      </c>
      <c r="AM222" s="51">
        <v>0</v>
      </c>
      <c r="AN222" s="22">
        <v>2</v>
      </c>
      <c r="AO222" s="16">
        <v>0</v>
      </c>
      <c r="AP222" s="37">
        <v>1.2</v>
      </c>
      <c r="AQ222" s="27">
        <v>2</v>
      </c>
      <c r="AR222" s="16">
        <v>0</v>
      </c>
      <c r="AS222" s="26">
        <v>0</v>
      </c>
      <c r="AT222" s="16">
        <v>0</v>
      </c>
      <c r="AU222" s="16">
        <v>0</v>
      </c>
      <c r="AV222" s="37">
        <v>0.4</v>
      </c>
      <c r="AW222" s="16">
        <v>0</v>
      </c>
      <c r="AX222" s="16">
        <v>0</v>
      </c>
      <c r="AY222" s="29">
        <v>0</v>
      </c>
      <c r="AZ222" s="27">
        <v>3</v>
      </c>
      <c r="BA222" s="57">
        <v>2</v>
      </c>
      <c r="BB222" s="85">
        <v>1</v>
      </c>
    </row>
    <row r="223" spans="1:54" ht="23.1" customHeight="1" x14ac:dyDescent="0.3">
      <c r="A223" s="86">
        <v>219</v>
      </c>
      <c r="B223" s="63" t="s">
        <v>471</v>
      </c>
      <c r="C223" s="64" t="s">
        <v>472</v>
      </c>
      <c r="D223" s="63" t="s">
        <v>450</v>
      </c>
      <c r="E223" s="63" t="s">
        <v>289</v>
      </c>
      <c r="F223" s="63" t="str">
        <f>REPT(CHAR(160),10)&amp;Working!$E223</f>
        <v>          D</v>
      </c>
      <c r="G223" s="65">
        <v>0</v>
      </c>
      <c r="H223" s="65">
        <v>0</v>
      </c>
      <c r="I223" s="65">
        <v>3</v>
      </c>
      <c r="J223" s="65">
        <v>0</v>
      </c>
      <c r="K223" s="66">
        <v>0</v>
      </c>
      <c r="L223" s="67">
        <v>0.6</v>
      </c>
      <c r="M223" s="65">
        <v>0</v>
      </c>
      <c r="N223" s="65">
        <v>3</v>
      </c>
      <c r="O223" s="65">
        <v>3</v>
      </c>
      <c r="P223" s="68">
        <v>0</v>
      </c>
      <c r="Q223" s="69">
        <v>3</v>
      </c>
      <c r="R223" s="37">
        <v>1.8</v>
      </c>
      <c r="S223" s="27">
        <v>0</v>
      </c>
      <c r="T223" s="29">
        <v>0</v>
      </c>
      <c r="U223" s="52">
        <v>0</v>
      </c>
      <c r="V223" s="29">
        <v>0</v>
      </c>
      <c r="W223" s="29">
        <v>0</v>
      </c>
      <c r="X223" s="37">
        <v>0</v>
      </c>
      <c r="Y223" s="29">
        <v>3</v>
      </c>
      <c r="Z223" s="29">
        <v>0</v>
      </c>
      <c r="AA223" s="29">
        <v>0</v>
      </c>
      <c r="AB223" s="29">
        <v>0</v>
      </c>
      <c r="AC223" s="29">
        <v>0</v>
      </c>
      <c r="AD223" s="37">
        <v>0.6</v>
      </c>
      <c r="AE223" s="29">
        <v>0</v>
      </c>
      <c r="AF223" s="29">
        <v>0</v>
      </c>
      <c r="AG223" s="29">
        <v>0</v>
      </c>
      <c r="AH223" s="29">
        <v>0</v>
      </c>
      <c r="AI223" s="29">
        <v>0</v>
      </c>
      <c r="AJ223" s="37">
        <v>0</v>
      </c>
      <c r="AK223" s="28">
        <v>2</v>
      </c>
      <c r="AL223" s="28">
        <v>2</v>
      </c>
      <c r="AM223" s="52">
        <v>0</v>
      </c>
      <c r="AN223" s="28">
        <v>3</v>
      </c>
      <c r="AO223" s="29">
        <v>0</v>
      </c>
      <c r="AP223" s="37">
        <v>1.4</v>
      </c>
      <c r="AQ223" s="27">
        <v>3</v>
      </c>
      <c r="AR223" s="29">
        <v>0</v>
      </c>
      <c r="AS223" s="58">
        <v>0</v>
      </c>
      <c r="AT223" s="29">
        <v>0</v>
      </c>
      <c r="AU223" s="29">
        <v>0</v>
      </c>
      <c r="AV223" s="37">
        <v>0.6</v>
      </c>
      <c r="AW223" s="29">
        <v>0</v>
      </c>
      <c r="AX223" s="29">
        <v>0</v>
      </c>
      <c r="AY223" s="29">
        <v>0</v>
      </c>
      <c r="AZ223" s="27">
        <v>3</v>
      </c>
      <c r="BA223" s="57">
        <v>2</v>
      </c>
      <c r="BB223" s="85">
        <v>1</v>
      </c>
    </row>
    <row r="224" spans="1:54" ht="23.1" customHeight="1" x14ac:dyDescent="0.3">
      <c r="A224" s="87">
        <v>220</v>
      </c>
      <c r="B224" s="70" t="s">
        <v>473</v>
      </c>
      <c r="C224" s="71" t="s">
        <v>474</v>
      </c>
      <c r="D224" s="70" t="s">
        <v>542</v>
      </c>
      <c r="E224" s="70" t="s">
        <v>289</v>
      </c>
      <c r="F224" s="70" t="str">
        <f>REPT(CHAR(160),10)&amp;Working!$E224</f>
        <v>          D</v>
      </c>
      <c r="G224" s="61">
        <v>0</v>
      </c>
      <c r="H224" s="61">
        <v>0</v>
      </c>
      <c r="I224" s="61">
        <v>0</v>
      </c>
      <c r="J224" s="61">
        <v>0</v>
      </c>
      <c r="K224" s="72">
        <v>0</v>
      </c>
      <c r="L224" s="67">
        <v>0</v>
      </c>
      <c r="M224" s="61">
        <v>0</v>
      </c>
      <c r="N224" s="61">
        <v>0</v>
      </c>
      <c r="O224" s="61">
        <v>0</v>
      </c>
      <c r="P224" s="73">
        <v>0</v>
      </c>
      <c r="Q224" s="74">
        <v>0</v>
      </c>
      <c r="R224" s="37">
        <v>0</v>
      </c>
      <c r="S224" s="27">
        <v>0</v>
      </c>
      <c r="T224" s="16">
        <v>0</v>
      </c>
      <c r="U224" s="51">
        <v>0</v>
      </c>
      <c r="V224" s="16">
        <v>0</v>
      </c>
      <c r="W224" s="16">
        <v>0</v>
      </c>
      <c r="X224" s="37">
        <v>0</v>
      </c>
      <c r="Y224" s="16">
        <v>0</v>
      </c>
      <c r="Z224" s="16">
        <v>0</v>
      </c>
      <c r="AA224" s="16">
        <v>0</v>
      </c>
      <c r="AB224" s="16">
        <v>0</v>
      </c>
      <c r="AC224" s="16">
        <v>0</v>
      </c>
      <c r="AD224" s="37">
        <v>0</v>
      </c>
      <c r="AE224" s="16">
        <v>0</v>
      </c>
      <c r="AF224" s="16">
        <v>0</v>
      </c>
      <c r="AG224" s="16">
        <v>0</v>
      </c>
      <c r="AH224" s="16">
        <v>0</v>
      </c>
      <c r="AI224" s="16">
        <v>0</v>
      </c>
      <c r="AJ224" s="37">
        <v>0</v>
      </c>
      <c r="AK224" s="22">
        <v>0</v>
      </c>
      <c r="AL224" s="22">
        <v>0</v>
      </c>
      <c r="AM224" s="51">
        <v>0</v>
      </c>
      <c r="AN224" s="22">
        <v>0</v>
      </c>
      <c r="AO224" s="16">
        <v>0</v>
      </c>
      <c r="AP224" s="37">
        <v>0</v>
      </c>
      <c r="AQ224" s="27">
        <v>0</v>
      </c>
      <c r="AR224" s="16">
        <v>0</v>
      </c>
      <c r="AS224" s="25">
        <v>0</v>
      </c>
      <c r="AT224" s="16">
        <v>0</v>
      </c>
      <c r="AU224" s="16">
        <v>0</v>
      </c>
      <c r="AV224" s="37">
        <v>0</v>
      </c>
      <c r="AW224" s="16">
        <v>0</v>
      </c>
      <c r="AX224" s="16">
        <v>0</v>
      </c>
      <c r="AY224" s="29">
        <v>0</v>
      </c>
      <c r="AZ224" s="27">
        <v>0</v>
      </c>
      <c r="BA224" s="57">
        <v>0</v>
      </c>
      <c r="BB224" s="85">
        <v>0</v>
      </c>
    </row>
    <row r="225" spans="1:54" ht="23.1" customHeight="1" x14ac:dyDescent="0.3">
      <c r="A225" s="86">
        <v>221</v>
      </c>
      <c r="B225" s="63" t="s">
        <v>475</v>
      </c>
      <c r="C225" s="64" t="s">
        <v>476</v>
      </c>
      <c r="D225" s="63" t="s">
        <v>450</v>
      </c>
      <c r="E225" s="63" t="s">
        <v>289</v>
      </c>
      <c r="F225" s="63" t="str">
        <f>REPT(CHAR(160),10)&amp;Working!$E225</f>
        <v>          D</v>
      </c>
      <c r="G225" s="65">
        <v>0</v>
      </c>
      <c r="H225" s="65">
        <v>0</v>
      </c>
      <c r="I225" s="65">
        <v>0</v>
      </c>
      <c r="J225" s="65">
        <v>0</v>
      </c>
      <c r="K225" s="66">
        <v>0</v>
      </c>
      <c r="L225" s="67">
        <v>0</v>
      </c>
      <c r="M225" s="65">
        <v>0</v>
      </c>
      <c r="N225" s="65">
        <v>0</v>
      </c>
      <c r="O225" s="65">
        <v>0</v>
      </c>
      <c r="P225" s="68">
        <v>0</v>
      </c>
      <c r="Q225" s="69">
        <v>0</v>
      </c>
      <c r="R225" s="37">
        <v>0</v>
      </c>
      <c r="S225" s="27">
        <v>0</v>
      </c>
      <c r="T225" s="29">
        <v>0</v>
      </c>
      <c r="U225" s="52">
        <v>0</v>
      </c>
      <c r="V225" s="29">
        <v>0</v>
      </c>
      <c r="W225" s="29">
        <v>0</v>
      </c>
      <c r="X225" s="37">
        <v>0</v>
      </c>
      <c r="Y225" s="29">
        <v>0</v>
      </c>
      <c r="Z225" s="29">
        <v>0</v>
      </c>
      <c r="AA225" s="29">
        <v>0</v>
      </c>
      <c r="AB225" s="29">
        <v>0</v>
      </c>
      <c r="AC225" s="29">
        <v>0</v>
      </c>
      <c r="AD225" s="37">
        <v>0</v>
      </c>
      <c r="AE225" s="29">
        <v>0</v>
      </c>
      <c r="AF225" s="29">
        <v>0</v>
      </c>
      <c r="AG225" s="29">
        <v>0</v>
      </c>
      <c r="AH225" s="29">
        <v>0</v>
      </c>
      <c r="AI225" s="29">
        <v>0</v>
      </c>
      <c r="AJ225" s="37">
        <v>0</v>
      </c>
      <c r="AK225" s="28">
        <v>0</v>
      </c>
      <c r="AL225" s="28">
        <v>0</v>
      </c>
      <c r="AM225" s="52">
        <v>0</v>
      </c>
      <c r="AN225" s="28">
        <v>0</v>
      </c>
      <c r="AO225" s="29">
        <v>0</v>
      </c>
      <c r="AP225" s="37">
        <v>0</v>
      </c>
      <c r="AQ225" s="27">
        <v>0</v>
      </c>
      <c r="AR225" s="29">
        <v>0</v>
      </c>
      <c r="AS225" s="58">
        <v>0</v>
      </c>
      <c r="AT225" s="29">
        <v>0</v>
      </c>
      <c r="AU225" s="29">
        <v>0</v>
      </c>
      <c r="AV225" s="37">
        <v>0</v>
      </c>
      <c r="AW225" s="29">
        <v>0</v>
      </c>
      <c r="AX225" s="29">
        <v>0</v>
      </c>
      <c r="AY225" s="29">
        <v>0</v>
      </c>
      <c r="AZ225" s="27">
        <v>0</v>
      </c>
      <c r="BA225" s="57">
        <v>0</v>
      </c>
      <c r="BB225" s="85">
        <v>0</v>
      </c>
    </row>
    <row r="226" spans="1:54" ht="23.1" customHeight="1" x14ac:dyDescent="0.3">
      <c r="A226" s="87">
        <v>222</v>
      </c>
      <c r="B226" s="70" t="s">
        <v>477</v>
      </c>
      <c r="C226" s="71" t="s">
        <v>478</v>
      </c>
      <c r="D226" s="70" t="s">
        <v>450</v>
      </c>
      <c r="E226" s="70" t="s">
        <v>289</v>
      </c>
      <c r="F226" s="70" t="str">
        <f>REPT(CHAR(160),10)&amp;Working!$E226</f>
        <v>          D</v>
      </c>
      <c r="G226" s="61">
        <v>0</v>
      </c>
      <c r="H226" s="61">
        <v>0</v>
      </c>
      <c r="I226" s="61">
        <v>2</v>
      </c>
      <c r="J226" s="61">
        <v>0</v>
      </c>
      <c r="K226" s="72">
        <v>0</v>
      </c>
      <c r="L226" s="67">
        <v>0.4</v>
      </c>
      <c r="M226" s="61">
        <v>0</v>
      </c>
      <c r="N226" s="61">
        <v>4</v>
      </c>
      <c r="O226" s="61">
        <v>3</v>
      </c>
      <c r="P226" s="73">
        <v>0</v>
      </c>
      <c r="Q226" s="74">
        <v>3</v>
      </c>
      <c r="R226" s="37">
        <v>2</v>
      </c>
      <c r="S226" s="27">
        <v>0</v>
      </c>
      <c r="T226" s="16">
        <v>0</v>
      </c>
      <c r="U226" s="51">
        <v>0</v>
      </c>
      <c r="V226" s="16">
        <v>0</v>
      </c>
      <c r="W226" s="16">
        <v>0</v>
      </c>
      <c r="X226" s="37">
        <v>0</v>
      </c>
      <c r="Y226" s="16">
        <v>3</v>
      </c>
      <c r="Z226" s="16">
        <v>0</v>
      </c>
      <c r="AA226" s="16">
        <v>0</v>
      </c>
      <c r="AB226" s="16">
        <v>0</v>
      </c>
      <c r="AC226" s="16">
        <v>0</v>
      </c>
      <c r="AD226" s="37">
        <v>0.6</v>
      </c>
      <c r="AE226" s="16">
        <v>0</v>
      </c>
      <c r="AF226" s="16">
        <v>0</v>
      </c>
      <c r="AG226" s="16">
        <v>0</v>
      </c>
      <c r="AH226" s="16">
        <v>0</v>
      </c>
      <c r="AI226" s="16">
        <v>0</v>
      </c>
      <c r="AJ226" s="37">
        <v>0</v>
      </c>
      <c r="AK226" s="22">
        <v>3</v>
      </c>
      <c r="AL226" s="22">
        <v>2</v>
      </c>
      <c r="AM226" s="51">
        <v>0</v>
      </c>
      <c r="AN226" s="22">
        <v>2</v>
      </c>
      <c r="AO226" s="16">
        <v>0</v>
      </c>
      <c r="AP226" s="37">
        <v>1.4</v>
      </c>
      <c r="AQ226" s="27">
        <v>3</v>
      </c>
      <c r="AR226" s="16">
        <v>0</v>
      </c>
      <c r="AS226" s="25">
        <v>0</v>
      </c>
      <c r="AT226" s="16">
        <v>0</v>
      </c>
      <c r="AU226" s="16">
        <v>0</v>
      </c>
      <c r="AV226" s="37">
        <v>0.6</v>
      </c>
      <c r="AW226" s="16">
        <v>0</v>
      </c>
      <c r="AX226" s="16">
        <v>0</v>
      </c>
      <c r="AY226" s="29">
        <v>0</v>
      </c>
      <c r="AZ226" s="27">
        <v>3</v>
      </c>
      <c r="BA226" s="57">
        <v>3</v>
      </c>
      <c r="BB226" s="85">
        <v>1.2</v>
      </c>
    </row>
    <row r="227" spans="1:54" ht="23.1" customHeight="1" x14ac:dyDescent="0.3">
      <c r="A227" s="86">
        <v>223</v>
      </c>
      <c r="B227" s="63" t="s">
        <v>479</v>
      </c>
      <c r="C227" s="64" t="s">
        <v>480</v>
      </c>
      <c r="D227" s="63" t="s">
        <v>450</v>
      </c>
      <c r="E227" s="63" t="s">
        <v>289</v>
      </c>
      <c r="F227" s="63" t="str">
        <f>REPT(CHAR(160),10)&amp;Working!$E227</f>
        <v>          D</v>
      </c>
      <c r="G227" s="65">
        <v>0</v>
      </c>
      <c r="H227" s="65">
        <v>0</v>
      </c>
      <c r="I227" s="65">
        <v>2</v>
      </c>
      <c r="J227" s="65">
        <v>0</v>
      </c>
      <c r="K227" s="66">
        <v>0</v>
      </c>
      <c r="L227" s="67">
        <v>0.4</v>
      </c>
      <c r="M227" s="65">
        <v>0</v>
      </c>
      <c r="N227" s="65">
        <v>2</v>
      </c>
      <c r="O227" s="65">
        <v>1</v>
      </c>
      <c r="P227" s="68">
        <v>0</v>
      </c>
      <c r="Q227" s="69">
        <v>1</v>
      </c>
      <c r="R227" s="37">
        <v>0.8</v>
      </c>
      <c r="S227" s="27">
        <v>0</v>
      </c>
      <c r="T227" s="29">
        <v>0</v>
      </c>
      <c r="U227" s="52">
        <v>0</v>
      </c>
      <c r="V227" s="29">
        <v>0</v>
      </c>
      <c r="W227" s="29">
        <v>0</v>
      </c>
      <c r="X227" s="37">
        <v>0</v>
      </c>
      <c r="Y227" s="29">
        <v>2</v>
      </c>
      <c r="Z227" s="29">
        <v>0</v>
      </c>
      <c r="AA227" s="29">
        <v>0</v>
      </c>
      <c r="AB227" s="29">
        <v>0</v>
      </c>
      <c r="AC227" s="29">
        <v>0</v>
      </c>
      <c r="AD227" s="37">
        <v>0.4</v>
      </c>
      <c r="AE227" s="29">
        <v>0</v>
      </c>
      <c r="AF227" s="29">
        <v>0</v>
      </c>
      <c r="AG227" s="29">
        <v>0</v>
      </c>
      <c r="AH227" s="29">
        <v>0</v>
      </c>
      <c r="AI227" s="29">
        <v>0</v>
      </c>
      <c r="AJ227" s="37">
        <v>0</v>
      </c>
      <c r="AK227" s="28">
        <v>3</v>
      </c>
      <c r="AL227" s="28">
        <v>2</v>
      </c>
      <c r="AM227" s="52">
        <v>0</v>
      </c>
      <c r="AN227" s="28">
        <v>3</v>
      </c>
      <c r="AO227" s="29">
        <v>0</v>
      </c>
      <c r="AP227" s="37">
        <v>1.6</v>
      </c>
      <c r="AQ227" s="27">
        <v>2</v>
      </c>
      <c r="AR227" s="29">
        <v>0</v>
      </c>
      <c r="AS227" s="58">
        <v>0</v>
      </c>
      <c r="AT227" s="29">
        <v>0</v>
      </c>
      <c r="AU227" s="29">
        <v>0</v>
      </c>
      <c r="AV227" s="37">
        <v>0.4</v>
      </c>
      <c r="AW227" s="29">
        <v>0</v>
      </c>
      <c r="AX227" s="29">
        <v>0</v>
      </c>
      <c r="AY227" s="29">
        <v>0</v>
      </c>
      <c r="AZ227" s="27">
        <v>2</v>
      </c>
      <c r="BA227" s="57">
        <v>4</v>
      </c>
      <c r="BB227" s="85">
        <v>1.2</v>
      </c>
    </row>
    <row r="228" spans="1:54" ht="23.1" customHeight="1" x14ac:dyDescent="0.3">
      <c r="A228" s="87">
        <v>224</v>
      </c>
      <c r="B228" s="70" t="s">
        <v>481</v>
      </c>
      <c r="C228" s="71" t="s">
        <v>482</v>
      </c>
      <c r="D228" s="70" t="s">
        <v>450</v>
      </c>
      <c r="E228" s="70" t="s">
        <v>289</v>
      </c>
      <c r="F228" s="70" t="str">
        <f>REPT(CHAR(160),10)&amp;Working!$E228</f>
        <v>          D</v>
      </c>
      <c r="G228" s="61">
        <v>0</v>
      </c>
      <c r="H228" s="61">
        <v>0</v>
      </c>
      <c r="I228" s="61">
        <v>3</v>
      </c>
      <c r="J228" s="61">
        <v>0</v>
      </c>
      <c r="K228" s="72">
        <v>0</v>
      </c>
      <c r="L228" s="67">
        <v>0.6</v>
      </c>
      <c r="M228" s="61">
        <v>0</v>
      </c>
      <c r="N228" s="61">
        <v>3</v>
      </c>
      <c r="O228" s="61">
        <v>3</v>
      </c>
      <c r="P228" s="73">
        <v>0</v>
      </c>
      <c r="Q228" s="74">
        <v>3</v>
      </c>
      <c r="R228" s="37">
        <v>1.8</v>
      </c>
      <c r="S228" s="27">
        <v>0</v>
      </c>
      <c r="T228" s="16">
        <v>0</v>
      </c>
      <c r="U228" s="51">
        <v>0</v>
      </c>
      <c r="V228" s="16">
        <v>0</v>
      </c>
      <c r="W228" s="16">
        <v>0</v>
      </c>
      <c r="X228" s="37">
        <v>0</v>
      </c>
      <c r="Y228" s="16">
        <v>3</v>
      </c>
      <c r="Z228" s="16">
        <v>0</v>
      </c>
      <c r="AA228" s="16">
        <v>0</v>
      </c>
      <c r="AB228" s="16">
        <v>0</v>
      </c>
      <c r="AC228" s="16">
        <v>0</v>
      </c>
      <c r="AD228" s="37">
        <v>0.6</v>
      </c>
      <c r="AE228" s="16">
        <v>0</v>
      </c>
      <c r="AF228" s="16">
        <v>0</v>
      </c>
      <c r="AG228" s="16">
        <v>0</v>
      </c>
      <c r="AH228" s="16">
        <v>0</v>
      </c>
      <c r="AI228" s="16">
        <v>0</v>
      </c>
      <c r="AJ228" s="37">
        <v>0</v>
      </c>
      <c r="AK228" s="22">
        <v>2</v>
      </c>
      <c r="AL228" s="22">
        <v>3</v>
      </c>
      <c r="AM228" s="51">
        <v>0</v>
      </c>
      <c r="AN228" s="22">
        <v>3</v>
      </c>
      <c r="AO228" s="16">
        <v>0</v>
      </c>
      <c r="AP228" s="37">
        <v>1.6</v>
      </c>
      <c r="AQ228" s="27">
        <v>3</v>
      </c>
      <c r="AR228" s="16">
        <v>0</v>
      </c>
      <c r="AS228" s="25">
        <v>0</v>
      </c>
      <c r="AT228" s="16">
        <v>0</v>
      </c>
      <c r="AU228" s="16">
        <v>0</v>
      </c>
      <c r="AV228" s="37">
        <v>0.6</v>
      </c>
      <c r="AW228" s="16">
        <v>0</v>
      </c>
      <c r="AX228" s="16">
        <v>0</v>
      </c>
      <c r="AY228" s="29">
        <v>0</v>
      </c>
      <c r="AZ228" s="27">
        <v>3</v>
      </c>
      <c r="BA228" s="57">
        <v>2</v>
      </c>
      <c r="BB228" s="85">
        <v>1</v>
      </c>
    </row>
    <row r="229" spans="1:54" ht="23.1" customHeight="1" x14ac:dyDescent="0.3">
      <c r="A229" s="86">
        <v>225</v>
      </c>
      <c r="B229" s="63" t="s">
        <v>483</v>
      </c>
      <c r="C229" s="64" t="s">
        <v>540</v>
      </c>
      <c r="D229" s="63" t="s">
        <v>450</v>
      </c>
      <c r="E229" s="63" t="s">
        <v>289</v>
      </c>
      <c r="F229" s="63" t="str">
        <f>REPT(CHAR(160),10)&amp;Working!$E229</f>
        <v>          D</v>
      </c>
      <c r="G229" s="65">
        <v>0</v>
      </c>
      <c r="H229" s="65">
        <v>0</v>
      </c>
      <c r="I229" s="65">
        <v>2</v>
      </c>
      <c r="J229" s="65">
        <v>0</v>
      </c>
      <c r="K229" s="66">
        <v>0</v>
      </c>
      <c r="L229" s="67">
        <v>0.4</v>
      </c>
      <c r="M229" s="65">
        <v>0</v>
      </c>
      <c r="N229" s="65">
        <v>2</v>
      </c>
      <c r="O229" s="65">
        <v>3</v>
      </c>
      <c r="P229" s="68">
        <v>0</v>
      </c>
      <c r="Q229" s="69">
        <v>3</v>
      </c>
      <c r="R229" s="37">
        <v>1.6</v>
      </c>
      <c r="S229" s="27">
        <v>0</v>
      </c>
      <c r="T229" s="29">
        <v>0</v>
      </c>
      <c r="U229" s="52">
        <v>0</v>
      </c>
      <c r="V229" s="29">
        <v>0</v>
      </c>
      <c r="W229" s="29">
        <v>0</v>
      </c>
      <c r="X229" s="37">
        <v>0</v>
      </c>
      <c r="Y229" s="29">
        <v>2</v>
      </c>
      <c r="Z229" s="29">
        <v>0</v>
      </c>
      <c r="AA229" s="29">
        <v>0</v>
      </c>
      <c r="AB229" s="29">
        <v>0</v>
      </c>
      <c r="AC229" s="29">
        <v>0</v>
      </c>
      <c r="AD229" s="37">
        <v>0.4</v>
      </c>
      <c r="AE229" s="29">
        <v>0</v>
      </c>
      <c r="AF229" s="29">
        <v>0</v>
      </c>
      <c r="AG229" s="29">
        <v>0</v>
      </c>
      <c r="AH229" s="29">
        <v>0</v>
      </c>
      <c r="AI229" s="29">
        <v>0</v>
      </c>
      <c r="AJ229" s="37">
        <v>0</v>
      </c>
      <c r="AK229" s="28">
        <v>2</v>
      </c>
      <c r="AL229" s="28">
        <v>2</v>
      </c>
      <c r="AM229" s="52">
        <v>0</v>
      </c>
      <c r="AN229" s="28">
        <v>3</v>
      </c>
      <c r="AO229" s="29">
        <v>0</v>
      </c>
      <c r="AP229" s="37">
        <v>1.4</v>
      </c>
      <c r="AQ229" s="27">
        <v>2</v>
      </c>
      <c r="AR229" s="29">
        <v>0</v>
      </c>
      <c r="AS229" s="58">
        <v>0</v>
      </c>
      <c r="AT229" s="29">
        <v>0</v>
      </c>
      <c r="AU229" s="29">
        <v>0</v>
      </c>
      <c r="AV229" s="37">
        <v>0.4</v>
      </c>
      <c r="AW229" s="29">
        <v>0</v>
      </c>
      <c r="AX229" s="29">
        <v>0</v>
      </c>
      <c r="AY229" s="29">
        <v>0</v>
      </c>
      <c r="AZ229" s="27">
        <v>3</v>
      </c>
      <c r="BA229" s="57">
        <v>2</v>
      </c>
      <c r="BB229" s="85">
        <v>1</v>
      </c>
    </row>
    <row r="230" spans="1:54" ht="23.1" customHeight="1" x14ac:dyDescent="0.3">
      <c r="A230" s="87">
        <v>226</v>
      </c>
      <c r="B230" s="70" t="s">
        <v>484</v>
      </c>
      <c r="C230" s="71" t="s">
        <v>485</v>
      </c>
      <c r="D230" s="70" t="s">
        <v>450</v>
      </c>
      <c r="E230" s="70" t="s">
        <v>289</v>
      </c>
      <c r="F230" s="70" t="str">
        <f>REPT(CHAR(160),10)&amp;Working!$E230</f>
        <v>          D</v>
      </c>
      <c r="G230" s="61">
        <v>0</v>
      </c>
      <c r="H230" s="61">
        <v>0</v>
      </c>
      <c r="I230" s="61">
        <v>2</v>
      </c>
      <c r="J230" s="61">
        <v>0</v>
      </c>
      <c r="K230" s="72">
        <v>0</v>
      </c>
      <c r="L230" s="67">
        <v>0.4</v>
      </c>
      <c r="M230" s="61">
        <v>0</v>
      </c>
      <c r="N230" s="61">
        <v>3</v>
      </c>
      <c r="O230" s="61">
        <v>3</v>
      </c>
      <c r="P230" s="79">
        <v>0</v>
      </c>
      <c r="Q230" s="80">
        <v>3</v>
      </c>
      <c r="R230" s="37">
        <v>1.8</v>
      </c>
      <c r="S230" s="27">
        <v>0</v>
      </c>
      <c r="T230" s="16">
        <v>0</v>
      </c>
      <c r="U230" s="55">
        <v>0</v>
      </c>
      <c r="V230" s="16">
        <v>0</v>
      </c>
      <c r="W230" s="16">
        <v>0</v>
      </c>
      <c r="X230" s="37">
        <v>0</v>
      </c>
      <c r="Y230" s="16">
        <v>3</v>
      </c>
      <c r="Z230" s="16">
        <v>0</v>
      </c>
      <c r="AA230" s="16">
        <v>0</v>
      </c>
      <c r="AB230" s="16">
        <v>0</v>
      </c>
      <c r="AC230" s="16">
        <v>0</v>
      </c>
      <c r="AD230" s="37">
        <v>0.6</v>
      </c>
      <c r="AE230" s="16">
        <v>0</v>
      </c>
      <c r="AF230" s="16">
        <v>0</v>
      </c>
      <c r="AG230" s="16">
        <v>0</v>
      </c>
      <c r="AH230" s="16">
        <v>0</v>
      </c>
      <c r="AI230" s="16">
        <v>0</v>
      </c>
      <c r="AJ230" s="37">
        <v>0</v>
      </c>
      <c r="AK230" s="26">
        <v>2</v>
      </c>
      <c r="AL230" s="26">
        <v>2</v>
      </c>
      <c r="AM230" s="55">
        <v>0</v>
      </c>
      <c r="AN230" s="26">
        <v>3</v>
      </c>
      <c r="AO230" s="16">
        <v>0</v>
      </c>
      <c r="AP230" s="37">
        <v>1.4</v>
      </c>
      <c r="AQ230" s="27">
        <v>0</v>
      </c>
      <c r="AR230" s="16">
        <v>0</v>
      </c>
      <c r="AS230" s="25">
        <v>0</v>
      </c>
      <c r="AT230" s="16">
        <v>0</v>
      </c>
      <c r="AU230" s="16">
        <v>0</v>
      </c>
      <c r="AV230" s="37">
        <v>0</v>
      </c>
      <c r="AW230" s="16">
        <v>0</v>
      </c>
      <c r="AX230" s="16">
        <v>0</v>
      </c>
      <c r="AY230" s="29">
        <v>0</v>
      </c>
      <c r="AZ230" s="27">
        <v>3</v>
      </c>
      <c r="BA230" s="57">
        <v>3</v>
      </c>
      <c r="BB230" s="85">
        <v>1.2</v>
      </c>
    </row>
    <row r="231" spans="1:54" ht="23.1" customHeight="1" x14ac:dyDescent="0.3">
      <c r="A231" s="86">
        <v>227</v>
      </c>
      <c r="B231" s="63" t="s">
        <v>486</v>
      </c>
      <c r="C231" s="64" t="s">
        <v>487</v>
      </c>
      <c r="D231" s="63" t="s">
        <v>450</v>
      </c>
      <c r="E231" s="63" t="s">
        <v>289</v>
      </c>
      <c r="F231" s="63" t="str">
        <f>REPT(CHAR(160),10)&amp;Working!$E231</f>
        <v>          D</v>
      </c>
      <c r="G231" s="65">
        <v>0</v>
      </c>
      <c r="H231" s="65">
        <v>0</v>
      </c>
      <c r="I231" s="65" t="s">
        <v>35</v>
      </c>
      <c r="J231" s="65">
        <v>0</v>
      </c>
      <c r="K231" s="66">
        <v>0</v>
      </c>
      <c r="L231" s="67">
        <v>0</v>
      </c>
      <c r="M231" s="65">
        <v>0</v>
      </c>
      <c r="N231" s="65" t="s">
        <v>581</v>
      </c>
      <c r="O231" s="65" t="s">
        <v>581</v>
      </c>
      <c r="P231" s="83">
        <v>0</v>
      </c>
      <c r="Q231" s="84" t="s">
        <v>581</v>
      </c>
      <c r="R231" s="37"/>
      <c r="S231" s="27">
        <v>0</v>
      </c>
      <c r="T231" s="29">
        <v>0</v>
      </c>
      <c r="U231" s="29">
        <v>0</v>
      </c>
      <c r="V231" s="29">
        <v>0</v>
      </c>
      <c r="W231" s="29">
        <v>0</v>
      </c>
      <c r="X231" s="37">
        <v>0</v>
      </c>
      <c r="Y231" s="29" t="s">
        <v>581</v>
      </c>
      <c r="Z231" s="29">
        <v>0</v>
      </c>
      <c r="AA231" s="29">
        <v>0</v>
      </c>
      <c r="AB231" s="29">
        <v>0</v>
      </c>
      <c r="AC231" s="29">
        <v>0</v>
      </c>
      <c r="AD231" s="37"/>
      <c r="AE231" s="29">
        <v>0</v>
      </c>
      <c r="AF231" s="29">
        <v>0</v>
      </c>
      <c r="AG231" s="29">
        <v>0</v>
      </c>
      <c r="AH231" s="29">
        <v>0</v>
      </c>
      <c r="AI231" s="29">
        <v>0</v>
      </c>
      <c r="AJ231" s="37"/>
      <c r="AK231" s="29" t="s">
        <v>581</v>
      </c>
      <c r="AL231" s="29" t="s">
        <v>581</v>
      </c>
      <c r="AM231" s="29">
        <v>0</v>
      </c>
      <c r="AN231" s="29" t="s">
        <v>581</v>
      </c>
      <c r="AO231" s="29">
        <v>0</v>
      </c>
      <c r="AP231" s="37"/>
      <c r="AQ231" s="27" t="s">
        <v>581</v>
      </c>
      <c r="AR231" s="29">
        <v>0</v>
      </c>
      <c r="AS231" s="58">
        <v>0</v>
      </c>
      <c r="AT231" s="29">
        <v>0</v>
      </c>
      <c r="AU231" s="29">
        <v>0</v>
      </c>
      <c r="AV231" s="37"/>
      <c r="AW231" s="29">
        <v>0</v>
      </c>
      <c r="AX231" s="29">
        <v>0</v>
      </c>
      <c r="AY231" s="29">
        <v>0</v>
      </c>
      <c r="AZ231" s="27" t="s">
        <v>581</v>
      </c>
      <c r="BA231" s="57" t="s">
        <v>581</v>
      </c>
      <c r="BB231" s="85"/>
    </row>
    <row r="232" spans="1:54" ht="23.1" customHeight="1" x14ac:dyDescent="0.3">
      <c r="A232" s="87">
        <v>228</v>
      </c>
      <c r="B232" s="70" t="s">
        <v>541</v>
      </c>
      <c r="C232" s="71" t="s">
        <v>488</v>
      </c>
      <c r="D232" s="70" t="s">
        <v>545</v>
      </c>
      <c r="E232" s="70" t="s">
        <v>289</v>
      </c>
      <c r="F232" s="70" t="str">
        <f>REPT(CHAR(160),10)&amp;Working!$E232</f>
        <v>          D</v>
      </c>
      <c r="G232" s="61">
        <v>0</v>
      </c>
      <c r="H232" s="61">
        <v>0</v>
      </c>
      <c r="I232" s="61" t="s">
        <v>35</v>
      </c>
      <c r="J232" s="61">
        <v>0</v>
      </c>
      <c r="K232" s="72">
        <v>0</v>
      </c>
      <c r="L232" s="67">
        <v>0</v>
      </c>
      <c r="M232" s="61">
        <v>0</v>
      </c>
      <c r="N232" s="61" t="s">
        <v>581</v>
      </c>
      <c r="O232" s="61" t="s">
        <v>581</v>
      </c>
      <c r="P232" s="88">
        <v>0</v>
      </c>
      <c r="Q232" s="60" t="s">
        <v>581</v>
      </c>
      <c r="R232" s="89"/>
      <c r="S232" s="69">
        <v>0</v>
      </c>
      <c r="T232" s="60">
        <v>0</v>
      </c>
      <c r="U232" s="60">
        <v>0</v>
      </c>
      <c r="V232" s="60">
        <v>0</v>
      </c>
      <c r="W232" s="60">
        <v>0</v>
      </c>
      <c r="X232" s="89">
        <v>0</v>
      </c>
      <c r="Y232" s="60" t="s">
        <v>581</v>
      </c>
      <c r="Z232" s="60">
        <v>0</v>
      </c>
      <c r="AA232" s="60">
        <v>0</v>
      </c>
      <c r="AB232" s="60">
        <v>0</v>
      </c>
      <c r="AC232" s="60">
        <v>0</v>
      </c>
      <c r="AD232" s="89"/>
      <c r="AE232" s="60">
        <v>0</v>
      </c>
      <c r="AF232" s="60">
        <v>0</v>
      </c>
      <c r="AG232" s="60">
        <v>0</v>
      </c>
      <c r="AH232" s="60">
        <v>0</v>
      </c>
      <c r="AI232" s="60">
        <v>0</v>
      </c>
      <c r="AJ232" s="89"/>
      <c r="AK232" s="60" t="s">
        <v>581</v>
      </c>
      <c r="AL232" s="60" t="s">
        <v>581</v>
      </c>
      <c r="AM232" s="60">
        <v>0</v>
      </c>
      <c r="AN232" s="60" t="s">
        <v>581</v>
      </c>
      <c r="AO232" s="60">
        <v>0</v>
      </c>
      <c r="AP232" s="89"/>
      <c r="AQ232" s="69" t="s">
        <v>581</v>
      </c>
      <c r="AR232" s="60">
        <v>0</v>
      </c>
      <c r="AS232" s="90">
        <v>0</v>
      </c>
      <c r="AT232" s="60">
        <v>0</v>
      </c>
      <c r="AU232" s="60">
        <v>0</v>
      </c>
      <c r="AV232" s="89"/>
      <c r="AW232" s="60">
        <v>0</v>
      </c>
      <c r="AX232" s="60">
        <v>0</v>
      </c>
      <c r="AY232" s="84">
        <v>0</v>
      </c>
      <c r="AZ232" s="69" t="s">
        <v>581</v>
      </c>
      <c r="BA232" s="57" t="s">
        <v>581</v>
      </c>
      <c r="BB232" s="67"/>
    </row>
    <row r="233" spans="1:54" x14ac:dyDescent="0.3">
      <c r="R233" s="37"/>
      <c r="X233" s="37"/>
      <c r="AD233" s="37"/>
      <c r="AJ233" s="37"/>
      <c r="AK233" s="16"/>
      <c r="AP233" s="37"/>
      <c r="AS233" s="56"/>
      <c r="AV233" s="37"/>
      <c r="BB233" s="37"/>
    </row>
    <row r="234" spans="1:54" x14ac:dyDescent="0.3">
      <c r="R234" s="37"/>
      <c r="X234" s="37"/>
      <c r="AD234" s="37"/>
      <c r="AJ234" s="37"/>
      <c r="AP234" s="37"/>
      <c r="AS234" s="20"/>
      <c r="AV234" s="37"/>
      <c r="BB234" s="37"/>
    </row>
    <row r="235" spans="1:54" x14ac:dyDescent="0.3">
      <c r="R235" s="37"/>
      <c r="X235" s="37"/>
      <c r="AD235" s="37"/>
      <c r="AJ235" s="37"/>
      <c r="AP235" s="37"/>
      <c r="AV235" s="37"/>
      <c r="BB235" s="37"/>
    </row>
    <row r="236" spans="1:54" x14ac:dyDescent="0.3">
      <c r="R236" s="37"/>
      <c r="X236" s="37"/>
      <c r="AD236" s="37"/>
      <c r="AJ236" s="37"/>
      <c r="AP236" s="37"/>
      <c r="AV236" s="37"/>
      <c r="BB236" s="37"/>
    </row>
    <row r="237" spans="1:54" x14ac:dyDescent="0.3">
      <c r="R237" s="37"/>
      <c r="X237" s="37"/>
      <c r="AD237" s="37"/>
      <c r="AJ237" s="37"/>
      <c r="AP237" s="37"/>
      <c r="AV237" s="37"/>
      <c r="BB237" s="37"/>
    </row>
    <row r="238" spans="1:54" x14ac:dyDescent="0.3">
      <c r="R238" s="37"/>
      <c r="X238" s="37"/>
      <c r="AD238" s="37"/>
      <c r="AJ238" s="37"/>
      <c r="AP238" s="37"/>
      <c r="AV238" s="37"/>
      <c r="BB238" s="37"/>
    </row>
    <row r="239" spans="1:54" x14ac:dyDescent="0.3">
      <c r="R239" s="37"/>
      <c r="X239" s="37"/>
      <c r="AD239" s="37"/>
      <c r="AJ239" s="37"/>
      <c r="AP239" s="37"/>
      <c r="AV239" s="37"/>
      <c r="BB239" s="37"/>
    </row>
    <row r="240" spans="1:54" x14ac:dyDescent="0.3">
      <c r="R240" s="37"/>
      <c r="X240" s="37"/>
      <c r="AD240" s="37"/>
      <c r="AJ240" s="37"/>
      <c r="AP240" s="37"/>
      <c r="AV240" s="37"/>
      <c r="BB240" s="37"/>
    </row>
    <row r="241" spans="18:54" x14ac:dyDescent="0.3">
      <c r="R241" s="37"/>
      <c r="X241" s="37"/>
      <c r="AD241" s="37"/>
      <c r="AJ241" s="37"/>
      <c r="AP241" s="37"/>
      <c r="AV241" s="37"/>
      <c r="BB241" s="37"/>
    </row>
    <row r="242" spans="18:54" x14ac:dyDescent="0.3">
      <c r="R242" s="37"/>
      <c r="X242" s="37"/>
      <c r="AD242" s="37"/>
      <c r="AJ242" s="37"/>
      <c r="AP242" s="37"/>
      <c r="AV242" s="37"/>
      <c r="BB242" s="37"/>
    </row>
    <row r="243" spans="18:54" x14ac:dyDescent="0.3">
      <c r="R243" s="37"/>
      <c r="X243" s="37"/>
      <c r="AD243" s="37"/>
      <c r="AJ243" s="37"/>
      <c r="AP243" s="37"/>
      <c r="AV243" s="37"/>
      <c r="BB243" s="37"/>
    </row>
    <row r="244" spans="18:54" x14ac:dyDescent="0.3">
      <c r="R244" s="37"/>
      <c r="X244" s="37"/>
      <c r="AD244" s="37"/>
      <c r="AJ244" s="37"/>
      <c r="AP244" s="37"/>
      <c r="AV244" s="37"/>
      <c r="BB244" s="37"/>
    </row>
    <row r="245" spans="18:54" x14ac:dyDescent="0.3">
      <c r="R245" s="37"/>
      <c r="X245" s="37"/>
      <c r="AD245" s="37"/>
      <c r="AJ245" s="37"/>
      <c r="AP245" s="37"/>
      <c r="AV245" s="37"/>
      <c r="BB245" s="37"/>
    </row>
    <row r="246" spans="18:54" x14ac:dyDescent="0.3">
      <c r="R246" s="37"/>
      <c r="X246" s="37"/>
      <c r="AD246" s="37"/>
      <c r="AJ246" s="37"/>
      <c r="AP246" s="37"/>
      <c r="AV246" s="37"/>
      <c r="BB246" s="37"/>
    </row>
    <row r="247" spans="18:54" x14ac:dyDescent="0.3">
      <c r="R247" s="37"/>
      <c r="X247" s="37"/>
      <c r="AD247" s="37"/>
      <c r="AJ247" s="37"/>
      <c r="AP247" s="37"/>
      <c r="AV247" s="37"/>
      <c r="BB247" s="37"/>
    </row>
    <row r="248" spans="18:54" x14ac:dyDescent="0.3">
      <c r="R248" s="37"/>
      <c r="X248" s="37"/>
      <c r="AD248" s="37"/>
      <c r="AJ248" s="37"/>
      <c r="AP248" s="37"/>
      <c r="AV248" s="37"/>
      <c r="BB248" s="37"/>
    </row>
    <row r="249" spans="18:54" x14ac:dyDescent="0.3">
      <c r="R249" s="37"/>
      <c r="X249" s="37"/>
      <c r="AD249" s="37"/>
      <c r="AJ249" s="37"/>
      <c r="AP249" s="37"/>
      <c r="AV249" s="37"/>
      <c r="BB249" s="37"/>
    </row>
    <row r="250" spans="18:54" x14ac:dyDescent="0.3">
      <c r="R250" s="37"/>
      <c r="X250" s="37"/>
      <c r="AD250" s="37"/>
      <c r="AJ250" s="37"/>
      <c r="AP250" s="37"/>
      <c r="AV250" s="37"/>
      <c r="BB250" s="37"/>
    </row>
    <row r="251" spans="18:54" x14ac:dyDescent="0.3">
      <c r="R251" s="37"/>
      <c r="X251" s="37"/>
      <c r="AD251" s="37"/>
      <c r="AJ251" s="37"/>
      <c r="AP251" s="37"/>
      <c r="AV251" s="37"/>
      <c r="BB251" s="37"/>
    </row>
    <row r="252" spans="18:54" x14ac:dyDescent="0.3">
      <c r="R252" s="37"/>
      <c r="X252" s="37"/>
      <c r="AD252" s="37"/>
      <c r="AJ252" s="37"/>
      <c r="AP252" s="37"/>
      <c r="AV252" s="37"/>
      <c r="BB252" s="37"/>
    </row>
    <row r="253" spans="18:54" x14ac:dyDescent="0.3">
      <c r="R253" s="37"/>
      <c r="X253" s="37"/>
      <c r="AD253" s="37"/>
      <c r="AJ253" s="37"/>
      <c r="AP253" s="37"/>
      <c r="AV253" s="37"/>
      <c r="BB253" s="37"/>
    </row>
    <row r="254" spans="18:54" x14ac:dyDescent="0.3">
      <c r="R254" s="37"/>
      <c r="X254" s="37"/>
      <c r="AD254" s="37"/>
      <c r="AJ254" s="37"/>
      <c r="AP254" s="37"/>
      <c r="AV254" s="37"/>
      <c r="BB254" s="37"/>
    </row>
    <row r="255" spans="18:54" x14ac:dyDescent="0.3">
      <c r="R255" s="37"/>
      <c r="X255" s="37"/>
      <c r="AD255" s="37"/>
      <c r="AJ255" s="37"/>
      <c r="AP255" s="37"/>
      <c r="AV255" s="37"/>
      <c r="BB255" s="37"/>
    </row>
    <row r="256" spans="18:54" x14ac:dyDescent="0.3">
      <c r="R256" s="37"/>
      <c r="X256" s="37"/>
      <c r="AD256" s="37"/>
      <c r="AJ256" s="37"/>
      <c r="AP256" s="37"/>
      <c r="AV256" s="37"/>
      <c r="BB256" s="37"/>
    </row>
    <row r="257" spans="18:54" x14ac:dyDescent="0.3">
      <c r="R257" s="37"/>
      <c r="X257" s="37"/>
      <c r="AD257" s="37"/>
      <c r="AJ257" s="37"/>
      <c r="AP257" s="37"/>
      <c r="AV257" s="37"/>
      <c r="BB257" s="37"/>
    </row>
    <row r="258" spans="18:54" x14ac:dyDescent="0.3">
      <c r="R258" s="37"/>
      <c r="X258" s="37"/>
      <c r="AD258" s="37"/>
      <c r="AJ258" s="37"/>
      <c r="AP258" s="37"/>
      <c r="AV258" s="37"/>
      <c r="BB258" s="37"/>
    </row>
    <row r="259" spans="18:54" x14ac:dyDescent="0.3">
      <c r="R259" s="37"/>
      <c r="X259" s="37"/>
      <c r="AD259" s="37"/>
      <c r="AJ259" s="37"/>
      <c r="AP259" s="37"/>
      <c r="AV259" s="37"/>
      <c r="BB259" s="37"/>
    </row>
    <row r="260" spans="18:54" x14ac:dyDescent="0.3">
      <c r="R260" s="37"/>
      <c r="X260" s="37"/>
      <c r="AD260" s="37"/>
      <c r="AJ260" s="37"/>
      <c r="AP260" s="37"/>
      <c r="AV260" s="37"/>
      <c r="BB260" s="37"/>
    </row>
    <row r="261" spans="18:54" x14ac:dyDescent="0.3">
      <c r="R261" s="37"/>
      <c r="X261" s="37"/>
      <c r="AD261" s="37"/>
      <c r="AJ261" s="37"/>
      <c r="AP261" s="37"/>
      <c r="AV261" s="37"/>
      <c r="BB261" s="37"/>
    </row>
    <row r="262" spans="18:54" x14ac:dyDescent="0.3">
      <c r="R262" s="37"/>
      <c r="X262" s="37"/>
      <c r="AD262" s="37"/>
      <c r="AJ262" s="37"/>
      <c r="AP262" s="37"/>
      <c r="AV262" s="37"/>
      <c r="BB262" s="37"/>
    </row>
    <row r="263" spans="18:54" x14ac:dyDescent="0.3">
      <c r="R263" s="37"/>
      <c r="X263" s="37"/>
      <c r="AD263" s="37"/>
      <c r="AJ263" s="37"/>
      <c r="AP263" s="37"/>
      <c r="AV263" s="37"/>
      <c r="BB263" s="37"/>
    </row>
    <row r="264" spans="18:54" x14ac:dyDescent="0.3">
      <c r="R264" s="37"/>
      <c r="X264" s="37"/>
      <c r="AD264" s="37"/>
      <c r="AJ264" s="37"/>
      <c r="AP264" s="37"/>
      <c r="AV264" s="37"/>
      <c r="BB264" s="37"/>
    </row>
    <row r="265" spans="18:54" x14ac:dyDescent="0.3">
      <c r="R265" s="37"/>
      <c r="X265" s="37"/>
      <c r="AD265" s="37"/>
      <c r="AJ265" s="37"/>
      <c r="AP265" s="37"/>
      <c r="AV265" s="37"/>
      <c r="BB265" s="37"/>
    </row>
    <row r="266" spans="18:54" x14ac:dyDescent="0.3">
      <c r="R266" s="37"/>
      <c r="X266" s="37"/>
      <c r="AD266" s="37"/>
      <c r="AJ266" s="37"/>
      <c r="AP266" s="37"/>
      <c r="AV266" s="37"/>
      <c r="BB266" s="37"/>
    </row>
    <row r="267" spans="18:54" x14ac:dyDescent="0.3">
      <c r="R267" s="37"/>
      <c r="X267" s="37"/>
      <c r="AD267" s="37"/>
      <c r="AJ267" s="37"/>
      <c r="AP267" s="37"/>
      <c r="AV267" s="37"/>
      <c r="BB267" s="37"/>
    </row>
    <row r="268" spans="18:54" x14ac:dyDescent="0.3">
      <c r="R268" s="37"/>
      <c r="X268" s="37"/>
      <c r="AD268" s="37"/>
      <c r="AJ268" s="37"/>
      <c r="AP268" s="37"/>
      <c r="AV268" s="37"/>
      <c r="BB268" s="37"/>
    </row>
    <row r="269" spans="18:54" x14ac:dyDescent="0.3">
      <c r="R269" s="37"/>
      <c r="X269" s="37"/>
      <c r="AD269" s="37"/>
      <c r="AJ269" s="37"/>
      <c r="AP269" s="37"/>
      <c r="AV269" s="37"/>
      <c r="BB269" s="37"/>
    </row>
    <row r="270" spans="18:54" x14ac:dyDescent="0.3">
      <c r="R270" s="37"/>
      <c r="X270" s="37"/>
      <c r="AD270" s="37"/>
      <c r="AJ270" s="37"/>
      <c r="AP270" s="37"/>
      <c r="AV270" s="37"/>
      <c r="BB270" s="37"/>
    </row>
    <row r="271" spans="18:54" x14ac:dyDescent="0.3">
      <c r="R271" s="37"/>
      <c r="X271" s="37"/>
      <c r="AD271" s="37"/>
      <c r="AJ271" s="37"/>
      <c r="AP271" s="37"/>
      <c r="AV271" s="37"/>
      <c r="BB271" s="37"/>
    </row>
    <row r="272" spans="18:54" x14ac:dyDescent="0.3">
      <c r="R272" s="37"/>
      <c r="X272" s="37"/>
      <c r="AD272" s="37"/>
      <c r="AJ272" s="37"/>
      <c r="AP272" s="37"/>
      <c r="AV272" s="37"/>
      <c r="BB272" s="37"/>
    </row>
    <row r="273" spans="18:54" x14ac:dyDescent="0.3">
      <c r="R273" s="37"/>
      <c r="X273" s="37"/>
      <c r="AD273" s="37"/>
      <c r="AJ273" s="37"/>
      <c r="AP273" s="37"/>
      <c r="AV273" s="37"/>
      <c r="BB273" s="37"/>
    </row>
    <row r="274" spans="18:54" x14ac:dyDescent="0.3">
      <c r="R274" s="37"/>
      <c r="X274" s="37"/>
      <c r="AD274" s="37"/>
      <c r="AJ274" s="37"/>
      <c r="AP274" s="37"/>
      <c r="AV274" s="37"/>
      <c r="BB274" s="37"/>
    </row>
    <row r="275" spans="18:54" x14ac:dyDescent="0.3">
      <c r="R275" s="37"/>
      <c r="X275" s="37"/>
      <c r="AD275" s="37"/>
      <c r="AJ275" s="37"/>
      <c r="AP275" s="37"/>
      <c r="AV275" s="37"/>
      <c r="BB275" s="37"/>
    </row>
    <row r="276" spans="18:54" x14ac:dyDescent="0.3">
      <c r="R276" s="37"/>
      <c r="X276" s="37"/>
      <c r="AD276" s="37"/>
      <c r="AJ276" s="37"/>
      <c r="AP276" s="37"/>
      <c r="AV276" s="37"/>
      <c r="BB276" s="37"/>
    </row>
    <row r="277" spans="18:54" x14ac:dyDescent="0.3">
      <c r="R277" s="37"/>
      <c r="X277" s="37"/>
      <c r="AD277" s="37"/>
      <c r="AJ277" s="37"/>
      <c r="AP277" s="37"/>
      <c r="AV277" s="37"/>
      <c r="BB277" s="37"/>
    </row>
    <row r="278" spans="18:54" x14ac:dyDescent="0.3">
      <c r="R278" s="37"/>
      <c r="X278" s="37"/>
      <c r="AD278" s="37"/>
      <c r="AJ278" s="37"/>
      <c r="AP278" s="37"/>
      <c r="AV278" s="37"/>
      <c r="BB278" s="37"/>
    </row>
    <row r="279" spans="18:54" x14ac:dyDescent="0.3">
      <c r="R279" s="37"/>
      <c r="X279" s="37"/>
      <c r="AD279" s="37"/>
      <c r="AJ279" s="37"/>
      <c r="AP279" s="37"/>
      <c r="AV279" s="37"/>
      <c r="BB279" s="37"/>
    </row>
    <row r="280" spans="18:54" x14ac:dyDescent="0.3">
      <c r="R280" s="37"/>
      <c r="X280" s="37"/>
      <c r="AD280" s="37"/>
      <c r="AJ280" s="37"/>
      <c r="AP280" s="37"/>
      <c r="AV280" s="37"/>
      <c r="BB280" s="37"/>
    </row>
    <row r="281" spans="18:54" x14ac:dyDescent="0.3">
      <c r="R281" s="37"/>
      <c r="X281" s="37"/>
      <c r="AD281" s="37"/>
      <c r="AJ281" s="37"/>
      <c r="AP281" s="37"/>
      <c r="AV281" s="37"/>
      <c r="BB281" s="37"/>
    </row>
    <row r="282" spans="18:54" x14ac:dyDescent="0.3">
      <c r="R282" s="37"/>
      <c r="X282" s="37"/>
      <c r="AD282" s="37"/>
      <c r="AJ282" s="37"/>
      <c r="AP282" s="37"/>
      <c r="AV282" s="37"/>
      <c r="BB282" s="37"/>
    </row>
    <row r="283" spans="18:54" x14ac:dyDescent="0.3">
      <c r="R283" s="37"/>
      <c r="X283" s="37"/>
      <c r="AD283" s="37"/>
      <c r="AJ283" s="37"/>
      <c r="AP283" s="37"/>
      <c r="AV283" s="37"/>
      <c r="BB283" s="37"/>
    </row>
    <row r="284" spans="18:54" x14ac:dyDescent="0.3">
      <c r="R284" s="37"/>
      <c r="X284" s="37"/>
      <c r="AD284" s="37"/>
      <c r="AJ284" s="37"/>
      <c r="AP284" s="37"/>
      <c r="AV284" s="37"/>
      <c r="BB284" s="37"/>
    </row>
    <row r="285" spans="18:54" x14ac:dyDescent="0.3">
      <c r="R285" s="37"/>
      <c r="X285" s="37"/>
      <c r="AD285" s="37"/>
      <c r="AJ285" s="37"/>
      <c r="AP285" s="37"/>
      <c r="AV285" s="37"/>
      <c r="BB285" s="37"/>
    </row>
    <row r="286" spans="18:54" x14ac:dyDescent="0.3">
      <c r="R286" s="37"/>
      <c r="X286" s="37"/>
      <c r="AD286" s="37"/>
      <c r="AJ286" s="37"/>
      <c r="AP286" s="37"/>
      <c r="AV286" s="37"/>
      <c r="BB286" s="37"/>
    </row>
    <row r="287" spans="18:54" x14ac:dyDescent="0.3">
      <c r="R287" s="37"/>
      <c r="X287" s="37"/>
      <c r="AD287" s="37"/>
      <c r="AJ287" s="37"/>
      <c r="AP287" s="37"/>
      <c r="AV287" s="37"/>
      <c r="BB287" s="37"/>
    </row>
    <row r="288" spans="18:54" x14ac:dyDescent="0.3">
      <c r="R288" s="37"/>
      <c r="X288" s="37"/>
      <c r="AD288" s="37"/>
      <c r="AJ288" s="37"/>
      <c r="AP288" s="37"/>
      <c r="AV288" s="37"/>
      <c r="BB288" s="37"/>
    </row>
    <row r="289" spans="18:54" x14ac:dyDescent="0.3">
      <c r="R289" s="37"/>
      <c r="X289" s="37"/>
      <c r="AD289" s="37"/>
      <c r="AJ289" s="37"/>
      <c r="AP289" s="37"/>
      <c r="AV289" s="37"/>
      <c r="BB289" s="37"/>
    </row>
    <row r="290" spans="18:54" x14ac:dyDescent="0.3">
      <c r="R290" s="37"/>
      <c r="X290" s="37"/>
      <c r="AD290" s="37"/>
      <c r="AJ290" s="37"/>
      <c r="AP290" s="37"/>
      <c r="AV290" s="37"/>
      <c r="BB290" s="37"/>
    </row>
    <row r="291" spans="18:54" x14ac:dyDescent="0.3">
      <c r="R291" s="37"/>
      <c r="X291" s="37"/>
      <c r="AD291" s="37"/>
      <c r="AJ291" s="37"/>
      <c r="AP291" s="37"/>
      <c r="AV291" s="37"/>
      <c r="BB291" s="37"/>
    </row>
    <row r="292" spans="18:54" x14ac:dyDescent="0.3">
      <c r="R292" s="37"/>
      <c r="X292" s="37"/>
      <c r="AD292" s="37"/>
      <c r="AJ292" s="37"/>
      <c r="AP292" s="37"/>
      <c r="AV292" s="37"/>
      <c r="BB292" s="37"/>
    </row>
    <row r="293" spans="18:54" x14ac:dyDescent="0.3">
      <c r="R293" s="37"/>
      <c r="X293" s="37"/>
      <c r="AD293" s="37"/>
      <c r="AJ293" s="37"/>
      <c r="AP293" s="37"/>
      <c r="AV293" s="37"/>
      <c r="BB293" s="37"/>
    </row>
    <row r="294" spans="18:54" x14ac:dyDescent="0.3">
      <c r="R294" s="37"/>
      <c r="X294" s="37"/>
      <c r="AD294" s="37"/>
      <c r="AJ294" s="37"/>
      <c r="AP294" s="37"/>
      <c r="AV294" s="37"/>
      <c r="BB294" s="37"/>
    </row>
    <row r="295" spans="18:54" x14ac:dyDescent="0.3">
      <c r="R295" s="37"/>
      <c r="X295" s="37"/>
      <c r="AD295" s="37"/>
      <c r="AJ295" s="37"/>
      <c r="AP295" s="37"/>
      <c r="AV295" s="37"/>
      <c r="BB295" s="37"/>
    </row>
    <row r="296" spans="18:54" x14ac:dyDescent="0.3">
      <c r="R296" s="37"/>
      <c r="X296" s="37"/>
      <c r="AD296" s="37"/>
      <c r="AJ296" s="37"/>
      <c r="AP296" s="37"/>
      <c r="AV296" s="37"/>
      <c r="BB296" s="37"/>
    </row>
    <row r="297" spans="18:54" x14ac:dyDescent="0.3">
      <c r="R297" s="37"/>
      <c r="X297" s="37"/>
      <c r="AD297" s="37"/>
      <c r="AJ297" s="37"/>
      <c r="AP297" s="37"/>
      <c r="AV297" s="37"/>
      <c r="BB297" s="37"/>
    </row>
    <row r="298" spans="18:54" x14ac:dyDescent="0.3">
      <c r="R298" s="37"/>
      <c r="X298" s="37"/>
      <c r="AD298" s="37"/>
      <c r="AJ298" s="37"/>
      <c r="AP298" s="37"/>
      <c r="AV298" s="37"/>
      <c r="BB298" s="37"/>
    </row>
    <row r="299" spans="18:54" x14ac:dyDescent="0.3">
      <c r="R299" s="37"/>
      <c r="X299" s="37"/>
      <c r="AD299" s="37"/>
      <c r="AJ299" s="37"/>
      <c r="AP299" s="37"/>
      <c r="AV299" s="37"/>
      <c r="BB299" s="37"/>
    </row>
    <row r="300" spans="18:54" x14ac:dyDescent="0.3">
      <c r="R300" s="37"/>
      <c r="X300" s="37"/>
      <c r="AD300" s="37"/>
      <c r="AJ300" s="37"/>
      <c r="AP300" s="37"/>
      <c r="AV300" s="37"/>
      <c r="BB300" s="37"/>
    </row>
    <row r="301" spans="18:54" x14ac:dyDescent="0.3">
      <c r="R301" s="37"/>
      <c r="X301" s="37"/>
      <c r="AD301" s="37"/>
      <c r="AJ301" s="37"/>
      <c r="AP301" s="37"/>
      <c r="AV301" s="37"/>
      <c r="BB301" s="37"/>
    </row>
    <row r="302" spans="18:54" x14ac:dyDescent="0.3">
      <c r="R302" s="37"/>
      <c r="X302" s="37"/>
      <c r="AD302" s="37"/>
      <c r="AJ302" s="37"/>
      <c r="AP302" s="37"/>
      <c r="AV302" s="37"/>
      <c r="BB302" s="37"/>
    </row>
    <row r="303" spans="18:54" x14ac:dyDescent="0.3">
      <c r="R303" s="37"/>
      <c r="X303" s="37"/>
      <c r="AD303" s="37"/>
      <c r="AJ303" s="37"/>
      <c r="AP303" s="37"/>
      <c r="AV303" s="37"/>
      <c r="BB303" s="37"/>
    </row>
    <row r="304" spans="18:54" x14ac:dyDescent="0.3">
      <c r="R304" s="37"/>
      <c r="X304" s="37"/>
      <c r="AD304" s="37"/>
      <c r="AJ304" s="37"/>
      <c r="AP304" s="37"/>
      <c r="AV304" s="37"/>
      <c r="BB304" s="37"/>
    </row>
    <row r="305" spans="18:54" x14ac:dyDescent="0.3">
      <c r="R305" s="37"/>
      <c r="X305" s="37"/>
      <c r="AD305" s="37"/>
      <c r="AJ305" s="37"/>
      <c r="AP305" s="37"/>
      <c r="AV305" s="37"/>
      <c r="BB305" s="37"/>
    </row>
    <row r="306" spans="18:54" x14ac:dyDescent="0.3">
      <c r="R306" s="37"/>
      <c r="X306" s="37"/>
      <c r="AD306" s="37"/>
      <c r="AJ306" s="37"/>
      <c r="AP306" s="37"/>
      <c r="AV306" s="37"/>
      <c r="BB306" s="37"/>
    </row>
    <row r="307" spans="18:54" x14ac:dyDescent="0.3">
      <c r="R307" s="37"/>
      <c r="X307" s="37"/>
      <c r="AD307" s="37"/>
      <c r="AJ307" s="37"/>
      <c r="AP307" s="37"/>
      <c r="AV307" s="37"/>
      <c r="BB307" s="37"/>
    </row>
    <row r="308" spans="18:54" x14ac:dyDescent="0.3">
      <c r="R308" s="37"/>
      <c r="X308" s="37"/>
      <c r="AD308" s="37"/>
      <c r="AJ308" s="37"/>
      <c r="AP308" s="37"/>
      <c r="AV308" s="37"/>
      <c r="BB308" s="37"/>
    </row>
    <row r="309" spans="18:54" x14ac:dyDescent="0.3">
      <c r="R309" s="37"/>
      <c r="X309" s="37"/>
      <c r="AD309" s="37"/>
      <c r="AJ309" s="37"/>
      <c r="AP309" s="37"/>
      <c r="AV309" s="37"/>
      <c r="BB309" s="37"/>
    </row>
    <row r="310" spans="18:54" x14ac:dyDescent="0.3">
      <c r="R310" s="37"/>
      <c r="X310" s="37"/>
      <c r="AD310" s="37"/>
      <c r="AJ310" s="37"/>
      <c r="AP310" s="37"/>
      <c r="AV310" s="37"/>
      <c r="BB310" s="37"/>
    </row>
    <row r="311" spans="18:54" x14ac:dyDescent="0.3">
      <c r="R311" s="37"/>
      <c r="X311" s="37"/>
      <c r="AD311" s="37"/>
      <c r="AJ311" s="37"/>
      <c r="AP311" s="37"/>
      <c r="AV311" s="37"/>
      <c r="BB311" s="37"/>
    </row>
    <row r="312" spans="18:54" x14ac:dyDescent="0.3">
      <c r="R312" s="37"/>
      <c r="X312" s="37"/>
      <c r="AD312" s="37"/>
      <c r="AJ312" s="37"/>
      <c r="AP312" s="37"/>
      <c r="AV312" s="37"/>
      <c r="BB312" s="37"/>
    </row>
    <row r="313" spans="18:54" x14ac:dyDescent="0.3">
      <c r="R313" s="37"/>
      <c r="X313" s="37"/>
      <c r="AD313" s="37"/>
      <c r="AJ313" s="37"/>
      <c r="AP313" s="37"/>
      <c r="AV313" s="37"/>
      <c r="BB313" s="37"/>
    </row>
    <row r="314" spans="18:54" x14ac:dyDescent="0.3">
      <c r="R314" s="37"/>
      <c r="X314" s="37"/>
      <c r="AD314" s="37"/>
      <c r="AJ314" s="37"/>
      <c r="AP314" s="37"/>
      <c r="AV314" s="37"/>
      <c r="BB314" s="37"/>
    </row>
    <row r="315" spans="18:54" x14ac:dyDescent="0.3">
      <c r="R315" s="37"/>
      <c r="X315" s="37"/>
      <c r="AD315" s="37"/>
      <c r="AJ315" s="37"/>
      <c r="AP315" s="37"/>
      <c r="AV315" s="37"/>
      <c r="BB315" s="37"/>
    </row>
    <row r="316" spans="18:54" x14ac:dyDescent="0.3">
      <c r="R316" s="37"/>
      <c r="X316" s="37"/>
      <c r="AD316" s="37"/>
      <c r="AJ316" s="37"/>
      <c r="AP316" s="37"/>
      <c r="AV316" s="37"/>
      <c r="BB316" s="37"/>
    </row>
    <row r="317" spans="18:54" x14ac:dyDescent="0.3">
      <c r="R317" s="37"/>
      <c r="X317" s="37"/>
      <c r="AD317" s="37"/>
      <c r="AJ317" s="37"/>
      <c r="AP317" s="37"/>
      <c r="AV317" s="37"/>
      <c r="BB317" s="37"/>
    </row>
    <row r="318" spans="18:54" x14ac:dyDescent="0.3">
      <c r="R318" s="37"/>
      <c r="X318" s="37"/>
      <c r="AD318" s="37"/>
      <c r="AJ318" s="37"/>
      <c r="AP318" s="37"/>
      <c r="AV318" s="37"/>
      <c r="BB318" s="37"/>
    </row>
    <row r="319" spans="18:54" x14ac:dyDescent="0.3">
      <c r="R319" s="37"/>
      <c r="X319" s="37"/>
      <c r="AD319" s="37"/>
      <c r="AJ319" s="37"/>
      <c r="AP319" s="37"/>
      <c r="AV319" s="37"/>
      <c r="BB319" s="37"/>
    </row>
    <row r="320" spans="18:54" x14ac:dyDescent="0.3">
      <c r="R320" s="37"/>
      <c r="X320" s="37"/>
      <c r="AD320" s="37"/>
      <c r="AJ320" s="37"/>
      <c r="AP320" s="37"/>
      <c r="AV320" s="37"/>
      <c r="BB320" s="37"/>
    </row>
    <row r="321" spans="18:54" x14ac:dyDescent="0.3">
      <c r="R321" s="37"/>
      <c r="X321" s="37"/>
      <c r="AD321" s="37"/>
      <c r="AJ321" s="37"/>
      <c r="AP321" s="37"/>
      <c r="AV321" s="37"/>
      <c r="BB321" s="37"/>
    </row>
    <row r="322" spans="18:54" x14ac:dyDescent="0.3">
      <c r="R322" s="37"/>
      <c r="X322" s="37"/>
      <c r="AD322" s="37"/>
      <c r="AJ322" s="37"/>
      <c r="AP322" s="37"/>
      <c r="AV322" s="37"/>
      <c r="BB322" s="37"/>
    </row>
    <row r="323" spans="18:54" x14ac:dyDescent="0.3">
      <c r="R323" s="37"/>
      <c r="X323" s="37"/>
      <c r="AD323" s="37"/>
      <c r="AJ323" s="37"/>
      <c r="AP323" s="37"/>
      <c r="AV323" s="37"/>
      <c r="BB323" s="37"/>
    </row>
    <row r="324" spans="18:54" x14ac:dyDescent="0.3">
      <c r="R324" s="37"/>
      <c r="X324" s="37"/>
      <c r="AD324" s="37"/>
      <c r="AJ324" s="37"/>
      <c r="AP324" s="37"/>
      <c r="AV324" s="37"/>
      <c r="BB324" s="37"/>
    </row>
    <row r="325" spans="18:54" x14ac:dyDescent="0.3">
      <c r="R325" s="37"/>
      <c r="X325" s="37"/>
      <c r="AD325" s="37"/>
      <c r="AJ325" s="37"/>
      <c r="AP325" s="37"/>
      <c r="AV325" s="37"/>
      <c r="BB325" s="37"/>
    </row>
    <row r="326" spans="18:54" x14ac:dyDescent="0.3">
      <c r="R326" s="37"/>
      <c r="X326" s="37"/>
      <c r="AD326" s="37"/>
      <c r="AJ326" s="37"/>
      <c r="AP326" s="37"/>
      <c r="AV326" s="37"/>
      <c r="BB326" s="37"/>
    </row>
    <row r="327" spans="18:54" x14ac:dyDescent="0.3">
      <c r="R327" s="37"/>
      <c r="X327" s="37"/>
      <c r="AD327" s="37"/>
      <c r="AJ327" s="37"/>
      <c r="AP327" s="37"/>
      <c r="AV327" s="37"/>
      <c r="BB327" s="37"/>
    </row>
    <row r="328" spans="18:54" x14ac:dyDescent="0.3">
      <c r="R328" s="37"/>
      <c r="X328" s="37"/>
      <c r="AD328" s="37"/>
      <c r="AJ328" s="37"/>
      <c r="AP328" s="37"/>
      <c r="AV328" s="37"/>
      <c r="BB328" s="37"/>
    </row>
    <row r="329" spans="18:54" x14ac:dyDescent="0.3">
      <c r="R329" s="37"/>
      <c r="X329" s="37"/>
      <c r="AD329" s="37"/>
      <c r="AJ329" s="37"/>
      <c r="AP329" s="37"/>
      <c r="AV329" s="37"/>
      <c r="BB329" s="37"/>
    </row>
    <row r="330" spans="18:54" x14ac:dyDescent="0.3">
      <c r="R330" s="37"/>
      <c r="X330" s="37"/>
      <c r="AD330" s="37"/>
      <c r="AJ330" s="37"/>
      <c r="AP330" s="37"/>
      <c r="AV330" s="37"/>
      <c r="BB330" s="37"/>
    </row>
    <row r="331" spans="18:54" x14ac:dyDescent="0.3">
      <c r="R331" s="37"/>
      <c r="X331" s="37"/>
      <c r="AD331" s="37"/>
      <c r="AJ331" s="37"/>
      <c r="AP331" s="37"/>
      <c r="AV331" s="37"/>
      <c r="BB331" s="37"/>
    </row>
    <row r="332" spans="18:54" x14ac:dyDescent="0.3">
      <c r="R332" s="37"/>
      <c r="X332" s="37"/>
      <c r="AD332" s="37"/>
      <c r="AJ332" s="37"/>
      <c r="AP332" s="37"/>
      <c r="AV332" s="37"/>
      <c r="BB332" s="37"/>
    </row>
    <row r="333" spans="18:54" x14ac:dyDescent="0.3">
      <c r="R333" s="37"/>
      <c r="X333" s="37"/>
      <c r="AD333" s="37"/>
      <c r="AJ333" s="37"/>
      <c r="AP333" s="37"/>
      <c r="AV333" s="37"/>
      <c r="BB333" s="37"/>
    </row>
    <row r="334" spans="18:54" x14ac:dyDescent="0.3">
      <c r="R334" s="37"/>
      <c r="X334" s="37"/>
      <c r="AD334" s="37"/>
      <c r="AJ334" s="37"/>
      <c r="AP334" s="37"/>
      <c r="AV334" s="37"/>
      <c r="BB334" s="37"/>
    </row>
    <row r="335" spans="18:54" x14ac:dyDescent="0.3">
      <c r="R335" s="37"/>
      <c r="X335" s="37"/>
      <c r="AD335" s="37"/>
      <c r="AJ335" s="37"/>
      <c r="AP335" s="37"/>
      <c r="AV335" s="37"/>
      <c r="BB335" s="37"/>
    </row>
    <row r="336" spans="18:54" x14ac:dyDescent="0.3">
      <c r="R336" s="37"/>
      <c r="X336" s="37"/>
      <c r="AD336" s="37"/>
      <c r="AJ336" s="37"/>
      <c r="AP336" s="37"/>
      <c r="AV336" s="37"/>
      <c r="BB336" s="37"/>
    </row>
    <row r="337" spans="18:54" x14ac:dyDescent="0.3">
      <c r="R337" s="37"/>
      <c r="X337" s="37"/>
      <c r="AD337" s="37"/>
      <c r="AJ337" s="37"/>
      <c r="AP337" s="37"/>
      <c r="AV337" s="37"/>
      <c r="BB337" s="37"/>
    </row>
    <row r="338" spans="18:54" x14ac:dyDescent="0.3">
      <c r="R338" s="37"/>
      <c r="X338" s="37"/>
      <c r="AD338" s="37"/>
      <c r="AJ338" s="37"/>
      <c r="AP338" s="37"/>
      <c r="AV338" s="37"/>
      <c r="BB338" s="37"/>
    </row>
    <row r="339" spans="18:54" x14ac:dyDescent="0.3">
      <c r="R339" s="37"/>
      <c r="X339" s="37"/>
      <c r="AD339" s="37"/>
      <c r="AJ339" s="37"/>
      <c r="AP339" s="37"/>
      <c r="AV339" s="37"/>
      <c r="BB339" s="37"/>
    </row>
    <row r="340" spans="18:54" x14ac:dyDescent="0.3">
      <c r="R340" s="37"/>
      <c r="X340" s="37"/>
      <c r="AD340" s="37"/>
      <c r="AJ340" s="37"/>
      <c r="AP340" s="37"/>
      <c r="AV340" s="37"/>
      <c r="BB340" s="37"/>
    </row>
    <row r="341" spans="18:54" x14ac:dyDescent="0.3">
      <c r="R341" s="37"/>
      <c r="X341" s="37"/>
      <c r="AD341" s="37"/>
      <c r="AJ341" s="37"/>
      <c r="AP341" s="37"/>
      <c r="AV341" s="37"/>
      <c r="BB341" s="37"/>
    </row>
    <row r="342" spans="18:54" x14ac:dyDescent="0.3">
      <c r="R342" s="37"/>
      <c r="X342" s="37"/>
      <c r="AD342" s="37"/>
      <c r="AJ342" s="37"/>
      <c r="AP342" s="37"/>
      <c r="AV342" s="37"/>
      <c r="BB342" s="37"/>
    </row>
    <row r="343" spans="18:54" x14ac:dyDescent="0.3">
      <c r="R343" s="37"/>
      <c r="X343" s="37"/>
      <c r="AD343" s="37"/>
      <c r="AJ343" s="37"/>
      <c r="AP343" s="37"/>
      <c r="AV343" s="37"/>
      <c r="BB343" s="37"/>
    </row>
    <row r="344" spans="18:54" x14ac:dyDescent="0.3">
      <c r="R344" s="37"/>
      <c r="X344" s="37"/>
      <c r="AD344" s="37"/>
      <c r="AJ344" s="37"/>
      <c r="AP344" s="37"/>
      <c r="AV344" s="37"/>
      <c r="BB344" s="37"/>
    </row>
    <row r="345" spans="18:54" x14ac:dyDescent="0.3">
      <c r="R345" s="37"/>
      <c r="X345" s="37"/>
      <c r="AD345" s="37"/>
      <c r="AJ345" s="37"/>
      <c r="AP345" s="37"/>
      <c r="AV345" s="37"/>
      <c r="BB345" s="37"/>
    </row>
    <row r="346" spans="18:54" x14ac:dyDescent="0.3">
      <c r="R346" s="37"/>
      <c r="X346" s="37"/>
      <c r="AD346" s="37"/>
      <c r="AJ346" s="37"/>
      <c r="AP346" s="37"/>
      <c r="AV346" s="37"/>
      <c r="BB346" s="37"/>
    </row>
    <row r="347" spans="18:54" x14ac:dyDescent="0.3">
      <c r="R347" s="37"/>
      <c r="X347" s="37"/>
      <c r="AD347" s="37"/>
      <c r="AJ347" s="37"/>
      <c r="AP347" s="37"/>
      <c r="AV347" s="37"/>
      <c r="BB347" s="37"/>
    </row>
    <row r="348" spans="18:54" x14ac:dyDescent="0.3">
      <c r="R348" s="37"/>
      <c r="X348" s="37"/>
      <c r="AD348" s="37"/>
      <c r="AJ348" s="37"/>
      <c r="AP348" s="37"/>
      <c r="AV348" s="37"/>
      <c r="BB348" s="37"/>
    </row>
    <row r="349" spans="18:54" x14ac:dyDescent="0.3">
      <c r="R349" s="37"/>
      <c r="X349" s="37"/>
      <c r="AD349" s="37"/>
      <c r="AJ349" s="37"/>
      <c r="AP349" s="37"/>
      <c r="AV349" s="37"/>
      <c r="BB349" s="37"/>
    </row>
    <row r="350" spans="18:54" x14ac:dyDescent="0.3">
      <c r="R350" s="37"/>
      <c r="X350" s="37"/>
      <c r="AD350" s="37"/>
      <c r="AJ350" s="37"/>
      <c r="AP350" s="37"/>
      <c r="AV350" s="37"/>
      <c r="BB350" s="37"/>
    </row>
    <row r="351" spans="18:54" x14ac:dyDescent="0.3">
      <c r="R351" s="37"/>
      <c r="X351" s="37"/>
      <c r="AD351" s="37"/>
      <c r="AJ351" s="37"/>
      <c r="AP351" s="37"/>
      <c r="AV351" s="37"/>
      <c r="BB351" s="37"/>
    </row>
    <row r="352" spans="18:54" x14ac:dyDescent="0.3">
      <c r="R352" s="37"/>
      <c r="X352" s="37"/>
      <c r="AD352" s="37"/>
      <c r="AJ352" s="37"/>
      <c r="AP352" s="37"/>
      <c r="AV352" s="37"/>
      <c r="BB352" s="37"/>
    </row>
    <row r="353" spans="18:54" x14ac:dyDescent="0.3">
      <c r="R353" s="37"/>
      <c r="X353" s="37"/>
      <c r="AD353" s="37"/>
      <c r="AJ353" s="37"/>
      <c r="AP353" s="37"/>
      <c r="AV353" s="37"/>
      <c r="BB353" s="37"/>
    </row>
    <row r="354" spans="18:54" x14ac:dyDescent="0.3">
      <c r="R354" s="37"/>
      <c r="X354" s="37"/>
      <c r="AD354" s="37"/>
      <c r="AJ354" s="37"/>
      <c r="AP354" s="37"/>
      <c r="AV354" s="37"/>
      <c r="BB354" s="37"/>
    </row>
    <row r="355" spans="18:54" x14ac:dyDescent="0.3">
      <c r="R355" s="37"/>
      <c r="X355" s="37"/>
      <c r="AD355" s="37"/>
      <c r="AJ355" s="37"/>
      <c r="AP355" s="37"/>
      <c r="AV355" s="37"/>
      <c r="BB355" s="37"/>
    </row>
    <row r="356" spans="18:54" x14ac:dyDescent="0.3">
      <c r="R356" s="37"/>
      <c r="X356" s="37"/>
      <c r="AD356" s="37"/>
      <c r="AJ356" s="37"/>
      <c r="AP356" s="37"/>
      <c r="AV356" s="37"/>
      <c r="BB356" s="37"/>
    </row>
    <row r="357" spans="18:54" x14ac:dyDescent="0.3">
      <c r="R357" s="37"/>
      <c r="X357" s="37"/>
      <c r="AD357" s="37"/>
      <c r="AJ357" s="37"/>
      <c r="AP357" s="37"/>
      <c r="AV357" s="37"/>
      <c r="BB357" s="37"/>
    </row>
    <row r="358" spans="18:54" x14ac:dyDescent="0.3">
      <c r="R358" s="37"/>
      <c r="X358" s="37"/>
      <c r="AD358" s="37"/>
      <c r="AJ358" s="37"/>
      <c r="AP358" s="37"/>
      <c r="AV358" s="37"/>
      <c r="BB358" s="37"/>
    </row>
    <row r="359" spans="18:54" x14ac:dyDescent="0.3">
      <c r="R359" s="37"/>
      <c r="X359" s="37"/>
      <c r="AD359" s="37"/>
      <c r="AJ359" s="37"/>
      <c r="AP359" s="37"/>
      <c r="AV359" s="37"/>
      <c r="BB359" s="37"/>
    </row>
    <row r="360" spans="18:54" x14ac:dyDescent="0.3">
      <c r="R360" s="37"/>
      <c r="X360" s="37"/>
      <c r="AD360" s="37"/>
      <c r="AJ360" s="37"/>
      <c r="AP360" s="37"/>
      <c r="AV360" s="37"/>
      <c r="BB360" s="37"/>
    </row>
    <row r="361" spans="18:54" x14ac:dyDescent="0.3">
      <c r="R361" s="37"/>
      <c r="X361" s="37"/>
      <c r="AD361" s="37"/>
      <c r="AJ361" s="37"/>
      <c r="AP361" s="37"/>
      <c r="AV361" s="37"/>
      <c r="BB361" s="37"/>
    </row>
    <row r="362" spans="18:54" x14ac:dyDescent="0.3">
      <c r="R362" s="37"/>
      <c r="X362" s="37"/>
      <c r="AD362" s="37"/>
      <c r="AJ362" s="37"/>
      <c r="AP362" s="37"/>
      <c r="AV362" s="37"/>
      <c r="BB362" s="37"/>
    </row>
    <row r="363" spans="18:54" x14ac:dyDescent="0.3">
      <c r="R363" s="37"/>
      <c r="X363" s="37"/>
      <c r="AD363" s="37"/>
      <c r="AJ363" s="37"/>
      <c r="AP363" s="37"/>
      <c r="AV363" s="37"/>
      <c r="BB363" s="37"/>
    </row>
    <row r="364" spans="18:54" x14ac:dyDescent="0.3">
      <c r="R364" s="37"/>
      <c r="X364" s="37"/>
      <c r="AD364" s="37"/>
      <c r="AJ364" s="37"/>
      <c r="AP364" s="37"/>
      <c r="AV364" s="37"/>
      <c r="BB364" s="37"/>
    </row>
    <row r="365" spans="18:54" x14ac:dyDescent="0.3">
      <c r="R365" s="37"/>
      <c r="X365" s="37"/>
      <c r="AD365" s="37"/>
      <c r="AJ365" s="37"/>
      <c r="AP365" s="37"/>
      <c r="AV365" s="37"/>
      <c r="BB365" s="37"/>
    </row>
    <row r="366" spans="18:54" x14ac:dyDescent="0.3">
      <c r="R366" s="37"/>
      <c r="X366" s="37"/>
      <c r="AD366" s="37"/>
      <c r="AJ366" s="37"/>
      <c r="AP366" s="37"/>
      <c r="AV366" s="37"/>
      <c r="BB366" s="37"/>
    </row>
    <row r="367" spans="18:54" x14ac:dyDescent="0.3">
      <c r="R367" s="37"/>
      <c r="X367" s="37"/>
      <c r="AD367" s="37"/>
      <c r="AJ367" s="37"/>
      <c r="AP367" s="37"/>
      <c r="AV367" s="37"/>
      <c r="BB367" s="37"/>
    </row>
    <row r="368" spans="18:54" x14ac:dyDescent="0.3">
      <c r="R368" s="37"/>
      <c r="X368" s="37"/>
      <c r="AD368" s="37"/>
      <c r="AJ368" s="37"/>
      <c r="AP368" s="37"/>
      <c r="AV368" s="37"/>
      <c r="BB368" s="37"/>
    </row>
    <row r="369" spans="18:54" x14ac:dyDescent="0.3">
      <c r="R369" s="37"/>
      <c r="X369" s="37"/>
      <c r="AD369" s="37"/>
      <c r="AJ369" s="37"/>
      <c r="AP369" s="37"/>
      <c r="AV369" s="37"/>
      <c r="BB369" s="37"/>
    </row>
    <row r="370" spans="18:54" x14ac:dyDescent="0.3">
      <c r="R370" s="37"/>
      <c r="X370" s="37"/>
      <c r="AD370" s="37"/>
      <c r="AJ370" s="37"/>
      <c r="AP370" s="37"/>
      <c r="AV370" s="37"/>
      <c r="BB370" s="37"/>
    </row>
    <row r="371" spans="18:54" x14ac:dyDescent="0.3">
      <c r="R371" s="37"/>
      <c r="X371" s="37"/>
      <c r="AD371" s="37"/>
      <c r="AJ371" s="37"/>
      <c r="AP371" s="37"/>
      <c r="AV371" s="37"/>
      <c r="BB371" s="37"/>
    </row>
    <row r="372" spans="18:54" x14ac:dyDescent="0.3">
      <c r="R372" s="37"/>
      <c r="X372" s="37"/>
      <c r="AD372" s="37"/>
      <c r="AJ372" s="37"/>
      <c r="AP372" s="37"/>
      <c r="AV372" s="37"/>
      <c r="BB372" s="37"/>
    </row>
    <row r="373" spans="18:54" x14ac:dyDescent="0.3">
      <c r="R373" s="37"/>
      <c r="X373" s="37"/>
      <c r="AD373" s="37"/>
      <c r="AJ373" s="37"/>
      <c r="AP373" s="37"/>
      <c r="AV373" s="37"/>
      <c r="BB373" s="37"/>
    </row>
    <row r="374" spans="18:54" x14ac:dyDescent="0.3">
      <c r="R374" s="37"/>
      <c r="X374" s="37"/>
      <c r="AD374" s="37"/>
      <c r="AJ374" s="37"/>
      <c r="AP374" s="37"/>
      <c r="AV374" s="37"/>
      <c r="BB374" s="37"/>
    </row>
    <row r="375" spans="18:54" x14ac:dyDescent="0.3">
      <c r="R375" s="38"/>
      <c r="X375" s="38"/>
      <c r="AD375" s="38"/>
      <c r="AJ375" s="38"/>
      <c r="AP375" s="38"/>
      <c r="AV375" s="38"/>
      <c r="BB375" s="38"/>
    </row>
    <row r="376" spans="18:54" x14ac:dyDescent="0.3">
      <c r="R376" s="37"/>
      <c r="X376" s="37"/>
      <c r="AD376" s="37"/>
      <c r="AJ376" s="37"/>
      <c r="AP376" s="37"/>
      <c r="AV376" s="37"/>
      <c r="BB376" s="37"/>
    </row>
    <row r="377" spans="18:54" x14ac:dyDescent="0.3">
      <c r="R377" s="37"/>
      <c r="X377" s="37"/>
      <c r="AD377" s="37"/>
      <c r="AJ377" s="37"/>
      <c r="AP377" s="37"/>
      <c r="AV377" s="37"/>
      <c r="BB377" s="37"/>
    </row>
    <row r="378" spans="18:54" x14ac:dyDescent="0.3">
      <c r="R378" s="37"/>
      <c r="X378" s="37"/>
      <c r="AD378" s="37"/>
      <c r="AJ378" s="37"/>
      <c r="AP378" s="37"/>
      <c r="AV378" s="37"/>
      <c r="BB378" s="37"/>
    </row>
    <row r="379" spans="18:54" x14ac:dyDescent="0.3">
      <c r="R379" s="37"/>
      <c r="X379" s="37"/>
      <c r="AD379" s="37"/>
      <c r="AJ379" s="37"/>
      <c r="AP379" s="37"/>
      <c r="AV379" s="37"/>
      <c r="BB379" s="37"/>
    </row>
    <row r="380" spans="18:54" x14ac:dyDescent="0.3">
      <c r="R380" s="37"/>
      <c r="X380" s="37"/>
      <c r="AD380" s="37"/>
      <c r="AJ380" s="37"/>
      <c r="AP380" s="37"/>
      <c r="AV380" s="37"/>
      <c r="BB380" s="37"/>
    </row>
  </sheetData>
  <mergeCells count="25">
    <mergeCell ref="AV2:AV3"/>
    <mergeCell ref="AW2:BA2"/>
    <mergeCell ref="BB2:BB3"/>
    <mergeCell ref="AE2:AI2"/>
    <mergeCell ref="AJ2:AJ3"/>
    <mergeCell ref="AK2:AO2"/>
    <mergeCell ref="AP2:AP3"/>
    <mergeCell ref="AQ2:AU2"/>
    <mergeCell ref="R2:R3"/>
    <mergeCell ref="S2:W2"/>
    <mergeCell ref="X2:X3"/>
    <mergeCell ref="Y2:AC2"/>
    <mergeCell ref="AD2:AD3"/>
    <mergeCell ref="M2:Q2"/>
    <mergeCell ref="L2:L3"/>
    <mergeCell ref="A1:B1"/>
    <mergeCell ref="C1:D1"/>
    <mergeCell ref="F1:L1"/>
    <mergeCell ref="A2:A3"/>
    <mergeCell ref="B2:B3"/>
    <mergeCell ref="C2:C3"/>
    <mergeCell ref="D2:D3"/>
    <mergeCell ref="E2:E3"/>
    <mergeCell ref="F2:F3"/>
    <mergeCell ref="G2:K2"/>
  </mergeCells>
  <phoneticPr fontId="8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BB726-80C8-4A82-9CAB-B4CB22D80FB3}">
  <dimension ref="A1:BB379"/>
  <sheetViews>
    <sheetView workbookViewId="0">
      <selection activeCell="G4" sqref="G4:BB231"/>
    </sheetView>
  </sheetViews>
  <sheetFormatPr defaultRowHeight="15.6" x14ac:dyDescent="0.3"/>
  <cols>
    <col min="1" max="1" width="11.109375" style="11" customWidth="1"/>
    <col min="2" max="2" width="21.6640625" style="11" customWidth="1"/>
    <col min="3" max="3" width="22.77734375" style="3" customWidth="1"/>
    <col min="4" max="5" width="12.44140625" style="11" customWidth="1"/>
    <col min="6" max="6" width="12.109375" style="11" customWidth="1"/>
    <col min="7" max="9" width="11.109375" style="11" customWidth="1"/>
    <col min="10" max="11" width="12.21875" customWidth="1"/>
    <col min="12" max="12" width="12.77734375" style="39" customWidth="1"/>
    <col min="13" max="13" width="13" customWidth="1"/>
    <col min="14" max="54" width="12.21875" customWidth="1"/>
  </cols>
  <sheetData>
    <row r="1" spans="1:54" ht="36.6" customHeight="1" x14ac:dyDescent="0.3">
      <c r="A1" s="124" t="s">
        <v>24</v>
      </c>
      <c r="B1" s="124"/>
      <c r="C1" s="125" t="s">
        <v>492</v>
      </c>
      <c r="D1" s="125"/>
      <c r="E1" s="101" t="s">
        <v>554</v>
      </c>
      <c r="F1" s="101" t="s">
        <v>18</v>
      </c>
      <c r="G1" s="101" t="s">
        <v>19</v>
      </c>
      <c r="H1" s="101" t="s">
        <v>21</v>
      </c>
      <c r="I1" s="102" t="s">
        <v>555</v>
      </c>
      <c r="J1" s="103" t="s">
        <v>557</v>
      </c>
      <c r="K1" s="103" t="s">
        <v>558</v>
      </c>
      <c r="L1" s="103" t="s">
        <v>559</v>
      </c>
      <c r="M1" s="103" t="s">
        <v>20</v>
      </c>
      <c r="N1" s="104" t="s">
        <v>560</v>
      </c>
      <c r="O1" s="104" t="s">
        <v>561</v>
      </c>
      <c r="P1" s="104" t="s">
        <v>23</v>
      </c>
      <c r="Q1" s="105" t="s">
        <v>17</v>
      </c>
      <c r="R1" s="106" t="s">
        <v>15</v>
      </c>
      <c r="S1" s="107" t="s">
        <v>16</v>
      </c>
    </row>
    <row r="2" spans="1:54" s="3" customFormat="1" ht="21.6" customHeight="1" x14ac:dyDescent="0.3">
      <c r="A2" s="127" t="s">
        <v>0</v>
      </c>
      <c r="B2" s="127" t="s">
        <v>26</v>
      </c>
      <c r="C2" s="129" t="s">
        <v>27</v>
      </c>
      <c r="D2" s="127" t="s">
        <v>489</v>
      </c>
      <c r="E2" s="127" t="s">
        <v>25</v>
      </c>
      <c r="F2" s="127" t="s">
        <v>25</v>
      </c>
      <c r="G2" s="121" t="s">
        <v>495</v>
      </c>
      <c r="H2" s="121"/>
      <c r="I2" s="121"/>
      <c r="J2" s="121"/>
      <c r="K2" s="121"/>
      <c r="L2" s="122" t="s">
        <v>28</v>
      </c>
      <c r="M2" s="121" t="s">
        <v>496</v>
      </c>
      <c r="N2" s="121"/>
      <c r="O2" s="121"/>
      <c r="P2" s="121"/>
      <c r="Q2" s="121"/>
      <c r="R2" s="131" t="s">
        <v>28</v>
      </c>
      <c r="S2" s="121" t="s">
        <v>497</v>
      </c>
      <c r="T2" s="121"/>
      <c r="U2" s="121"/>
      <c r="V2" s="121"/>
      <c r="W2" s="121"/>
      <c r="X2" s="131" t="s">
        <v>28</v>
      </c>
      <c r="Y2" s="121" t="s">
        <v>498</v>
      </c>
      <c r="Z2" s="121"/>
      <c r="AA2" s="121"/>
      <c r="AB2" s="121"/>
      <c r="AC2" s="121"/>
      <c r="AD2" s="131" t="s">
        <v>28</v>
      </c>
      <c r="AE2" s="121" t="s">
        <v>499</v>
      </c>
      <c r="AF2" s="121"/>
      <c r="AG2" s="121"/>
      <c r="AH2" s="121"/>
      <c r="AI2" s="121"/>
      <c r="AJ2" s="131" t="s">
        <v>28</v>
      </c>
      <c r="AK2" s="121" t="s">
        <v>500</v>
      </c>
      <c r="AL2" s="121"/>
      <c r="AM2" s="121"/>
      <c r="AN2" s="121"/>
      <c r="AO2" s="121"/>
      <c r="AP2" s="131" t="s">
        <v>28</v>
      </c>
      <c r="AQ2" s="121" t="s">
        <v>501</v>
      </c>
      <c r="AR2" s="121"/>
      <c r="AS2" s="121"/>
      <c r="AT2" s="121"/>
      <c r="AU2" s="121"/>
      <c r="AV2" s="131" t="s">
        <v>28</v>
      </c>
      <c r="AW2" s="121" t="s">
        <v>29</v>
      </c>
      <c r="AX2" s="121"/>
      <c r="AY2" s="121"/>
      <c r="AZ2" s="121"/>
      <c r="BA2" s="121"/>
      <c r="BB2" s="131" t="s">
        <v>28</v>
      </c>
    </row>
    <row r="3" spans="1:54" s="3" customFormat="1" ht="20.100000000000001" customHeight="1" x14ac:dyDescent="0.3">
      <c r="A3" s="128"/>
      <c r="B3" s="128"/>
      <c r="C3" s="130"/>
      <c r="D3" s="128"/>
      <c r="E3" s="128"/>
      <c r="F3" s="128"/>
      <c r="G3" s="100" t="s">
        <v>502</v>
      </c>
      <c r="H3" s="100" t="s">
        <v>503</v>
      </c>
      <c r="I3" s="100" t="s">
        <v>504</v>
      </c>
      <c r="J3" s="100" t="s">
        <v>505</v>
      </c>
      <c r="K3" s="100" t="s">
        <v>506</v>
      </c>
      <c r="L3" s="123"/>
      <c r="M3" s="100" t="s">
        <v>507</v>
      </c>
      <c r="N3" s="100" t="s">
        <v>508</v>
      </c>
      <c r="O3" s="100" t="s">
        <v>509</v>
      </c>
      <c r="P3" s="100" t="s">
        <v>510</v>
      </c>
      <c r="Q3" s="100" t="s">
        <v>511</v>
      </c>
      <c r="R3" s="132"/>
      <c r="S3" s="100" t="s">
        <v>512</v>
      </c>
      <c r="T3" s="100" t="s">
        <v>513</v>
      </c>
      <c r="U3" s="100" t="s">
        <v>514</v>
      </c>
      <c r="V3" s="100" t="s">
        <v>515</v>
      </c>
      <c r="W3" s="100" t="s">
        <v>516</v>
      </c>
      <c r="X3" s="132"/>
      <c r="Y3" s="100" t="s">
        <v>517</v>
      </c>
      <c r="Z3" s="100" t="s">
        <v>518</v>
      </c>
      <c r="AA3" s="100" t="s">
        <v>519</v>
      </c>
      <c r="AB3" s="100" t="s">
        <v>520</v>
      </c>
      <c r="AC3" s="100" t="s">
        <v>521</v>
      </c>
      <c r="AD3" s="132"/>
      <c r="AE3" s="100" t="s">
        <v>522</v>
      </c>
      <c r="AF3" s="100" t="s">
        <v>523</v>
      </c>
      <c r="AG3" s="100" t="s">
        <v>524</v>
      </c>
      <c r="AH3" s="100" t="s">
        <v>525</v>
      </c>
      <c r="AI3" s="100" t="s">
        <v>526</v>
      </c>
      <c r="AJ3" s="132"/>
      <c r="AK3" s="100" t="s">
        <v>527</v>
      </c>
      <c r="AL3" s="100" t="s">
        <v>528</v>
      </c>
      <c r="AM3" s="100" t="s">
        <v>529</v>
      </c>
      <c r="AN3" s="100" t="s">
        <v>530</v>
      </c>
      <c r="AO3" s="100" t="s">
        <v>531</v>
      </c>
      <c r="AP3" s="132"/>
      <c r="AQ3" s="100" t="s">
        <v>532</v>
      </c>
      <c r="AR3" s="100" t="s">
        <v>533</v>
      </c>
      <c r="AS3" s="100" t="s">
        <v>534</v>
      </c>
      <c r="AT3" s="100" t="s">
        <v>535</v>
      </c>
      <c r="AU3" s="100" t="s">
        <v>536</v>
      </c>
      <c r="AV3" s="132"/>
      <c r="AW3" s="100" t="s">
        <v>30</v>
      </c>
      <c r="AX3" s="100" t="s">
        <v>31</v>
      </c>
      <c r="AY3" s="100" t="s">
        <v>32</v>
      </c>
      <c r="AZ3" s="100" t="s">
        <v>33</v>
      </c>
      <c r="BA3" s="100" t="s">
        <v>34</v>
      </c>
      <c r="BB3" s="132"/>
    </row>
    <row r="4" spans="1:54" ht="23.1" customHeight="1" x14ac:dyDescent="0.3">
      <c r="A4" s="86">
        <v>1</v>
      </c>
      <c r="B4" s="63" t="s">
        <v>36</v>
      </c>
      <c r="C4" s="64" t="s">
        <v>37</v>
      </c>
      <c r="D4" s="63" t="s">
        <v>542</v>
      </c>
      <c r="E4" s="63" t="s">
        <v>35</v>
      </c>
      <c r="F4" s="63" t="str">
        <f>REPT(CHAR(160),10)&amp;Working!$E5</f>
        <v>          A</v>
      </c>
      <c r="G4" s="65">
        <f>IFERROR(VLOOKUP(Table1215[[#This Row],[Column2]],Table12[[Column2]:[Column54]],6,FALSE),"0")</f>
        <v>0</v>
      </c>
      <c r="H4" s="65">
        <f>IFERROR(VLOOKUP(Table1215[[#This Row],[Column2]],Table12[[Column2]:[Column54]],7,FALSE),"0")</f>
        <v>0</v>
      </c>
      <c r="I4" s="65">
        <f>IFERROR(VLOOKUP(Table1215[[#This Row],[Column2]],Table12[[Column2]:[Column54]],8,FALSE),"0")</f>
        <v>5</v>
      </c>
      <c r="J4" s="65">
        <f>IFERROR(VLOOKUP(Table1215[[#This Row],[Column2]],Table12[[Column2]:[Column54]],9,FALSE),"0")</f>
        <v>0</v>
      </c>
      <c r="K4" s="65">
        <f>IFERROR(VLOOKUP(Table1215[[#This Row],[Column2]],Table12[[Column2]:[Column54]],10,FALSE),"0")</f>
        <v>0</v>
      </c>
      <c r="L4" s="67">
        <f>Table1215[[#This Row],[Column9]]</f>
        <v>5</v>
      </c>
      <c r="M4" s="65">
        <f>IFERROR(VLOOKUP(Table1215[[#This Row],[Column2]],Table12[[Column2]:[Column54]],12,FALSE),"0")</f>
        <v>0</v>
      </c>
      <c r="N4" s="65">
        <f>IFERROR(VLOOKUP(Table1215[[#This Row],[Column2]],Table12[[Column2]:[Column54]],13,FALSE),"0")</f>
        <v>4</v>
      </c>
      <c r="O4" s="65">
        <f>IFERROR(VLOOKUP(Table1215[[#This Row],[Column2]],Table12[[Column2]:[Column54]],14,FALSE),"0")</f>
        <v>4</v>
      </c>
      <c r="P4" s="65">
        <f>IFERROR(VLOOKUP(Table1215[[#This Row],[Column2]],Table12[[Column2]:[Column54]],10,FALSE),"0")</f>
        <v>0</v>
      </c>
      <c r="Q4" s="65">
        <f>IFERROR(VLOOKUP(Table1215[[#This Row],[Column2]],Table12[[Column2]:[Column54]],16,FALSE),"0")</f>
        <v>4</v>
      </c>
      <c r="R4" s="67">
        <f>AVERAGE(Table1215[[#This Row],[Column14]],Table1215[[#This Row],[Column15]],Table1215[[#This Row],[Column17]])</f>
        <v>4</v>
      </c>
      <c r="S4" s="65">
        <f>IFERROR(VLOOKUP(Table1215[[#This Row],[Column2]],Table12[[Column2]:[Column54]],18,FALSE),"0")</f>
        <v>0</v>
      </c>
      <c r="T4" s="65">
        <f>IFERROR(VLOOKUP(Table1215[[#This Row],[Column2]],Table12[[Column2]:[Column54]],19,FALSE),"0")</f>
        <v>0</v>
      </c>
      <c r="U4" s="65">
        <f>IFERROR(VLOOKUP(Table1215[[#This Row],[Column2]],Table12[[Column2]:[Column54]],20,FALSE),"0")</f>
        <v>0</v>
      </c>
      <c r="V4" s="65">
        <f>IFERROR(VLOOKUP(Table1215[[#This Row],[Column2]],Table12[[Column2]:[Column54]],21,FALSE),"0")</f>
        <v>0</v>
      </c>
      <c r="W4" s="65">
        <f>IFERROR(VLOOKUP(Table1215[[#This Row],[Column2]],Table12[[Column2]:[Column54]],22,FALSE),"0")</f>
        <v>0</v>
      </c>
      <c r="X4" s="67">
        <f>Table1215[[#This Row],[Column19]]</f>
        <v>0</v>
      </c>
      <c r="Y4" s="65">
        <f>IFERROR(VLOOKUP(Table1215[[#This Row],[Column2]],Table12[[Column2]:[Column54]],24,FALSE),"0")</f>
        <v>4</v>
      </c>
      <c r="Z4" s="65">
        <f>IFERROR(VLOOKUP(Table1215[[#This Row],[Column2]],Table12[[Column2]:[Column54]],25,FALSE),"0")</f>
        <v>0</v>
      </c>
      <c r="AA4" s="65">
        <f>IFERROR(VLOOKUP(Table1215[[#This Row],[Column2]],Table12[[Column2]:[Column54]],26,FALSE),"0")</f>
        <v>0</v>
      </c>
      <c r="AB4" s="65">
        <f>IFERROR(VLOOKUP(Table1215[[#This Row],[Column2]],Table12[[Column2]:[Column54]],27,FALSE),"0")</f>
        <v>0</v>
      </c>
      <c r="AC4" s="65">
        <f>IFERROR(VLOOKUP(Table1215[[#This Row],[Column2]],Table12[[Column2]:[Column54]],28,FALSE),"0")</f>
        <v>0</v>
      </c>
      <c r="AD4" s="67">
        <f>Table1215[[#This Row],[Column25]]</f>
        <v>4</v>
      </c>
      <c r="AE4" s="65">
        <f>IFERROR(VLOOKUP(Table1215[[#This Row],[Column2]],Table12[[Column2]:[Column54]],30,FALSE),"0")</f>
        <v>0</v>
      </c>
      <c r="AF4" s="65">
        <f>IFERROR(VLOOKUP(Table1215[[#This Row],[Column2]],Table12[[Column2]:[Column54]],31,FALSE),"0")</f>
        <v>0</v>
      </c>
      <c r="AG4" s="65">
        <f>IFERROR(VLOOKUP(Table1215[[#This Row],[Column2]],Table12[[Column2]:[Column54]],32,FALSE),"0")</f>
        <v>0</v>
      </c>
      <c r="AH4" s="65">
        <f>IFERROR(VLOOKUP(Table1215[[#This Row],[Column2]],Table12[[Column2]:[Column54]],33,FALSE),"0")</f>
        <v>0</v>
      </c>
      <c r="AI4" s="65">
        <f>IFERROR(VLOOKUP(Table1215[[#This Row],[Column2]],Table12[[Column2]:[Column54]],34,FALSE),"0")</f>
        <v>4</v>
      </c>
      <c r="AJ4" s="67">
        <f>AVERAGE(Table1215[[#This Row],[Column31]],Table1215[[#This Row],[Column32]],Table1215[[#This Row],[Column33]])</f>
        <v>0</v>
      </c>
      <c r="AK4" s="65">
        <f>IFERROR(VLOOKUP(Table1215[[#This Row],[Column2]],Table12[[Column2]:[Column54]],36,FALSE),"0")</f>
        <v>5</v>
      </c>
      <c r="AL4" s="65">
        <f>IFERROR(VLOOKUP(Table1215[[#This Row],[Column2]],Table12[[Column2]:[Column54]],37,FALSE),"0")</f>
        <v>5</v>
      </c>
      <c r="AM4" s="65">
        <f>IFERROR(VLOOKUP(Table1215[[#This Row],[Column2]],Table12[[Column2]:[Column54]],38,FALSE),"0")</f>
        <v>0</v>
      </c>
      <c r="AN4" s="65">
        <f>IFERROR(VLOOKUP(Table1215[[#This Row],[Column2]],Table12[[Column2]:[Column54]],39,FALSE),"0")</f>
        <v>5</v>
      </c>
      <c r="AO4" s="65">
        <f>IFERROR(VLOOKUP(Table1215[[#This Row],[Column2]],Table12[[Column2]:[Column54]],40,FALSE),"0")</f>
        <v>0</v>
      </c>
      <c r="AP4" s="67">
        <f>AVERAGE(Table1215[[#This Row],[Column37]],Table1215[[#This Row],[Column38]],Table1215[[#This Row],[Column40]])</f>
        <v>5</v>
      </c>
      <c r="AQ4" s="65">
        <f>IFERROR(VLOOKUP(Table1215[[#This Row],[Column2]],Table12[[Column2]:[Column54]],42,FALSE),"0")</f>
        <v>5</v>
      </c>
      <c r="AR4" s="65">
        <f>IFERROR(VLOOKUP(Table1215[[#This Row],[Column2]],Table12[[Column2]:[Column54]],43,FALSE),"0")</f>
        <v>0</v>
      </c>
      <c r="AS4" s="65">
        <f>IFERROR(VLOOKUP(Table1215[[#This Row],[Column2]],Table12[[Column2]:[Column54]],44,FALSE),"0")</f>
        <v>0</v>
      </c>
      <c r="AT4" s="65">
        <f>IFERROR(VLOOKUP(Table1215[[#This Row],[Column2]],Table12[[Column2]:[Column54]],45,FALSE),"0")</f>
        <v>0</v>
      </c>
      <c r="AU4" s="65">
        <f>IFERROR(VLOOKUP(Table1215[[#This Row],[Column2]],Table12[[Column2]:[Column54]],46,FALSE),"0")</f>
        <v>0</v>
      </c>
      <c r="AV4" s="67">
        <f>Table1215[[#This Row],[Column43]]</f>
        <v>5</v>
      </c>
      <c r="AW4" s="65">
        <f>IFERROR(VLOOKUP(Table1215[[#This Row],[Column2]],Table12[[Column2]:[Column54]],48,FALSE),"0")</f>
        <v>0</v>
      </c>
      <c r="AX4" s="65">
        <f>IFERROR(VLOOKUP(Table1215[[#This Row],[Column2]],Table12[[Column2]:[Column54]],49,FALSE),"0")</f>
        <v>0</v>
      </c>
      <c r="AY4" s="65">
        <f>IFERROR(VLOOKUP(Table1215[[#This Row],[Column2]],Table12[[Column2]:[Column54]],50,FALSE),"0")</f>
        <v>0</v>
      </c>
      <c r="AZ4" s="65">
        <f>IFERROR(VLOOKUP(Table1215[[#This Row],[Column2]],Table12[[Column2]:[Column54]],51,FALSE),"0")</f>
        <v>4</v>
      </c>
      <c r="BA4" s="65">
        <f>IFERROR(VLOOKUP(Table1215[[#This Row],[Column2]],Table12[[Column2]:[Column54]],52,FALSE),"0")</f>
        <v>5</v>
      </c>
      <c r="BB4" s="67">
        <f>AVERAGE(Table1215[[#This Row],[Column52]],Table1215[[#This Row],[Column53]])</f>
        <v>4.5</v>
      </c>
    </row>
    <row r="5" spans="1:54" ht="23.1" customHeight="1" x14ac:dyDescent="0.3">
      <c r="A5" s="87">
        <v>2</v>
      </c>
      <c r="B5" s="70" t="s">
        <v>75</v>
      </c>
      <c r="C5" s="71" t="s">
        <v>76</v>
      </c>
      <c r="D5" s="70" t="s">
        <v>450</v>
      </c>
      <c r="E5" s="70" t="s">
        <v>35</v>
      </c>
      <c r="F5" s="70" t="str">
        <f>REPT(CHAR(160),10)&amp;Working!$E6</f>
        <v>          A</v>
      </c>
      <c r="G5" s="61">
        <f>IFERROR(VLOOKUP(Table1215[[#This Row],[Column2]],Table12[[Column2]:[Column54]],6,FALSE),"0")</f>
        <v>0</v>
      </c>
      <c r="H5" s="61">
        <f>IFERROR(VLOOKUP(Table1215[[#This Row],[Column2]],Table12[[Column2]:[Column54]],7,FALSE),"0")</f>
        <v>0</v>
      </c>
      <c r="I5" s="61">
        <f>IFERROR(VLOOKUP(Table1215[[#This Row],[Column2]],Table12[[Column2]:[Column54]],8,FALSE),"0")</f>
        <v>4</v>
      </c>
      <c r="J5" s="61">
        <f>IFERROR(VLOOKUP(Table1215[[#This Row],[Column2]],Table12[[Column2]:[Column54]],9,FALSE),"0")</f>
        <v>0</v>
      </c>
      <c r="K5" s="61">
        <f>IFERROR(VLOOKUP(Table1215[[#This Row],[Column2]],Table12[[Column2]:[Column54]],10,FALSE),"0")</f>
        <v>0</v>
      </c>
      <c r="L5" s="67">
        <f>Table1215[[#This Row],[Column9]]</f>
        <v>4</v>
      </c>
      <c r="M5" s="61">
        <f>IFERROR(VLOOKUP(Table1215[[#This Row],[Column2]],Table12[[Column2]:[Column54]],12,FALSE),"0")</f>
        <v>0</v>
      </c>
      <c r="N5" s="61">
        <f>IFERROR(VLOOKUP(Table1215[[#This Row],[Column2]],Table12[[Column2]:[Column54]],13,FALSE),"0")</f>
        <v>4</v>
      </c>
      <c r="O5" s="61">
        <f>IFERROR(VLOOKUP(Table1215[[#This Row],[Column2]],Table12[[Column2]:[Column54]],14,FALSE),"0")</f>
        <v>4</v>
      </c>
      <c r="P5" s="61">
        <f>IFERROR(VLOOKUP(Table1215[[#This Row],[Column2]],Table12[[Column2]:[Column54]],10,FALSE),"0")</f>
        <v>0</v>
      </c>
      <c r="Q5" s="61">
        <f>IFERROR(VLOOKUP(Table1215[[#This Row],[Column2]],Table12[[Column2]:[Column54]],16,FALSE),"0")</f>
        <v>4</v>
      </c>
      <c r="R5" s="67">
        <f>AVERAGE(Table1215[[#This Row],[Column14]],Table1215[[#This Row],[Column15]],Table1215[[#This Row],[Column17]])</f>
        <v>4</v>
      </c>
      <c r="S5" s="61">
        <f>IFERROR(VLOOKUP(Table1215[[#This Row],[Column2]],Table12[[Column2]:[Column54]],18,FALSE),"0")</f>
        <v>0</v>
      </c>
      <c r="T5" s="61">
        <f>IFERROR(VLOOKUP(Table1215[[#This Row],[Column2]],Table12[[Column2]:[Column54]],19,FALSE),"0")</f>
        <v>0</v>
      </c>
      <c r="U5" s="61">
        <f>IFERROR(VLOOKUP(Table1215[[#This Row],[Column2]],Table12[[Column2]:[Column54]],20,FALSE),"0")</f>
        <v>0</v>
      </c>
      <c r="V5" s="61">
        <f>IFERROR(VLOOKUP(Table1215[[#This Row],[Column2]],Table12[[Column2]:[Column54]],21,FALSE),"0")</f>
        <v>0</v>
      </c>
      <c r="W5" s="61">
        <f>IFERROR(VLOOKUP(Table1215[[#This Row],[Column2]],Table12[[Column2]:[Column54]],22,FALSE),"0")</f>
        <v>0</v>
      </c>
      <c r="X5" s="67">
        <f>Table1215[[#This Row],[Column19]]</f>
        <v>0</v>
      </c>
      <c r="Y5" s="61">
        <f>IFERROR(VLOOKUP(Table1215[[#This Row],[Column2]],Table12[[Column2]:[Column54]],24,FALSE),"0")</f>
        <v>5</v>
      </c>
      <c r="Z5" s="61">
        <f>IFERROR(VLOOKUP(Table1215[[#This Row],[Column2]],Table12[[Column2]:[Column54]],25,FALSE),"0")</f>
        <v>0</v>
      </c>
      <c r="AA5" s="61">
        <f>IFERROR(VLOOKUP(Table1215[[#This Row],[Column2]],Table12[[Column2]:[Column54]],26,FALSE),"0")</f>
        <v>0</v>
      </c>
      <c r="AB5" s="61">
        <f>IFERROR(VLOOKUP(Table1215[[#This Row],[Column2]],Table12[[Column2]:[Column54]],27,FALSE),"0")</f>
        <v>0</v>
      </c>
      <c r="AC5" s="61">
        <f>IFERROR(VLOOKUP(Table1215[[#This Row],[Column2]],Table12[[Column2]:[Column54]],28,FALSE),"0")</f>
        <v>0</v>
      </c>
      <c r="AD5" s="67">
        <f>Table1215[[#This Row],[Column25]]</f>
        <v>5</v>
      </c>
      <c r="AE5" s="61">
        <f>IFERROR(VLOOKUP(Table1215[[#This Row],[Column2]],Table12[[Column2]:[Column54]],30,FALSE),"0")</f>
        <v>0</v>
      </c>
      <c r="AF5" s="61">
        <f>IFERROR(VLOOKUP(Table1215[[#This Row],[Column2]],Table12[[Column2]:[Column54]],31,FALSE),"0")</f>
        <v>0</v>
      </c>
      <c r="AG5" s="61">
        <f>IFERROR(VLOOKUP(Table1215[[#This Row],[Column2]],Table12[[Column2]:[Column54]],32,FALSE),"0")</f>
        <v>0</v>
      </c>
      <c r="AH5" s="61">
        <f>IFERROR(VLOOKUP(Table1215[[#This Row],[Column2]],Table12[[Column2]:[Column54]],33,FALSE),"0")</f>
        <v>0</v>
      </c>
      <c r="AI5" s="61">
        <f>IFERROR(VLOOKUP(Table1215[[#This Row],[Column2]],Table12[[Column2]:[Column54]],34,FALSE),"0")</f>
        <v>0</v>
      </c>
      <c r="AJ5" s="67">
        <f>AVERAGE(Table1215[[#This Row],[Column31]],Table1215[[#This Row],[Column32]],Table1215[[#This Row],[Column33]])</f>
        <v>0</v>
      </c>
      <c r="AK5" s="61">
        <f>IFERROR(VLOOKUP(Table1215[[#This Row],[Column2]],Table12[[Column2]:[Column54]],36,FALSE),"0")</f>
        <v>4</v>
      </c>
      <c r="AL5" s="61">
        <f>IFERROR(VLOOKUP(Table1215[[#This Row],[Column2]],Table12[[Column2]:[Column54]],37,FALSE),"0")</f>
        <v>4</v>
      </c>
      <c r="AM5" s="61">
        <f>IFERROR(VLOOKUP(Table1215[[#This Row],[Column2]],Table12[[Column2]:[Column54]],38,FALSE),"0")</f>
        <v>0</v>
      </c>
      <c r="AN5" s="61">
        <f>IFERROR(VLOOKUP(Table1215[[#This Row],[Column2]],Table12[[Column2]:[Column54]],39,FALSE),"0")</f>
        <v>4</v>
      </c>
      <c r="AO5" s="61">
        <f>IFERROR(VLOOKUP(Table1215[[#This Row],[Column2]],Table12[[Column2]:[Column54]],40,FALSE),"0")</f>
        <v>0</v>
      </c>
      <c r="AP5" s="67">
        <f>AVERAGE(Table1215[[#This Row],[Column37]],Table1215[[#This Row],[Column38]],Table1215[[#This Row],[Column40]])</f>
        <v>4</v>
      </c>
      <c r="AQ5" s="61">
        <f>IFERROR(VLOOKUP(Table1215[[#This Row],[Column2]],Table12[[Column2]:[Column54]],42,FALSE),"0")</f>
        <v>4</v>
      </c>
      <c r="AR5" s="61">
        <f>IFERROR(VLOOKUP(Table1215[[#This Row],[Column2]],Table12[[Column2]:[Column54]],43,FALSE),"0")</f>
        <v>0</v>
      </c>
      <c r="AS5" s="61">
        <f>IFERROR(VLOOKUP(Table1215[[#This Row],[Column2]],Table12[[Column2]:[Column54]],44,FALSE),"0")</f>
        <v>0</v>
      </c>
      <c r="AT5" s="61">
        <f>IFERROR(VLOOKUP(Table1215[[#This Row],[Column2]],Table12[[Column2]:[Column54]],45,FALSE),"0")</f>
        <v>0</v>
      </c>
      <c r="AU5" s="61">
        <f>IFERROR(VLOOKUP(Table1215[[#This Row],[Column2]],Table12[[Column2]:[Column54]],46,FALSE),"0")</f>
        <v>0</v>
      </c>
      <c r="AV5" s="67">
        <f>Table1215[[#This Row],[Column43]]</f>
        <v>4</v>
      </c>
      <c r="AW5" s="61">
        <f>IFERROR(VLOOKUP(Table1215[[#This Row],[Column2]],Table12[[Column2]:[Column54]],48,FALSE),"0")</f>
        <v>0</v>
      </c>
      <c r="AX5" s="61">
        <f>IFERROR(VLOOKUP(Table1215[[#This Row],[Column2]],Table12[[Column2]:[Column54]],49,FALSE),"0")</f>
        <v>0</v>
      </c>
      <c r="AY5" s="61">
        <f>IFERROR(VLOOKUP(Table1215[[#This Row],[Column2]],Table12[[Column2]:[Column54]],50,FALSE),"0")</f>
        <v>0</v>
      </c>
      <c r="AZ5" s="61">
        <f>IFERROR(VLOOKUP(Table1215[[#This Row],[Column2]],Table12[[Column2]:[Column54]],51,FALSE),"0")</f>
        <v>4</v>
      </c>
      <c r="BA5" s="61">
        <f>IFERROR(VLOOKUP(Table1215[[#This Row],[Column2]],Table12[[Column2]:[Column54]],52,FALSE),"0")</f>
        <v>4</v>
      </c>
      <c r="BB5" s="67">
        <f>AVERAGE(Table1215[[#This Row],[Column52]],Table1215[[#This Row],[Column53]])</f>
        <v>4</v>
      </c>
    </row>
    <row r="6" spans="1:54" ht="23.1" customHeight="1" x14ac:dyDescent="0.3">
      <c r="A6" s="86">
        <v>3</v>
      </c>
      <c r="B6" s="63" t="s">
        <v>64</v>
      </c>
      <c r="C6" s="64" t="s">
        <v>65</v>
      </c>
      <c r="D6" s="63" t="s">
        <v>542</v>
      </c>
      <c r="E6" s="63" t="s">
        <v>35</v>
      </c>
      <c r="F6" s="63" t="str">
        <f>REPT(CHAR(160),10)&amp;Working!$E7</f>
        <v>          A</v>
      </c>
      <c r="G6" s="65">
        <f>IFERROR(VLOOKUP(Table1215[[#This Row],[Column2]],Table12[[Column2]:[Column54]],6,FALSE),"0")</f>
        <v>0</v>
      </c>
      <c r="H6" s="65">
        <f>IFERROR(VLOOKUP(Table1215[[#This Row],[Column2]],Table12[[Column2]:[Column54]],7,FALSE),"0")</f>
        <v>0</v>
      </c>
      <c r="I6" s="65">
        <f>IFERROR(VLOOKUP(Table1215[[#This Row],[Column2]],Table12[[Column2]:[Column54]],8,FALSE),"0")</f>
        <v>4</v>
      </c>
      <c r="J6" s="65">
        <f>IFERROR(VLOOKUP(Table1215[[#This Row],[Column2]],Table12[[Column2]:[Column54]],9,FALSE),"0")</f>
        <v>0</v>
      </c>
      <c r="K6" s="65">
        <f>IFERROR(VLOOKUP(Table1215[[#This Row],[Column2]],Table12[[Column2]:[Column54]],10,FALSE),"0")</f>
        <v>0</v>
      </c>
      <c r="L6" s="67">
        <f>Table1215[[#This Row],[Column9]]</f>
        <v>4</v>
      </c>
      <c r="M6" s="65">
        <f>IFERROR(VLOOKUP(Table1215[[#This Row],[Column2]],Table12[[Column2]:[Column54]],12,FALSE),"0")</f>
        <v>0</v>
      </c>
      <c r="N6" s="65">
        <f>IFERROR(VLOOKUP(Table1215[[#This Row],[Column2]],Table12[[Column2]:[Column54]],13,FALSE),"0")</f>
        <v>4</v>
      </c>
      <c r="O6" s="65">
        <f>IFERROR(VLOOKUP(Table1215[[#This Row],[Column2]],Table12[[Column2]:[Column54]],14,FALSE),"0")</f>
        <v>4</v>
      </c>
      <c r="P6" s="65">
        <f>IFERROR(VLOOKUP(Table1215[[#This Row],[Column2]],Table12[[Column2]:[Column54]],10,FALSE),"0")</f>
        <v>0</v>
      </c>
      <c r="Q6" s="65">
        <f>IFERROR(VLOOKUP(Table1215[[#This Row],[Column2]],Table12[[Column2]:[Column54]],16,FALSE),"0")</f>
        <v>4</v>
      </c>
      <c r="R6" s="67">
        <f>AVERAGE(Table1215[[#This Row],[Column14]],Table1215[[#This Row],[Column15]],Table1215[[#This Row],[Column17]])</f>
        <v>4</v>
      </c>
      <c r="S6" s="65">
        <f>IFERROR(VLOOKUP(Table1215[[#This Row],[Column2]],Table12[[Column2]:[Column54]],18,FALSE),"0")</f>
        <v>0</v>
      </c>
      <c r="T6" s="65">
        <f>IFERROR(VLOOKUP(Table1215[[#This Row],[Column2]],Table12[[Column2]:[Column54]],19,FALSE),"0")</f>
        <v>0</v>
      </c>
      <c r="U6" s="65">
        <f>IFERROR(VLOOKUP(Table1215[[#This Row],[Column2]],Table12[[Column2]:[Column54]],20,FALSE),"0")</f>
        <v>0</v>
      </c>
      <c r="V6" s="65">
        <f>IFERROR(VLOOKUP(Table1215[[#This Row],[Column2]],Table12[[Column2]:[Column54]],21,FALSE),"0")</f>
        <v>0</v>
      </c>
      <c r="W6" s="65">
        <f>IFERROR(VLOOKUP(Table1215[[#This Row],[Column2]],Table12[[Column2]:[Column54]],22,FALSE),"0")</f>
        <v>0</v>
      </c>
      <c r="X6" s="67">
        <f>Table1215[[#This Row],[Column19]]</f>
        <v>0</v>
      </c>
      <c r="Y6" s="65">
        <f>IFERROR(VLOOKUP(Table1215[[#This Row],[Column2]],Table12[[Column2]:[Column54]],24,FALSE),"0")</f>
        <v>4</v>
      </c>
      <c r="Z6" s="65">
        <f>IFERROR(VLOOKUP(Table1215[[#This Row],[Column2]],Table12[[Column2]:[Column54]],25,FALSE),"0")</f>
        <v>0</v>
      </c>
      <c r="AA6" s="65">
        <f>IFERROR(VLOOKUP(Table1215[[#This Row],[Column2]],Table12[[Column2]:[Column54]],26,FALSE),"0")</f>
        <v>0</v>
      </c>
      <c r="AB6" s="65">
        <f>IFERROR(VLOOKUP(Table1215[[#This Row],[Column2]],Table12[[Column2]:[Column54]],27,FALSE),"0")</f>
        <v>0</v>
      </c>
      <c r="AC6" s="65">
        <f>IFERROR(VLOOKUP(Table1215[[#This Row],[Column2]],Table12[[Column2]:[Column54]],28,FALSE),"0")</f>
        <v>0</v>
      </c>
      <c r="AD6" s="67">
        <f>Table1215[[#This Row],[Column25]]</f>
        <v>4</v>
      </c>
      <c r="AE6" s="65">
        <f>IFERROR(VLOOKUP(Table1215[[#This Row],[Column2]],Table12[[Column2]:[Column54]],30,FALSE),"0")</f>
        <v>0</v>
      </c>
      <c r="AF6" s="65">
        <f>IFERROR(VLOOKUP(Table1215[[#This Row],[Column2]],Table12[[Column2]:[Column54]],31,FALSE),"0")</f>
        <v>0</v>
      </c>
      <c r="AG6" s="65">
        <f>IFERROR(VLOOKUP(Table1215[[#This Row],[Column2]],Table12[[Column2]:[Column54]],32,FALSE),"0")</f>
        <v>0</v>
      </c>
      <c r="AH6" s="65">
        <f>IFERROR(VLOOKUP(Table1215[[#This Row],[Column2]],Table12[[Column2]:[Column54]],33,FALSE),"0")</f>
        <v>0</v>
      </c>
      <c r="AI6" s="65">
        <f>IFERROR(VLOOKUP(Table1215[[#This Row],[Column2]],Table12[[Column2]:[Column54]],34,FALSE),"0")</f>
        <v>0</v>
      </c>
      <c r="AJ6" s="67">
        <f>AVERAGE(Table1215[[#This Row],[Column31]],Table1215[[#This Row],[Column32]],Table1215[[#This Row],[Column33]])</f>
        <v>0</v>
      </c>
      <c r="AK6" s="65">
        <f>IFERROR(VLOOKUP(Table1215[[#This Row],[Column2]],Table12[[Column2]:[Column54]],36,FALSE),"0")</f>
        <v>4</v>
      </c>
      <c r="AL6" s="65">
        <f>IFERROR(VLOOKUP(Table1215[[#This Row],[Column2]],Table12[[Column2]:[Column54]],37,FALSE),"0")</f>
        <v>4</v>
      </c>
      <c r="AM6" s="65">
        <f>IFERROR(VLOOKUP(Table1215[[#This Row],[Column2]],Table12[[Column2]:[Column54]],38,FALSE),"0")</f>
        <v>0</v>
      </c>
      <c r="AN6" s="65">
        <f>IFERROR(VLOOKUP(Table1215[[#This Row],[Column2]],Table12[[Column2]:[Column54]],39,FALSE),"0")</f>
        <v>4</v>
      </c>
      <c r="AO6" s="65">
        <f>IFERROR(VLOOKUP(Table1215[[#This Row],[Column2]],Table12[[Column2]:[Column54]],40,FALSE),"0")</f>
        <v>0</v>
      </c>
      <c r="AP6" s="67">
        <f>AVERAGE(Table1215[[#This Row],[Column37]],Table1215[[#This Row],[Column38]],Table1215[[#This Row],[Column40]])</f>
        <v>4</v>
      </c>
      <c r="AQ6" s="65">
        <f>IFERROR(VLOOKUP(Table1215[[#This Row],[Column2]],Table12[[Column2]:[Column54]],42,FALSE),"0")</f>
        <v>4</v>
      </c>
      <c r="AR6" s="65">
        <f>IFERROR(VLOOKUP(Table1215[[#This Row],[Column2]],Table12[[Column2]:[Column54]],43,FALSE),"0")</f>
        <v>0</v>
      </c>
      <c r="AS6" s="65">
        <f>IFERROR(VLOOKUP(Table1215[[#This Row],[Column2]],Table12[[Column2]:[Column54]],44,FALSE),"0")</f>
        <v>0</v>
      </c>
      <c r="AT6" s="65">
        <f>IFERROR(VLOOKUP(Table1215[[#This Row],[Column2]],Table12[[Column2]:[Column54]],45,FALSE),"0")</f>
        <v>0</v>
      </c>
      <c r="AU6" s="65">
        <f>IFERROR(VLOOKUP(Table1215[[#This Row],[Column2]],Table12[[Column2]:[Column54]],46,FALSE),"0")</f>
        <v>0</v>
      </c>
      <c r="AV6" s="67">
        <f>Table1215[[#This Row],[Column43]]</f>
        <v>4</v>
      </c>
      <c r="AW6" s="65">
        <f>IFERROR(VLOOKUP(Table1215[[#This Row],[Column2]],Table12[[Column2]:[Column54]],48,FALSE),"0")</f>
        <v>0</v>
      </c>
      <c r="AX6" s="65">
        <f>IFERROR(VLOOKUP(Table1215[[#This Row],[Column2]],Table12[[Column2]:[Column54]],49,FALSE),"0")</f>
        <v>0</v>
      </c>
      <c r="AY6" s="65">
        <f>IFERROR(VLOOKUP(Table1215[[#This Row],[Column2]],Table12[[Column2]:[Column54]],50,FALSE),"0")</f>
        <v>0</v>
      </c>
      <c r="AZ6" s="65">
        <f>IFERROR(VLOOKUP(Table1215[[#This Row],[Column2]],Table12[[Column2]:[Column54]],51,FALSE),"0")</f>
        <v>4</v>
      </c>
      <c r="BA6" s="65">
        <f>IFERROR(VLOOKUP(Table1215[[#This Row],[Column2]],Table12[[Column2]:[Column54]],52,FALSE),"0")</f>
        <v>4</v>
      </c>
      <c r="BB6" s="67">
        <f>AVERAGE(Table1215[[#This Row],[Column52]],Table1215[[#This Row],[Column53]])</f>
        <v>4</v>
      </c>
    </row>
    <row r="7" spans="1:54" ht="23.1" customHeight="1" x14ac:dyDescent="0.3">
      <c r="A7" s="87">
        <v>4</v>
      </c>
      <c r="B7" s="70" t="s">
        <v>99</v>
      </c>
      <c r="C7" s="71" t="s">
        <v>100</v>
      </c>
      <c r="D7" s="70" t="s">
        <v>450</v>
      </c>
      <c r="E7" s="70" t="s">
        <v>35</v>
      </c>
      <c r="F7" s="70" t="str">
        <f>REPT(CHAR(160),10)&amp;Working!$E8</f>
        <v>          A</v>
      </c>
      <c r="G7" s="61">
        <f>IFERROR(VLOOKUP(Table1215[[#This Row],[Column2]],Table12[[Column2]:[Column54]],6,FALSE),"0")</f>
        <v>0</v>
      </c>
      <c r="H7" s="61">
        <f>IFERROR(VLOOKUP(Table1215[[#This Row],[Column2]],Table12[[Column2]:[Column54]],7,FALSE),"0")</f>
        <v>0</v>
      </c>
      <c r="I7" s="61">
        <f>IFERROR(VLOOKUP(Table1215[[#This Row],[Column2]],Table12[[Column2]:[Column54]],8,FALSE),"0")</f>
        <v>4</v>
      </c>
      <c r="J7" s="61">
        <f>IFERROR(VLOOKUP(Table1215[[#This Row],[Column2]],Table12[[Column2]:[Column54]],9,FALSE),"0")</f>
        <v>0</v>
      </c>
      <c r="K7" s="61">
        <f>IFERROR(VLOOKUP(Table1215[[#This Row],[Column2]],Table12[[Column2]:[Column54]],10,FALSE),"0")</f>
        <v>0</v>
      </c>
      <c r="L7" s="67">
        <f>Table1215[[#This Row],[Column9]]</f>
        <v>4</v>
      </c>
      <c r="M7" s="61">
        <f>IFERROR(VLOOKUP(Table1215[[#This Row],[Column2]],Table12[[Column2]:[Column54]],12,FALSE),"0")</f>
        <v>0</v>
      </c>
      <c r="N7" s="61">
        <f>IFERROR(VLOOKUP(Table1215[[#This Row],[Column2]],Table12[[Column2]:[Column54]],13,FALSE),"0")</f>
        <v>4</v>
      </c>
      <c r="O7" s="61">
        <f>IFERROR(VLOOKUP(Table1215[[#This Row],[Column2]],Table12[[Column2]:[Column54]],14,FALSE),"0")</f>
        <v>5</v>
      </c>
      <c r="P7" s="61">
        <f>IFERROR(VLOOKUP(Table1215[[#This Row],[Column2]],Table12[[Column2]:[Column54]],10,FALSE),"0")</f>
        <v>0</v>
      </c>
      <c r="Q7" s="61">
        <f>IFERROR(VLOOKUP(Table1215[[#This Row],[Column2]],Table12[[Column2]:[Column54]],16,FALSE),"0")</f>
        <v>5</v>
      </c>
      <c r="R7" s="67">
        <f>AVERAGE(Table1215[[#This Row],[Column14]],Table1215[[#This Row],[Column15]],Table1215[[#This Row],[Column17]])</f>
        <v>4.666666666666667</v>
      </c>
      <c r="S7" s="61">
        <f>IFERROR(VLOOKUP(Table1215[[#This Row],[Column2]],Table12[[Column2]:[Column54]],18,FALSE),"0")</f>
        <v>0</v>
      </c>
      <c r="T7" s="61">
        <f>IFERROR(VLOOKUP(Table1215[[#This Row],[Column2]],Table12[[Column2]:[Column54]],19,FALSE),"0")</f>
        <v>0</v>
      </c>
      <c r="U7" s="61">
        <f>IFERROR(VLOOKUP(Table1215[[#This Row],[Column2]],Table12[[Column2]:[Column54]],20,FALSE),"0")</f>
        <v>0</v>
      </c>
      <c r="V7" s="61">
        <f>IFERROR(VLOOKUP(Table1215[[#This Row],[Column2]],Table12[[Column2]:[Column54]],21,FALSE),"0")</f>
        <v>0</v>
      </c>
      <c r="W7" s="61">
        <f>IFERROR(VLOOKUP(Table1215[[#This Row],[Column2]],Table12[[Column2]:[Column54]],22,FALSE),"0")</f>
        <v>0</v>
      </c>
      <c r="X7" s="67">
        <f>Table1215[[#This Row],[Column19]]</f>
        <v>0</v>
      </c>
      <c r="Y7" s="61">
        <f>IFERROR(VLOOKUP(Table1215[[#This Row],[Column2]],Table12[[Column2]:[Column54]],24,FALSE),"0")</f>
        <v>4</v>
      </c>
      <c r="Z7" s="61">
        <f>IFERROR(VLOOKUP(Table1215[[#This Row],[Column2]],Table12[[Column2]:[Column54]],25,FALSE),"0")</f>
        <v>0</v>
      </c>
      <c r="AA7" s="61">
        <f>IFERROR(VLOOKUP(Table1215[[#This Row],[Column2]],Table12[[Column2]:[Column54]],26,FALSE),"0")</f>
        <v>0</v>
      </c>
      <c r="AB7" s="61">
        <f>IFERROR(VLOOKUP(Table1215[[#This Row],[Column2]],Table12[[Column2]:[Column54]],27,FALSE),"0")</f>
        <v>0</v>
      </c>
      <c r="AC7" s="61">
        <f>IFERROR(VLOOKUP(Table1215[[#This Row],[Column2]],Table12[[Column2]:[Column54]],28,FALSE),"0")</f>
        <v>0</v>
      </c>
      <c r="AD7" s="67">
        <f>Table1215[[#This Row],[Column25]]</f>
        <v>4</v>
      </c>
      <c r="AE7" s="61">
        <f>IFERROR(VLOOKUP(Table1215[[#This Row],[Column2]],Table12[[Column2]:[Column54]],30,FALSE),"0")</f>
        <v>0</v>
      </c>
      <c r="AF7" s="61">
        <f>IFERROR(VLOOKUP(Table1215[[#This Row],[Column2]],Table12[[Column2]:[Column54]],31,FALSE),"0")</f>
        <v>0</v>
      </c>
      <c r="AG7" s="61">
        <f>IFERROR(VLOOKUP(Table1215[[#This Row],[Column2]],Table12[[Column2]:[Column54]],32,FALSE),"0")</f>
        <v>0</v>
      </c>
      <c r="AH7" s="61">
        <f>IFERROR(VLOOKUP(Table1215[[#This Row],[Column2]],Table12[[Column2]:[Column54]],33,FALSE),"0")</f>
        <v>0</v>
      </c>
      <c r="AI7" s="61">
        <f>IFERROR(VLOOKUP(Table1215[[#This Row],[Column2]],Table12[[Column2]:[Column54]],34,FALSE),"0")</f>
        <v>0</v>
      </c>
      <c r="AJ7" s="67">
        <f>AVERAGE(Table1215[[#This Row],[Column31]],Table1215[[#This Row],[Column32]],Table1215[[#This Row],[Column33]])</f>
        <v>0</v>
      </c>
      <c r="AK7" s="61">
        <f>IFERROR(VLOOKUP(Table1215[[#This Row],[Column2]],Table12[[Column2]:[Column54]],36,FALSE),"0")</f>
        <v>5</v>
      </c>
      <c r="AL7" s="61">
        <f>IFERROR(VLOOKUP(Table1215[[#This Row],[Column2]],Table12[[Column2]:[Column54]],37,FALSE),"0")</f>
        <v>4</v>
      </c>
      <c r="AM7" s="61">
        <f>IFERROR(VLOOKUP(Table1215[[#This Row],[Column2]],Table12[[Column2]:[Column54]],38,FALSE),"0")</f>
        <v>0</v>
      </c>
      <c r="AN7" s="61">
        <f>IFERROR(VLOOKUP(Table1215[[#This Row],[Column2]],Table12[[Column2]:[Column54]],39,FALSE),"0")</f>
        <v>4</v>
      </c>
      <c r="AO7" s="61">
        <f>IFERROR(VLOOKUP(Table1215[[#This Row],[Column2]],Table12[[Column2]:[Column54]],40,FALSE),"0")</f>
        <v>0</v>
      </c>
      <c r="AP7" s="67">
        <f>AVERAGE(Table1215[[#This Row],[Column37]],Table1215[[#This Row],[Column38]],Table1215[[#This Row],[Column40]])</f>
        <v>4.333333333333333</v>
      </c>
      <c r="AQ7" s="61">
        <f>IFERROR(VLOOKUP(Table1215[[#This Row],[Column2]],Table12[[Column2]:[Column54]],42,FALSE),"0")</f>
        <v>5</v>
      </c>
      <c r="AR7" s="61">
        <f>IFERROR(VLOOKUP(Table1215[[#This Row],[Column2]],Table12[[Column2]:[Column54]],43,FALSE),"0")</f>
        <v>0</v>
      </c>
      <c r="AS7" s="61">
        <f>IFERROR(VLOOKUP(Table1215[[#This Row],[Column2]],Table12[[Column2]:[Column54]],44,FALSE),"0")</f>
        <v>0</v>
      </c>
      <c r="AT7" s="61">
        <f>IFERROR(VLOOKUP(Table1215[[#This Row],[Column2]],Table12[[Column2]:[Column54]],45,FALSE),"0")</f>
        <v>0</v>
      </c>
      <c r="AU7" s="61">
        <f>IFERROR(VLOOKUP(Table1215[[#This Row],[Column2]],Table12[[Column2]:[Column54]],46,FALSE),"0")</f>
        <v>0</v>
      </c>
      <c r="AV7" s="67">
        <f>Table1215[[#This Row],[Column43]]</f>
        <v>5</v>
      </c>
      <c r="AW7" s="61">
        <f>IFERROR(VLOOKUP(Table1215[[#This Row],[Column2]],Table12[[Column2]:[Column54]],48,FALSE),"0")</f>
        <v>0</v>
      </c>
      <c r="AX7" s="61">
        <f>IFERROR(VLOOKUP(Table1215[[#This Row],[Column2]],Table12[[Column2]:[Column54]],49,FALSE),"0")</f>
        <v>0</v>
      </c>
      <c r="AY7" s="61">
        <f>IFERROR(VLOOKUP(Table1215[[#This Row],[Column2]],Table12[[Column2]:[Column54]],50,FALSE),"0")</f>
        <v>0</v>
      </c>
      <c r="AZ7" s="61">
        <f>IFERROR(VLOOKUP(Table1215[[#This Row],[Column2]],Table12[[Column2]:[Column54]],51,FALSE),"0")</f>
        <v>4</v>
      </c>
      <c r="BA7" s="61">
        <f>IFERROR(VLOOKUP(Table1215[[#This Row],[Column2]],Table12[[Column2]:[Column54]],52,FALSE),"0")</f>
        <v>4</v>
      </c>
      <c r="BB7" s="67">
        <f>AVERAGE(Table1215[[#This Row],[Column52]],Table1215[[#This Row],[Column53]])</f>
        <v>4</v>
      </c>
    </row>
    <row r="8" spans="1:54" ht="23.1" customHeight="1" x14ac:dyDescent="0.3">
      <c r="A8" s="86">
        <v>5</v>
      </c>
      <c r="B8" s="63" t="s">
        <v>290</v>
      </c>
      <c r="C8" s="64" t="s">
        <v>538</v>
      </c>
      <c r="D8" s="63" t="s">
        <v>450</v>
      </c>
      <c r="E8" s="63" t="s">
        <v>289</v>
      </c>
      <c r="F8" s="63" t="str">
        <f>REPT(CHAR(160),10)&amp;Working!$E9</f>
        <v>          D</v>
      </c>
      <c r="G8" s="65">
        <f>IFERROR(VLOOKUP(Table1215[[#This Row],[Column2]],Table12[[Column2]:[Column54]],6,FALSE),"0")</f>
        <v>0</v>
      </c>
      <c r="H8" s="65">
        <f>IFERROR(VLOOKUP(Table1215[[#This Row],[Column2]],Table12[[Column2]:[Column54]],7,FALSE),"0")</f>
        <v>0</v>
      </c>
      <c r="I8" s="65" t="str">
        <f>IFERROR(VLOOKUP(Table1215[[#This Row],[Column2]],Table12[[Column2]:[Column54]],8,FALSE),"0")</f>
        <v>A</v>
      </c>
      <c r="J8" s="65">
        <f>IFERROR(VLOOKUP(Table1215[[#This Row],[Column2]],Table12[[Column2]:[Column54]],9,FALSE),"0")</f>
        <v>0</v>
      </c>
      <c r="K8" s="65">
        <f>IFERROR(VLOOKUP(Table1215[[#This Row],[Column2]],Table12[[Column2]:[Column54]],10,FALSE),"0")</f>
        <v>0</v>
      </c>
      <c r="L8" s="67" t="str">
        <f>Table1215[[#This Row],[Column9]]</f>
        <v>A</v>
      </c>
      <c r="M8" s="65">
        <f>IFERROR(VLOOKUP(Table1215[[#This Row],[Column2]],Table12[[Column2]:[Column54]],12,FALSE),"0")</f>
        <v>0</v>
      </c>
      <c r="N8" s="65" t="str">
        <f>IFERROR(VLOOKUP(Table1215[[#This Row],[Column2]],Table12[[Column2]:[Column54]],13,FALSE),"0")</f>
        <v>0</v>
      </c>
      <c r="O8" s="65" t="str">
        <f>IFERROR(VLOOKUP(Table1215[[#This Row],[Column2]],Table12[[Column2]:[Column54]],14,FALSE),"0")</f>
        <v>0</v>
      </c>
      <c r="P8" s="65">
        <f>IFERROR(VLOOKUP(Table1215[[#This Row],[Column2]],Table12[[Column2]:[Column54]],10,FALSE),"0")</f>
        <v>0</v>
      </c>
      <c r="Q8" s="65" t="str">
        <f>IFERROR(VLOOKUP(Table1215[[#This Row],[Column2]],Table12[[Column2]:[Column54]],16,FALSE),"0")</f>
        <v>0</v>
      </c>
      <c r="R8" s="67" t="e">
        <f>AVERAGE(Table1215[[#This Row],[Column14]],Table1215[[#This Row],[Column15]],Table1215[[#This Row],[Column17]])</f>
        <v>#DIV/0!</v>
      </c>
      <c r="S8" s="65">
        <f>IFERROR(VLOOKUP(Table1215[[#This Row],[Column2]],Table12[[Column2]:[Column54]],18,FALSE),"0")</f>
        <v>0</v>
      </c>
      <c r="T8" s="65">
        <f>IFERROR(VLOOKUP(Table1215[[#This Row],[Column2]],Table12[[Column2]:[Column54]],19,FALSE),"0")</f>
        <v>0</v>
      </c>
      <c r="U8" s="65">
        <f>IFERROR(VLOOKUP(Table1215[[#This Row],[Column2]],Table12[[Column2]:[Column54]],20,FALSE),"0")</f>
        <v>0</v>
      </c>
      <c r="V8" s="65">
        <f>IFERROR(VLOOKUP(Table1215[[#This Row],[Column2]],Table12[[Column2]:[Column54]],21,FALSE),"0")</f>
        <v>0</v>
      </c>
      <c r="W8" s="65">
        <f>IFERROR(VLOOKUP(Table1215[[#This Row],[Column2]],Table12[[Column2]:[Column54]],22,FALSE),"0")</f>
        <v>0</v>
      </c>
      <c r="X8" s="67">
        <f>Table1215[[#This Row],[Column19]]</f>
        <v>0</v>
      </c>
      <c r="Y8" s="65" t="str">
        <f>IFERROR(VLOOKUP(Table1215[[#This Row],[Column2]],Table12[[Column2]:[Column54]],24,FALSE),"0")</f>
        <v>0</v>
      </c>
      <c r="Z8" s="65">
        <f>IFERROR(VLOOKUP(Table1215[[#This Row],[Column2]],Table12[[Column2]:[Column54]],25,FALSE),"0")</f>
        <v>0</v>
      </c>
      <c r="AA8" s="65">
        <f>IFERROR(VLOOKUP(Table1215[[#This Row],[Column2]],Table12[[Column2]:[Column54]],26,FALSE),"0")</f>
        <v>0</v>
      </c>
      <c r="AB8" s="65">
        <f>IFERROR(VLOOKUP(Table1215[[#This Row],[Column2]],Table12[[Column2]:[Column54]],27,FALSE),"0")</f>
        <v>0</v>
      </c>
      <c r="AC8" s="65">
        <f>IFERROR(VLOOKUP(Table1215[[#This Row],[Column2]],Table12[[Column2]:[Column54]],28,FALSE),"0")</f>
        <v>0</v>
      </c>
      <c r="AD8" s="67" t="str">
        <f>Table1215[[#This Row],[Column25]]</f>
        <v>0</v>
      </c>
      <c r="AE8" s="65">
        <f>IFERROR(VLOOKUP(Table1215[[#This Row],[Column2]],Table12[[Column2]:[Column54]],30,FALSE),"0")</f>
        <v>0</v>
      </c>
      <c r="AF8" s="65">
        <f>IFERROR(VLOOKUP(Table1215[[#This Row],[Column2]],Table12[[Column2]:[Column54]],31,FALSE),"0")</f>
        <v>0</v>
      </c>
      <c r="AG8" s="65">
        <f>IFERROR(VLOOKUP(Table1215[[#This Row],[Column2]],Table12[[Column2]:[Column54]],32,FALSE),"0")</f>
        <v>0</v>
      </c>
      <c r="AH8" s="65">
        <f>IFERROR(VLOOKUP(Table1215[[#This Row],[Column2]],Table12[[Column2]:[Column54]],33,FALSE),"0")</f>
        <v>0</v>
      </c>
      <c r="AI8" s="65">
        <f>IFERROR(VLOOKUP(Table1215[[#This Row],[Column2]],Table12[[Column2]:[Column54]],34,FALSE),"0")</f>
        <v>0</v>
      </c>
      <c r="AJ8" s="67">
        <f>AVERAGE(Table1215[[#This Row],[Column31]],Table1215[[#This Row],[Column32]],Table1215[[#This Row],[Column33]])</f>
        <v>0</v>
      </c>
      <c r="AK8" s="65" t="str">
        <f>IFERROR(VLOOKUP(Table1215[[#This Row],[Column2]],Table12[[Column2]:[Column54]],36,FALSE),"0")</f>
        <v>0</v>
      </c>
      <c r="AL8" s="65" t="str">
        <f>IFERROR(VLOOKUP(Table1215[[#This Row],[Column2]],Table12[[Column2]:[Column54]],37,FALSE),"0")</f>
        <v>0</v>
      </c>
      <c r="AM8" s="65">
        <f>IFERROR(VLOOKUP(Table1215[[#This Row],[Column2]],Table12[[Column2]:[Column54]],38,FALSE),"0")</f>
        <v>0</v>
      </c>
      <c r="AN8" s="65" t="str">
        <f>IFERROR(VLOOKUP(Table1215[[#This Row],[Column2]],Table12[[Column2]:[Column54]],39,FALSE),"0")</f>
        <v>0</v>
      </c>
      <c r="AO8" s="65">
        <f>IFERROR(VLOOKUP(Table1215[[#This Row],[Column2]],Table12[[Column2]:[Column54]],40,FALSE),"0")</f>
        <v>0</v>
      </c>
      <c r="AP8" s="67" t="e">
        <f>AVERAGE(Table1215[[#This Row],[Column37]],Table1215[[#This Row],[Column38]],Table1215[[#This Row],[Column40]])</f>
        <v>#DIV/0!</v>
      </c>
      <c r="AQ8" s="65" t="str">
        <f>IFERROR(VLOOKUP(Table1215[[#This Row],[Column2]],Table12[[Column2]:[Column54]],42,FALSE),"0")</f>
        <v>0</v>
      </c>
      <c r="AR8" s="65">
        <f>IFERROR(VLOOKUP(Table1215[[#This Row],[Column2]],Table12[[Column2]:[Column54]],43,FALSE),"0")</f>
        <v>0</v>
      </c>
      <c r="AS8" s="65">
        <f>IFERROR(VLOOKUP(Table1215[[#This Row],[Column2]],Table12[[Column2]:[Column54]],44,FALSE),"0")</f>
        <v>0</v>
      </c>
      <c r="AT8" s="65">
        <f>IFERROR(VLOOKUP(Table1215[[#This Row],[Column2]],Table12[[Column2]:[Column54]],45,FALSE),"0")</f>
        <v>0</v>
      </c>
      <c r="AU8" s="65">
        <f>IFERROR(VLOOKUP(Table1215[[#This Row],[Column2]],Table12[[Column2]:[Column54]],46,FALSE),"0")</f>
        <v>0</v>
      </c>
      <c r="AV8" s="67" t="str">
        <f>Table1215[[#This Row],[Column43]]</f>
        <v>0</v>
      </c>
      <c r="AW8" s="65">
        <f>IFERROR(VLOOKUP(Table1215[[#This Row],[Column2]],Table12[[Column2]:[Column54]],48,FALSE),"0")</f>
        <v>0</v>
      </c>
      <c r="AX8" s="65">
        <f>IFERROR(VLOOKUP(Table1215[[#This Row],[Column2]],Table12[[Column2]:[Column54]],49,FALSE),"0")</f>
        <v>0</v>
      </c>
      <c r="AY8" s="65">
        <f>IFERROR(VLOOKUP(Table1215[[#This Row],[Column2]],Table12[[Column2]:[Column54]],50,FALSE),"0")</f>
        <v>0</v>
      </c>
      <c r="AZ8" s="65" t="str">
        <f>IFERROR(VLOOKUP(Table1215[[#This Row],[Column2]],Table12[[Column2]:[Column54]],51,FALSE),"0")</f>
        <v>0</v>
      </c>
      <c r="BA8" s="65" t="str">
        <f>IFERROR(VLOOKUP(Table1215[[#This Row],[Column2]],Table12[[Column2]:[Column54]],52,FALSE),"0")</f>
        <v>0</v>
      </c>
      <c r="BB8" s="67" t="e">
        <f>AVERAGE(Table1215[[#This Row],[Column52]],Table1215[[#This Row],[Column53]])</f>
        <v>#DIV/0!</v>
      </c>
    </row>
    <row r="9" spans="1:54" ht="23.1" customHeight="1" x14ac:dyDescent="0.3">
      <c r="A9" s="87">
        <v>6</v>
      </c>
      <c r="B9" s="70" t="s">
        <v>101</v>
      </c>
      <c r="C9" s="71" t="s">
        <v>102</v>
      </c>
      <c r="D9" s="70" t="s">
        <v>450</v>
      </c>
      <c r="E9" s="70" t="s">
        <v>35</v>
      </c>
      <c r="F9" s="70" t="str">
        <f>REPT(CHAR(160),10)&amp;Working!$E10</f>
        <v>          A</v>
      </c>
      <c r="G9" s="61">
        <f>IFERROR(VLOOKUP(Table1215[[#This Row],[Column2]],Table12[[Column2]:[Column54]],6,FALSE),"0")</f>
        <v>0</v>
      </c>
      <c r="H9" s="61">
        <f>IFERROR(VLOOKUP(Table1215[[#This Row],[Column2]],Table12[[Column2]:[Column54]],7,FALSE),"0")</f>
        <v>0</v>
      </c>
      <c r="I9" s="61">
        <f>IFERROR(VLOOKUP(Table1215[[#This Row],[Column2]],Table12[[Column2]:[Column54]],8,FALSE),"0")</f>
        <v>4</v>
      </c>
      <c r="J9" s="61">
        <f>IFERROR(VLOOKUP(Table1215[[#This Row],[Column2]],Table12[[Column2]:[Column54]],9,FALSE),"0")</f>
        <v>0</v>
      </c>
      <c r="K9" s="61">
        <f>IFERROR(VLOOKUP(Table1215[[#This Row],[Column2]],Table12[[Column2]:[Column54]],10,FALSE),"0")</f>
        <v>0</v>
      </c>
      <c r="L9" s="67">
        <f>Table1215[[#This Row],[Column9]]</f>
        <v>4</v>
      </c>
      <c r="M9" s="61">
        <f>IFERROR(VLOOKUP(Table1215[[#This Row],[Column2]],Table12[[Column2]:[Column54]],12,FALSE),"0")</f>
        <v>0</v>
      </c>
      <c r="N9" s="61">
        <f>IFERROR(VLOOKUP(Table1215[[#This Row],[Column2]],Table12[[Column2]:[Column54]],13,FALSE),"0")</f>
        <v>5</v>
      </c>
      <c r="O9" s="61">
        <f>IFERROR(VLOOKUP(Table1215[[#This Row],[Column2]],Table12[[Column2]:[Column54]],14,FALSE),"0")</f>
        <v>4</v>
      </c>
      <c r="P9" s="61">
        <f>IFERROR(VLOOKUP(Table1215[[#This Row],[Column2]],Table12[[Column2]:[Column54]],10,FALSE),"0")</f>
        <v>0</v>
      </c>
      <c r="Q9" s="61">
        <f>IFERROR(VLOOKUP(Table1215[[#This Row],[Column2]],Table12[[Column2]:[Column54]],16,FALSE),"0")</f>
        <v>4</v>
      </c>
      <c r="R9" s="67">
        <f>AVERAGE(Table1215[[#This Row],[Column14]],Table1215[[#This Row],[Column15]],Table1215[[#This Row],[Column17]])</f>
        <v>4.333333333333333</v>
      </c>
      <c r="S9" s="61">
        <f>IFERROR(VLOOKUP(Table1215[[#This Row],[Column2]],Table12[[Column2]:[Column54]],18,FALSE),"0")</f>
        <v>0</v>
      </c>
      <c r="T9" s="61">
        <f>IFERROR(VLOOKUP(Table1215[[#This Row],[Column2]],Table12[[Column2]:[Column54]],19,FALSE),"0")</f>
        <v>0</v>
      </c>
      <c r="U9" s="61">
        <f>IFERROR(VLOOKUP(Table1215[[#This Row],[Column2]],Table12[[Column2]:[Column54]],20,FALSE),"0")</f>
        <v>0</v>
      </c>
      <c r="V9" s="61">
        <f>IFERROR(VLOOKUP(Table1215[[#This Row],[Column2]],Table12[[Column2]:[Column54]],21,FALSE),"0")</f>
        <v>0</v>
      </c>
      <c r="W9" s="61">
        <f>IFERROR(VLOOKUP(Table1215[[#This Row],[Column2]],Table12[[Column2]:[Column54]],22,FALSE),"0")</f>
        <v>0</v>
      </c>
      <c r="X9" s="67">
        <f>Table1215[[#This Row],[Column19]]</f>
        <v>0</v>
      </c>
      <c r="Y9" s="61">
        <f>IFERROR(VLOOKUP(Table1215[[#This Row],[Column2]],Table12[[Column2]:[Column54]],24,FALSE),"0")</f>
        <v>5</v>
      </c>
      <c r="Z9" s="61">
        <f>IFERROR(VLOOKUP(Table1215[[#This Row],[Column2]],Table12[[Column2]:[Column54]],25,FALSE),"0")</f>
        <v>0</v>
      </c>
      <c r="AA9" s="61">
        <f>IFERROR(VLOOKUP(Table1215[[#This Row],[Column2]],Table12[[Column2]:[Column54]],26,FALSE),"0")</f>
        <v>0</v>
      </c>
      <c r="AB9" s="61">
        <f>IFERROR(VLOOKUP(Table1215[[#This Row],[Column2]],Table12[[Column2]:[Column54]],27,FALSE),"0")</f>
        <v>0</v>
      </c>
      <c r="AC9" s="61">
        <f>IFERROR(VLOOKUP(Table1215[[#This Row],[Column2]],Table12[[Column2]:[Column54]],28,FALSE),"0")</f>
        <v>0</v>
      </c>
      <c r="AD9" s="67">
        <f>Table1215[[#This Row],[Column25]]</f>
        <v>5</v>
      </c>
      <c r="AE9" s="61">
        <f>IFERROR(VLOOKUP(Table1215[[#This Row],[Column2]],Table12[[Column2]:[Column54]],30,FALSE),"0")</f>
        <v>0</v>
      </c>
      <c r="AF9" s="61">
        <f>IFERROR(VLOOKUP(Table1215[[#This Row],[Column2]],Table12[[Column2]:[Column54]],31,FALSE),"0")</f>
        <v>0</v>
      </c>
      <c r="AG9" s="61">
        <f>IFERROR(VLOOKUP(Table1215[[#This Row],[Column2]],Table12[[Column2]:[Column54]],32,FALSE),"0")</f>
        <v>0</v>
      </c>
      <c r="AH9" s="61">
        <f>IFERROR(VLOOKUP(Table1215[[#This Row],[Column2]],Table12[[Column2]:[Column54]],33,FALSE),"0")</f>
        <v>0</v>
      </c>
      <c r="AI9" s="61">
        <f>IFERROR(VLOOKUP(Table1215[[#This Row],[Column2]],Table12[[Column2]:[Column54]],34,FALSE),"0")</f>
        <v>0</v>
      </c>
      <c r="AJ9" s="67">
        <f>AVERAGE(Table1215[[#This Row],[Column31]],Table1215[[#This Row],[Column32]],Table1215[[#This Row],[Column33]])</f>
        <v>0</v>
      </c>
      <c r="AK9" s="61">
        <f>IFERROR(VLOOKUP(Table1215[[#This Row],[Column2]],Table12[[Column2]:[Column54]],36,FALSE),"0")</f>
        <v>5</v>
      </c>
      <c r="AL9" s="61">
        <f>IFERROR(VLOOKUP(Table1215[[#This Row],[Column2]],Table12[[Column2]:[Column54]],37,FALSE),"0")</f>
        <v>5</v>
      </c>
      <c r="AM9" s="61">
        <f>IFERROR(VLOOKUP(Table1215[[#This Row],[Column2]],Table12[[Column2]:[Column54]],38,FALSE),"0")</f>
        <v>0</v>
      </c>
      <c r="AN9" s="61">
        <f>IFERROR(VLOOKUP(Table1215[[#This Row],[Column2]],Table12[[Column2]:[Column54]],39,FALSE),"0")</f>
        <v>5</v>
      </c>
      <c r="AO9" s="61">
        <f>IFERROR(VLOOKUP(Table1215[[#This Row],[Column2]],Table12[[Column2]:[Column54]],40,FALSE),"0")</f>
        <v>0</v>
      </c>
      <c r="AP9" s="67">
        <f>AVERAGE(Table1215[[#This Row],[Column37]],Table1215[[#This Row],[Column38]],Table1215[[#This Row],[Column40]])</f>
        <v>5</v>
      </c>
      <c r="AQ9" s="61">
        <f>IFERROR(VLOOKUP(Table1215[[#This Row],[Column2]],Table12[[Column2]:[Column54]],42,FALSE),"0")</f>
        <v>5</v>
      </c>
      <c r="AR9" s="61">
        <f>IFERROR(VLOOKUP(Table1215[[#This Row],[Column2]],Table12[[Column2]:[Column54]],43,FALSE),"0")</f>
        <v>0</v>
      </c>
      <c r="AS9" s="61">
        <f>IFERROR(VLOOKUP(Table1215[[#This Row],[Column2]],Table12[[Column2]:[Column54]],44,FALSE),"0")</f>
        <v>0</v>
      </c>
      <c r="AT9" s="61">
        <f>IFERROR(VLOOKUP(Table1215[[#This Row],[Column2]],Table12[[Column2]:[Column54]],45,FALSE),"0")</f>
        <v>0</v>
      </c>
      <c r="AU9" s="61">
        <f>IFERROR(VLOOKUP(Table1215[[#This Row],[Column2]],Table12[[Column2]:[Column54]],46,FALSE),"0")</f>
        <v>0</v>
      </c>
      <c r="AV9" s="67">
        <f>Table1215[[#This Row],[Column43]]</f>
        <v>5</v>
      </c>
      <c r="AW9" s="61">
        <f>IFERROR(VLOOKUP(Table1215[[#This Row],[Column2]],Table12[[Column2]:[Column54]],48,FALSE),"0")</f>
        <v>0</v>
      </c>
      <c r="AX9" s="61">
        <f>IFERROR(VLOOKUP(Table1215[[#This Row],[Column2]],Table12[[Column2]:[Column54]],49,FALSE),"0")</f>
        <v>0</v>
      </c>
      <c r="AY9" s="61">
        <f>IFERROR(VLOOKUP(Table1215[[#This Row],[Column2]],Table12[[Column2]:[Column54]],50,FALSE),"0")</f>
        <v>0</v>
      </c>
      <c r="AZ9" s="61">
        <f>IFERROR(VLOOKUP(Table1215[[#This Row],[Column2]],Table12[[Column2]:[Column54]],51,FALSE),"0")</f>
        <v>5</v>
      </c>
      <c r="BA9" s="61">
        <f>IFERROR(VLOOKUP(Table1215[[#This Row],[Column2]],Table12[[Column2]:[Column54]],52,FALSE),"0")</f>
        <v>5</v>
      </c>
      <c r="BB9" s="67">
        <f>AVERAGE(Table1215[[#This Row],[Column52]],Table1215[[#This Row],[Column53]])</f>
        <v>5</v>
      </c>
    </row>
    <row r="10" spans="1:54" ht="23.1" customHeight="1" x14ac:dyDescent="0.3">
      <c r="A10" s="86">
        <v>7</v>
      </c>
      <c r="B10" s="63" t="s">
        <v>72</v>
      </c>
      <c r="C10" s="64" t="s">
        <v>73</v>
      </c>
      <c r="D10" s="63" t="s">
        <v>450</v>
      </c>
      <c r="E10" s="63" t="s">
        <v>35</v>
      </c>
      <c r="F10" s="63" t="str">
        <f>REPT(CHAR(160),10)&amp;Working!$E11</f>
        <v>          A</v>
      </c>
      <c r="G10" s="65">
        <f>IFERROR(VLOOKUP(Table1215[[#This Row],[Column2]],Table12[[Column2]:[Column54]],6,FALSE),"0")</f>
        <v>0</v>
      </c>
      <c r="H10" s="65">
        <f>IFERROR(VLOOKUP(Table1215[[#This Row],[Column2]],Table12[[Column2]:[Column54]],7,FALSE),"0")</f>
        <v>0</v>
      </c>
      <c r="I10" s="65">
        <f>IFERROR(VLOOKUP(Table1215[[#This Row],[Column2]],Table12[[Column2]:[Column54]],8,FALSE),"0")</f>
        <v>5</v>
      </c>
      <c r="J10" s="65">
        <f>IFERROR(VLOOKUP(Table1215[[#This Row],[Column2]],Table12[[Column2]:[Column54]],9,FALSE),"0")</f>
        <v>0</v>
      </c>
      <c r="K10" s="65">
        <f>IFERROR(VLOOKUP(Table1215[[#This Row],[Column2]],Table12[[Column2]:[Column54]],10,FALSE),"0")</f>
        <v>0</v>
      </c>
      <c r="L10" s="67">
        <f>Table1215[[#This Row],[Column9]]</f>
        <v>5</v>
      </c>
      <c r="M10" s="65">
        <f>IFERROR(VLOOKUP(Table1215[[#This Row],[Column2]],Table12[[Column2]:[Column54]],12,FALSE),"0")</f>
        <v>0</v>
      </c>
      <c r="N10" s="65">
        <f>IFERROR(VLOOKUP(Table1215[[#This Row],[Column2]],Table12[[Column2]:[Column54]],13,FALSE),"0")</f>
        <v>5</v>
      </c>
      <c r="O10" s="65">
        <f>IFERROR(VLOOKUP(Table1215[[#This Row],[Column2]],Table12[[Column2]:[Column54]],14,FALSE),"0")</f>
        <v>5</v>
      </c>
      <c r="P10" s="65">
        <f>IFERROR(VLOOKUP(Table1215[[#This Row],[Column2]],Table12[[Column2]:[Column54]],10,FALSE),"0")</f>
        <v>0</v>
      </c>
      <c r="Q10" s="65">
        <f>IFERROR(VLOOKUP(Table1215[[#This Row],[Column2]],Table12[[Column2]:[Column54]],16,FALSE),"0")</f>
        <v>5</v>
      </c>
      <c r="R10" s="67">
        <f>AVERAGE(Table1215[[#This Row],[Column14]],Table1215[[#This Row],[Column15]],Table1215[[#This Row],[Column17]])</f>
        <v>5</v>
      </c>
      <c r="S10" s="65">
        <f>IFERROR(VLOOKUP(Table1215[[#This Row],[Column2]],Table12[[Column2]:[Column54]],18,FALSE),"0")</f>
        <v>0</v>
      </c>
      <c r="T10" s="65">
        <f>IFERROR(VLOOKUP(Table1215[[#This Row],[Column2]],Table12[[Column2]:[Column54]],19,FALSE),"0")</f>
        <v>0</v>
      </c>
      <c r="U10" s="65">
        <f>IFERROR(VLOOKUP(Table1215[[#This Row],[Column2]],Table12[[Column2]:[Column54]],20,FALSE),"0")</f>
        <v>0</v>
      </c>
      <c r="V10" s="65">
        <f>IFERROR(VLOOKUP(Table1215[[#This Row],[Column2]],Table12[[Column2]:[Column54]],21,FALSE),"0")</f>
        <v>0</v>
      </c>
      <c r="W10" s="65">
        <f>IFERROR(VLOOKUP(Table1215[[#This Row],[Column2]],Table12[[Column2]:[Column54]],22,FALSE),"0")</f>
        <v>0</v>
      </c>
      <c r="X10" s="67">
        <f>Table1215[[#This Row],[Column19]]</f>
        <v>0</v>
      </c>
      <c r="Y10" s="65">
        <f>IFERROR(VLOOKUP(Table1215[[#This Row],[Column2]],Table12[[Column2]:[Column54]],24,FALSE),"0")</f>
        <v>5</v>
      </c>
      <c r="Z10" s="65">
        <f>IFERROR(VLOOKUP(Table1215[[#This Row],[Column2]],Table12[[Column2]:[Column54]],25,FALSE),"0")</f>
        <v>0</v>
      </c>
      <c r="AA10" s="65">
        <f>IFERROR(VLOOKUP(Table1215[[#This Row],[Column2]],Table12[[Column2]:[Column54]],26,FALSE),"0")</f>
        <v>0</v>
      </c>
      <c r="AB10" s="65">
        <f>IFERROR(VLOOKUP(Table1215[[#This Row],[Column2]],Table12[[Column2]:[Column54]],27,FALSE),"0")</f>
        <v>0</v>
      </c>
      <c r="AC10" s="65">
        <f>IFERROR(VLOOKUP(Table1215[[#This Row],[Column2]],Table12[[Column2]:[Column54]],28,FALSE),"0")</f>
        <v>0</v>
      </c>
      <c r="AD10" s="67">
        <f>Table1215[[#This Row],[Column25]]</f>
        <v>5</v>
      </c>
      <c r="AE10" s="65">
        <f>IFERROR(VLOOKUP(Table1215[[#This Row],[Column2]],Table12[[Column2]:[Column54]],30,FALSE),"0")</f>
        <v>0</v>
      </c>
      <c r="AF10" s="65">
        <f>IFERROR(VLOOKUP(Table1215[[#This Row],[Column2]],Table12[[Column2]:[Column54]],31,FALSE),"0")</f>
        <v>0</v>
      </c>
      <c r="AG10" s="65">
        <f>IFERROR(VLOOKUP(Table1215[[#This Row],[Column2]],Table12[[Column2]:[Column54]],32,FALSE),"0")</f>
        <v>0</v>
      </c>
      <c r="AH10" s="65">
        <f>IFERROR(VLOOKUP(Table1215[[#This Row],[Column2]],Table12[[Column2]:[Column54]],33,FALSE),"0")</f>
        <v>0</v>
      </c>
      <c r="AI10" s="65">
        <f>IFERROR(VLOOKUP(Table1215[[#This Row],[Column2]],Table12[[Column2]:[Column54]],34,FALSE),"0")</f>
        <v>0</v>
      </c>
      <c r="AJ10" s="67">
        <f>AVERAGE(Table1215[[#This Row],[Column31]],Table1215[[#This Row],[Column32]],Table1215[[#This Row],[Column33]])</f>
        <v>0</v>
      </c>
      <c r="AK10" s="65">
        <f>IFERROR(VLOOKUP(Table1215[[#This Row],[Column2]],Table12[[Column2]:[Column54]],36,FALSE),"0")</f>
        <v>4</v>
      </c>
      <c r="AL10" s="65">
        <f>IFERROR(VLOOKUP(Table1215[[#This Row],[Column2]],Table12[[Column2]:[Column54]],37,FALSE),"0")</f>
        <v>5</v>
      </c>
      <c r="AM10" s="65">
        <f>IFERROR(VLOOKUP(Table1215[[#This Row],[Column2]],Table12[[Column2]:[Column54]],38,FALSE),"0")</f>
        <v>0</v>
      </c>
      <c r="AN10" s="65">
        <f>IFERROR(VLOOKUP(Table1215[[#This Row],[Column2]],Table12[[Column2]:[Column54]],39,FALSE),"0")</f>
        <v>5</v>
      </c>
      <c r="AO10" s="65">
        <f>IFERROR(VLOOKUP(Table1215[[#This Row],[Column2]],Table12[[Column2]:[Column54]],40,FALSE),"0")</f>
        <v>0</v>
      </c>
      <c r="AP10" s="67">
        <f>AVERAGE(Table1215[[#This Row],[Column37]],Table1215[[#This Row],[Column38]],Table1215[[#This Row],[Column40]])</f>
        <v>4.666666666666667</v>
      </c>
      <c r="AQ10" s="65">
        <f>IFERROR(VLOOKUP(Table1215[[#This Row],[Column2]],Table12[[Column2]:[Column54]],42,FALSE),"0")</f>
        <v>5</v>
      </c>
      <c r="AR10" s="65">
        <f>IFERROR(VLOOKUP(Table1215[[#This Row],[Column2]],Table12[[Column2]:[Column54]],43,FALSE),"0")</f>
        <v>0</v>
      </c>
      <c r="AS10" s="65">
        <f>IFERROR(VLOOKUP(Table1215[[#This Row],[Column2]],Table12[[Column2]:[Column54]],44,FALSE),"0")</f>
        <v>0</v>
      </c>
      <c r="AT10" s="65">
        <f>IFERROR(VLOOKUP(Table1215[[#This Row],[Column2]],Table12[[Column2]:[Column54]],45,FALSE),"0")</f>
        <v>0</v>
      </c>
      <c r="AU10" s="65">
        <f>IFERROR(VLOOKUP(Table1215[[#This Row],[Column2]],Table12[[Column2]:[Column54]],46,FALSE),"0")</f>
        <v>0</v>
      </c>
      <c r="AV10" s="67">
        <f>Table1215[[#This Row],[Column43]]</f>
        <v>5</v>
      </c>
      <c r="AW10" s="65">
        <f>IFERROR(VLOOKUP(Table1215[[#This Row],[Column2]],Table12[[Column2]:[Column54]],48,FALSE),"0")</f>
        <v>0</v>
      </c>
      <c r="AX10" s="65">
        <f>IFERROR(VLOOKUP(Table1215[[#This Row],[Column2]],Table12[[Column2]:[Column54]],49,FALSE),"0")</f>
        <v>0</v>
      </c>
      <c r="AY10" s="65">
        <f>IFERROR(VLOOKUP(Table1215[[#This Row],[Column2]],Table12[[Column2]:[Column54]],50,FALSE),"0")</f>
        <v>0</v>
      </c>
      <c r="AZ10" s="65">
        <f>IFERROR(VLOOKUP(Table1215[[#This Row],[Column2]],Table12[[Column2]:[Column54]],51,FALSE),"0")</f>
        <v>5</v>
      </c>
      <c r="BA10" s="65">
        <f>IFERROR(VLOOKUP(Table1215[[#This Row],[Column2]],Table12[[Column2]:[Column54]],52,FALSE),"0")</f>
        <v>4</v>
      </c>
      <c r="BB10" s="67">
        <f>AVERAGE(Table1215[[#This Row],[Column52]],Table1215[[#This Row],[Column53]])</f>
        <v>4.5</v>
      </c>
    </row>
    <row r="11" spans="1:54" ht="23.1" customHeight="1" x14ac:dyDescent="0.3">
      <c r="A11" s="87">
        <v>8</v>
      </c>
      <c r="B11" s="70" t="s">
        <v>291</v>
      </c>
      <c r="C11" s="71" t="s">
        <v>292</v>
      </c>
      <c r="D11" s="70" t="s">
        <v>450</v>
      </c>
      <c r="E11" s="70" t="s">
        <v>493</v>
      </c>
      <c r="F11" s="70" t="str">
        <f>REPT(CHAR(160),10)&amp;Working!$E12</f>
        <v>          C</v>
      </c>
      <c r="G11" s="61">
        <f>IFERROR(VLOOKUP(Table1215[[#This Row],[Column2]],Table12[[Column2]:[Column54]],6,FALSE),"0")</f>
        <v>0</v>
      </c>
      <c r="H11" s="61">
        <f>IFERROR(VLOOKUP(Table1215[[#This Row],[Column2]],Table12[[Column2]:[Column54]],7,FALSE),"0")</f>
        <v>0</v>
      </c>
      <c r="I11" s="61">
        <f>IFERROR(VLOOKUP(Table1215[[#This Row],[Column2]],Table12[[Column2]:[Column54]],8,FALSE),"0")</f>
        <v>4</v>
      </c>
      <c r="J11" s="61">
        <f>IFERROR(VLOOKUP(Table1215[[#This Row],[Column2]],Table12[[Column2]:[Column54]],9,FALSE),"0")</f>
        <v>0</v>
      </c>
      <c r="K11" s="61">
        <f>IFERROR(VLOOKUP(Table1215[[#This Row],[Column2]],Table12[[Column2]:[Column54]],10,FALSE),"0")</f>
        <v>0</v>
      </c>
      <c r="L11" s="67">
        <f>Table1215[[#This Row],[Column9]]</f>
        <v>4</v>
      </c>
      <c r="M11" s="61">
        <f>IFERROR(VLOOKUP(Table1215[[#This Row],[Column2]],Table12[[Column2]:[Column54]],12,FALSE),"0")</f>
        <v>0</v>
      </c>
      <c r="N11" s="61">
        <f>IFERROR(VLOOKUP(Table1215[[#This Row],[Column2]],Table12[[Column2]:[Column54]],13,FALSE),"0")</f>
        <v>4</v>
      </c>
      <c r="O11" s="61">
        <f>IFERROR(VLOOKUP(Table1215[[#This Row],[Column2]],Table12[[Column2]:[Column54]],14,FALSE),"0")</f>
        <v>4</v>
      </c>
      <c r="P11" s="61">
        <f>IFERROR(VLOOKUP(Table1215[[#This Row],[Column2]],Table12[[Column2]:[Column54]],10,FALSE),"0")</f>
        <v>0</v>
      </c>
      <c r="Q11" s="61">
        <f>IFERROR(VLOOKUP(Table1215[[#This Row],[Column2]],Table12[[Column2]:[Column54]],16,FALSE),"0")</f>
        <v>4</v>
      </c>
      <c r="R11" s="67">
        <f>AVERAGE(Table1215[[#This Row],[Column14]],Table1215[[#This Row],[Column15]],Table1215[[#This Row],[Column17]])</f>
        <v>4</v>
      </c>
      <c r="S11" s="61">
        <f>IFERROR(VLOOKUP(Table1215[[#This Row],[Column2]],Table12[[Column2]:[Column54]],18,FALSE),"0")</f>
        <v>0</v>
      </c>
      <c r="T11" s="61">
        <f>IFERROR(VLOOKUP(Table1215[[#This Row],[Column2]],Table12[[Column2]:[Column54]],19,FALSE),"0")</f>
        <v>0</v>
      </c>
      <c r="U11" s="61">
        <f>IFERROR(VLOOKUP(Table1215[[#This Row],[Column2]],Table12[[Column2]:[Column54]],20,FALSE),"0")</f>
        <v>0</v>
      </c>
      <c r="V11" s="61">
        <f>IFERROR(VLOOKUP(Table1215[[#This Row],[Column2]],Table12[[Column2]:[Column54]],21,FALSE),"0")</f>
        <v>0</v>
      </c>
      <c r="W11" s="61">
        <f>IFERROR(VLOOKUP(Table1215[[#This Row],[Column2]],Table12[[Column2]:[Column54]],22,FALSE),"0")</f>
        <v>0</v>
      </c>
      <c r="X11" s="67">
        <f>Table1215[[#This Row],[Column19]]</f>
        <v>0</v>
      </c>
      <c r="Y11" s="61">
        <f>IFERROR(VLOOKUP(Table1215[[#This Row],[Column2]],Table12[[Column2]:[Column54]],24,FALSE),"0")</f>
        <v>4</v>
      </c>
      <c r="Z11" s="61">
        <f>IFERROR(VLOOKUP(Table1215[[#This Row],[Column2]],Table12[[Column2]:[Column54]],25,FALSE),"0")</f>
        <v>0</v>
      </c>
      <c r="AA11" s="61">
        <f>IFERROR(VLOOKUP(Table1215[[#This Row],[Column2]],Table12[[Column2]:[Column54]],26,FALSE),"0")</f>
        <v>0</v>
      </c>
      <c r="AB11" s="61">
        <f>IFERROR(VLOOKUP(Table1215[[#This Row],[Column2]],Table12[[Column2]:[Column54]],27,FALSE),"0")</f>
        <v>0</v>
      </c>
      <c r="AC11" s="61">
        <f>IFERROR(VLOOKUP(Table1215[[#This Row],[Column2]],Table12[[Column2]:[Column54]],28,FALSE),"0")</f>
        <v>0</v>
      </c>
      <c r="AD11" s="67">
        <f>Table1215[[#This Row],[Column25]]</f>
        <v>4</v>
      </c>
      <c r="AE11" s="61">
        <f>IFERROR(VLOOKUP(Table1215[[#This Row],[Column2]],Table12[[Column2]:[Column54]],30,FALSE),"0")</f>
        <v>0</v>
      </c>
      <c r="AF11" s="61">
        <f>IFERROR(VLOOKUP(Table1215[[#This Row],[Column2]],Table12[[Column2]:[Column54]],31,FALSE),"0")</f>
        <v>0</v>
      </c>
      <c r="AG11" s="61">
        <f>IFERROR(VLOOKUP(Table1215[[#This Row],[Column2]],Table12[[Column2]:[Column54]],32,FALSE),"0")</f>
        <v>0</v>
      </c>
      <c r="AH11" s="61">
        <f>IFERROR(VLOOKUP(Table1215[[#This Row],[Column2]],Table12[[Column2]:[Column54]],33,FALSE),"0")</f>
        <v>0</v>
      </c>
      <c r="AI11" s="61">
        <f>IFERROR(VLOOKUP(Table1215[[#This Row],[Column2]],Table12[[Column2]:[Column54]],34,FALSE),"0")</f>
        <v>0</v>
      </c>
      <c r="AJ11" s="67">
        <f>AVERAGE(Table1215[[#This Row],[Column31]],Table1215[[#This Row],[Column32]],Table1215[[#This Row],[Column33]])</f>
        <v>0</v>
      </c>
      <c r="AK11" s="61">
        <f>IFERROR(VLOOKUP(Table1215[[#This Row],[Column2]],Table12[[Column2]:[Column54]],36,FALSE),"0")</f>
        <v>4</v>
      </c>
      <c r="AL11" s="61">
        <f>IFERROR(VLOOKUP(Table1215[[#This Row],[Column2]],Table12[[Column2]:[Column54]],37,FALSE),"0")</f>
        <v>5</v>
      </c>
      <c r="AM11" s="61">
        <f>IFERROR(VLOOKUP(Table1215[[#This Row],[Column2]],Table12[[Column2]:[Column54]],38,FALSE),"0")</f>
        <v>0</v>
      </c>
      <c r="AN11" s="61">
        <f>IFERROR(VLOOKUP(Table1215[[#This Row],[Column2]],Table12[[Column2]:[Column54]],39,FALSE),"0")</f>
        <v>5</v>
      </c>
      <c r="AO11" s="61">
        <f>IFERROR(VLOOKUP(Table1215[[#This Row],[Column2]],Table12[[Column2]:[Column54]],40,FALSE),"0")</f>
        <v>0</v>
      </c>
      <c r="AP11" s="67">
        <f>AVERAGE(Table1215[[#This Row],[Column37]],Table1215[[#This Row],[Column38]],Table1215[[#This Row],[Column40]])</f>
        <v>4.666666666666667</v>
      </c>
      <c r="AQ11" s="61">
        <f>IFERROR(VLOOKUP(Table1215[[#This Row],[Column2]],Table12[[Column2]:[Column54]],42,FALSE),"0")</f>
        <v>4</v>
      </c>
      <c r="AR11" s="61">
        <f>IFERROR(VLOOKUP(Table1215[[#This Row],[Column2]],Table12[[Column2]:[Column54]],43,FALSE),"0")</f>
        <v>0</v>
      </c>
      <c r="AS11" s="61">
        <f>IFERROR(VLOOKUP(Table1215[[#This Row],[Column2]],Table12[[Column2]:[Column54]],44,FALSE),"0")</f>
        <v>0</v>
      </c>
      <c r="AT11" s="61">
        <f>IFERROR(VLOOKUP(Table1215[[#This Row],[Column2]],Table12[[Column2]:[Column54]],45,FALSE),"0")</f>
        <v>0</v>
      </c>
      <c r="AU11" s="61">
        <f>IFERROR(VLOOKUP(Table1215[[#This Row],[Column2]],Table12[[Column2]:[Column54]],46,FALSE),"0")</f>
        <v>0</v>
      </c>
      <c r="AV11" s="67">
        <f>Table1215[[#This Row],[Column43]]</f>
        <v>4</v>
      </c>
      <c r="AW11" s="61">
        <f>IFERROR(VLOOKUP(Table1215[[#This Row],[Column2]],Table12[[Column2]:[Column54]],48,FALSE),"0")</f>
        <v>0</v>
      </c>
      <c r="AX11" s="61">
        <f>IFERROR(VLOOKUP(Table1215[[#This Row],[Column2]],Table12[[Column2]:[Column54]],49,FALSE),"0")</f>
        <v>0</v>
      </c>
      <c r="AY11" s="61">
        <f>IFERROR(VLOOKUP(Table1215[[#This Row],[Column2]],Table12[[Column2]:[Column54]],50,FALSE),"0")</f>
        <v>0</v>
      </c>
      <c r="AZ11" s="61">
        <f>IFERROR(VLOOKUP(Table1215[[#This Row],[Column2]],Table12[[Column2]:[Column54]],51,FALSE),"0")</f>
        <v>4</v>
      </c>
      <c r="BA11" s="61">
        <f>IFERROR(VLOOKUP(Table1215[[#This Row],[Column2]],Table12[[Column2]:[Column54]],52,FALSE),"0")</f>
        <v>4</v>
      </c>
      <c r="BB11" s="67">
        <f>AVERAGE(Table1215[[#This Row],[Column52]],Table1215[[#This Row],[Column53]])</f>
        <v>4</v>
      </c>
    </row>
    <row r="12" spans="1:54" ht="23.1" customHeight="1" x14ac:dyDescent="0.3">
      <c r="A12" s="86">
        <v>9</v>
      </c>
      <c r="B12" s="63" t="s">
        <v>103</v>
      </c>
      <c r="C12" s="64" t="s">
        <v>104</v>
      </c>
      <c r="D12" s="63" t="s">
        <v>542</v>
      </c>
      <c r="E12" s="63" t="s">
        <v>35</v>
      </c>
      <c r="F12" s="63" t="str">
        <f>REPT(CHAR(160),10)&amp;Working!$E13</f>
        <v>          A</v>
      </c>
      <c r="G12" s="65">
        <f>IFERROR(VLOOKUP(Table1215[[#This Row],[Column2]],Table12[[Column2]:[Column54]],6,FALSE),"0")</f>
        <v>0</v>
      </c>
      <c r="H12" s="65">
        <f>IFERROR(VLOOKUP(Table1215[[#This Row],[Column2]],Table12[[Column2]:[Column54]],7,FALSE),"0")</f>
        <v>0</v>
      </c>
      <c r="I12" s="65">
        <f>IFERROR(VLOOKUP(Table1215[[#This Row],[Column2]],Table12[[Column2]:[Column54]],8,FALSE),"0")</f>
        <v>4</v>
      </c>
      <c r="J12" s="65">
        <f>IFERROR(VLOOKUP(Table1215[[#This Row],[Column2]],Table12[[Column2]:[Column54]],9,FALSE),"0")</f>
        <v>0</v>
      </c>
      <c r="K12" s="65">
        <f>IFERROR(VLOOKUP(Table1215[[#This Row],[Column2]],Table12[[Column2]:[Column54]],10,FALSE),"0")</f>
        <v>0</v>
      </c>
      <c r="L12" s="67">
        <f>Table1215[[#This Row],[Column9]]</f>
        <v>4</v>
      </c>
      <c r="M12" s="65">
        <f>IFERROR(VLOOKUP(Table1215[[#This Row],[Column2]],Table12[[Column2]:[Column54]],12,FALSE),"0")</f>
        <v>0</v>
      </c>
      <c r="N12" s="65">
        <f>IFERROR(VLOOKUP(Table1215[[#This Row],[Column2]],Table12[[Column2]:[Column54]],13,FALSE),"0")</f>
        <v>4</v>
      </c>
      <c r="O12" s="65">
        <f>IFERROR(VLOOKUP(Table1215[[#This Row],[Column2]],Table12[[Column2]:[Column54]],14,FALSE),"0")</f>
        <v>4</v>
      </c>
      <c r="P12" s="65">
        <f>IFERROR(VLOOKUP(Table1215[[#This Row],[Column2]],Table12[[Column2]:[Column54]],10,FALSE),"0")</f>
        <v>0</v>
      </c>
      <c r="Q12" s="65">
        <f>IFERROR(VLOOKUP(Table1215[[#This Row],[Column2]],Table12[[Column2]:[Column54]],16,FALSE),"0")</f>
        <v>4</v>
      </c>
      <c r="R12" s="67">
        <f>AVERAGE(Table1215[[#This Row],[Column14]],Table1215[[#This Row],[Column15]],Table1215[[#This Row],[Column17]])</f>
        <v>4</v>
      </c>
      <c r="S12" s="65">
        <f>IFERROR(VLOOKUP(Table1215[[#This Row],[Column2]],Table12[[Column2]:[Column54]],18,FALSE),"0")</f>
        <v>0</v>
      </c>
      <c r="T12" s="65">
        <f>IFERROR(VLOOKUP(Table1215[[#This Row],[Column2]],Table12[[Column2]:[Column54]],19,FALSE),"0")</f>
        <v>0</v>
      </c>
      <c r="U12" s="65">
        <f>IFERROR(VLOOKUP(Table1215[[#This Row],[Column2]],Table12[[Column2]:[Column54]],20,FALSE),"0")</f>
        <v>0</v>
      </c>
      <c r="V12" s="65">
        <f>IFERROR(VLOOKUP(Table1215[[#This Row],[Column2]],Table12[[Column2]:[Column54]],21,FALSE),"0")</f>
        <v>0</v>
      </c>
      <c r="W12" s="65">
        <f>IFERROR(VLOOKUP(Table1215[[#This Row],[Column2]],Table12[[Column2]:[Column54]],22,FALSE),"0")</f>
        <v>0</v>
      </c>
      <c r="X12" s="67">
        <f>Table1215[[#This Row],[Column19]]</f>
        <v>0</v>
      </c>
      <c r="Y12" s="65">
        <f>IFERROR(VLOOKUP(Table1215[[#This Row],[Column2]],Table12[[Column2]:[Column54]],24,FALSE),"0")</f>
        <v>4</v>
      </c>
      <c r="Z12" s="65">
        <f>IFERROR(VLOOKUP(Table1215[[#This Row],[Column2]],Table12[[Column2]:[Column54]],25,FALSE),"0")</f>
        <v>0</v>
      </c>
      <c r="AA12" s="65">
        <f>IFERROR(VLOOKUP(Table1215[[#This Row],[Column2]],Table12[[Column2]:[Column54]],26,FALSE),"0")</f>
        <v>0</v>
      </c>
      <c r="AB12" s="65">
        <f>IFERROR(VLOOKUP(Table1215[[#This Row],[Column2]],Table12[[Column2]:[Column54]],27,FALSE),"0")</f>
        <v>0</v>
      </c>
      <c r="AC12" s="65">
        <f>IFERROR(VLOOKUP(Table1215[[#This Row],[Column2]],Table12[[Column2]:[Column54]],28,FALSE),"0")</f>
        <v>0</v>
      </c>
      <c r="AD12" s="67">
        <f>Table1215[[#This Row],[Column25]]</f>
        <v>4</v>
      </c>
      <c r="AE12" s="65">
        <f>IFERROR(VLOOKUP(Table1215[[#This Row],[Column2]],Table12[[Column2]:[Column54]],30,FALSE),"0")</f>
        <v>0</v>
      </c>
      <c r="AF12" s="65">
        <f>IFERROR(VLOOKUP(Table1215[[#This Row],[Column2]],Table12[[Column2]:[Column54]],31,FALSE),"0")</f>
        <v>0</v>
      </c>
      <c r="AG12" s="65">
        <f>IFERROR(VLOOKUP(Table1215[[#This Row],[Column2]],Table12[[Column2]:[Column54]],32,FALSE),"0")</f>
        <v>0</v>
      </c>
      <c r="AH12" s="65">
        <f>IFERROR(VLOOKUP(Table1215[[#This Row],[Column2]],Table12[[Column2]:[Column54]],33,FALSE),"0")</f>
        <v>0</v>
      </c>
      <c r="AI12" s="65">
        <f>IFERROR(VLOOKUP(Table1215[[#This Row],[Column2]],Table12[[Column2]:[Column54]],34,FALSE),"0")</f>
        <v>0</v>
      </c>
      <c r="AJ12" s="67">
        <f>AVERAGE(Table1215[[#This Row],[Column31]],Table1215[[#This Row],[Column32]],Table1215[[#This Row],[Column33]])</f>
        <v>0</v>
      </c>
      <c r="AK12" s="65">
        <f>IFERROR(VLOOKUP(Table1215[[#This Row],[Column2]],Table12[[Column2]:[Column54]],36,FALSE),"0")</f>
        <v>4</v>
      </c>
      <c r="AL12" s="65">
        <f>IFERROR(VLOOKUP(Table1215[[#This Row],[Column2]],Table12[[Column2]:[Column54]],37,FALSE),"0")</f>
        <v>5</v>
      </c>
      <c r="AM12" s="65">
        <f>IFERROR(VLOOKUP(Table1215[[#This Row],[Column2]],Table12[[Column2]:[Column54]],38,FALSE),"0")</f>
        <v>0</v>
      </c>
      <c r="AN12" s="65">
        <f>IFERROR(VLOOKUP(Table1215[[#This Row],[Column2]],Table12[[Column2]:[Column54]],39,FALSE),"0")</f>
        <v>4</v>
      </c>
      <c r="AO12" s="65">
        <f>IFERROR(VLOOKUP(Table1215[[#This Row],[Column2]],Table12[[Column2]:[Column54]],40,FALSE),"0")</f>
        <v>0</v>
      </c>
      <c r="AP12" s="67">
        <f>AVERAGE(Table1215[[#This Row],[Column37]],Table1215[[#This Row],[Column38]],Table1215[[#This Row],[Column40]])</f>
        <v>4.333333333333333</v>
      </c>
      <c r="AQ12" s="65">
        <f>IFERROR(VLOOKUP(Table1215[[#This Row],[Column2]],Table12[[Column2]:[Column54]],42,FALSE),"0")</f>
        <v>5</v>
      </c>
      <c r="AR12" s="65">
        <f>IFERROR(VLOOKUP(Table1215[[#This Row],[Column2]],Table12[[Column2]:[Column54]],43,FALSE),"0")</f>
        <v>0</v>
      </c>
      <c r="AS12" s="65">
        <f>IFERROR(VLOOKUP(Table1215[[#This Row],[Column2]],Table12[[Column2]:[Column54]],44,FALSE),"0")</f>
        <v>0</v>
      </c>
      <c r="AT12" s="65">
        <f>IFERROR(VLOOKUP(Table1215[[#This Row],[Column2]],Table12[[Column2]:[Column54]],45,FALSE),"0")</f>
        <v>0</v>
      </c>
      <c r="AU12" s="65">
        <f>IFERROR(VLOOKUP(Table1215[[#This Row],[Column2]],Table12[[Column2]:[Column54]],46,FALSE),"0")</f>
        <v>0</v>
      </c>
      <c r="AV12" s="67">
        <f>Table1215[[#This Row],[Column43]]</f>
        <v>5</v>
      </c>
      <c r="AW12" s="65">
        <f>IFERROR(VLOOKUP(Table1215[[#This Row],[Column2]],Table12[[Column2]:[Column54]],48,FALSE),"0")</f>
        <v>0</v>
      </c>
      <c r="AX12" s="65">
        <f>IFERROR(VLOOKUP(Table1215[[#This Row],[Column2]],Table12[[Column2]:[Column54]],49,FALSE),"0")</f>
        <v>0</v>
      </c>
      <c r="AY12" s="65">
        <f>IFERROR(VLOOKUP(Table1215[[#This Row],[Column2]],Table12[[Column2]:[Column54]],50,FALSE),"0")</f>
        <v>0</v>
      </c>
      <c r="AZ12" s="65">
        <f>IFERROR(VLOOKUP(Table1215[[#This Row],[Column2]],Table12[[Column2]:[Column54]],51,FALSE),"0")</f>
        <v>4</v>
      </c>
      <c r="BA12" s="65">
        <f>IFERROR(VLOOKUP(Table1215[[#This Row],[Column2]],Table12[[Column2]:[Column54]],52,FALSE),"0")</f>
        <v>4</v>
      </c>
      <c r="BB12" s="67">
        <f>AVERAGE(Table1215[[#This Row],[Column52]],Table1215[[#This Row],[Column53]])</f>
        <v>4</v>
      </c>
    </row>
    <row r="13" spans="1:54" ht="23.1" customHeight="1" x14ac:dyDescent="0.3">
      <c r="A13" s="87">
        <v>10</v>
      </c>
      <c r="B13" s="70" t="s">
        <v>68</v>
      </c>
      <c r="C13" s="71" t="s">
        <v>69</v>
      </c>
      <c r="D13" s="70" t="s">
        <v>450</v>
      </c>
      <c r="E13" s="70" t="s">
        <v>35</v>
      </c>
      <c r="F13" s="70" t="str">
        <f>REPT(CHAR(160),10)&amp;Working!$E14</f>
        <v>          A</v>
      </c>
      <c r="G13" s="61">
        <f>IFERROR(VLOOKUP(Table1215[[#This Row],[Column2]],Table12[[Column2]:[Column54]],6,FALSE),"0")</f>
        <v>0</v>
      </c>
      <c r="H13" s="61">
        <f>IFERROR(VLOOKUP(Table1215[[#This Row],[Column2]],Table12[[Column2]:[Column54]],7,FALSE),"0")</f>
        <v>0</v>
      </c>
      <c r="I13" s="61">
        <f>IFERROR(VLOOKUP(Table1215[[#This Row],[Column2]],Table12[[Column2]:[Column54]],8,FALSE),"0")</f>
        <v>4</v>
      </c>
      <c r="J13" s="61">
        <f>IFERROR(VLOOKUP(Table1215[[#This Row],[Column2]],Table12[[Column2]:[Column54]],9,FALSE),"0")</f>
        <v>0</v>
      </c>
      <c r="K13" s="61">
        <f>IFERROR(VLOOKUP(Table1215[[#This Row],[Column2]],Table12[[Column2]:[Column54]],10,FALSE),"0")</f>
        <v>0</v>
      </c>
      <c r="L13" s="67">
        <f>Table1215[[#This Row],[Column9]]</f>
        <v>4</v>
      </c>
      <c r="M13" s="61">
        <f>IFERROR(VLOOKUP(Table1215[[#This Row],[Column2]],Table12[[Column2]:[Column54]],12,FALSE),"0")</f>
        <v>0</v>
      </c>
      <c r="N13" s="61">
        <f>IFERROR(VLOOKUP(Table1215[[#This Row],[Column2]],Table12[[Column2]:[Column54]],13,FALSE),"0")</f>
        <v>4</v>
      </c>
      <c r="O13" s="61">
        <f>IFERROR(VLOOKUP(Table1215[[#This Row],[Column2]],Table12[[Column2]:[Column54]],14,FALSE),"0")</f>
        <v>5</v>
      </c>
      <c r="P13" s="61">
        <f>IFERROR(VLOOKUP(Table1215[[#This Row],[Column2]],Table12[[Column2]:[Column54]],10,FALSE),"0")</f>
        <v>0</v>
      </c>
      <c r="Q13" s="61">
        <f>IFERROR(VLOOKUP(Table1215[[#This Row],[Column2]],Table12[[Column2]:[Column54]],16,FALSE),"0")</f>
        <v>5</v>
      </c>
      <c r="R13" s="67">
        <f>AVERAGE(Table1215[[#This Row],[Column14]],Table1215[[#This Row],[Column15]],Table1215[[#This Row],[Column17]])</f>
        <v>4.666666666666667</v>
      </c>
      <c r="S13" s="61">
        <f>IFERROR(VLOOKUP(Table1215[[#This Row],[Column2]],Table12[[Column2]:[Column54]],18,FALSE),"0")</f>
        <v>0</v>
      </c>
      <c r="T13" s="61">
        <f>IFERROR(VLOOKUP(Table1215[[#This Row],[Column2]],Table12[[Column2]:[Column54]],19,FALSE),"0")</f>
        <v>0</v>
      </c>
      <c r="U13" s="61">
        <f>IFERROR(VLOOKUP(Table1215[[#This Row],[Column2]],Table12[[Column2]:[Column54]],20,FALSE),"0")</f>
        <v>0</v>
      </c>
      <c r="V13" s="61">
        <f>IFERROR(VLOOKUP(Table1215[[#This Row],[Column2]],Table12[[Column2]:[Column54]],21,FALSE),"0")</f>
        <v>0</v>
      </c>
      <c r="W13" s="61">
        <f>IFERROR(VLOOKUP(Table1215[[#This Row],[Column2]],Table12[[Column2]:[Column54]],22,FALSE),"0")</f>
        <v>0</v>
      </c>
      <c r="X13" s="67">
        <f>Table1215[[#This Row],[Column19]]</f>
        <v>0</v>
      </c>
      <c r="Y13" s="61">
        <f>IFERROR(VLOOKUP(Table1215[[#This Row],[Column2]],Table12[[Column2]:[Column54]],24,FALSE),"0")</f>
        <v>4</v>
      </c>
      <c r="Z13" s="61">
        <f>IFERROR(VLOOKUP(Table1215[[#This Row],[Column2]],Table12[[Column2]:[Column54]],25,FALSE),"0")</f>
        <v>0</v>
      </c>
      <c r="AA13" s="61">
        <f>IFERROR(VLOOKUP(Table1215[[#This Row],[Column2]],Table12[[Column2]:[Column54]],26,FALSE),"0")</f>
        <v>0</v>
      </c>
      <c r="AB13" s="61">
        <f>IFERROR(VLOOKUP(Table1215[[#This Row],[Column2]],Table12[[Column2]:[Column54]],27,FALSE),"0")</f>
        <v>0</v>
      </c>
      <c r="AC13" s="61">
        <f>IFERROR(VLOOKUP(Table1215[[#This Row],[Column2]],Table12[[Column2]:[Column54]],28,FALSE),"0")</f>
        <v>0</v>
      </c>
      <c r="AD13" s="67">
        <f>Table1215[[#This Row],[Column25]]</f>
        <v>4</v>
      </c>
      <c r="AE13" s="61">
        <f>IFERROR(VLOOKUP(Table1215[[#This Row],[Column2]],Table12[[Column2]:[Column54]],30,FALSE),"0")</f>
        <v>0</v>
      </c>
      <c r="AF13" s="61">
        <f>IFERROR(VLOOKUP(Table1215[[#This Row],[Column2]],Table12[[Column2]:[Column54]],31,FALSE),"0")</f>
        <v>0</v>
      </c>
      <c r="AG13" s="61">
        <f>IFERROR(VLOOKUP(Table1215[[#This Row],[Column2]],Table12[[Column2]:[Column54]],32,FALSE),"0")</f>
        <v>0</v>
      </c>
      <c r="AH13" s="61">
        <f>IFERROR(VLOOKUP(Table1215[[#This Row],[Column2]],Table12[[Column2]:[Column54]],33,FALSE),"0")</f>
        <v>0</v>
      </c>
      <c r="AI13" s="61">
        <f>IFERROR(VLOOKUP(Table1215[[#This Row],[Column2]],Table12[[Column2]:[Column54]],34,FALSE),"0")</f>
        <v>0</v>
      </c>
      <c r="AJ13" s="67">
        <f>AVERAGE(Table1215[[#This Row],[Column31]],Table1215[[#This Row],[Column32]],Table1215[[#This Row],[Column33]])</f>
        <v>0</v>
      </c>
      <c r="AK13" s="61">
        <f>IFERROR(VLOOKUP(Table1215[[#This Row],[Column2]],Table12[[Column2]:[Column54]],36,FALSE),"0")</f>
        <v>5</v>
      </c>
      <c r="AL13" s="61">
        <f>IFERROR(VLOOKUP(Table1215[[#This Row],[Column2]],Table12[[Column2]:[Column54]],37,FALSE),"0")</f>
        <v>4</v>
      </c>
      <c r="AM13" s="61">
        <f>IFERROR(VLOOKUP(Table1215[[#This Row],[Column2]],Table12[[Column2]:[Column54]],38,FALSE),"0")</f>
        <v>0</v>
      </c>
      <c r="AN13" s="61">
        <f>IFERROR(VLOOKUP(Table1215[[#This Row],[Column2]],Table12[[Column2]:[Column54]],39,FALSE),"0")</f>
        <v>5</v>
      </c>
      <c r="AO13" s="61">
        <f>IFERROR(VLOOKUP(Table1215[[#This Row],[Column2]],Table12[[Column2]:[Column54]],40,FALSE),"0")</f>
        <v>0</v>
      </c>
      <c r="AP13" s="67">
        <f>AVERAGE(Table1215[[#This Row],[Column37]],Table1215[[#This Row],[Column38]],Table1215[[#This Row],[Column40]])</f>
        <v>4.666666666666667</v>
      </c>
      <c r="AQ13" s="61">
        <f>IFERROR(VLOOKUP(Table1215[[#This Row],[Column2]],Table12[[Column2]:[Column54]],42,FALSE),"0")</f>
        <v>5</v>
      </c>
      <c r="AR13" s="61">
        <f>IFERROR(VLOOKUP(Table1215[[#This Row],[Column2]],Table12[[Column2]:[Column54]],43,FALSE),"0")</f>
        <v>0</v>
      </c>
      <c r="AS13" s="61">
        <f>IFERROR(VLOOKUP(Table1215[[#This Row],[Column2]],Table12[[Column2]:[Column54]],44,FALSE),"0")</f>
        <v>0</v>
      </c>
      <c r="AT13" s="61">
        <f>IFERROR(VLOOKUP(Table1215[[#This Row],[Column2]],Table12[[Column2]:[Column54]],45,FALSE),"0")</f>
        <v>0</v>
      </c>
      <c r="AU13" s="61">
        <f>IFERROR(VLOOKUP(Table1215[[#This Row],[Column2]],Table12[[Column2]:[Column54]],46,FALSE),"0")</f>
        <v>0</v>
      </c>
      <c r="AV13" s="67">
        <f>Table1215[[#This Row],[Column43]]</f>
        <v>5</v>
      </c>
      <c r="AW13" s="61">
        <f>IFERROR(VLOOKUP(Table1215[[#This Row],[Column2]],Table12[[Column2]:[Column54]],48,FALSE),"0")</f>
        <v>0</v>
      </c>
      <c r="AX13" s="61">
        <f>IFERROR(VLOOKUP(Table1215[[#This Row],[Column2]],Table12[[Column2]:[Column54]],49,FALSE),"0")</f>
        <v>0</v>
      </c>
      <c r="AY13" s="61">
        <f>IFERROR(VLOOKUP(Table1215[[#This Row],[Column2]],Table12[[Column2]:[Column54]],50,FALSE),"0")</f>
        <v>0</v>
      </c>
      <c r="AZ13" s="61">
        <f>IFERROR(VLOOKUP(Table1215[[#This Row],[Column2]],Table12[[Column2]:[Column54]],51,FALSE),"0")</f>
        <v>4</v>
      </c>
      <c r="BA13" s="61">
        <f>IFERROR(VLOOKUP(Table1215[[#This Row],[Column2]],Table12[[Column2]:[Column54]],52,FALSE),"0")</f>
        <v>5</v>
      </c>
      <c r="BB13" s="67">
        <f>AVERAGE(Table1215[[#This Row],[Column52]],Table1215[[#This Row],[Column53]])</f>
        <v>4.5</v>
      </c>
    </row>
    <row r="14" spans="1:54" ht="23.1" customHeight="1" x14ac:dyDescent="0.3">
      <c r="A14" s="86">
        <v>11</v>
      </c>
      <c r="B14" s="63" t="s">
        <v>162</v>
      </c>
      <c r="C14" s="64" t="s">
        <v>163</v>
      </c>
      <c r="D14" s="63" t="s">
        <v>450</v>
      </c>
      <c r="E14" s="63" t="s">
        <v>161</v>
      </c>
      <c r="F14" s="63" t="str">
        <f>REPT(CHAR(160),10)&amp;Working!$E15</f>
        <v>          B</v>
      </c>
      <c r="G14" s="65">
        <f>IFERROR(VLOOKUP(Table1215[[#This Row],[Column2]],Table12[[Column2]:[Column54]],6,FALSE),"0")</f>
        <v>0</v>
      </c>
      <c r="H14" s="65">
        <f>IFERROR(VLOOKUP(Table1215[[#This Row],[Column2]],Table12[[Column2]:[Column54]],7,FALSE),"0")</f>
        <v>0</v>
      </c>
      <c r="I14" s="65">
        <f>IFERROR(VLOOKUP(Table1215[[#This Row],[Column2]],Table12[[Column2]:[Column54]],8,FALSE),"0")</f>
        <v>4</v>
      </c>
      <c r="J14" s="65">
        <f>IFERROR(VLOOKUP(Table1215[[#This Row],[Column2]],Table12[[Column2]:[Column54]],9,FALSE),"0")</f>
        <v>0</v>
      </c>
      <c r="K14" s="65">
        <f>IFERROR(VLOOKUP(Table1215[[#This Row],[Column2]],Table12[[Column2]:[Column54]],10,FALSE),"0")</f>
        <v>0</v>
      </c>
      <c r="L14" s="67">
        <f>Table1215[[#This Row],[Column9]]</f>
        <v>4</v>
      </c>
      <c r="M14" s="65">
        <f>IFERROR(VLOOKUP(Table1215[[#This Row],[Column2]],Table12[[Column2]:[Column54]],12,FALSE),"0")</f>
        <v>0</v>
      </c>
      <c r="N14" s="65">
        <f>IFERROR(VLOOKUP(Table1215[[#This Row],[Column2]],Table12[[Column2]:[Column54]],13,FALSE),"0")</f>
        <v>4</v>
      </c>
      <c r="O14" s="65">
        <f>IFERROR(VLOOKUP(Table1215[[#This Row],[Column2]],Table12[[Column2]:[Column54]],14,FALSE),"0")</f>
        <v>5</v>
      </c>
      <c r="P14" s="65">
        <f>IFERROR(VLOOKUP(Table1215[[#This Row],[Column2]],Table12[[Column2]:[Column54]],10,FALSE),"0")</f>
        <v>0</v>
      </c>
      <c r="Q14" s="65">
        <f>IFERROR(VLOOKUP(Table1215[[#This Row],[Column2]],Table12[[Column2]:[Column54]],16,FALSE),"0")</f>
        <v>5</v>
      </c>
      <c r="R14" s="67">
        <f>AVERAGE(Table1215[[#This Row],[Column14]],Table1215[[#This Row],[Column15]],Table1215[[#This Row],[Column17]])</f>
        <v>4.666666666666667</v>
      </c>
      <c r="S14" s="65">
        <f>IFERROR(VLOOKUP(Table1215[[#This Row],[Column2]],Table12[[Column2]:[Column54]],18,FALSE),"0")</f>
        <v>0</v>
      </c>
      <c r="T14" s="65">
        <f>IFERROR(VLOOKUP(Table1215[[#This Row],[Column2]],Table12[[Column2]:[Column54]],19,FALSE),"0")</f>
        <v>0</v>
      </c>
      <c r="U14" s="65">
        <f>IFERROR(VLOOKUP(Table1215[[#This Row],[Column2]],Table12[[Column2]:[Column54]],20,FALSE),"0")</f>
        <v>0</v>
      </c>
      <c r="V14" s="65">
        <f>IFERROR(VLOOKUP(Table1215[[#This Row],[Column2]],Table12[[Column2]:[Column54]],21,FALSE),"0")</f>
        <v>0</v>
      </c>
      <c r="W14" s="65">
        <f>IFERROR(VLOOKUP(Table1215[[#This Row],[Column2]],Table12[[Column2]:[Column54]],22,FALSE),"0")</f>
        <v>0</v>
      </c>
      <c r="X14" s="67">
        <f>Table1215[[#This Row],[Column19]]</f>
        <v>0</v>
      </c>
      <c r="Y14" s="65">
        <f>IFERROR(VLOOKUP(Table1215[[#This Row],[Column2]],Table12[[Column2]:[Column54]],24,FALSE),"0")</f>
        <v>5</v>
      </c>
      <c r="Z14" s="65">
        <f>IFERROR(VLOOKUP(Table1215[[#This Row],[Column2]],Table12[[Column2]:[Column54]],25,FALSE),"0")</f>
        <v>0</v>
      </c>
      <c r="AA14" s="65">
        <f>IFERROR(VLOOKUP(Table1215[[#This Row],[Column2]],Table12[[Column2]:[Column54]],26,FALSE),"0")</f>
        <v>0</v>
      </c>
      <c r="AB14" s="65">
        <f>IFERROR(VLOOKUP(Table1215[[#This Row],[Column2]],Table12[[Column2]:[Column54]],27,FALSE),"0")</f>
        <v>0</v>
      </c>
      <c r="AC14" s="65">
        <f>IFERROR(VLOOKUP(Table1215[[#This Row],[Column2]],Table12[[Column2]:[Column54]],28,FALSE),"0")</f>
        <v>0</v>
      </c>
      <c r="AD14" s="67">
        <f>Table1215[[#This Row],[Column25]]</f>
        <v>5</v>
      </c>
      <c r="AE14" s="65">
        <f>IFERROR(VLOOKUP(Table1215[[#This Row],[Column2]],Table12[[Column2]:[Column54]],30,FALSE),"0")</f>
        <v>0</v>
      </c>
      <c r="AF14" s="65">
        <f>IFERROR(VLOOKUP(Table1215[[#This Row],[Column2]],Table12[[Column2]:[Column54]],31,FALSE),"0")</f>
        <v>0</v>
      </c>
      <c r="AG14" s="65">
        <f>IFERROR(VLOOKUP(Table1215[[#This Row],[Column2]],Table12[[Column2]:[Column54]],32,FALSE),"0")</f>
        <v>0</v>
      </c>
      <c r="AH14" s="65">
        <f>IFERROR(VLOOKUP(Table1215[[#This Row],[Column2]],Table12[[Column2]:[Column54]],33,FALSE),"0")</f>
        <v>0</v>
      </c>
      <c r="AI14" s="65">
        <f>IFERROR(VLOOKUP(Table1215[[#This Row],[Column2]],Table12[[Column2]:[Column54]],34,FALSE),"0")</f>
        <v>0</v>
      </c>
      <c r="AJ14" s="67">
        <f>AVERAGE(Table1215[[#This Row],[Column31]],Table1215[[#This Row],[Column32]],Table1215[[#This Row],[Column33]])</f>
        <v>0</v>
      </c>
      <c r="AK14" s="65">
        <f>IFERROR(VLOOKUP(Table1215[[#This Row],[Column2]],Table12[[Column2]:[Column54]],36,FALSE),"0")</f>
        <v>4</v>
      </c>
      <c r="AL14" s="65">
        <f>IFERROR(VLOOKUP(Table1215[[#This Row],[Column2]],Table12[[Column2]:[Column54]],37,FALSE),"0")</f>
        <v>4</v>
      </c>
      <c r="AM14" s="65">
        <f>IFERROR(VLOOKUP(Table1215[[#This Row],[Column2]],Table12[[Column2]:[Column54]],38,FALSE),"0")</f>
        <v>0</v>
      </c>
      <c r="AN14" s="65">
        <f>IFERROR(VLOOKUP(Table1215[[#This Row],[Column2]],Table12[[Column2]:[Column54]],39,FALSE),"0")</f>
        <v>4</v>
      </c>
      <c r="AO14" s="65">
        <f>IFERROR(VLOOKUP(Table1215[[#This Row],[Column2]],Table12[[Column2]:[Column54]],40,FALSE),"0")</f>
        <v>0</v>
      </c>
      <c r="AP14" s="67">
        <f>AVERAGE(Table1215[[#This Row],[Column37]],Table1215[[#This Row],[Column38]],Table1215[[#This Row],[Column40]])</f>
        <v>4</v>
      </c>
      <c r="AQ14" s="65">
        <f>IFERROR(VLOOKUP(Table1215[[#This Row],[Column2]],Table12[[Column2]:[Column54]],42,FALSE),"0")</f>
        <v>3</v>
      </c>
      <c r="AR14" s="65">
        <f>IFERROR(VLOOKUP(Table1215[[#This Row],[Column2]],Table12[[Column2]:[Column54]],43,FALSE),"0")</f>
        <v>0</v>
      </c>
      <c r="AS14" s="65">
        <f>IFERROR(VLOOKUP(Table1215[[#This Row],[Column2]],Table12[[Column2]:[Column54]],44,FALSE),"0")</f>
        <v>0</v>
      </c>
      <c r="AT14" s="65">
        <f>IFERROR(VLOOKUP(Table1215[[#This Row],[Column2]],Table12[[Column2]:[Column54]],45,FALSE),"0")</f>
        <v>0</v>
      </c>
      <c r="AU14" s="65">
        <f>IFERROR(VLOOKUP(Table1215[[#This Row],[Column2]],Table12[[Column2]:[Column54]],46,FALSE),"0")</f>
        <v>0</v>
      </c>
      <c r="AV14" s="67">
        <f>Table1215[[#This Row],[Column43]]</f>
        <v>3</v>
      </c>
      <c r="AW14" s="65">
        <f>IFERROR(VLOOKUP(Table1215[[#This Row],[Column2]],Table12[[Column2]:[Column54]],48,FALSE),"0")</f>
        <v>0</v>
      </c>
      <c r="AX14" s="65">
        <f>IFERROR(VLOOKUP(Table1215[[#This Row],[Column2]],Table12[[Column2]:[Column54]],49,FALSE),"0")</f>
        <v>0</v>
      </c>
      <c r="AY14" s="65">
        <f>IFERROR(VLOOKUP(Table1215[[#This Row],[Column2]],Table12[[Column2]:[Column54]],50,FALSE),"0")</f>
        <v>0</v>
      </c>
      <c r="AZ14" s="65">
        <f>IFERROR(VLOOKUP(Table1215[[#This Row],[Column2]],Table12[[Column2]:[Column54]],51,FALSE),"0")</f>
        <v>4</v>
      </c>
      <c r="BA14" s="65">
        <f>IFERROR(VLOOKUP(Table1215[[#This Row],[Column2]],Table12[[Column2]:[Column54]],52,FALSE),"0")</f>
        <v>4</v>
      </c>
      <c r="BB14" s="67">
        <f>AVERAGE(Table1215[[#This Row],[Column52]],Table1215[[#This Row],[Column53]])</f>
        <v>4</v>
      </c>
    </row>
    <row r="15" spans="1:54" ht="23.1" customHeight="1" x14ac:dyDescent="0.3">
      <c r="A15" s="87">
        <v>12</v>
      </c>
      <c r="B15" s="70" t="s">
        <v>178</v>
      </c>
      <c r="C15" s="71" t="s">
        <v>179</v>
      </c>
      <c r="D15" s="70" t="s">
        <v>450</v>
      </c>
      <c r="E15" s="70" t="s">
        <v>161</v>
      </c>
      <c r="F15" s="70" t="str">
        <f>REPT(CHAR(160),10)&amp;Working!$E16</f>
        <v>          B</v>
      </c>
      <c r="G15" s="61">
        <f>IFERROR(VLOOKUP(Table1215[[#This Row],[Column2]],Table12[[Column2]:[Column54]],6,FALSE),"0")</f>
        <v>0</v>
      </c>
      <c r="H15" s="61">
        <f>IFERROR(VLOOKUP(Table1215[[#This Row],[Column2]],Table12[[Column2]:[Column54]],7,FALSE),"0")</f>
        <v>0</v>
      </c>
      <c r="I15" s="61">
        <f>IFERROR(VLOOKUP(Table1215[[#This Row],[Column2]],Table12[[Column2]:[Column54]],8,FALSE),"0")</f>
        <v>5</v>
      </c>
      <c r="J15" s="61">
        <f>IFERROR(VLOOKUP(Table1215[[#This Row],[Column2]],Table12[[Column2]:[Column54]],9,FALSE),"0")</f>
        <v>0</v>
      </c>
      <c r="K15" s="61">
        <f>IFERROR(VLOOKUP(Table1215[[#This Row],[Column2]],Table12[[Column2]:[Column54]],10,FALSE),"0")</f>
        <v>0</v>
      </c>
      <c r="L15" s="67">
        <f>Table1215[[#This Row],[Column9]]</f>
        <v>5</v>
      </c>
      <c r="M15" s="61">
        <f>IFERROR(VLOOKUP(Table1215[[#This Row],[Column2]],Table12[[Column2]:[Column54]],12,FALSE),"0")</f>
        <v>0</v>
      </c>
      <c r="N15" s="61">
        <f>IFERROR(VLOOKUP(Table1215[[#This Row],[Column2]],Table12[[Column2]:[Column54]],13,FALSE),"0")</f>
        <v>4</v>
      </c>
      <c r="O15" s="61">
        <f>IFERROR(VLOOKUP(Table1215[[#This Row],[Column2]],Table12[[Column2]:[Column54]],14,FALSE),"0")</f>
        <v>5</v>
      </c>
      <c r="P15" s="61">
        <f>IFERROR(VLOOKUP(Table1215[[#This Row],[Column2]],Table12[[Column2]:[Column54]],10,FALSE),"0")</f>
        <v>0</v>
      </c>
      <c r="Q15" s="61">
        <f>IFERROR(VLOOKUP(Table1215[[#This Row],[Column2]],Table12[[Column2]:[Column54]],16,FALSE),"0")</f>
        <v>5</v>
      </c>
      <c r="R15" s="67">
        <f>AVERAGE(Table1215[[#This Row],[Column14]],Table1215[[#This Row],[Column15]],Table1215[[#This Row],[Column17]])</f>
        <v>4.666666666666667</v>
      </c>
      <c r="S15" s="61">
        <f>IFERROR(VLOOKUP(Table1215[[#This Row],[Column2]],Table12[[Column2]:[Column54]],18,FALSE),"0")</f>
        <v>0</v>
      </c>
      <c r="T15" s="61">
        <f>IFERROR(VLOOKUP(Table1215[[#This Row],[Column2]],Table12[[Column2]:[Column54]],19,FALSE),"0")</f>
        <v>0</v>
      </c>
      <c r="U15" s="61">
        <f>IFERROR(VLOOKUP(Table1215[[#This Row],[Column2]],Table12[[Column2]:[Column54]],20,FALSE),"0")</f>
        <v>0</v>
      </c>
      <c r="V15" s="61">
        <f>IFERROR(VLOOKUP(Table1215[[#This Row],[Column2]],Table12[[Column2]:[Column54]],21,FALSE),"0")</f>
        <v>0</v>
      </c>
      <c r="W15" s="61">
        <f>IFERROR(VLOOKUP(Table1215[[#This Row],[Column2]],Table12[[Column2]:[Column54]],22,FALSE),"0")</f>
        <v>0</v>
      </c>
      <c r="X15" s="67">
        <f>Table1215[[#This Row],[Column19]]</f>
        <v>0</v>
      </c>
      <c r="Y15" s="61">
        <f>IFERROR(VLOOKUP(Table1215[[#This Row],[Column2]],Table12[[Column2]:[Column54]],24,FALSE),"0")</f>
        <v>4</v>
      </c>
      <c r="Z15" s="61">
        <f>IFERROR(VLOOKUP(Table1215[[#This Row],[Column2]],Table12[[Column2]:[Column54]],25,FALSE),"0")</f>
        <v>0</v>
      </c>
      <c r="AA15" s="61">
        <f>IFERROR(VLOOKUP(Table1215[[#This Row],[Column2]],Table12[[Column2]:[Column54]],26,FALSE),"0")</f>
        <v>0</v>
      </c>
      <c r="AB15" s="61">
        <f>IFERROR(VLOOKUP(Table1215[[#This Row],[Column2]],Table12[[Column2]:[Column54]],27,FALSE),"0")</f>
        <v>0</v>
      </c>
      <c r="AC15" s="61">
        <f>IFERROR(VLOOKUP(Table1215[[#This Row],[Column2]],Table12[[Column2]:[Column54]],28,FALSE),"0")</f>
        <v>0</v>
      </c>
      <c r="AD15" s="67">
        <f>Table1215[[#This Row],[Column25]]</f>
        <v>4</v>
      </c>
      <c r="AE15" s="61">
        <f>IFERROR(VLOOKUP(Table1215[[#This Row],[Column2]],Table12[[Column2]:[Column54]],30,FALSE),"0")</f>
        <v>0</v>
      </c>
      <c r="AF15" s="61">
        <f>IFERROR(VLOOKUP(Table1215[[#This Row],[Column2]],Table12[[Column2]:[Column54]],31,FALSE),"0")</f>
        <v>0</v>
      </c>
      <c r="AG15" s="61">
        <f>IFERROR(VLOOKUP(Table1215[[#This Row],[Column2]],Table12[[Column2]:[Column54]],32,FALSE),"0")</f>
        <v>0</v>
      </c>
      <c r="AH15" s="61">
        <f>IFERROR(VLOOKUP(Table1215[[#This Row],[Column2]],Table12[[Column2]:[Column54]],33,FALSE),"0")</f>
        <v>0</v>
      </c>
      <c r="AI15" s="61">
        <f>IFERROR(VLOOKUP(Table1215[[#This Row],[Column2]],Table12[[Column2]:[Column54]],34,FALSE),"0")</f>
        <v>0</v>
      </c>
      <c r="AJ15" s="67">
        <f>AVERAGE(Table1215[[#This Row],[Column31]],Table1215[[#This Row],[Column32]],Table1215[[#This Row],[Column33]])</f>
        <v>0</v>
      </c>
      <c r="AK15" s="61">
        <f>IFERROR(VLOOKUP(Table1215[[#This Row],[Column2]],Table12[[Column2]:[Column54]],36,FALSE),"0")</f>
        <v>4</v>
      </c>
      <c r="AL15" s="61">
        <f>IFERROR(VLOOKUP(Table1215[[#This Row],[Column2]],Table12[[Column2]:[Column54]],37,FALSE),"0")</f>
        <v>3</v>
      </c>
      <c r="AM15" s="61">
        <f>IFERROR(VLOOKUP(Table1215[[#This Row],[Column2]],Table12[[Column2]:[Column54]],38,FALSE),"0")</f>
        <v>0</v>
      </c>
      <c r="AN15" s="61">
        <f>IFERROR(VLOOKUP(Table1215[[#This Row],[Column2]],Table12[[Column2]:[Column54]],39,FALSE),"0")</f>
        <v>4</v>
      </c>
      <c r="AO15" s="61">
        <f>IFERROR(VLOOKUP(Table1215[[#This Row],[Column2]],Table12[[Column2]:[Column54]],40,FALSE),"0")</f>
        <v>0</v>
      </c>
      <c r="AP15" s="67">
        <f>AVERAGE(Table1215[[#This Row],[Column37]],Table1215[[#This Row],[Column38]],Table1215[[#This Row],[Column40]])</f>
        <v>3.6666666666666665</v>
      </c>
      <c r="AQ15" s="61">
        <f>IFERROR(VLOOKUP(Table1215[[#This Row],[Column2]],Table12[[Column2]:[Column54]],42,FALSE),"0")</f>
        <v>4</v>
      </c>
      <c r="AR15" s="61">
        <f>IFERROR(VLOOKUP(Table1215[[#This Row],[Column2]],Table12[[Column2]:[Column54]],43,FALSE),"0")</f>
        <v>0</v>
      </c>
      <c r="AS15" s="61">
        <f>IFERROR(VLOOKUP(Table1215[[#This Row],[Column2]],Table12[[Column2]:[Column54]],44,FALSE),"0")</f>
        <v>0</v>
      </c>
      <c r="AT15" s="61">
        <f>IFERROR(VLOOKUP(Table1215[[#This Row],[Column2]],Table12[[Column2]:[Column54]],45,FALSE),"0")</f>
        <v>0</v>
      </c>
      <c r="AU15" s="61">
        <f>IFERROR(VLOOKUP(Table1215[[#This Row],[Column2]],Table12[[Column2]:[Column54]],46,FALSE),"0")</f>
        <v>0</v>
      </c>
      <c r="AV15" s="67">
        <f>Table1215[[#This Row],[Column43]]</f>
        <v>4</v>
      </c>
      <c r="AW15" s="61">
        <f>IFERROR(VLOOKUP(Table1215[[#This Row],[Column2]],Table12[[Column2]:[Column54]],48,FALSE),"0")</f>
        <v>0</v>
      </c>
      <c r="AX15" s="61">
        <f>IFERROR(VLOOKUP(Table1215[[#This Row],[Column2]],Table12[[Column2]:[Column54]],49,FALSE),"0")</f>
        <v>0</v>
      </c>
      <c r="AY15" s="61">
        <f>IFERROR(VLOOKUP(Table1215[[#This Row],[Column2]],Table12[[Column2]:[Column54]],50,FALSE),"0")</f>
        <v>0</v>
      </c>
      <c r="AZ15" s="61">
        <f>IFERROR(VLOOKUP(Table1215[[#This Row],[Column2]],Table12[[Column2]:[Column54]],51,FALSE),"0")</f>
        <v>4</v>
      </c>
      <c r="BA15" s="61">
        <f>IFERROR(VLOOKUP(Table1215[[#This Row],[Column2]],Table12[[Column2]:[Column54]],52,FALSE),"0")</f>
        <v>4</v>
      </c>
      <c r="BB15" s="67">
        <f>AVERAGE(Table1215[[#This Row],[Column52]],Table1215[[#This Row],[Column53]])</f>
        <v>4</v>
      </c>
    </row>
    <row r="16" spans="1:54" ht="23.1" customHeight="1" x14ac:dyDescent="0.3">
      <c r="A16" s="86">
        <v>13</v>
      </c>
      <c r="B16" s="63" t="s">
        <v>87</v>
      </c>
      <c r="C16" s="64" t="s">
        <v>88</v>
      </c>
      <c r="D16" s="63" t="s">
        <v>450</v>
      </c>
      <c r="E16" s="63" t="s">
        <v>35</v>
      </c>
      <c r="F16" s="63" t="str">
        <f>REPT(CHAR(160),10)&amp;Working!$E17</f>
        <v>          A</v>
      </c>
      <c r="G16" s="65">
        <f>IFERROR(VLOOKUP(Table1215[[#This Row],[Column2]],Table12[[Column2]:[Column54]],6,FALSE),"0")</f>
        <v>0</v>
      </c>
      <c r="H16" s="65">
        <f>IFERROR(VLOOKUP(Table1215[[#This Row],[Column2]],Table12[[Column2]:[Column54]],7,FALSE),"0")</f>
        <v>0</v>
      </c>
      <c r="I16" s="65">
        <f>IFERROR(VLOOKUP(Table1215[[#This Row],[Column2]],Table12[[Column2]:[Column54]],8,FALSE),"0")</f>
        <v>4</v>
      </c>
      <c r="J16" s="65">
        <f>IFERROR(VLOOKUP(Table1215[[#This Row],[Column2]],Table12[[Column2]:[Column54]],9,FALSE),"0")</f>
        <v>0</v>
      </c>
      <c r="K16" s="65">
        <f>IFERROR(VLOOKUP(Table1215[[#This Row],[Column2]],Table12[[Column2]:[Column54]],10,FALSE),"0")</f>
        <v>0</v>
      </c>
      <c r="L16" s="67">
        <f>Table1215[[#This Row],[Column9]]</f>
        <v>4</v>
      </c>
      <c r="M16" s="65">
        <f>IFERROR(VLOOKUP(Table1215[[#This Row],[Column2]],Table12[[Column2]:[Column54]],12,FALSE),"0")</f>
        <v>0</v>
      </c>
      <c r="N16" s="65">
        <f>IFERROR(VLOOKUP(Table1215[[#This Row],[Column2]],Table12[[Column2]:[Column54]],13,FALSE),"0")</f>
        <v>4</v>
      </c>
      <c r="O16" s="65">
        <f>IFERROR(VLOOKUP(Table1215[[#This Row],[Column2]],Table12[[Column2]:[Column54]],14,FALSE),"0")</f>
        <v>4</v>
      </c>
      <c r="P16" s="65">
        <f>IFERROR(VLOOKUP(Table1215[[#This Row],[Column2]],Table12[[Column2]:[Column54]],10,FALSE),"0")</f>
        <v>0</v>
      </c>
      <c r="Q16" s="65">
        <f>IFERROR(VLOOKUP(Table1215[[#This Row],[Column2]],Table12[[Column2]:[Column54]],16,FALSE),"0")</f>
        <v>4</v>
      </c>
      <c r="R16" s="67">
        <f>AVERAGE(Table1215[[#This Row],[Column14]],Table1215[[#This Row],[Column15]],Table1215[[#This Row],[Column17]])</f>
        <v>4</v>
      </c>
      <c r="S16" s="65">
        <f>IFERROR(VLOOKUP(Table1215[[#This Row],[Column2]],Table12[[Column2]:[Column54]],18,FALSE),"0")</f>
        <v>0</v>
      </c>
      <c r="T16" s="65">
        <f>IFERROR(VLOOKUP(Table1215[[#This Row],[Column2]],Table12[[Column2]:[Column54]],19,FALSE),"0")</f>
        <v>0</v>
      </c>
      <c r="U16" s="65">
        <f>IFERROR(VLOOKUP(Table1215[[#This Row],[Column2]],Table12[[Column2]:[Column54]],20,FALSE),"0")</f>
        <v>0</v>
      </c>
      <c r="V16" s="65">
        <f>IFERROR(VLOOKUP(Table1215[[#This Row],[Column2]],Table12[[Column2]:[Column54]],21,FALSE),"0")</f>
        <v>0</v>
      </c>
      <c r="W16" s="65">
        <f>IFERROR(VLOOKUP(Table1215[[#This Row],[Column2]],Table12[[Column2]:[Column54]],22,FALSE),"0")</f>
        <v>0</v>
      </c>
      <c r="X16" s="67">
        <f>Table1215[[#This Row],[Column19]]</f>
        <v>0</v>
      </c>
      <c r="Y16" s="65">
        <f>IFERROR(VLOOKUP(Table1215[[#This Row],[Column2]],Table12[[Column2]:[Column54]],24,FALSE),"0")</f>
        <v>4</v>
      </c>
      <c r="Z16" s="65">
        <f>IFERROR(VLOOKUP(Table1215[[#This Row],[Column2]],Table12[[Column2]:[Column54]],25,FALSE),"0")</f>
        <v>0</v>
      </c>
      <c r="AA16" s="65">
        <f>IFERROR(VLOOKUP(Table1215[[#This Row],[Column2]],Table12[[Column2]:[Column54]],26,FALSE),"0")</f>
        <v>0</v>
      </c>
      <c r="AB16" s="65">
        <f>IFERROR(VLOOKUP(Table1215[[#This Row],[Column2]],Table12[[Column2]:[Column54]],27,FALSE),"0")</f>
        <v>0</v>
      </c>
      <c r="AC16" s="65">
        <f>IFERROR(VLOOKUP(Table1215[[#This Row],[Column2]],Table12[[Column2]:[Column54]],28,FALSE),"0")</f>
        <v>0</v>
      </c>
      <c r="AD16" s="67">
        <f>Table1215[[#This Row],[Column25]]</f>
        <v>4</v>
      </c>
      <c r="AE16" s="65">
        <f>IFERROR(VLOOKUP(Table1215[[#This Row],[Column2]],Table12[[Column2]:[Column54]],30,FALSE),"0")</f>
        <v>0</v>
      </c>
      <c r="AF16" s="65">
        <f>IFERROR(VLOOKUP(Table1215[[#This Row],[Column2]],Table12[[Column2]:[Column54]],31,FALSE),"0")</f>
        <v>0</v>
      </c>
      <c r="AG16" s="65">
        <f>IFERROR(VLOOKUP(Table1215[[#This Row],[Column2]],Table12[[Column2]:[Column54]],32,FALSE),"0")</f>
        <v>0</v>
      </c>
      <c r="AH16" s="65">
        <f>IFERROR(VLOOKUP(Table1215[[#This Row],[Column2]],Table12[[Column2]:[Column54]],33,FALSE),"0")</f>
        <v>0</v>
      </c>
      <c r="AI16" s="65">
        <f>IFERROR(VLOOKUP(Table1215[[#This Row],[Column2]],Table12[[Column2]:[Column54]],34,FALSE),"0")</f>
        <v>0</v>
      </c>
      <c r="AJ16" s="67">
        <f>AVERAGE(Table1215[[#This Row],[Column31]],Table1215[[#This Row],[Column32]],Table1215[[#This Row],[Column33]])</f>
        <v>0</v>
      </c>
      <c r="AK16" s="65">
        <f>IFERROR(VLOOKUP(Table1215[[#This Row],[Column2]],Table12[[Column2]:[Column54]],36,FALSE),"0")</f>
        <v>4</v>
      </c>
      <c r="AL16" s="65">
        <f>IFERROR(VLOOKUP(Table1215[[#This Row],[Column2]],Table12[[Column2]:[Column54]],37,FALSE),"0")</f>
        <v>4</v>
      </c>
      <c r="AM16" s="65">
        <f>IFERROR(VLOOKUP(Table1215[[#This Row],[Column2]],Table12[[Column2]:[Column54]],38,FALSE),"0")</f>
        <v>0</v>
      </c>
      <c r="AN16" s="65">
        <f>IFERROR(VLOOKUP(Table1215[[#This Row],[Column2]],Table12[[Column2]:[Column54]],39,FALSE),"0")</f>
        <v>4</v>
      </c>
      <c r="AO16" s="65">
        <f>IFERROR(VLOOKUP(Table1215[[#This Row],[Column2]],Table12[[Column2]:[Column54]],40,FALSE),"0")</f>
        <v>0</v>
      </c>
      <c r="AP16" s="67">
        <f>AVERAGE(Table1215[[#This Row],[Column37]],Table1215[[#This Row],[Column38]],Table1215[[#This Row],[Column40]])</f>
        <v>4</v>
      </c>
      <c r="AQ16" s="65">
        <f>IFERROR(VLOOKUP(Table1215[[#This Row],[Column2]],Table12[[Column2]:[Column54]],42,FALSE),"0")</f>
        <v>4</v>
      </c>
      <c r="AR16" s="65">
        <f>IFERROR(VLOOKUP(Table1215[[#This Row],[Column2]],Table12[[Column2]:[Column54]],43,FALSE),"0")</f>
        <v>0</v>
      </c>
      <c r="AS16" s="65">
        <f>IFERROR(VLOOKUP(Table1215[[#This Row],[Column2]],Table12[[Column2]:[Column54]],44,FALSE),"0")</f>
        <v>0</v>
      </c>
      <c r="AT16" s="65">
        <f>IFERROR(VLOOKUP(Table1215[[#This Row],[Column2]],Table12[[Column2]:[Column54]],45,FALSE),"0")</f>
        <v>0</v>
      </c>
      <c r="AU16" s="65">
        <f>IFERROR(VLOOKUP(Table1215[[#This Row],[Column2]],Table12[[Column2]:[Column54]],46,FALSE),"0")</f>
        <v>0</v>
      </c>
      <c r="AV16" s="67">
        <f>Table1215[[#This Row],[Column43]]</f>
        <v>4</v>
      </c>
      <c r="AW16" s="65">
        <f>IFERROR(VLOOKUP(Table1215[[#This Row],[Column2]],Table12[[Column2]:[Column54]],48,FALSE),"0")</f>
        <v>0</v>
      </c>
      <c r="AX16" s="65">
        <f>IFERROR(VLOOKUP(Table1215[[#This Row],[Column2]],Table12[[Column2]:[Column54]],49,FALSE),"0")</f>
        <v>0</v>
      </c>
      <c r="AY16" s="65">
        <f>IFERROR(VLOOKUP(Table1215[[#This Row],[Column2]],Table12[[Column2]:[Column54]],50,FALSE),"0")</f>
        <v>0</v>
      </c>
      <c r="AZ16" s="65">
        <f>IFERROR(VLOOKUP(Table1215[[#This Row],[Column2]],Table12[[Column2]:[Column54]],51,FALSE),"0")</f>
        <v>4</v>
      </c>
      <c r="BA16" s="65">
        <f>IFERROR(VLOOKUP(Table1215[[#This Row],[Column2]],Table12[[Column2]:[Column54]],52,FALSE),"0")</f>
        <v>4</v>
      </c>
      <c r="BB16" s="67">
        <f>AVERAGE(Table1215[[#This Row],[Column52]],Table1215[[#This Row],[Column53]])</f>
        <v>4</v>
      </c>
    </row>
    <row r="17" spans="1:54" ht="23.1" customHeight="1" x14ac:dyDescent="0.3">
      <c r="A17" s="87">
        <v>14</v>
      </c>
      <c r="B17" s="70" t="s">
        <v>194</v>
      </c>
      <c r="C17" s="71" t="s">
        <v>195</v>
      </c>
      <c r="D17" s="70" t="s">
        <v>542</v>
      </c>
      <c r="E17" s="70" t="s">
        <v>161</v>
      </c>
      <c r="F17" s="70" t="str">
        <f>REPT(CHAR(160),10)&amp;Working!$E18</f>
        <v>          B</v>
      </c>
      <c r="G17" s="61">
        <f>IFERROR(VLOOKUP(Table1215[[#This Row],[Column2]],Table12[[Column2]:[Column54]],6,FALSE),"0")</f>
        <v>0</v>
      </c>
      <c r="H17" s="61">
        <f>IFERROR(VLOOKUP(Table1215[[#This Row],[Column2]],Table12[[Column2]:[Column54]],7,FALSE),"0")</f>
        <v>0</v>
      </c>
      <c r="I17" s="61">
        <f>IFERROR(VLOOKUP(Table1215[[#This Row],[Column2]],Table12[[Column2]:[Column54]],8,FALSE),"0")</f>
        <v>4</v>
      </c>
      <c r="J17" s="61">
        <f>IFERROR(VLOOKUP(Table1215[[#This Row],[Column2]],Table12[[Column2]:[Column54]],9,FALSE),"0")</f>
        <v>0</v>
      </c>
      <c r="K17" s="61">
        <f>IFERROR(VLOOKUP(Table1215[[#This Row],[Column2]],Table12[[Column2]:[Column54]],10,FALSE),"0")</f>
        <v>0</v>
      </c>
      <c r="L17" s="67">
        <f>Table1215[[#This Row],[Column9]]</f>
        <v>4</v>
      </c>
      <c r="M17" s="61">
        <f>IFERROR(VLOOKUP(Table1215[[#This Row],[Column2]],Table12[[Column2]:[Column54]],12,FALSE),"0")</f>
        <v>0</v>
      </c>
      <c r="N17" s="61">
        <f>IFERROR(VLOOKUP(Table1215[[#This Row],[Column2]],Table12[[Column2]:[Column54]],13,FALSE),"0")</f>
        <v>4</v>
      </c>
      <c r="O17" s="61">
        <f>IFERROR(VLOOKUP(Table1215[[#This Row],[Column2]],Table12[[Column2]:[Column54]],14,FALSE),"0")</f>
        <v>4</v>
      </c>
      <c r="P17" s="61">
        <f>IFERROR(VLOOKUP(Table1215[[#This Row],[Column2]],Table12[[Column2]:[Column54]],10,FALSE),"0")</f>
        <v>0</v>
      </c>
      <c r="Q17" s="61">
        <f>IFERROR(VLOOKUP(Table1215[[#This Row],[Column2]],Table12[[Column2]:[Column54]],16,FALSE),"0")</f>
        <v>4</v>
      </c>
      <c r="R17" s="67">
        <f>AVERAGE(Table1215[[#This Row],[Column14]],Table1215[[#This Row],[Column15]],Table1215[[#This Row],[Column17]])</f>
        <v>4</v>
      </c>
      <c r="S17" s="61">
        <f>IFERROR(VLOOKUP(Table1215[[#This Row],[Column2]],Table12[[Column2]:[Column54]],18,FALSE),"0")</f>
        <v>0</v>
      </c>
      <c r="T17" s="61">
        <f>IFERROR(VLOOKUP(Table1215[[#This Row],[Column2]],Table12[[Column2]:[Column54]],19,FALSE),"0")</f>
        <v>0</v>
      </c>
      <c r="U17" s="61">
        <f>IFERROR(VLOOKUP(Table1215[[#This Row],[Column2]],Table12[[Column2]:[Column54]],20,FALSE),"0")</f>
        <v>0</v>
      </c>
      <c r="V17" s="61">
        <f>IFERROR(VLOOKUP(Table1215[[#This Row],[Column2]],Table12[[Column2]:[Column54]],21,FALSE),"0")</f>
        <v>0</v>
      </c>
      <c r="W17" s="61">
        <f>IFERROR(VLOOKUP(Table1215[[#This Row],[Column2]],Table12[[Column2]:[Column54]],22,FALSE),"0")</f>
        <v>0</v>
      </c>
      <c r="X17" s="67">
        <f>Table1215[[#This Row],[Column19]]</f>
        <v>0</v>
      </c>
      <c r="Y17" s="61">
        <f>IFERROR(VLOOKUP(Table1215[[#This Row],[Column2]],Table12[[Column2]:[Column54]],24,FALSE),"0")</f>
        <v>5</v>
      </c>
      <c r="Z17" s="61">
        <f>IFERROR(VLOOKUP(Table1215[[#This Row],[Column2]],Table12[[Column2]:[Column54]],25,FALSE),"0")</f>
        <v>0</v>
      </c>
      <c r="AA17" s="61">
        <f>IFERROR(VLOOKUP(Table1215[[#This Row],[Column2]],Table12[[Column2]:[Column54]],26,FALSE),"0")</f>
        <v>0</v>
      </c>
      <c r="AB17" s="61">
        <f>IFERROR(VLOOKUP(Table1215[[#This Row],[Column2]],Table12[[Column2]:[Column54]],27,FALSE),"0")</f>
        <v>0</v>
      </c>
      <c r="AC17" s="61">
        <f>IFERROR(VLOOKUP(Table1215[[#This Row],[Column2]],Table12[[Column2]:[Column54]],28,FALSE),"0")</f>
        <v>0</v>
      </c>
      <c r="AD17" s="67">
        <f>Table1215[[#This Row],[Column25]]</f>
        <v>5</v>
      </c>
      <c r="AE17" s="61">
        <f>IFERROR(VLOOKUP(Table1215[[#This Row],[Column2]],Table12[[Column2]:[Column54]],30,FALSE),"0")</f>
        <v>0</v>
      </c>
      <c r="AF17" s="61">
        <f>IFERROR(VLOOKUP(Table1215[[#This Row],[Column2]],Table12[[Column2]:[Column54]],31,FALSE),"0")</f>
        <v>0</v>
      </c>
      <c r="AG17" s="61">
        <f>IFERROR(VLOOKUP(Table1215[[#This Row],[Column2]],Table12[[Column2]:[Column54]],32,FALSE),"0")</f>
        <v>0</v>
      </c>
      <c r="AH17" s="61">
        <f>IFERROR(VLOOKUP(Table1215[[#This Row],[Column2]],Table12[[Column2]:[Column54]],33,FALSE),"0")</f>
        <v>0</v>
      </c>
      <c r="AI17" s="61">
        <f>IFERROR(VLOOKUP(Table1215[[#This Row],[Column2]],Table12[[Column2]:[Column54]],34,FALSE),"0")</f>
        <v>0</v>
      </c>
      <c r="AJ17" s="67">
        <f>AVERAGE(Table1215[[#This Row],[Column31]],Table1215[[#This Row],[Column32]],Table1215[[#This Row],[Column33]])</f>
        <v>0</v>
      </c>
      <c r="AK17" s="61">
        <f>IFERROR(VLOOKUP(Table1215[[#This Row],[Column2]],Table12[[Column2]:[Column54]],36,FALSE),"0")</f>
        <v>5</v>
      </c>
      <c r="AL17" s="61">
        <f>IFERROR(VLOOKUP(Table1215[[#This Row],[Column2]],Table12[[Column2]:[Column54]],37,FALSE),"0")</f>
        <v>5</v>
      </c>
      <c r="AM17" s="61">
        <f>IFERROR(VLOOKUP(Table1215[[#This Row],[Column2]],Table12[[Column2]:[Column54]],38,FALSE),"0")</f>
        <v>0</v>
      </c>
      <c r="AN17" s="61">
        <f>IFERROR(VLOOKUP(Table1215[[#This Row],[Column2]],Table12[[Column2]:[Column54]],39,FALSE),"0")</f>
        <v>5</v>
      </c>
      <c r="AO17" s="61">
        <f>IFERROR(VLOOKUP(Table1215[[#This Row],[Column2]],Table12[[Column2]:[Column54]],40,FALSE),"0")</f>
        <v>0</v>
      </c>
      <c r="AP17" s="67">
        <f>AVERAGE(Table1215[[#This Row],[Column37]],Table1215[[#This Row],[Column38]],Table1215[[#This Row],[Column40]])</f>
        <v>5</v>
      </c>
      <c r="AQ17" s="61">
        <f>IFERROR(VLOOKUP(Table1215[[#This Row],[Column2]],Table12[[Column2]:[Column54]],42,FALSE),"0")</f>
        <v>0</v>
      </c>
      <c r="AR17" s="61">
        <f>IFERROR(VLOOKUP(Table1215[[#This Row],[Column2]],Table12[[Column2]:[Column54]],43,FALSE),"0")</f>
        <v>0</v>
      </c>
      <c r="AS17" s="61">
        <f>IFERROR(VLOOKUP(Table1215[[#This Row],[Column2]],Table12[[Column2]:[Column54]],44,FALSE),"0")</f>
        <v>0</v>
      </c>
      <c r="AT17" s="61">
        <f>IFERROR(VLOOKUP(Table1215[[#This Row],[Column2]],Table12[[Column2]:[Column54]],45,FALSE),"0")</f>
        <v>0</v>
      </c>
      <c r="AU17" s="61">
        <f>IFERROR(VLOOKUP(Table1215[[#This Row],[Column2]],Table12[[Column2]:[Column54]],46,FALSE),"0")</f>
        <v>0</v>
      </c>
      <c r="AV17" s="67">
        <f>Table1215[[#This Row],[Column43]]</f>
        <v>0</v>
      </c>
      <c r="AW17" s="61">
        <f>IFERROR(VLOOKUP(Table1215[[#This Row],[Column2]],Table12[[Column2]:[Column54]],48,FALSE),"0")</f>
        <v>0</v>
      </c>
      <c r="AX17" s="61">
        <f>IFERROR(VLOOKUP(Table1215[[#This Row],[Column2]],Table12[[Column2]:[Column54]],49,FALSE),"0")</f>
        <v>0</v>
      </c>
      <c r="AY17" s="61">
        <f>IFERROR(VLOOKUP(Table1215[[#This Row],[Column2]],Table12[[Column2]:[Column54]],50,FALSE),"0")</f>
        <v>0</v>
      </c>
      <c r="AZ17" s="61">
        <f>IFERROR(VLOOKUP(Table1215[[#This Row],[Column2]],Table12[[Column2]:[Column54]],51,FALSE),"0")</f>
        <v>4</v>
      </c>
      <c r="BA17" s="61">
        <f>IFERROR(VLOOKUP(Table1215[[#This Row],[Column2]],Table12[[Column2]:[Column54]],52,FALSE),"0")</f>
        <v>4</v>
      </c>
      <c r="BB17" s="67">
        <f>AVERAGE(Table1215[[#This Row],[Column52]],Table1215[[#This Row],[Column53]])</f>
        <v>4</v>
      </c>
    </row>
    <row r="18" spans="1:54" ht="23.1" customHeight="1" x14ac:dyDescent="0.3">
      <c r="A18" s="86">
        <v>15</v>
      </c>
      <c r="B18" s="63" t="s">
        <v>293</v>
      </c>
      <c r="C18" s="64" t="s">
        <v>294</v>
      </c>
      <c r="D18" s="63" t="s">
        <v>542</v>
      </c>
      <c r="E18" s="63" t="s">
        <v>493</v>
      </c>
      <c r="F18" s="63" t="str">
        <f>REPT(CHAR(160),10)&amp;Working!$E19</f>
        <v>          C</v>
      </c>
      <c r="G18" s="65">
        <f>IFERROR(VLOOKUP(Table1215[[#This Row],[Column2]],Table12[[Column2]:[Column54]],6,FALSE),"0")</f>
        <v>0</v>
      </c>
      <c r="H18" s="65">
        <f>IFERROR(VLOOKUP(Table1215[[#This Row],[Column2]],Table12[[Column2]:[Column54]],7,FALSE),"0")</f>
        <v>0</v>
      </c>
      <c r="I18" s="65">
        <f>IFERROR(VLOOKUP(Table1215[[#This Row],[Column2]],Table12[[Column2]:[Column54]],8,FALSE),"0")</f>
        <v>4</v>
      </c>
      <c r="J18" s="65">
        <f>IFERROR(VLOOKUP(Table1215[[#This Row],[Column2]],Table12[[Column2]:[Column54]],9,FALSE),"0")</f>
        <v>0</v>
      </c>
      <c r="K18" s="65">
        <f>IFERROR(VLOOKUP(Table1215[[#This Row],[Column2]],Table12[[Column2]:[Column54]],10,FALSE),"0")</f>
        <v>0</v>
      </c>
      <c r="L18" s="67">
        <f>Table1215[[#This Row],[Column9]]</f>
        <v>4</v>
      </c>
      <c r="M18" s="65">
        <f>IFERROR(VLOOKUP(Table1215[[#This Row],[Column2]],Table12[[Column2]:[Column54]],12,FALSE),"0")</f>
        <v>0</v>
      </c>
      <c r="N18" s="65">
        <f>IFERROR(VLOOKUP(Table1215[[#This Row],[Column2]],Table12[[Column2]:[Column54]],13,FALSE),"0")</f>
        <v>4</v>
      </c>
      <c r="O18" s="65">
        <f>IFERROR(VLOOKUP(Table1215[[#This Row],[Column2]],Table12[[Column2]:[Column54]],14,FALSE),"0")</f>
        <v>4</v>
      </c>
      <c r="P18" s="65">
        <f>IFERROR(VLOOKUP(Table1215[[#This Row],[Column2]],Table12[[Column2]:[Column54]],10,FALSE),"0")</f>
        <v>0</v>
      </c>
      <c r="Q18" s="65">
        <f>IFERROR(VLOOKUP(Table1215[[#This Row],[Column2]],Table12[[Column2]:[Column54]],16,FALSE),"0")</f>
        <v>4</v>
      </c>
      <c r="R18" s="67">
        <f>AVERAGE(Table1215[[#This Row],[Column14]],Table1215[[#This Row],[Column15]],Table1215[[#This Row],[Column17]])</f>
        <v>4</v>
      </c>
      <c r="S18" s="65">
        <f>IFERROR(VLOOKUP(Table1215[[#This Row],[Column2]],Table12[[Column2]:[Column54]],18,FALSE),"0")</f>
        <v>0</v>
      </c>
      <c r="T18" s="65">
        <f>IFERROR(VLOOKUP(Table1215[[#This Row],[Column2]],Table12[[Column2]:[Column54]],19,FALSE),"0")</f>
        <v>0</v>
      </c>
      <c r="U18" s="65">
        <f>IFERROR(VLOOKUP(Table1215[[#This Row],[Column2]],Table12[[Column2]:[Column54]],20,FALSE),"0")</f>
        <v>0</v>
      </c>
      <c r="V18" s="65">
        <f>IFERROR(VLOOKUP(Table1215[[#This Row],[Column2]],Table12[[Column2]:[Column54]],21,FALSE),"0")</f>
        <v>0</v>
      </c>
      <c r="W18" s="65">
        <f>IFERROR(VLOOKUP(Table1215[[#This Row],[Column2]],Table12[[Column2]:[Column54]],22,FALSE),"0")</f>
        <v>0</v>
      </c>
      <c r="X18" s="67">
        <f>Table1215[[#This Row],[Column19]]</f>
        <v>0</v>
      </c>
      <c r="Y18" s="65">
        <f>IFERROR(VLOOKUP(Table1215[[#This Row],[Column2]],Table12[[Column2]:[Column54]],24,FALSE),"0")</f>
        <v>4</v>
      </c>
      <c r="Z18" s="65">
        <f>IFERROR(VLOOKUP(Table1215[[#This Row],[Column2]],Table12[[Column2]:[Column54]],25,FALSE),"0")</f>
        <v>0</v>
      </c>
      <c r="AA18" s="65">
        <f>IFERROR(VLOOKUP(Table1215[[#This Row],[Column2]],Table12[[Column2]:[Column54]],26,FALSE),"0")</f>
        <v>0</v>
      </c>
      <c r="AB18" s="65">
        <f>IFERROR(VLOOKUP(Table1215[[#This Row],[Column2]],Table12[[Column2]:[Column54]],27,FALSE),"0")</f>
        <v>0</v>
      </c>
      <c r="AC18" s="65">
        <f>IFERROR(VLOOKUP(Table1215[[#This Row],[Column2]],Table12[[Column2]:[Column54]],28,FALSE),"0")</f>
        <v>0</v>
      </c>
      <c r="AD18" s="67">
        <f>Table1215[[#This Row],[Column25]]</f>
        <v>4</v>
      </c>
      <c r="AE18" s="65">
        <f>IFERROR(VLOOKUP(Table1215[[#This Row],[Column2]],Table12[[Column2]:[Column54]],30,FALSE),"0")</f>
        <v>0</v>
      </c>
      <c r="AF18" s="65">
        <f>IFERROR(VLOOKUP(Table1215[[#This Row],[Column2]],Table12[[Column2]:[Column54]],31,FALSE),"0")</f>
        <v>0</v>
      </c>
      <c r="AG18" s="65">
        <f>IFERROR(VLOOKUP(Table1215[[#This Row],[Column2]],Table12[[Column2]:[Column54]],32,FALSE),"0")</f>
        <v>0</v>
      </c>
      <c r="AH18" s="65">
        <f>IFERROR(VLOOKUP(Table1215[[#This Row],[Column2]],Table12[[Column2]:[Column54]],33,FALSE),"0")</f>
        <v>0</v>
      </c>
      <c r="AI18" s="65">
        <f>IFERROR(VLOOKUP(Table1215[[#This Row],[Column2]],Table12[[Column2]:[Column54]],34,FALSE),"0")</f>
        <v>0</v>
      </c>
      <c r="AJ18" s="67">
        <f>AVERAGE(Table1215[[#This Row],[Column31]],Table1215[[#This Row],[Column32]],Table1215[[#This Row],[Column33]])</f>
        <v>0</v>
      </c>
      <c r="AK18" s="65">
        <f>IFERROR(VLOOKUP(Table1215[[#This Row],[Column2]],Table12[[Column2]:[Column54]],36,FALSE),"0")</f>
        <v>4</v>
      </c>
      <c r="AL18" s="65">
        <f>IFERROR(VLOOKUP(Table1215[[#This Row],[Column2]],Table12[[Column2]:[Column54]],37,FALSE),"0")</f>
        <v>4</v>
      </c>
      <c r="AM18" s="65">
        <f>IFERROR(VLOOKUP(Table1215[[#This Row],[Column2]],Table12[[Column2]:[Column54]],38,FALSE),"0")</f>
        <v>0</v>
      </c>
      <c r="AN18" s="65">
        <f>IFERROR(VLOOKUP(Table1215[[#This Row],[Column2]],Table12[[Column2]:[Column54]],39,FALSE),"0")</f>
        <v>4</v>
      </c>
      <c r="AO18" s="65">
        <f>IFERROR(VLOOKUP(Table1215[[#This Row],[Column2]],Table12[[Column2]:[Column54]],40,FALSE),"0")</f>
        <v>0</v>
      </c>
      <c r="AP18" s="67">
        <f>AVERAGE(Table1215[[#This Row],[Column37]],Table1215[[#This Row],[Column38]],Table1215[[#This Row],[Column40]])</f>
        <v>4</v>
      </c>
      <c r="AQ18" s="65">
        <f>IFERROR(VLOOKUP(Table1215[[#This Row],[Column2]],Table12[[Column2]:[Column54]],42,FALSE),"0")</f>
        <v>3</v>
      </c>
      <c r="AR18" s="65">
        <f>IFERROR(VLOOKUP(Table1215[[#This Row],[Column2]],Table12[[Column2]:[Column54]],43,FALSE),"0")</f>
        <v>0</v>
      </c>
      <c r="AS18" s="65">
        <f>IFERROR(VLOOKUP(Table1215[[#This Row],[Column2]],Table12[[Column2]:[Column54]],44,FALSE),"0")</f>
        <v>0</v>
      </c>
      <c r="AT18" s="65">
        <f>IFERROR(VLOOKUP(Table1215[[#This Row],[Column2]],Table12[[Column2]:[Column54]],45,FALSE),"0")</f>
        <v>0</v>
      </c>
      <c r="AU18" s="65">
        <f>IFERROR(VLOOKUP(Table1215[[#This Row],[Column2]],Table12[[Column2]:[Column54]],46,FALSE),"0")</f>
        <v>0</v>
      </c>
      <c r="AV18" s="67">
        <f>Table1215[[#This Row],[Column43]]</f>
        <v>3</v>
      </c>
      <c r="AW18" s="65">
        <f>IFERROR(VLOOKUP(Table1215[[#This Row],[Column2]],Table12[[Column2]:[Column54]],48,FALSE),"0")</f>
        <v>0</v>
      </c>
      <c r="AX18" s="65">
        <f>IFERROR(VLOOKUP(Table1215[[#This Row],[Column2]],Table12[[Column2]:[Column54]],49,FALSE),"0")</f>
        <v>0</v>
      </c>
      <c r="AY18" s="65">
        <f>IFERROR(VLOOKUP(Table1215[[#This Row],[Column2]],Table12[[Column2]:[Column54]],50,FALSE),"0")</f>
        <v>0</v>
      </c>
      <c r="AZ18" s="65">
        <f>IFERROR(VLOOKUP(Table1215[[#This Row],[Column2]],Table12[[Column2]:[Column54]],51,FALSE),"0")</f>
        <v>4</v>
      </c>
      <c r="BA18" s="65">
        <f>IFERROR(VLOOKUP(Table1215[[#This Row],[Column2]],Table12[[Column2]:[Column54]],52,FALSE),"0")</f>
        <v>4</v>
      </c>
      <c r="BB18" s="67">
        <f>AVERAGE(Table1215[[#This Row],[Column52]],Table1215[[#This Row],[Column53]])</f>
        <v>4</v>
      </c>
    </row>
    <row r="19" spans="1:54" ht="23.1" customHeight="1" x14ac:dyDescent="0.3">
      <c r="A19" s="87">
        <v>16</v>
      </c>
      <c r="B19" s="70" t="s">
        <v>105</v>
      </c>
      <c r="C19" s="71" t="s">
        <v>106</v>
      </c>
      <c r="D19" s="70" t="s">
        <v>450</v>
      </c>
      <c r="E19" s="70" t="s">
        <v>35</v>
      </c>
      <c r="F19" s="70" t="str">
        <f>REPT(CHAR(160),10)&amp;Working!$E20</f>
        <v>          A</v>
      </c>
      <c r="G19" s="61">
        <f>IFERROR(VLOOKUP(Table1215[[#This Row],[Column2]],Table12[[Column2]:[Column54]],6,FALSE),"0")</f>
        <v>0</v>
      </c>
      <c r="H19" s="61">
        <f>IFERROR(VLOOKUP(Table1215[[#This Row],[Column2]],Table12[[Column2]:[Column54]],7,FALSE),"0")</f>
        <v>0</v>
      </c>
      <c r="I19" s="61">
        <f>IFERROR(VLOOKUP(Table1215[[#This Row],[Column2]],Table12[[Column2]:[Column54]],8,FALSE),"0")</f>
        <v>4</v>
      </c>
      <c r="J19" s="61">
        <f>IFERROR(VLOOKUP(Table1215[[#This Row],[Column2]],Table12[[Column2]:[Column54]],9,FALSE),"0")</f>
        <v>0</v>
      </c>
      <c r="K19" s="61">
        <f>IFERROR(VLOOKUP(Table1215[[#This Row],[Column2]],Table12[[Column2]:[Column54]],10,FALSE),"0")</f>
        <v>0</v>
      </c>
      <c r="L19" s="67">
        <f>Table1215[[#This Row],[Column9]]</f>
        <v>4</v>
      </c>
      <c r="M19" s="61">
        <f>IFERROR(VLOOKUP(Table1215[[#This Row],[Column2]],Table12[[Column2]:[Column54]],12,FALSE),"0")</f>
        <v>0</v>
      </c>
      <c r="N19" s="61">
        <f>IFERROR(VLOOKUP(Table1215[[#This Row],[Column2]],Table12[[Column2]:[Column54]],13,FALSE),"0")</f>
        <v>4</v>
      </c>
      <c r="O19" s="61">
        <f>IFERROR(VLOOKUP(Table1215[[#This Row],[Column2]],Table12[[Column2]:[Column54]],14,FALSE),"0")</f>
        <v>4</v>
      </c>
      <c r="P19" s="61">
        <f>IFERROR(VLOOKUP(Table1215[[#This Row],[Column2]],Table12[[Column2]:[Column54]],10,FALSE),"0")</f>
        <v>0</v>
      </c>
      <c r="Q19" s="61">
        <f>IFERROR(VLOOKUP(Table1215[[#This Row],[Column2]],Table12[[Column2]:[Column54]],16,FALSE),"0")</f>
        <v>4</v>
      </c>
      <c r="R19" s="67">
        <f>AVERAGE(Table1215[[#This Row],[Column14]],Table1215[[#This Row],[Column15]],Table1215[[#This Row],[Column17]])</f>
        <v>4</v>
      </c>
      <c r="S19" s="61">
        <f>IFERROR(VLOOKUP(Table1215[[#This Row],[Column2]],Table12[[Column2]:[Column54]],18,FALSE),"0")</f>
        <v>0</v>
      </c>
      <c r="T19" s="61">
        <f>IFERROR(VLOOKUP(Table1215[[#This Row],[Column2]],Table12[[Column2]:[Column54]],19,FALSE),"0")</f>
        <v>0</v>
      </c>
      <c r="U19" s="61">
        <f>IFERROR(VLOOKUP(Table1215[[#This Row],[Column2]],Table12[[Column2]:[Column54]],20,FALSE),"0")</f>
        <v>0</v>
      </c>
      <c r="V19" s="61">
        <f>IFERROR(VLOOKUP(Table1215[[#This Row],[Column2]],Table12[[Column2]:[Column54]],21,FALSE),"0")</f>
        <v>0</v>
      </c>
      <c r="W19" s="61">
        <f>IFERROR(VLOOKUP(Table1215[[#This Row],[Column2]],Table12[[Column2]:[Column54]],22,FALSE),"0")</f>
        <v>0</v>
      </c>
      <c r="X19" s="67">
        <f>Table1215[[#This Row],[Column19]]</f>
        <v>0</v>
      </c>
      <c r="Y19" s="61">
        <f>IFERROR(VLOOKUP(Table1215[[#This Row],[Column2]],Table12[[Column2]:[Column54]],24,FALSE),"0")</f>
        <v>3</v>
      </c>
      <c r="Z19" s="61">
        <f>IFERROR(VLOOKUP(Table1215[[#This Row],[Column2]],Table12[[Column2]:[Column54]],25,FALSE),"0")</f>
        <v>0</v>
      </c>
      <c r="AA19" s="61">
        <f>IFERROR(VLOOKUP(Table1215[[#This Row],[Column2]],Table12[[Column2]:[Column54]],26,FALSE),"0")</f>
        <v>0</v>
      </c>
      <c r="AB19" s="61">
        <f>IFERROR(VLOOKUP(Table1215[[#This Row],[Column2]],Table12[[Column2]:[Column54]],27,FALSE),"0")</f>
        <v>0</v>
      </c>
      <c r="AC19" s="61">
        <f>IFERROR(VLOOKUP(Table1215[[#This Row],[Column2]],Table12[[Column2]:[Column54]],28,FALSE),"0")</f>
        <v>0</v>
      </c>
      <c r="AD19" s="67">
        <f>Table1215[[#This Row],[Column25]]</f>
        <v>3</v>
      </c>
      <c r="AE19" s="61">
        <f>IFERROR(VLOOKUP(Table1215[[#This Row],[Column2]],Table12[[Column2]:[Column54]],30,FALSE),"0")</f>
        <v>0</v>
      </c>
      <c r="AF19" s="61">
        <f>IFERROR(VLOOKUP(Table1215[[#This Row],[Column2]],Table12[[Column2]:[Column54]],31,FALSE),"0")</f>
        <v>0</v>
      </c>
      <c r="AG19" s="61">
        <f>IFERROR(VLOOKUP(Table1215[[#This Row],[Column2]],Table12[[Column2]:[Column54]],32,FALSE),"0")</f>
        <v>0</v>
      </c>
      <c r="AH19" s="61">
        <f>IFERROR(VLOOKUP(Table1215[[#This Row],[Column2]],Table12[[Column2]:[Column54]],33,FALSE),"0")</f>
        <v>0</v>
      </c>
      <c r="AI19" s="61">
        <f>IFERROR(VLOOKUP(Table1215[[#This Row],[Column2]],Table12[[Column2]:[Column54]],34,FALSE),"0")</f>
        <v>0</v>
      </c>
      <c r="AJ19" s="67">
        <f>AVERAGE(Table1215[[#This Row],[Column31]],Table1215[[#This Row],[Column32]],Table1215[[#This Row],[Column33]])</f>
        <v>0</v>
      </c>
      <c r="AK19" s="61">
        <f>IFERROR(VLOOKUP(Table1215[[#This Row],[Column2]],Table12[[Column2]:[Column54]],36,FALSE),"0")</f>
        <v>4</v>
      </c>
      <c r="AL19" s="61">
        <f>IFERROR(VLOOKUP(Table1215[[#This Row],[Column2]],Table12[[Column2]:[Column54]],37,FALSE),"0")</f>
        <v>3</v>
      </c>
      <c r="AM19" s="61">
        <f>IFERROR(VLOOKUP(Table1215[[#This Row],[Column2]],Table12[[Column2]:[Column54]],38,FALSE),"0")</f>
        <v>0</v>
      </c>
      <c r="AN19" s="61">
        <f>IFERROR(VLOOKUP(Table1215[[#This Row],[Column2]],Table12[[Column2]:[Column54]],39,FALSE),"0")</f>
        <v>4</v>
      </c>
      <c r="AO19" s="61">
        <f>IFERROR(VLOOKUP(Table1215[[#This Row],[Column2]],Table12[[Column2]:[Column54]],40,FALSE),"0")</f>
        <v>0</v>
      </c>
      <c r="AP19" s="67">
        <f>AVERAGE(Table1215[[#This Row],[Column37]],Table1215[[#This Row],[Column38]],Table1215[[#This Row],[Column40]])</f>
        <v>3.6666666666666665</v>
      </c>
      <c r="AQ19" s="61">
        <f>IFERROR(VLOOKUP(Table1215[[#This Row],[Column2]],Table12[[Column2]:[Column54]],42,FALSE),"0")</f>
        <v>4</v>
      </c>
      <c r="AR19" s="61">
        <f>IFERROR(VLOOKUP(Table1215[[#This Row],[Column2]],Table12[[Column2]:[Column54]],43,FALSE),"0")</f>
        <v>0</v>
      </c>
      <c r="AS19" s="61">
        <f>IFERROR(VLOOKUP(Table1215[[#This Row],[Column2]],Table12[[Column2]:[Column54]],44,FALSE),"0")</f>
        <v>0</v>
      </c>
      <c r="AT19" s="61">
        <f>IFERROR(VLOOKUP(Table1215[[#This Row],[Column2]],Table12[[Column2]:[Column54]],45,FALSE),"0")</f>
        <v>0</v>
      </c>
      <c r="AU19" s="61">
        <f>IFERROR(VLOOKUP(Table1215[[#This Row],[Column2]],Table12[[Column2]:[Column54]],46,FALSE),"0")</f>
        <v>0</v>
      </c>
      <c r="AV19" s="67">
        <f>Table1215[[#This Row],[Column43]]</f>
        <v>4</v>
      </c>
      <c r="AW19" s="61">
        <f>IFERROR(VLOOKUP(Table1215[[#This Row],[Column2]],Table12[[Column2]:[Column54]],48,FALSE),"0")</f>
        <v>0</v>
      </c>
      <c r="AX19" s="61">
        <f>IFERROR(VLOOKUP(Table1215[[#This Row],[Column2]],Table12[[Column2]:[Column54]],49,FALSE),"0")</f>
        <v>0</v>
      </c>
      <c r="AY19" s="61">
        <f>IFERROR(VLOOKUP(Table1215[[#This Row],[Column2]],Table12[[Column2]:[Column54]],50,FALSE),"0")</f>
        <v>0</v>
      </c>
      <c r="AZ19" s="61">
        <f>IFERROR(VLOOKUP(Table1215[[#This Row],[Column2]],Table12[[Column2]:[Column54]],51,FALSE),"0")</f>
        <v>4</v>
      </c>
      <c r="BA19" s="61">
        <f>IFERROR(VLOOKUP(Table1215[[#This Row],[Column2]],Table12[[Column2]:[Column54]],52,FALSE),"0")</f>
        <v>4</v>
      </c>
      <c r="BB19" s="67">
        <f>AVERAGE(Table1215[[#This Row],[Column52]],Table1215[[#This Row],[Column53]])</f>
        <v>4</v>
      </c>
    </row>
    <row r="20" spans="1:54" ht="23.1" customHeight="1" x14ac:dyDescent="0.3">
      <c r="A20" s="86">
        <v>17</v>
      </c>
      <c r="B20" s="63" t="s">
        <v>295</v>
      </c>
      <c r="C20" s="64" t="s">
        <v>296</v>
      </c>
      <c r="D20" s="63" t="s">
        <v>542</v>
      </c>
      <c r="E20" s="63" t="s">
        <v>493</v>
      </c>
      <c r="F20" s="63" t="str">
        <f>REPT(CHAR(160),10)&amp;Working!$E21</f>
        <v>          C</v>
      </c>
      <c r="G20" s="65">
        <f>IFERROR(VLOOKUP(Table1215[[#This Row],[Column2]],Table12[[Column2]:[Column54]],6,FALSE),"0")</f>
        <v>0</v>
      </c>
      <c r="H20" s="65">
        <f>IFERROR(VLOOKUP(Table1215[[#This Row],[Column2]],Table12[[Column2]:[Column54]],7,FALSE),"0")</f>
        <v>0</v>
      </c>
      <c r="I20" s="65">
        <f>IFERROR(VLOOKUP(Table1215[[#This Row],[Column2]],Table12[[Column2]:[Column54]],8,FALSE),"0")</f>
        <v>4</v>
      </c>
      <c r="J20" s="65">
        <f>IFERROR(VLOOKUP(Table1215[[#This Row],[Column2]],Table12[[Column2]:[Column54]],9,FALSE),"0")</f>
        <v>0</v>
      </c>
      <c r="K20" s="65">
        <f>IFERROR(VLOOKUP(Table1215[[#This Row],[Column2]],Table12[[Column2]:[Column54]],10,FALSE),"0")</f>
        <v>0</v>
      </c>
      <c r="L20" s="67">
        <f>Table1215[[#This Row],[Column9]]</f>
        <v>4</v>
      </c>
      <c r="M20" s="65">
        <f>IFERROR(VLOOKUP(Table1215[[#This Row],[Column2]],Table12[[Column2]:[Column54]],12,FALSE),"0")</f>
        <v>0</v>
      </c>
      <c r="N20" s="65">
        <f>IFERROR(VLOOKUP(Table1215[[#This Row],[Column2]],Table12[[Column2]:[Column54]],13,FALSE),"0")</f>
        <v>4</v>
      </c>
      <c r="O20" s="65">
        <f>IFERROR(VLOOKUP(Table1215[[#This Row],[Column2]],Table12[[Column2]:[Column54]],14,FALSE),"0")</f>
        <v>4</v>
      </c>
      <c r="P20" s="65">
        <f>IFERROR(VLOOKUP(Table1215[[#This Row],[Column2]],Table12[[Column2]:[Column54]],10,FALSE),"0")</f>
        <v>0</v>
      </c>
      <c r="Q20" s="65">
        <f>IFERROR(VLOOKUP(Table1215[[#This Row],[Column2]],Table12[[Column2]:[Column54]],16,FALSE),"0")</f>
        <v>4</v>
      </c>
      <c r="R20" s="67">
        <f>AVERAGE(Table1215[[#This Row],[Column14]],Table1215[[#This Row],[Column15]],Table1215[[#This Row],[Column17]])</f>
        <v>4</v>
      </c>
      <c r="S20" s="65">
        <f>IFERROR(VLOOKUP(Table1215[[#This Row],[Column2]],Table12[[Column2]:[Column54]],18,FALSE),"0")</f>
        <v>0</v>
      </c>
      <c r="T20" s="65">
        <f>IFERROR(VLOOKUP(Table1215[[#This Row],[Column2]],Table12[[Column2]:[Column54]],19,FALSE),"0")</f>
        <v>0</v>
      </c>
      <c r="U20" s="65">
        <f>IFERROR(VLOOKUP(Table1215[[#This Row],[Column2]],Table12[[Column2]:[Column54]],20,FALSE),"0")</f>
        <v>0</v>
      </c>
      <c r="V20" s="65">
        <f>IFERROR(VLOOKUP(Table1215[[#This Row],[Column2]],Table12[[Column2]:[Column54]],21,FALSE),"0")</f>
        <v>0</v>
      </c>
      <c r="W20" s="65">
        <f>IFERROR(VLOOKUP(Table1215[[#This Row],[Column2]],Table12[[Column2]:[Column54]],22,FALSE),"0")</f>
        <v>0</v>
      </c>
      <c r="X20" s="67">
        <f>Table1215[[#This Row],[Column19]]</f>
        <v>0</v>
      </c>
      <c r="Y20" s="65">
        <f>IFERROR(VLOOKUP(Table1215[[#This Row],[Column2]],Table12[[Column2]:[Column54]],24,FALSE),"0")</f>
        <v>4</v>
      </c>
      <c r="Z20" s="65">
        <f>IFERROR(VLOOKUP(Table1215[[#This Row],[Column2]],Table12[[Column2]:[Column54]],25,FALSE),"0")</f>
        <v>0</v>
      </c>
      <c r="AA20" s="65">
        <f>IFERROR(VLOOKUP(Table1215[[#This Row],[Column2]],Table12[[Column2]:[Column54]],26,FALSE),"0")</f>
        <v>0</v>
      </c>
      <c r="AB20" s="65">
        <f>IFERROR(VLOOKUP(Table1215[[#This Row],[Column2]],Table12[[Column2]:[Column54]],27,FALSE),"0")</f>
        <v>0</v>
      </c>
      <c r="AC20" s="65">
        <f>IFERROR(VLOOKUP(Table1215[[#This Row],[Column2]],Table12[[Column2]:[Column54]],28,FALSE),"0")</f>
        <v>0</v>
      </c>
      <c r="AD20" s="67">
        <f>Table1215[[#This Row],[Column25]]</f>
        <v>4</v>
      </c>
      <c r="AE20" s="65">
        <f>IFERROR(VLOOKUP(Table1215[[#This Row],[Column2]],Table12[[Column2]:[Column54]],30,FALSE),"0")</f>
        <v>0</v>
      </c>
      <c r="AF20" s="65">
        <f>IFERROR(VLOOKUP(Table1215[[#This Row],[Column2]],Table12[[Column2]:[Column54]],31,FALSE),"0")</f>
        <v>0</v>
      </c>
      <c r="AG20" s="65">
        <f>IFERROR(VLOOKUP(Table1215[[#This Row],[Column2]],Table12[[Column2]:[Column54]],32,FALSE),"0")</f>
        <v>0</v>
      </c>
      <c r="AH20" s="65">
        <f>IFERROR(VLOOKUP(Table1215[[#This Row],[Column2]],Table12[[Column2]:[Column54]],33,FALSE),"0")</f>
        <v>0</v>
      </c>
      <c r="AI20" s="65">
        <f>IFERROR(VLOOKUP(Table1215[[#This Row],[Column2]],Table12[[Column2]:[Column54]],34,FALSE),"0")</f>
        <v>0</v>
      </c>
      <c r="AJ20" s="67">
        <f>AVERAGE(Table1215[[#This Row],[Column31]],Table1215[[#This Row],[Column32]],Table1215[[#This Row],[Column33]])</f>
        <v>0</v>
      </c>
      <c r="AK20" s="65">
        <f>IFERROR(VLOOKUP(Table1215[[#This Row],[Column2]],Table12[[Column2]:[Column54]],36,FALSE),"0")</f>
        <v>4</v>
      </c>
      <c r="AL20" s="65">
        <f>IFERROR(VLOOKUP(Table1215[[#This Row],[Column2]],Table12[[Column2]:[Column54]],37,FALSE),"0")</f>
        <v>5</v>
      </c>
      <c r="AM20" s="65">
        <f>IFERROR(VLOOKUP(Table1215[[#This Row],[Column2]],Table12[[Column2]:[Column54]],38,FALSE),"0")</f>
        <v>0</v>
      </c>
      <c r="AN20" s="65">
        <f>IFERROR(VLOOKUP(Table1215[[#This Row],[Column2]],Table12[[Column2]:[Column54]],39,FALSE),"0")</f>
        <v>5</v>
      </c>
      <c r="AO20" s="65">
        <f>IFERROR(VLOOKUP(Table1215[[#This Row],[Column2]],Table12[[Column2]:[Column54]],40,FALSE),"0")</f>
        <v>0</v>
      </c>
      <c r="AP20" s="67">
        <f>AVERAGE(Table1215[[#This Row],[Column37]],Table1215[[#This Row],[Column38]],Table1215[[#This Row],[Column40]])</f>
        <v>4.666666666666667</v>
      </c>
      <c r="AQ20" s="65">
        <f>IFERROR(VLOOKUP(Table1215[[#This Row],[Column2]],Table12[[Column2]:[Column54]],42,FALSE),"0")</f>
        <v>5</v>
      </c>
      <c r="AR20" s="65">
        <f>IFERROR(VLOOKUP(Table1215[[#This Row],[Column2]],Table12[[Column2]:[Column54]],43,FALSE),"0")</f>
        <v>0</v>
      </c>
      <c r="AS20" s="65">
        <f>IFERROR(VLOOKUP(Table1215[[#This Row],[Column2]],Table12[[Column2]:[Column54]],44,FALSE),"0")</f>
        <v>0</v>
      </c>
      <c r="AT20" s="65">
        <f>IFERROR(VLOOKUP(Table1215[[#This Row],[Column2]],Table12[[Column2]:[Column54]],45,FALSE),"0")</f>
        <v>0</v>
      </c>
      <c r="AU20" s="65">
        <f>IFERROR(VLOOKUP(Table1215[[#This Row],[Column2]],Table12[[Column2]:[Column54]],46,FALSE),"0")</f>
        <v>0</v>
      </c>
      <c r="AV20" s="67">
        <f>Table1215[[#This Row],[Column43]]</f>
        <v>5</v>
      </c>
      <c r="AW20" s="65">
        <f>IFERROR(VLOOKUP(Table1215[[#This Row],[Column2]],Table12[[Column2]:[Column54]],48,FALSE),"0")</f>
        <v>0</v>
      </c>
      <c r="AX20" s="65">
        <f>IFERROR(VLOOKUP(Table1215[[#This Row],[Column2]],Table12[[Column2]:[Column54]],49,FALSE),"0")</f>
        <v>0</v>
      </c>
      <c r="AY20" s="65">
        <f>IFERROR(VLOOKUP(Table1215[[#This Row],[Column2]],Table12[[Column2]:[Column54]],50,FALSE),"0")</f>
        <v>0</v>
      </c>
      <c r="AZ20" s="65">
        <f>IFERROR(VLOOKUP(Table1215[[#This Row],[Column2]],Table12[[Column2]:[Column54]],51,FALSE),"0")</f>
        <v>4</v>
      </c>
      <c r="BA20" s="65">
        <f>IFERROR(VLOOKUP(Table1215[[#This Row],[Column2]],Table12[[Column2]:[Column54]],52,FALSE),"0")</f>
        <v>4</v>
      </c>
      <c r="BB20" s="67">
        <f>AVERAGE(Table1215[[#This Row],[Column52]],Table1215[[#This Row],[Column53]])</f>
        <v>4</v>
      </c>
    </row>
    <row r="21" spans="1:54" ht="23.1" customHeight="1" x14ac:dyDescent="0.3">
      <c r="A21" s="87">
        <v>18</v>
      </c>
      <c r="B21" s="70" t="s">
        <v>107</v>
      </c>
      <c r="C21" s="71" t="s">
        <v>108</v>
      </c>
      <c r="D21" s="70" t="s">
        <v>543</v>
      </c>
      <c r="E21" s="70" t="s">
        <v>35</v>
      </c>
      <c r="F21" s="70" t="str">
        <f>REPT(CHAR(160),10)&amp;Working!$E22</f>
        <v>          A</v>
      </c>
      <c r="G21" s="61">
        <f>IFERROR(VLOOKUP(Table1215[[#This Row],[Column2]],Table12[[Column2]:[Column54]],6,FALSE),"0")</f>
        <v>0</v>
      </c>
      <c r="H21" s="61">
        <f>IFERROR(VLOOKUP(Table1215[[#This Row],[Column2]],Table12[[Column2]:[Column54]],7,FALSE),"0")</f>
        <v>0</v>
      </c>
      <c r="I21" s="61">
        <f>IFERROR(VLOOKUP(Table1215[[#This Row],[Column2]],Table12[[Column2]:[Column54]],8,FALSE),"0")</f>
        <v>4</v>
      </c>
      <c r="J21" s="61">
        <f>IFERROR(VLOOKUP(Table1215[[#This Row],[Column2]],Table12[[Column2]:[Column54]],9,FALSE),"0")</f>
        <v>0</v>
      </c>
      <c r="K21" s="61">
        <f>IFERROR(VLOOKUP(Table1215[[#This Row],[Column2]],Table12[[Column2]:[Column54]],10,FALSE),"0")</f>
        <v>0</v>
      </c>
      <c r="L21" s="67">
        <f>Table1215[[#This Row],[Column9]]</f>
        <v>4</v>
      </c>
      <c r="M21" s="61">
        <f>IFERROR(VLOOKUP(Table1215[[#This Row],[Column2]],Table12[[Column2]:[Column54]],12,FALSE),"0")</f>
        <v>0</v>
      </c>
      <c r="N21" s="61">
        <f>IFERROR(VLOOKUP(Table1215[[#This Row],[Column2]],Table12[[Column2]:[Column54]],13,FALSE),"0")</f>
        <v>5</v>
      </c>
      <c r="O21" s="61">
        <f>IFERROR(VLOOKUP(Table1215[[#This Row],[Column2]],Table12[[Column2]:[Column54]],14,FALSE),"0")</f>
        <v>4</v>
      </c>
      <c r="P21" s="61">
        <f>IFERROR(VLOOKUP(Table1215[[#This Row],[Column2]],Table12[[Column2]:[Column54]],10,FALSE),"0")</f>
        <v>0</v>
      </c>
      <c r="Q21" s="61">
        <f>IFERROR(VLOOKUP(Table1215[[#This Row],[Column2]],Table12[[Column2]:[Column54]],16,FALSE),"0")</f>
        <v>4</v>
      </c>
      <c r="R21" s="67">
        <f>AVERAGE(Table1215[[#This Row],[Column14]],Table1215[[#This Row],[Column15]],Table1215[[#This Row],[Column17]])</f>
        <v>4.333333333333333</v>
      </c>
      <c r="S21" s="61">
        <f>IFERROR(VLOOKUP(Table1215[[#This Row],[Column2]],Table12[[Column2]:[Column54]],18,FALSE),"0")</f>
        <v>0</v>
      </c>
      <c r="T21" s="61">
        <f>IFERROR(VLOOKUP(Table1215[[#This Row],[Column2]],Table12[[Column2]:[Column54]],19,FALSE),"0")</f>
        <v>0</v>
      </c>
      <c r="U21" s="61">
        <f>IFERROR(VLOOKUP(Table1215[[#This Row],[Column2]],Table12[[Column2]:[Column54]],20,FALSE),"0")</f>
        <v>0</v>
      </c>
      <c r="V21" s="61">
        <f>IFERROR(VLOOKUP(Table1215[[#This Row],[Column2]],Table12[[Column2]:[Column54]],21,FALSE),"0")</f>
        <v>0</v>
      </c>
      <c r="W21" s="61">
        <f>IFERROR(VLOOKUP(Table1215[[#This Row],[Column2]],Table12[[Column2]:[Column54]],22,FALSE),"0")</f>
        <v>0</v>
      </c>
      <c r="X21" s="67">
        <f>Table1215[[#This Row],[Column19]]</f>
        <v>0</v>
      </c>
      <c r="Y21" s="61">
        <f>IFERROR(VLOOKUP(Table1215[[#This Row],[Column2]],Table12[[Column2]:[Column54]],24,FALSE),"0")</f>
        <v>4</v>
      </c>
      <c r="Z21" s="61">
        <f>IFERROR(VLOOKUP(Table1215[[#This Row],[Column2]],Table12[[Column2]:[Column54]],25,FALSE),"0")</f>
        <v>0</v>
      </c>
      <c r="AA21" s="61">
        <f>IFERROR(VLOOKUP(Table1215[[#This Row],[Column2]],Table12[[Column2]:[Column54]],26,FALSE),"0")</f>
        <v>0</v>
      </c>
      <c r="AB21" s="61">
        <f>IFERROR(VLOOKUP(Table1215[[#This Row],[Column2]],Table12[[Column2]:[Column54]],27,FALSE),"0")</f>
        <v>0</v>
      </c>
      <c r="AC21" s="61">
        <f>IFERROR(VLOOKUP(Table1215[[#This Row],[Column2]],Table12[[Column2]:[Column54]],28,FALSE),"0")</f>
        <v>0</v>
      </c>
      <c r="AD21" s="67">
        <f>Table1215[[#This Row],[Column25]]</f>
        <v>4</v>
      </c>
      <c r="AE21" s="61">
        <f>IFERROR(VLOOKUP(Table1215[[#This Row],[Column2]],Table12[[Column2]:[Column54]],30,FALSE),"0")</f>
        <v>0</v>
      </c>
      <c r="AF21" s="61">
        <f>IFERROR(VLOOKUP(Table1215[[#This Row],[Column2]],Table12[[Column2]:[Column54]],31,FALSE),"0")</f>
        <v>0</v>
      </c>
      <c r="AG21" s="61">
        <f>IFERROR(VLOOKUP(Table1215[[#This Row],[Column2]],Table12[[Column2]:[Column54]],32,FALSE),"0")</f>
        <v>0</v>
      </c>
      <c r="AH21" s="61">
        <f>IFERROR(VLOOKUP(Table1215[[#This Row],[Column2]],Table12[[Column2]:[Column54]],33,FALSE),"0")</f>
        <v>0</v>
      </c>
      <c r="AI21" s="61">
        <f>IFERROR(VLOOKUP(Table1215[[#This Row],[Column2]],Table12[[Column2]:[Column54]],34,FALSE),"0")</f>
        <v>0</v>
      </c>
      <c r="AJ21" s="67">
        <f>AVERAGE(Table1215[[#This Row],[Column31]],Table1215[[#This Row],[Column32]],Table1215[[#This Row],[Column33]])</f>
        <v>0</v>
      </c>
      <c r="AK21" s="61">
        <f>IFERROR(VLOOKUP(Table1215[[#This Row],[Column2]],Table12[[Column2]:[Column54]],36,FALSE),"0")</f>
        <v>4</v>
      </c>
      <c r="AL21" s="61">
        <f>IFERROR(VLOOKUP(Table1215[[#This Row],[Column2]],Table12[[Column2]:[Column54]],37,FALSE),"0")</f>
        <v>4</v>
      </c>
      <c r="AM21" s="61">
        <f>IFERROR(VLOOKUP(Table1215[[#This Row],[Column2]],Table12[[Column2]:[Column54]],38,FALSE),"0")</f>
        <v>0</v>
      </c>
      <c r="AN21" s="61">
        <f>IFERROR(VLOOKUP(Table1215[[#This Row],[Column2]],Table12[[Column2]:[Column54]],39,FALSE),"0")</f>
        <v>4</v>
      </c>
      <c r="AO21" s="61">
        <f>IFERROR(VLOOKUP(Table1215[[#This Row],[Column2]],Table12[[Column2]:[Column54]],40,FALSE),"0")</f>
        <v>0</v>
      </c>
      <c r="AP21" s="67">
        <f>AVERAGE(Table1215[[#This Row],[Column37]],Table1215[[#This Row],[Column38]],Table1215[[#This Row],[Column40]])</f>
        <v>4</v>
      </c>
      <c r="AQ21" s="61">
        <f>IFERROR(VLOOKUP(Table1215[[#This Row],[Column2]],Table12[[Column2]:[Column54]],42,FALSE),"0")</f>
        <v>4</v>
      </c>
      <c r="AR21" s="61">
        <f>IFERROR(VLOOKUP(Table1215[[#This Row],[Column2]],Table12[[Column2]:[Column54]],43,FALSE),"0")</f>
        <v>0</v>
      </c>
      <c r="AS21" s="61">
        <f>IFERROR(VLOOKUP(Table1215[[#This Row],[Column2]],Table12[[Column2]:[Column54]],44,FALSE),"0")</f>
        <v>0</v>
      </c>
      <c r="AT21" s="61">
        <f>IFERROR(VLOOKUP(Table1215[[#This Row],[Column2]],Table12[[Column2]:[Column54]],45,FALSE),"0")</f>
        <v>0</v>
      </c>
      <c r="AU21" s="61">
        <f>IFERROR(VLOOKUP(Table1215[[#This Row],[Column2]],Table12[[Column2]:[Column54]],46,FALSE),"0")</f>
        <v>0</v>
      </c>
      <c r="AV21" s="67">
        <f>Table1215[[#This Row],[Column43]]</f>
        <v>4</v>
      </c>
      <c r="AW21" s="61">
        <f>IFERROR(VLOOKUP(Table1215[[#This Row],[Column2]],Table12[[Column2]:[Column54]],48,FALSE),"0")</f>
        <v>0</v>
      </c>
      <c r="AX21" s="61">
        <f>IFERROR(VLOOKUP(Table1215[[#This Row],[Column2]],Table12[[Column2]:[Column54]],49,FALSE),"0")</f>
        <v>0</v>
      </c>
      <c r="AY21" s="61">
        <f>IFERROR(VLOOKUP(Table1215[[#This Row],[Column2]],Table12[[Column2]:[Column54]],50,FALSE),"0")</f>
        <v>0</v>
      </c>
      <c r="AZ21" s="61">
        <f>IFERROR(VLOOKUP(Table1215[[#This Row],[Column2]],Table12[[Column2]:[Column54]],51,FALSE),"0")</f>
        <v>4</v>
      </c>
      <c r="BA21" s="61">
        <f>IFERROR(VLOOKUP(Table1215[[#This Row],[Column2]],Table12[[Column2]:[Column54]],52,FALSE),"0")</f>
        <v>4</v>
      </c>
      <c r="BB21" s="67">
        <f>AVERAGE(Table1215[[#This Row],[Column52]],Table1215[[#This Row],[Column53]])</f>
        <v>4</v>
      </c>
    </row>
    <row r="22" spans="1:54" ht="23.1" customHeight="1" x14ac:dyDescent="0.3">
      <c r="A22" s="86">
        <v>19</v>
      </c>
      <c r="B22" s="63" t="s">
        <v>50</v>
      </c>
      <c r="C22" s="64" t="s">
        <v>51</v>
      </c>
      <c r="D22" s="63" t="s">
        <v>542</v>
      </c>
      <c r="E22" s="63" t="s">
        <v>35</v>
      </c>
      <c r="F22" s="63" t="str">
        <f>REPT(CHAR(160),10)&amp;Working!$E23</f>
        <v>          A</v>
      </c>
      <c r="G22" s="65">
        <f>IFERROR(VLOOKUP(Table1215[[#This Row],[Column2]],Table12[[Column2]:[Column54]],6,FALSE),"0")</f>
        <v>0</v>
      </c>
      <c r="H22" s="65">
        <f>IFERROR(VLOOKUP(Table1215[[#This Row],[Column2]],Table12[[Column2]:[Column54]],7,FALSE),"0")</f>
        <v>0</v>
      </c>
      <c r="I22" s="65">
        <f>IFERROR(VLOOKUP(Table1215[[#This Row],[Column2]],Table12[[Column2]:[Column54]],8,FALSE),"0")</f>
        <v>5</v>
      </c>
      <c r="J22" s="65">
        <f>IFERROR(VLOOKUP(Table1215[[#This Row],[Column2]],Table12[[Column2]:[Column54]],9,FALSE),"0")</f>
        <v>0</v>
      </c>
      <c r="K22" s="65">
        <f>IFERROR(VLOOKUP(Table1215[[#This Row],[Column2]],Table12[[Column2]:[Column54]],10,FALSE),"0")</f>
        <v>0</v>
      </c>
      <c r="L22" s="67">
        <f>Table1215[[#This Row],[Column9]]</f>
        <v>5</v>
      </c>
      <c r="M22" s="65">
        <f>IFERROR(VLOOKUP(Table1215[[#This Row],[Column2]],Table12[[Column2]:[Column54]],12,FALSE),"0")</f>
        <v>0</v>
      </c>
      <c r="N22" s="65">
        <f>IFERROR(VLOOKUP(Table1215[[#This Row],[Column2]],Table12[[Column2]:[Column54]],13,FALSE),"0")</f>
        <v>4</v>
      </c>
      <c r="O22" s="65">
        <f>IFERROR(VLOOKUP(Table1215[[#This Row],[Column2]],Table12[[Column2]:[Column54]],14,FALSE),"0")</f>
        <v>5</v>
      </c>
      <c r="P22" s="65">
        <f>IFERROR(VLOOKUP(Table1215[[#This Row],[Column2]],Table12[[Column2]:[Column54]],10,FALSE),"0")</f>
        <v>0</v>
      </c>
      <c r="Q22" s="65">
        <f>IFERROR(VLOOKUP(Table1215[[#This Row],[Column2]],Table12[[Column2]:[Column54]],16,FALSE),"0")</f>
        <v>5</v>
      </c>
      <c r="R22" s="67">
        <f>AVERAGE(Table1215[[#This Row],[Column14]],Table1215[[#This Row],[Column15]],Table1215[[#This Row],[Column17]])</f>
        <v>4.666666666666667</v>
      </c>
      <c r="S22" s="65">
        <f>IFERROR(VLOOKUP(Table1215[[#This Row],[Column2]],Table12[[Column2]:[Column54]],18,FALSE),"0")</f>
        <v>0</v>
      </c>
      <c r="T22" s="65">
        <f>IFERROR(VLOOKUP(Table1215[[#This Row],[Column2]],Table12[[Column2]:[Column54]],19,FALSE),"0")</f>
        <v>0</v>
      </c>
      <c r="U22" s="65">
        <f>IFERROR(VLOOKUP(Table1215[[#This Row],[Column2]],Table12[[Column2]:[Column54]],20,FALSE),"0")</f>
        <v>0</v>
      </c>
      <c r="V22" s="65">
        <f>IFERROR(VLOOKUP(Table1215[[#This Row],[Column2]],Table12[[Column2]:[Column54]],21,FALSE),"0")</f>
        <v>0</v>
      </c>
      <c r="W22" s="65">
        <f>IFERROR(VLOOKUP(Table1215[[#This Row],[Column2]],Table12[[Column2]:[Column54]],22,FALSE),"0")</f>
        <v>0</v>
      </c>
      <c r="X22" s="67">
        <f>Table1215[[#This Row],[Column19]]</f>
        <v>0</v>
      </c>
      <c r="Y22" s="65">
        <f>IFERROR(VLOOKUP(Table1215[[#This Row],[Column2]],Table12[[Column2]:[Column54]],24,FALSE),"0")</f>
        <v>5</v>
      </c>
      <c r="Z22" s="65">
        <f>IFERROR(VLOOKUP(Table1215[[#This Row],[Column2]],Table12[[Column2]:[Column54]],25,FALSE),"0")</f>
        <v>0</v>
      </c>
      <c r="AA22" s="65">
        <f>IFERROR(VLOOKUP(Table1215[[#This Row],[Column2]],Table12[[Column2]:[Column54]],26,FALSE),"0")</f>
        <v>0</v>
      </c>
      <c r="AB22" s="65">
        <f>IFERROR(VLOOKUP(Table1215[[#This Row],[Column2]],Table12[[Column2]:[Column54]],27,FALSE),"0")</f>
        <v>0</v>
      </c>
      <c r="AC22" s="65">
        <f>IFERROR(VLOOKUP(Table1215[[#This Row],[Column2]],Table12[[Column2]:[Column54]],28,FALSE),"0")</f>
        <v>0</v>
      </c>
      <c r="AD22" s="67">
        <f>Table1215[[#This Row],[Column25]]</f>
        <v>5</v>
      </c>
      <c r="AE22" s="65">
        <f>IFERROR(VLOOKUP(Table1215[[#This Row],[Column2]],Table12[[Column2]:[Column54]],30,FALSE),"0")</f>
        <v>0</v>
      </c>
      <c r="AF22" s="65">
        <f>IFERROR(VLOOKUP(Table1215[[#This Row],[Column2]],Table12[[Column2]:[Column54]],31,FALSE),"0")</f>
        <v>0</v>
      </c>
      <c r="AG22" s="65">
        <f>IFERROR(VLOOKUP(Table1215[[#This Row],[Column2]],Table12[[Column2]:[Column54]],32,FALSE),"0")</f>
        <v>0</v>
      </c>
      <c r="AH22" s="65">
        <f>IFERROR(VLOOKUP(Table1215[[#This Row],[Column2]],Table12[[Column2]:[Column54]],33,FALSE),"0")</f>
        <v>0</v>
      </c>
      <c r="AI22" s="65">
        <f>IFERROR(VLOOKUP(Table1215[[#This Row],[Column2]],Table12[[Column2]:[Column54]],34,FALSE),"0")</f>
        <v>0</v>
      </c>
      <c r="AJ22" s="67">
        <f>AVERAGE(Table1215[[#This Row],[Column31]],Table1215[[#This Row],[Column32]],Table1215[[#This Row],[Column33]])</f>
        <v>0</v>
      </c>
      <c r="AK22" s="65">
        <f>IFERROR(VLOOKUP(Table1215[[#This Row],[Column2]],Table12[[Column2]:[Column54]],36,FALSE),"0")</f>
        <v>4</v>
      </c>
      <c r="AL22" s="65">
        <f>IFERROR(VLOOKUP(Table1215[[#This Row],[Column2]],Table12[[Column2]:[Column54]],37,FALSE),"0")</f>
        <v>5</v>
      </c>
      <c r="AM22" s="65">
        <f>IFERROR(VLOOKUP(Table1215[[#This Row],[Column2]],Table12[[Column2]:[Column54]],38,FALSE),"0")</f>
        <v>0</v>
      </c>
      <c r="AN22" s="65">
        <f>IFERROR(VLOOKUP(Table1215[[#This Row],[Column2]],Table12[[Column2]:[Column54]],39,FALSE),"0")</f>
        <v>5</v>
      </c>
      <c r="AO22" s="65">
        <f>IFERROR(VLOOKUP(Table1215[[#This Row],[Column2]],Table12[[Column2]:[Column54]],40,FALSE),"0")</f>
        <v>0</v>
      </c>
      <c r="AP22" s="67">
        <f>AVERAGE(Table1215[[#This Row],[Column37]],Table1215[[#This Row],[Column38]],Table1215[[#This Row],[Column40]])</f>
        <v>4.666666666666667</v>
      </c>
      <c r="AQ22" s="65">
        <f>IFERROR(VLOOKUP(Table1215[[#This Row],[Column2]],Table12[[Column2]:[Column54]],42,FALSE),"0")</f>
        <v>5</v>
      </c>
      <c r="AR22" s="65">
        <f>IFERROR(VLOOKUP(Table1215[[#This Row],[Column2]],Table12[[Column2]:[Column54]],43,FALSE),"0")</f>
        <v>0</v>
      </c>
      <c r="AS22" s="65">
        <f>IFERROR(VLOOKUP(Table1215[[#This Row],[Column2]],Table12[[Column2]:[Column54]],44,FALSE),"0")</f>
        <v>0</v>
      </c>
      <c r="AT22" s="65">
        <f>IFERROR(VLOOKUP(Table1215[[#This Row],[Column2]],Table12[[Column2]:[Column54]],45,FALSE),"0")</f>
        <v>0</v>
      </c>
      <c r="AU22" s="65">
        <f>IFERROR(VLOOKUP(Table1215[[#This Row],[Column2]],Table12[[Column2]:[Column54]],46,FALSE),"0")</f>
        <v>0</v>
      </c>
      <c r="AV22" s="67">
        <f>Table1215[[#This Row],[Column43]]</f>
        <v>5</v>
      </c>
      <c r="AW22" s="65">
        <f>IFERROR(VLOOKUP(Table1215[[#This Row],[Column2]],Table12[[Column2]:[Column54]],48,FALSE),"0")</f>
        <v>0</v>
      </c>
      <c r="AX22" s="65">
        <f>IFERROR(VLOOKUP(Table1215[[#This Row],[Column2]],Table12[[Column2]:[Column54]],49,FALSE),"0")</f>
        <v>0</v>
      </c>
      <c r="AY22" s="65">
        <f>IFERROR(VLOOKUP(Table1215[[#This Row],[Column2]],Table12[[Column2]:[Column54]],50,FALSE),"0")</f>
        <v>0</v>
      </c>
      <c r="AZ22" s="65">
        <f>IFERROR(VLOOKUP(Table1215[[#This Row],[Column2]],Table12[[Column2]:[Column54]],51,FALSE),"0")</f>
        <v>5</v>
      </c>
      <c r="BA22" s="65">
        <f>IFERROR(VLOOKUP(Table1215[[#This Row],[Column2]],Table12[[Column2]:[Column54]],52,FALSE),"0")</f>
        <v>4</v>
      </c>
      <c r="BB22" s="67">
        <f>AVERAGE(Table1215[[#This Row],[Column52]],Table1215[[#This Row],[Column53]])</f>
        <v>4.5</v>
      </c>
    </row>
    <row r="23" spans="1:54" ht="23.1" customHeight="1" x14ac:dyDescent="0.3">
      <c r="A23" s="87">
        <v>20</v>
      </c>
      <c r="B23" s="70" t="s">
        <v>196</v>
      </c>
      <c r="C23" s="71" t="s">
        <v>537</v>
      </c>
      <c r="D23" s="70" t="s">
        <v>450</v>
      </c>
      <c r="E23" s="70" t="s">
        <v>161</v>
      </c>
      <c r="F23" s="70" t="str">
        <f>REPT(CHAR(160),10)&amp;Working!$E24</f>
        <v>          B</v>
      </c>
      <c r="G23" s="61">
        <f>IFERROR(VLOOKUP(Table1215[[#This Row],[Column2]],Table12[[Column2]:[Column54]],6,FALSE),"0")</f>
        <v>0</v>
      </c>
      <c r="H23" s="61">
        <f>IFERROR(VLOOKUP(Table1215[[#This Row],[Column2]],Table12[[Column2]:[Column54]],7,FALSE),"0")</f>
        <v>0</v>
      </c>
      <c r="I23" s="61">
        <f>IFERROR(VLOOKUP(Table1215[[#This Row],[Column2]],Table12[[Column2]:[Column54]],8,FALSE),"0")</f>
        <v>4</v>
      </c>
      <c r="J23" s="61">
        <f>IFERROR(VLOOKUP(Table1215[[#This Row],[Column2]],Table12[[Column2]:[Column54]],9,FALSE),"0")</f>
        <v>0</v>
      </c>
      <c r="K23" s="61">
        <f>IFERROR(VLOOKUP(Table1215[[#This Row],[Column2]],Table12[[Column2]:[Column54]],10,FALSE),"0")</f>
        <v>0</v>
      </c>
      <c r="L23" s="67">
        <f>Table1215[[#This Row],[Column9]]</f>
        <v>4</v>
      </c>
      <c r="M23" s="61">
        <f>IFERROR(VLOOKUP(Table1215[[#This Row],[Column2]],Table12[[Column2]:[Column54]],12,FALSE),"0")</f>
        <v>0</v>
      </c>
      <c r="N23" s="61">
        <f>IFERROR(VLOOKUP(Table1215[[#This Row],[Column2]],Table12[[Column2]:[Column54]],13,FALSE),"0")</f>
        <v>4</v>
      </c>
      <c r="O23" s="61">
        <f>IFERROR(VLOOKUP(Table1215[[#This Row],[Column2]],Table12[[Column2]:[Column54]],14,FALSE),"0")</f>
        <v>4</v>
      </c>
      <c r="P23" s="61">
        <f>IFERROR(VLOOKUP(Table1215[[#This Row],[Column2]],Table12[[Column2]:[Column54]],10,FALSE),"0")</f>
        <v>0</v>
      </c>
      <c r="Q23" s="61">
        <f>IFERROR(VLOOKUP(Table1215[[#This Row],[Column2]],Table12[[Column2]:[Column54]],16,FALSE),"0")</f>
        <v>4</v>
      </c>
      <c r="R23" s="67">
        <f>AVERAGE(Table1215[[#This Row],[Column14]],Table1215[[#This Row],[Column15]],Table1215[[#This Row],[Column17]])</f>
        <v>4</v>
      </c>
      <c r="S23" s="61">
        <f>IFERROR(VLOOKUP(Table1215[[#This Row],[Column2]],Table12[[Column2]:[Column54]],18,FALSE),"0")</f>
        <v>0</v>
      </c>
      <c r="T23" s="61">
        <f>IFERROR(VLOOKUP(Table1215[[#This Row],[Column2]],Table12[[Column2]:[Column54]],19,FALSE),"0")</f>
        <v>0</v>
      </c>
      <c r="U23" s="61">
        <f>IFERROR(VLOOKUP(Table1215[[#This Row],[Column2]],Table12[[Column2]:[Column54]],20,FALSE),"0")</f>
        <v>0</v>
      </c>
      <c r="V23" s="61">
        <f>IFERROR(VLOOKUP(Table1215[[#This Row],[Column2]],Table12[[Column2]:[Column54]],21,FALSE),"0")</f>
        <v>0</v>
      </c>
      <c r="W23" s="61">
        <f>IFERROR(VLOOKUP(Table1215[[#This Row],[Column2]],Table12[[Column2]:[Column54]],22,FALSE),"0")</f>
        <v>0</v>
      </c>
      <c r="X23" s="67">
        <f>Table1215[[#This Row],[Column19]]</f>
        <v>0</v>
      </c>
      <c r="Y23" s="61">
        <f>IFERROR(VLOOKUP(Table1215[[#This Row],[Column2]],Table12[[Column2]:[Column54]],24,FALSE),"0")</f>
        <v>4</v>
      </c>
      <c r="Z23" s="61">
        <f>IFERROR(VLOOKUP(Table1215[[#This Row],[Column2]],Table12[[Column2]:[Column54]],25,FALSE),"0")</f>
        <v>0</v>
      </c>
      <c r="AA23" s="61">
        <f>IFERROR(VLOOKUP(Table1215[[#This Row],[Column2]],Table12[[Column2]:[Column54]],26,FALSE),"0")</f>
        <v>0</v>
      </c>
      <c r="AB23" s="61">
        <f>IFERROR(VLOOKUP(Table1215[[#This Row],[Column2]],Table12[[Column2]:[Column54]],27,FALSE),"0")</f>
        <v>0</v>
      </c>
      <c r="AC23" s="61">
        <f>IFERROR(VLOOKUP(Table1215[[#This Row],[Column2]],Table12[[Column2]:[Column54]],28,FALSE),"0")</f>
        <v>0</v>
      </c>
      <c r="AD23" s="67">
        <f>Table1215[[#This Row],[Column25]]</f>
        <v>4</v>
      </c>
      <c r="AE23" s="61">
        <f>IFERROR(VLOOKUP(Table1215[[#This Row],[Column2]],Table12[[Column2]:[Column54]],30,FALSE),"0")</f>
        <v>0</v>
      </c>
      <c r="AF23" s="61">
        <f>IFERROR(VLOOKUP(Table1215[[#This Row],[Column2]],Table12[[Column2]:[Column54]],31,FALSE),"0")</f>
        <v>0</v>
      </c>
      <c r="AG23" s="61">
        <f>IFERROR(VLOOKUP(Table1215[[#This Row],[Column2]],Table12[[Column2]:[Column54]],32,FALSE),"0")</f>
        <v>0</v>
      </c>
      <c r="AH23" s="61">
        <f>IFERROR(VLOOKUP(Table1215[[#This Row],[Column2]],Table12[[Column2]:[Column54]],33,FALSE),"0")</f>
        <v>0</v>
      </c>
      <c r="AI23" s="61">
        <f>IFERROR(VLOOKUP(Table1215[[#This Row],[Column2]],Table12[[Column2]:[Column54]],34,FALSE),"0")</f>
        <v>0</v>
      </c>
      <c r="AJ23" s="67">
        <f>AVERAGE(Table1215[[#This Row],[Column31]],Table1215[[#This Row],[Column32]],Table1215[[#This Row],[Column33]])</f>
        <v>0</v>
      </c>
      <c r="AK23" s="61">
        <f>IFERROR(VLOOKUP(Table1215[[#This Row],[Column2]],Table12[[Column2]:[Column54]],36,FALSE),"0")</f>
        <v>5</v>
      </c>
      <c r="AL23" s="61">
        <f>IFERROR(VLOOKUP(Table1215[[#This Row],[Column2]],Table12[[Column2]:[Column54]],37,FALSE),"0")</f>
        <v>4</v>
      </c>
      <c r="AM23" s="61">
        <f>IFERROR(VLOOKUP(Table1215[[#This Row],[Column2]],Table12[[Column2]:[Column54]],38,FALSE),"0")</f>
        <v>0</v>
      </c>
      <c r="AN23" s="61">
        <f>IFERROR(VLOOKUP(Table1215[[#This Row],[Column2]],Table12[[Column2]:[Column54]],39,FALSE),"0")</f>
        <v>5</v>
      </c>
      <c r="AO23" s="61">
        <f>IFERROR(VLOOKUP(Table1215[[#This Row],[Column2]],Table12[[Column2]:[Column54]],40,FALSE),"0")</f>
        <v>0</v>
      </c>
      <c r="AP23" s="67">
        <f>AVERAGE(Table1215[[#This Row],[Column37]],Table1215[[#This Row],[Column38]],Table1215[[#This Row],[Column40]])</f>
        <v>4.666666666666667</v>
      </c>
      <c r="AQ23" s="61">
        <f>IFERROR(VLOOKUP(Table1215[[#This Row],[Column2]],Table12[[Column2]:[Column54]],42,FALSE),"0")</f>
        <v>4</v>
      </c>
      <c r="AR23" s="61">
        <f>IFERROR(VLOOKUP(Table1215[[#This Row],[Column2]],Table12[[Column2]:[Column54]],43,FALSE),"0")</f>
        <v>0</v>
      </c>
      <c r="AS23" s="61">
        <f>IFERROR(VLOOKUP(Table1215[[#This Row],[Column2]],Table12[[Column2]:[Column54]],44,FALSE),"0")</f>
        <v>0</v>
      </c>
      <c r="AT23" s="61">
        <f>IFERROR(VLOOKUP(Table1215[[#This Row],[Column2]],Table12[[Column2]:[Column54]],45,FALSE),"0")</f>
        <v>0</v>
      </c>
      <c r="AU23" s="61">
        <f>IFERROR(VLOOKUP(Table1215[[#This Row],[Column2]],Table12[[Column2]:[Column54]],46,FALSE),"0")</f>
        <v>0</v>
      </c>
      <c r="AV23" s="67">
        <f>Table1215[[#This Row],[Column43]]</f>
        <v>4</v>
      </c>
      <c r="AW23" s="61">
        <f>IFERROR(VLOOKUP(Table1215[[#This Row],[Column2]],Table12[[Column2]:[Column54]],48,FALSE),"0")</f>
        <v>0</v>
      </c>
      <c r="AX23" s="61">
        <f>IFERROR(VLOOKUP(Table1215[[#This Row],[Column2]],Table12[[Column2]:[Column54]],49,FALSE),"0")</f>
        <v>0</v>
      </c>
      <c r="AY23" s="61">
        <f>IFERROR(VLOOKUP(Table1215[[#This Row],[Column2]],Table12[[Column2]:[Column54]],50,FALSE),"0")</f>
        <v>0</v>
      </c>
      <c r="AZ23" s="61">
        <f>IFERROR(VLOOKUP(Table1215[[#This Row],[Column2]],Table12[[Column2]:[Column54]],51,FALSE),"0")</f>
        <v>4</v>
      </c>
      <c r="BA23" s="61">
        <f>IFERROR(VLOOKUP(Table1215[[#This Row],[Column2]],Table12[[Column2]:[Column54]],52,FALSE),"0")</f>
        <v>4</v>
      </c>
      <c r="BB23" s="67">
        <f>AVERAGE(Table1215[[#This Row],[Column52]],Table1215[[#This Row],[Column53]])</f>
        <v>4</v>
      </c>
    </row>
    <row r="24" spans="1:54" ht="23.1" customHeight="1" x14ac:dyDescent="0.3">
      <c r="A24" s="86">
        <v>21</v>
      </c>
      <c r="B24" s="63" t="s">
        <v>209</v>
      </c>
      <c r="C24" s="64" t="s">
        <v>210</v>
      </c>
      <c r="D24" s="63" t="s">
        <v>450</v>
      </c>
      <c r="E24" s="63" t="s">
        <v>161</v>
      </c>
      <c r="F24" s="63" t="str">
        <f>REPT(CHAR(160),10)&amp;Working!$E25</f>
        <v>          B</v>
      </c>
      <c r="G24" s="65">
        <f>IFERROR(VLOOKUP(Table1215[[#This Row],[Column2]],Table12[[Column2]:[Column54]],6,FALSE),"0")</f>
        <v>0</v>
      </c>
      <c r="H24" s="65">
        <f>IFERROR(VLOOKUP(Table1215[[#This Row],[Column2]],Table12[[Column2]:[Column54]],7,FALSE),"0")</f>
        <v>0</v>
      </c>
      <c r="I24" s="65">
        <f>IFERROR(VLOOKUP(Table1215[[#This Row],[Column2]],Table12[[Column2]:[Column54]],8,FALSE),"0")</f>
        <v>4</v>
      </c>
      <c r="J24" s="65">
        <f>IFERROR(VLOOKUP(Table1215[[#This Row],[Column2]],Table12[[Column2]:[Column54]],9,FALSE),"0")</f>
        <v>0</v>
      </c>
      <c r="K24" s="65">
        <f>IFERROR(VLOOKUP(Table1215[[#This Row],[Column2]],Table12[[Column2]:[Column54]],10,FALSE),"0")</f>
        <v>0</v>
      </c>
      <c r="L24" s="67">
        <f>Table1215[[#This Row],[Column9]]</f>
        <v>4</v>
      </c>
      <c r="M24" s="65">
        <f>IFERROR(VLOOKUP(Table1215[[#This Row],[Column2]],Table12[[Column2]:[Column54]],12,FALSE),"0")</f>
        <v>0</v>
      </c>
      <c r="N24" s="65">
        <f>IFERROR(VLOOKUP(Table1215[[#This Row],[Column2]],Table12[[Column2]:[Column54]],13,FALSE),"0")</f>
        <v>4</v>
      </c>
      <c r="O24" s="65">
        <f>IFERROR(VLOOKUP(Table1215[[#This Row],[Column2]],Table12[[Column2]:[Column54]],14,FALSE),"0")</f>
        <v>4</v>
      </c>
      <c r="P24" s="65">
        <f>IFERROR(VLOOKUP(Table1215[[#This Row],[Column2]],Table12[[Column2]:[Column54]],10,FALSE),"0")</f>
        <v>0</v>
      </c>
      <c r="Q24" s="65">
        <f>IFERROR(VLOOKUP(Table1215[[#This Row],[Column2]],Table12[[Column2]:[Column54]],16,FALSE),"0")</f>
        <v>4</v>
      </c>
      <c r="R24" s="67">
        <f>AVERAGE(Table1215[[#This Row],[Column14]],Table1215[[#This Row],[Column15]],Table1215[[#This Row],[Column17]])</f>
        <v>4</v>
      </c>
      <c r="S24" s="65">
        <f>IFERROR(VLOOKUP(Table1215[[#This Row],[Column2]],Table12[[Column2]:[Column54]],18,FALSE),"0")</f>
        <v>0</v>
      </c>
      <c r="T24" s="65">
        <f>IFERROR(VLOOKUP(Table1215[[#This Row],[Column2]],Table12[[Column2]:[Column54]],19,FALSE),"0")</f>
        <v>0</v>
      </c>
      <c r="U24" s="65">
        <f>IFERROR(VLOOKUP(Table1215[[#This Row],[Column2]],Table12[[Column2]:[Column54]],20,FALSE),"0")</f>
        <v>0</v>
      </c>
      <c r="V24" s="65">
        <f>IFERROR(VLOOKUP(Table1215[[#This Row],[Column2]],Table12[[Column2]:[Column54]],21,FALSE),"0")</f>
        <v>0</v>
      </c>
      <c r="W24" s="65">
        <f>IFERROR(VLOOKUP(Table1215[[#This Row],[Column2]],Table12[[Column2]:[Column54]],22,FALSE),"0")</f>
        <v>0</v>
      </c>
      <c r="X24" s="67">
        <f>Table1215[[#This Row],[Column19]]</f>
        <v>0</v>
      </c>
      <c r="Y24" s="65">
        <f>IFERROR(VLOOKUP(Table1215[[#This Row],[Column2]],Table12[[Column2]:[Column54]],24,FALSE),"0")</f>
        <v>4</v>
      </c>
      <c r="Z24" s="65">
        <f>IFERROR(VLOOKUP(Table1215[[#This Row],[Column2]],Table12[[Column2]:[Column54]],25,FALSE),"0")</f>
        <v>0</v>
      </c>
      <c r="AA24" s="65">
        <f>IFERROR(VLOOKUP(Table1215[[#This Row],[Column2]],Table12[[Column2]:[Column54]],26,FALSE),"0")</f>
        <v>0</v>
      </c>
      <c r="AB24" s="65">
        <f>IFERROR(VLOOKUP(Table1215[[#This Row],[Column2]],Table12[[Column2]:[Column54]],27,FALSE),"0")</f>
        <v>0</v>
      </c>
      <c r="AC24" s="65">
        <f>IFERROR(VLOOKUP(Table1215[[#This Row],[Column2]],Table12[[Column2]:[Column54]],28,FALSE),"0")</f>
        <v>0</v>
      </c>
      <c r="AD24" s="67">
        <f>Table1215[[#This Row],[Column25]]</f>
        <v>4</v>
      </c>
      <c r="AE24" s="65">
        <f>IFERROR(VLOOKUP(Table1215[[#This Row],[Column2]],Table12[[Column2]:[Column54]],30,FALSE),"0")</f>
        <v>0</v>
      </c>
      <c r="AF24" s="65">
        <f>IFERROR(VLOOKUP(Table1215[[#This Row],[Column2]],Table12[[Column2]:[Column54]],31,FALSE),"0")</f>
        <v>0</v>
      </c>
      <c r="AG24" s="65">
        <f>IFERROR(VLOOKUP(Table1215[[#This Row],[Column2]],Table12[[Column2]:[Column54]],32,FALSE),"0")</f>
        <v>0</v>
      </c>
      <c r="AH24" s="65">
        <f>IFERROR(VLOOKUP(Table1215[[#This Row],[Column2]],Table12[[Column2]:[Column54]],33,FALSE),"0")</f>
        <v>0</v>
      </c>
      <c r="AI24" s="65">
        <f>IFERROR(VLOOKUP(Table1215[[#This Row],[Column2]],Table12[[Column2]:[Column54]],34,FALSE),"0")</f>
        <v>0</v>
      </c>
      <c r="AJ24" s="67">
        <f>AVERAGE(Table1215[[#This Row],[Column31]],Table1215[[#This Row],[Column32]],Table1215[[#This Row],[Column33]])</f>
        <v>0</v>
      </c>
      <c r="AK24" s="65">
        <f>IFERROR(VLOOKUP(Table1215[[#This Row],[Column2]],Table12[[Column2]:[Column54]],36,FALSE),"0")</f>
        <v>4</v>
      </c>
      <c r="AL24" s="65">
        <f>IFERROR(VLOOKUP(Table1215[[#This Row],[Column2]],Table12[[Column2]:[Column54]],37,FALSE),"0")</f>
        <v>5</v>
      </c>
      <c r="AM24" s="65">
        <f>IFERROR(VLOOKUP(Table1215[[#This Row],[Column2]],Table12[[Column2]:[Column54]],38,FALSE),"0")</f>
        <v>0</v>
      </c>
      <c r="AN24" s="65">
        <f>IFERROR(VLOOKUP(Table1215[[#This Row],[Column2]],Table12[[Column2]:[Column54]],39,FALSE),"0")</f>
        <v>5</v>
      </c>
      <c r="AO24" s="65">
        <f>IFERROR(VLOOKUP(Table1215[[#This Row],[Column2]],Table12[[Column2]:[Column54]],40,FALSE),"0")</f>
        <v>0</v>
      </c>
      <c r="AP24" s="67">
        <f>AVERAGE(Table1215[[#This Row],[Column37]],Table1215[[#This Row],[Column38]],Table1215[[#This Row],[Column40]])</f>
        <v>4.666666666666667</v>
      </c>
      <c r="AQ24" s="65">
        <f>IFERROR(VLOOKUP(Table1215[[#This Row],[Column2]],Table12[[Column2]:[Column54]],42,FALSE),"0")</f>
        <v>4</v>
      </c>
      <c r="AR24" s="65">
        <f>IFERROR(VLOOKUP(Table1215[[#This Row],[Column2]],Table12[[Column2]:[Column54]],43,FALSE),"0")</f>
        <v>0</v>
      </c>
      <c r="AS24" s="65">
        <f>IFERROR(VLOOKUP(Table1215[[#This Row],[Column2]],Table12[[Column2]:[Column54]],44,FALSE),"0")</f>
        <v>0</v>
      </c>
      <c r="AT24" s="65">
        <f>IFERROR(VLOOKUP(Table1215[[#This Row],[Column2]],Table12[[Column2]:[Column54]],45,FALSE),"0")</f>
        <v>0</v>
      </c>
      <c r="AU24" s="65">
        <f>IFERROR(VLOOKUP(Table1215[[#This Row],[Column2]],Table12[[Column2]:[Column54]],46,FALSE),"0")</f>
        <v>0</v>
      </c>
      <c r="AV24" s="67">
        <f>Table1215[[#This Row],[Column43]]</f>
        <v>4</v>
      </c>
      <c r="AW24" s="65">
        <f>IFERROR(VLOOKUP(Table1215[[#This Row],[Column2]],Table12[[Column2]:[Column54]],48,FALSE),"0")</f>
        <v>0</v>
      </c>
      <c r="AX24" s="65">
        <f>IFERROR(VLOOKUP(Table1215[[#This Row],[Column2]],Table12[[Column2]:[Column54]],49,FALSE),"0")</f>
        <v>0</v>
      </c>
      <c r="AY24" s="65">
        <f>IFERROR(VLOOKUP(Table1215[[#This Row],[Column2]],Table12[[Column2]:[Column54]],50,FALSE),"0")</f>
        <v>0</v>
      </c>
      <c r="AZ24" s="65">
        <f>IFERROR(VLOOKUP(Table1215[[#This Row],[Column2]],Table12[[Column2]:[Column54]],51,FALSE),"0")</f>
        <v>4</v>
      </c>
      <c r="BA24" s="65">
        <f>IFERROR(VLOOKUP(Table1215[[#This Row],[Column2]],Table12[[Column2]:[Column54]],52,FALSE),"0")</f>
        <v>4</v>
      </c>
      <c r="BB24" s="67">
        <f>AVERAGE(Table1215[[#This Row],[Column52]],Table1215[[#This Row],[Column53]])</f>
        <v>4</v>
      </c>
    </row>
    <row r="25" spans="1:54" ht="23.1" customHeight="1" x14ac:dyDescent="0.3">
      <c r="A25" s="87">
        <v>22</v>
      </c>
      <c r="B25" s="70" t="s">
        <v>58</v>
      </c>
      <c r="C25" s="71" t="s">
        <v>59</v>
      </c>
      <c r="D25" s="70" t="s">
        <v>450</v>
      </c>
      <c r="E25" s="70" t="s">
        <v>35</v>
      </c>
      <c r="F25" s="70" t="str">
        <f>REPT(CHAR(160),10)&amp;Working!$E26</f>
        <v>          A</v>
      </c>
      <c r="G25" s="61">
        <f>IFERROR(VLOOKUP(Table1215[[#This Row],[Column2]],Table12[[Column2]:[Column54]],6,FALSE),"0")</f>
        <v>0</v>
      </c>
      <c r="H25" s="61">
        <f>IFERROR(VLOOKUP(Table1215[[#This Row],[Column2]],Table12[[Column2]:[Column54]],7,FALSE),"0")</f>
        <v>0</v>
      </c>
      <c r="I25" s="61">
        <f>IFERROR(VLOOKUP(Table1215[[#This Row],[Column2]],Table12[[Column2]:[Column54]],8,FALSE),"0")</f>
        <v>5</v>
      </c>
      <c r="J25" s="61">
        <f>IFERROR(VLOOKUP(Table1215[[#This Row],[Column2]],Table12[[Column2]:[Column54]],9,FALSE),"0")</f>
        <v>0</v>
      </c>
      <c r="K25" s="61">
        <f>IFERROR(VLOOKUP(Table1215[[#This Row],[Column2]],Table12[[Column2]:[Column54]],10,FALSE),"0")</f>
        <v>0</v>
      </c>
      <c r="L25" s="67">
        <f>Table1215[[#This Row],[Column9]]</f>
        <v>5</v>
      </c>
      <c r="M25" s="61">
        <f>IFERROR(VLOOKUP(Table1215[[#This Row],[Column2]],Table12[[Column2]:[Column54]],12,FALSE),"0")</f>
        <v>0</v>
      </c>
      <c r="N25" s="61">
        <f>IFERROR(VLOOKUP(Table1215[[#This Row],[Column2]],Table12[[Column2]:[Column54]],13,FALSE),"0")</f>
        <v>4</v>
      </c>
      <c r="O25" s="61">
        <f>IFERROR(VLOOKUP(Table1215[[#This Row],[Column2]],Table12[[Column2]:[Column54]],14,FALSE),"0")</f>
        <v>4</v>
      </c>
      <c r="P25" s="61">
        <f>IFERROR(VLOOKUP(Table1215[[#This Row],[Column2]],Table12[[Column2]:[Column54]],10,FALSE),"0")</f>
        <v>0</v>
      </c>
      <c r="Q25" s="61">
        <f>IFERROR(VLOOKUP(Table1215[[#This Row],[Column2]],Table12[[Column2]:[Column54]],16,FALSE),"0")</f>
        <v>4</v>
      </c>
      <c r="R25" s="67">
        <f>AVERAGE(Table1215[[#This Row],[Column14]],Table1215[[#This Row],[Column15]],Table1215[[#This Row],[Column17]])</f>
        <v>4</v>
      </c>
      <c r="S25" s="61">
        <f>IFERROR(VLOOKUP(Table1215[[#This Row],[Column2]],Table12[[Column2]:[Column54]],18,FALSE),"0")</f>
        <v>0</v>
      </c>
      <c r="T25" s="61">
        <f>IFERROR(VLOOKUP(Table1215[[#This Row],[Column2]],Table12[[Column2]:[Column54]],19,FALSE),"0")</f>
        <v>0</v>
      </c>
      <c r="U25" s="61">
        <f>IFERROR(VLOOKUP(Table1215[[#This Row],[Column2]],Table12[[Column2]:[Column54]],20,FALSE),"0")</f>
        <v>0</v>
      </c>
      <c r="V25" s="61">
        <f>IFERROR(VLOOKUP(Table1215[[#This Row],[Column2]],Table12[[Column2]:[Column54]],21,FALSE),"0")</f>
        <v>0</v>
      </c>
      <c r="W25" s="61">
        <f>IFERROR(VLOOKUP(Table1215[[#This Row],[Column2]],Table12[[Column2]:[Column54]],22,FALSE),"0")</f>
        <v>0</v>
      </c>
      <c r="X25" s="67">
        <f>Table1215[[#This Row],[Column19]]</f>
        <v>0</v>
      </c>
      <c r="Y25" s="61">
        <f>IFERROR(VLOOKUP(Table1215[[#This Row],[Column2]],Table12[[Column2]:[Column54]],24,FALSE),"0")</f>
        <v>4</v>
      </c>
      <c r="Z25" s="61">
        <f>IFERROR(VLOOKUP(Table1215[[#This Row],[Column2]],Table12[[Column2]:[Column54]],25,FALSE),"0")</f>
        <v>0</v>
      </c>
      <c r="AA25" s="61">
        <f>IFERROR(VLOOKUP(Table1215[[#This Row],[Column2]],Table12[[Column2]:[Column54]],26,FALSE),"0")</f>
        <v>0</v>
      </c>
      <c r="AB25" s="61">
        <f>IFERROR(VLOOKUP(Table1215[[#This Row],[Column2]],Table12[[Column2]:[Column54]],27,FALSE),"0")</f>
        <v>0</v>
      </c>
      <c r="AC25" s="61">
        <f>IFERROR(VLOOKUP(Table1215[[#This Row],[Column2]],Table12[[Column2]:[Column54]],28,FALSE),"0")</f>
        <v>0</v>
      </c>
      <c r="AD25" s="67">
        <f>Table1215[[#This Row],[Column25]]</f>
        <v>4</v>
      </c>
      <c r="AE25" s="61">
        <f>IFERROR(VLOOKUP(Table1215[[#This Row],[Column2]],Table12[[Column2]:[Column54]],30,FALSE),"0")</f>
        <v>0</v>
      </c>
      <c r="AF25" s="61">
        <f>IFERROR(VLOOKUP(Table1215[[#This Row],[Column2]],Table12[[Column2]:[Column54]],31,FALSE),"0")</f>
        <v>0</v>
      </c>
      <c r="AG25" s="61">
        <f>IFERROR(VLOOKUP(Table1215[[#This Row],[Column2]],Table12[[Column2]:[Column54]],32,FALSE),"0")</f>
        <v>0</v>
      </c>
      <c r="AH25" s="61">
        <f>IFERROR(VLOOKUP(Table1215[[#This Row],[Column2]],Table12[[Column2]:[Column54]],33,FALSE),"0")</f>
        <v>0</v>
      </c>
      <c r="AI25" s="61">
        <f>IFERROR(VLOOKUP(Table1215[[#This Row],[Column2]],Table12[[Column2]:[Column54]],34,FALSE),"0")</f>
        <v>0</v>
      </c>
      <c r="AJ25" s="67">
        <f>AVERAGE(Table1215[[#This Row],[Column31]],Table1215[[#This Row],[Column32]],Table1215[[#This Row],[Column33]])</f>
        <v>0</v>
      </c>
      <c r="AK25" s="61">
        <f>IFERROR(VLOOKUP(Table1215[[#This Row],[Column2]],Table12[[Column2]:[Column54]],36,FALSE),"0")</f>
        <v>4</v>
      </c>
      <c r="AL25" s="61">
        <f>IFERROR(VLOOKUP(Table1215[[#This Row],[Column2]],Table12[[Column2]:[Column54]],37,FALSE),"0")</f>
        <v>4</v>
      </c>
      <c r="AM25" s="61">
        <f>IFERROR(VLOOKUP(Table1215[[#This Row],[Column2]],Table12[[Column2]:[Column54]],38,FALSE),"0")</f>
        <v>0</v>
      </c>
      <c r="AN25" s="61">
        <f>IFERROR(VLOOKUP(Table1215[[#This Row],[Column2]],Table12[[Column2]:[Column54]],39,FALSE),"0")</f>
        <v>4</v>
      </c>
      <c r="AO25" s="61">
        <f>IFERROR(VLOOKUP(Table1215[[#This Row],[Column2]],Table12[[Column2]:[Column54]],40,FALSE),"0")</f>
        <v>0</v>
      </c>
      <c r="AP25" s="67">
        <f>AVERAGE(Table1215[[#This Row],[Column37]],Table1215[[#This Row],[Column38]],Table1215[[#This Row],[Column40]])</f>
        <v>4</v>
      </c>
      <c r="AQ25" s="61">
        <f>IFERROR(VLOOKUP(Table1215[[#This Row],[Column2]],Table12[[Column2]:[Column54]],42,FALSE),"0")</f>
        <v>5</v>
      </c>
      <c r="AR25" s="61">
        <f>IFERROR(VLOOKUP(Table1215[[#This Row],[Column2]],Table12[[Column2]:[Column54]],43,FALSE),"0")</f>
        <v>0</v>
      </c>
      <c r="AS25" s="61">
        <f>IFERROR(VLOOKUP(Table1215[[#This Row],[Column2]],Table12[[Column2]:[Column54]],44,FALSE),"0")</f>
        <v>0</v>
      </c>
      <c r="AT25" s="61">
        <f>IFERROR(VLOOKUP(Table1215[[#This Row],[Column2]],Table12[[Column2]:[Column54]],45,FALSE),"0")</f>
        <v>0</v>
      </c>
      <c r="AU25" s="61">
        <f>IFERROR(VLOOKUP(Table1215[[#This Row],[Column2]],Table12[[Column2]:[Column54]],46,FALSE),"0")</f>
        <v>0</v>
      </c>
      <c r="AV25" s="67">
        <f>Table1215[[#This Row],[Column43]]</f>
        <v>5</v>
      </c>
      <c r="AW25" s="61">
        <f>IFERROR(VLOOKUP(Table1215[[#This Row],[Column2]],Table12[[Column2]:[Column54]],48,FALSE),"0")</f>
        <v>0</v>
      </c>
      <c r="AX25" s="61">
        <f>IFERROR(VLOOKUP(Table1215[[#This Row],[Column2]],Table12[[Column2]:[Column54]],49,FALSE),"0")</f>
        <v>0</v>
      </c>
      <c r="AY25" s="61">
        <f>IFERROR(VLOOKUP(Table1215[[#This Row],[Column2]],Table12[[Column2]:[Column54]],50,FALSE),"0")</f>
        <v>0</v>
      </c>
      <c r="AZ25" s="61">
        <f>IFERROR(VLOOKUP(Table1215[[#This Row],[Column2]],Table12[[Column2]:[Column54]],51,FALSE),"0")</f>
        <v>4</v>
      </c>
      <c r="BA25" s="61">
        <f>IFERROR(VLOOKUP(Table1215[[#This Row],[Column2]],Table12[[Column2]:[Column54]],52,FALSE),"0")</f>
        <v>4</v>
      </c>
      <c r="BB25" s="67">
        <f>AVERAGE(Table1215[[#This Row],[Column52]],Table1215[[#This Row],[Column53]])</f>
        <v>4</v>
      </c>
    </row>
    <row r="26" spans="1:54" ht="23.1" customHeight="1" x14ac:dyDescent="0.3">
      <c r="A26" s="86">
        <v>23</v>
      </c>
      <c r="B26" s="63" t="s">
        <v>225</v>
      </c>
      <c r="C26" s="64" t="s">
        <v>226</v>
      </c>
      <c r="D26" s="63" t="s">
        <v>450</v>
      </c>
      <c r="E26" s="63" t="s">
        <v>161</v>
      </c>
      <c r="F26" s="63" t="str">
        <f>REPT(CHAR(160),10)&amp;Working!$E27</f>
        <v>          B</v>
      </c>
      <c r="G26" s="65">
        <f>IFERROR(VLOOKUP(Table1215[[#This Row],[Column2]],Table12[[Column2]:[Column54]],6,FALSE),"0")</f>
        <v>0</v>
      </c>
      <c r="H26" s="65">
        <f>IFERROR(VLOOKUP(Table1215[[#This Row],[Column2]],Table12[[Column2]:[Column54]],7,FALSE),"0")</f>
        <v>0</v>
      </c>
      <c r="I26" s="65">
        <f>IFERROR(VLOOKUP(Table1215[[#This Row],[Column2]],Table12[[Column2]:[Column54]],8,FALSE),"0")</f>
        <v>3</v>
      </c>
      <c r="J26" s="65">
        <f>IFERROR(VLOOKUP(Table1215[[#This Row],[Column2]],Table12[[Column2]:[Column54]],9,FALSE),"0")</f>
        <v>0</v>
      </c>
      <c r="K26" s="65">
        <f>IFERROR(VLOOKUP(Table1215[[#This Row],[Column2]],Table12[[Column2]:[Column54]],10,FALSE),"0")</f>
        <v>0</v>
      </c>
      <c r="L26" s="67">
        <f>Table1215[[#This Row],[Column9]]</f>
        <v>3</v>
      </c>
      <c r="M26" s="65">
        <f>IFERROR(VLOOKUP(Table1215[[#This Row],[Column2]],Table12[[Column2]:[Column54]],12,FALSE),"0")</f>
        <v>0</v>
      </c>
      <c r="N26" s="65">
        <f>IFERROR(VLOOKUP(Table1215[[#This Row],[Column2]],Table12[[Column2]:[Column54]],13,FALSE),"0")</f>
        <v>3</v>
      </c>
      <c r="O26" s="65">
        <f>IFERROR(VLOOKUP(Table1215[[#This Row],[Column2]],Table12[[Column2]:[Column54]],14,FALSE),"0")</f>
        <v>3</v>
      </c>
      <c r="P26" s="65">
        <f>IFERROR(VLOOKUP(Table1215[[#This Row],[Column2]],Table12[[Column2]:[Column54]],10,FALSE),"0")</f>
        <v>0</v>
      </c>
      <c r="Q26" s="65">
        <f>IFERROR(VLOOKUP(Table1215[[#This Row],[Column2]],Table12[[Column2]:[Column54]],16,FALSE),"0")</f>
        <v>3</v>
      </c>
      <c r="R26" s="67">
        <f>AVERAGE(Table1215[[#This Row],[Column14]],Table1215[[#This Row],[Column15]],Table1215[[#This Row],[Column17]])</f>
        <v>3</v>
      </c>
      <c r="S26" s="65">
        <f>IFERROR(VLOOKUP(Table1215[[#This Row],[Column2]],Table12[[Column2]:[Column54]],18,FALSE),"0")</f>
        <v>0</v>
      </c>
      <c r="T26" s="65">
        <f>IFERROR(VLOOKUP(Table1215[[#This Row],[Column2]],Table12[[Column2]:[Column54]],19,FALSE),"0")</f>
        <v>0</v>
      </c>
      <c r="U26" s="65">
        <f>IFERROR(VLOOKUP(Table1215[[#This Row],[Column2]],Table12[[Column2]:[Column54]],20,FALSE),"0")</f>
        <v>0</v>
      </c>
      <c r="V26" s="65">
        <f>IFERROR(VLOOKUP(Table1215[[#This Row],[Column2]],Table12[[Column2]:[Column54]],21,FALSE),"0")</f>
        <v>0</v>
      </c>
      <c r="W26" s="65">
        <f>IFERROR(VLOOKUP(Table1215[[#This Row],[Column2]],Table12[[Column2]:[Column54]],22,FALSE),"0")</f>
        <v>0</v>
      </c>
      <c r="X26" s="67">
        <f>Table1215[[#This Row],[Column19]]</f>
        <v>0</v>
      </c>
      <c r="Y26" s="65">
        <f>IFERROR(VLOOKUP(Table1215[[#This Row],[Column2]],Table12[[Column2]:[Column54]],24,FALSE),"0")</f>
        <v>3</v>
      </c>
      <c r="Z26" s="65">
        <f>IFERROR(VLOOKUP(Table1215[[#This Row],[Column2]],Table12[[Column2]:[Column54]],25,FALSE),"0")</f>
        <v>0</v>
      </c>
      <c r="AA26" s="65">
        <f>IFERROR(VLOOKUP(Table1215[[#This Row],[Column2]],Table12[[Column2]:[Column54]],26,FALSE),"0")</f>
        <v>0</v>
      </c>
      <c r="AB26" s="65">
        <f>IFERROR(VLOOKUP(Table1215[[#This Row],[Column2]],Table12[[Column2]:[Column54]],27,FALSE),"0")</f>
        <v>0</v>
      </c>
      <c r="AC26" s="65">
        <f>IFERROR(VLOOKUP(Table1215[[#This Row],[Column2]],Table12[[Column2]:[Column54]],28,FALSE),"0")</f>
        <v>0</v>
      </c>
      <c r="AD26" s="67">
        <f>Table1215[[#This Row],[Column25]]</f>
        <v>3</v>
      </c>
      <c r="AE26" s="65">
        <f>IFERROR(VLOOKUP(Table1215[[#This Row],[Column2]],Table12[[Column2]:[Column54]],30,FALSE),"0")</f>
        <v>0</v>
      </c>
      <c r="AF26" s="65">
        <f>IFERROR(VLOOKUP(Table1215[[#This Row],[Column2]],Table12[[Column2]:[Column54]],31,FALSE),"0")</f>
        <v>0</v>
      </c>
      <c r="AG26" s="65">
        <f>IFERROR(VLOOKUP(Table1215[[#This Row],[Column2]],Table12[[Column2]:[Column54]],32,FALSE),"0")</f>
        <v>0</v>
      </c>
      <c r="AH26" s="65">
        <f>IFERROR(VLOOKUP(Table1215[[#This Row],[Column2]],Table12[[Column2]:[Column54]],33,FALSE),"0")</f>
        <v>0</v>
      </c>
      <c r="AI26" s="65">
        <f>IFERROR(VLOOKUP(Table1215[[#This Row],[Column2]],Table12[[Column2]:[Column54]],34,FALSE),"0")</f>
        <v>0</v>
      </c>
      <c r="AJ26" s="67">
        <f>AVERAGE(Table1215[[#This Row],[Column31]],Table1215[[#This Row],[Column32]],Table1215[[#This Row],[Column33]])</f>
        <v>0</v>
      </c>
      <c r="AK26" s="65">
        <f>IFERROR(VLOOKUP(Table1215[[#This Row],[Column2]],Table12[[Column2]:[Column54]],36,FALSE),"0")</f>
        <v>3</v>
      </c>
      <c r="AL26" s="65">
        <f>IFERROR(VLOOKUP(Table1215[[#This Row],[Column2]],Table12[[Column2]:[Column54]],37,FALSE),"0")</f>
        <v>3</v>
      </c>
      <c r="AM26" s="65">
        <f>IFERROR(VLOOKUP(Table1215[[#This Row],[Column2]],Table12[[Column2]:[Column54]],38,FALSE),"0")</f>
        <v>0</v>
      </c>
      <c r="AN26" s="65">
        <f>IFERROR(VLOOKUP(Table1215[[#This Row],[Column2]],Table12[[Column2]:[Column54]],39,FALSE),"0")</f>
        <v>3</v>
      </c>
      <c r="AO26" s="65">
        <f>IFERROR(VLOOKUP(Table1215[[#This Row],[Column2]],Table12[[Column2]:[Column54]],40,FALSE),"0")</f>
        <v>0</v>
      </c>
      <c r="AP26" s="67">
        <f>AVERAGE(Table1215[[#This Row],[Column37]],Table1215[[#This Row],[Column38]],Table1215[[#This Row],[Column40]])</f>
        <v>3</v>
      </c>
      <c r="AQ26" s="65">
        <f>IFERROR(VLOOKUP(Table1215[[#This Row],[Column2]],Table12[[Column2]:[Column54]],42,FALSE),"0")</f>
        <v>3</v>
      </c>
      <c r="AR26" s="65">
        <f>IFERROR(VLOOKUP(Table1215[[#This Row],[Column2]],Table12[[Column2]:[Column54]],43,FALSE),"0")</f>
        <v>0</v>
      </c>
      <c r="AS26" s="65">
        <f>IFERROR(VLOOKUP(Table1215[[#This Row],[Column2]],Table12[[Column2]:[Column54]],44,FALSE),"0")</f>
        <v>0</v>
      </c>
      <c r="AT26" s="65">
        <f>IFERROR(VLOOKUP(Table1215[[#This Row],[Column2]],Table12[[Column2]:[Column54]],45,FALSE),"0")</f>
        <v>0</v>
      </c>
      <c r="AU26" s="65">
        <f>IFERROR(VLOOKUP(Table1215[[#This Row],[Column2]],Table12[[Column2]:[Column54]],46,FALSE),"0")</f>
        <v>0</v>
      </c>
      <c r="AV26" s="67">
        <f>Table1215[[#This Row],[Column43]]</f>
        <v>3</v>
      </c>
      <c r="AW26" s="65">
        <f>IFERROR(VLOOKUP(Table1215[[#This Row],[Column2]],Table12[[Column2]:[Column54]],48,FALSE),"0")</f>
        <v>0</v>
      </c>
      <c r="AX26" s="65">
        <f>IFERROR(VLOOKUP(Table1215[[#This Row],[Column2]],Table12[[Column2]:[Column54]],49,FALSE),"0")</f>
        <v>0</v>
      </c>
      <c r="AY26" s="65">
        <f>IFERROR(VLOOKUP(Table1215[[#This Row],[Column2]],Table12[[Column2]:[Column54]],50,FALSE),"0")</f>
        <v>0</v>
      </c>
      <c r="AZ26" s="65">
        <f>IFERROR(VLOOKUP(Table1215[[#This Row],[Column2]],Table12[[Column2]:[Column54]],51,FALSE),"0")</f>
        <v>3</v>
      </c>
      <c r="BA26" s="65">
        <f>IFERROR(VLOOKUP(Table1215[[#This Row],[Column2]],Table12[[Column2]:[Column54]],52,FALSE),"0")</f>
        <v>3</v>
      </c>
      <c r="BB26" s="67">
        <f>AVERAGE(Table1215[[#This Row],[Column52]],Table1215[[#This Row],[Column53]])</f>
        <v>3</v>
      </c>
    </row>
    <row r="27" spans="1:54" ht="23.1" customHeight="1" x14ac:dyDescent="0.3">
      <c r="A27" s="87">
        <v>24</v>
      </c>
      <c r="B27" s="70" t="s">
        <v>297</v>
      </c>
      <c r="C27" s="71" t="s">
        <v>109</v>
      </c>
      <c r="D27" s="70" t="s">
        <v>450</v>
      </c>
      <c r="E27" s="70" t="s">
        <v>35</v>
      </c>
      <c r="F27" s="70" t="str">
        <f>REPT(CHAR(160),10)&amp;Working!$E28</f>
        <v>          A</v>
      </c>
      <c r="G27" s="61">
        <f>IFERROR(VLOOKUP(Table1215[[#This Row],[Column2]],Table12[[Column2]:[Column54]],6,FALSE),"0")</f>
        <v>0</v>
      </c>
      <c r="H27" s="61">
        <f>IFERROR(VLOOKUP(Table1215[[#This Row],[Column2]],Table12[[Column2]:[Column54]],7,FALSE),"0")</f>
        <v>0</v>
      </c>
      <c r="I27" s="61">
        <f>IFERROR(VLOOKUP(Table1215[[#This Row],[Column2]],Table12[[Column2]:[Column54]],8,FALSE),"0")</f>
        <v>4</v>
      </c>
      <c r="J27" s="61">
        <f>IFERROR(VLOOKUP(Table1215[[#This Row],[Column2]],Table12[[Column2]:[Column54]],9,FALSE),"0")</f>
        <v>0</v>
      </c>
      <c r="K27" s="61">
        <f>IFERROR(VLOOKUP(Table1215[[#This Row],[Column2]],Table12[[Column2]:[Column54]],10,FALSE),"0")</f>
        <v>0</v>
      </c>
      <c r="L27" s="67">
        <f>Table1215[[#This Row],[Column9]]</f>
        <v>4</v>
      </c>
      <c r="M27" s="61">
        <f>IFERROR(VLOOKUP(Table1215[[#This Row],[Column2]],Table12[[Column2]:[Column54]],12,FALSE),"0")</f>
        <v>0</v>
      </c>
      <c r="N27" s="61">
        <f>IFERROR(VLOOKUP(Table1215[[#This Row],[Column2]],Table12[[Column2]:[Column54]],13,FALSE),"0")</f>
        <v>4</v>
      </c>
      <c r="O27" s="61">
        <f>IFERROR(VLOOKUP(Table1215[[#This Row],[Column2]],Table12[[Column2]:[Column54]],14,FALSE),"0")</f>
        <v>4</v>
      </c>
      <c r="P27" s="61">
        <f>IFERROR(VLOOKUP(Table1215[[#This Row],[Column2]],Table12[[Column2]:[Column54]],10,FALSE),"0")</f>
        <v>0</v>
      </c>
      <c r="Q27" s="61">
        <f>IFERROR(VLOOKUP(Table1215[[#This Row],[Column2]],Table12[[Column2]:[Column54]],16,FALSE),"0")</f>
        <v>4</v>
      </c>
      <c r="R27" s="67">
        <f>AVERAGE(Table1215[[#This Row],[Column14]],Table1215[[#This Row],[Column15]],Table1215[[#This Row],[Column17]])</f>
        <v>4</v>
      </c>
      <c r="S27" s="61">
        <f>IFERROR(VLOOKUP(Table1215[[#This Row],[Column2]],Table12[[Column2]:[Column54]],18,FALSE),"0")</f>
        <v>0</v>
      </c>
      <c r="T27" s="61">
        <f>IFERROR(VLOOKUP(Table1215[[#This Row],[Column2]],Table12[[Column2]:[Column54]],19,FALSE),"0")</f>
        <v>0</v>
      </c>
      <c r="U27" s="61">
        <f>IFERROR(VLOOKUP(Table1215[[#This Row],[Column2]],Table12[[Column2]:[Column54]],20,FALSE),"0")</f>
        <v>0</v>
      </c>
      <c r="V27" s="61">
        <f>IFERROR(VLOOKUP(Table1215[[#This Row],[Column2]],Table12[[Column2]:[Column54]],21,FALSE),"0")</f>
        <v>0</v>
      </c>
      <c r="W27" s="61">
        <f>IFERROR(VLOOKUP(Table1215[[#This Row],[Column2]],Table12[[Column2]:[Column54]],22,FALSE),"0")</f>
        <v>0</v>
      </c>
      <c r="X27" s="67">
        <f>Table1215[[#This Row],[Column19]]</f>
        <v>0</v>
      </c>
      <c r="Y27" s="61">
        <f>IFERROR(VLOOKUP(Table1215[[#This Row],[Column2]],Table12[[Column2]:[Column54]],24,FALSE),"0")</f>
        <v>4</v>
      </c>
      <c r="Z27" s="61">
        <f>IFERROR(VLOOKUP(Table1215[[#This Row],[Column2]],Table12[[Column2]:[Column54]],25,FALSE),"0")</f>
        <v>0</v>
      </c>
      <c r="AA27" s="61">
        <f>IFERROR(VLOOKUP(Table1215[[#This Row],[Column2]],Table12[[Column2]:[Column54]],26,FALSE),"0")</f>
        <v>0</v>
      </c>
      <c r="AB27" s="61">
        <f>IFERROR(VLOOKUP(Table1215[[#This Row],[Column2]],Table12[[Column2]:[Column54]],27,FALSE),"0")</f>
        <v>0</v>
      </c>
      <c r="AC27" s="61">
        <f>IFERROR(VLOOKUP(Table1215[[#This Row],[Column2]],Table12[[Column2]:[Column54]],28,FALSE),"0")</f>
        <v>0</v>
      </c>
      <c r="AD27" s="67">
        <f>Table1215[[#This Row],[Column25]]</f>
        <v>4</v>
      </c>
      <c r="AE27" s="61">
        <f>IFERROR(VLOOKUP(Table1215[[#This Row],[Column2]],Table12[[Column2]:[Column54]],30,FALSE),"0")</f>
        <v>0</v>
      </c>
      <c r="AF27" s="61">
        <f>IFERROR(VLOOKUP(Table1215[[#This Row],[Column2]],Table12[[Column2]:[Column54]],31,FALSE),"0")</f>
        <v>0</v>
      </c>
      <c r="AG27" s="61">
        <f>IFERROR(VLOOKUP(Table1215[[#This Row],[Column2]],Table12[[Column2]:[Column54]],32,FALSE),"0")</f>
        <v>0</v>
      </c>
      <c r="AH27" s="61">
        <f>IFERROR(VLOOKUP(Table1215[[#This Row],[Column2]],Table12[[Column2]:[Column54]],33,FALSE),"0")</f>
        <v>0</v>
      </c>
      <c r="AI27" s="61">
        <f>IFERROR(VLOOKUP(Table1215[[#This Row],[Column2]],Table12[[Column2]:[Column54]],34,FALSE),"0")</f>
        <v>0</v>
      </c>
      <c r="AJ27" s="67">
        <f>AVERAGE(Table1215[[#This Row],[Column31]],Table1215[[#This Row],[Column32]],Table1215[[#This Row],[Column33]])</f>
        <v>0</v>
      </c>
      <c r="AK27" s="61">
        <f>IFERROR(VLOOKUP(Table1215[[#This Row],[Column2]],Table12[[Column2]:[Column54]],36,FALSE),"0")</f>
        <v>5</v>
      </c>
      <c r="AL27" s="61">
        <f>IFERROR(VLOOKUP(Table1215[[#This Row],[Column2]],Table12[[Column2]:[Column54]],37,FALSE),"0")</f>
        <v>4</v>
      </c>
      <c r="AM27" s="61">
        <f>IFERROR(VLOOKUP(Table1215[[#This Row],[Column2]],Table12[[Column2]:[Column54]],38,FALSE),"0")</f>
        <v>0</v>
      </c>
      <c r="AN27" s="61">
        <f>IFERROR(VLOOKUP(Table1215[[#This Row],[Column2]],Table12[[Column2]:[Column54]],39,FALSE),"0")</f>
        <v>4</v>
      </c>
      <c r="AO27" s="61">
        <f>IFERROR(VLOOKUP(Table1215[[#This Row],[Column2]],Table12[[Column2]:[Column54]],40,FALSE),"0")</f>
        <v>0</v>
      </c>
      <c r="AP27" s="67">
        <f>AVERAGE(Table1215[[#This Row],[Column37]],Table1215[[#This Row],[Column38]],Table1215[[#This Row],[Column40]])</f>
        <v>4.333333333333333</v>
      </c>
      <c r="AQ27" s="61">
        <f>IFERROR(VLOOKUP(Table1215[[#This Row],[Column2]],Table12[[Column2]:[Column54]],42,FALSE),"0")</f>
        <v>4</v>
      </c>
      <c r="AR27" s="61">
        <f>IFERROR(VLOOKUP(Table1215[[#This Row],[Column2]],Table12[[Column2]:[Column54]],43,FALSE),"0")</f>
        <v>0</v>
      </c>
      <c r="AS27" s="61">
        <f>IFERROR(VLOOKUP(Table1215[[#This Row],[Column2]],Table12[[Column2]:[Column54]],44,FALSE),"0")</f>
        <v>0</v>
      </c>
      <c r="AT27" s="61">
        <f>IFERROR(VLOOKUP(Table1215[[#This Row],[Column2]],Table12[[Column2]:[Column54]],45,FALSE),"0")</f>
        <v>0</v>
      </c>
      <c r="AU27" s="61">
        <f>IFERROR(VLOOKUP(Table1215[[#This Row],[Column2]],Table12[[Column2]:[Column54]],46,FALSE),"0")</f>
        <v>0</v>
      </c>
      <c r="AV27" s="67">
        <f>Table1215[[#This Row],[Column43]]</f>
        <v>4</v>
      </c>
      <c r="AW27" s="61">
        <f>IFERROR(VLOOKUP(Table1215[[#This Row],[Column2]],Table12[[Column2]:[Column54]],48,FALSE),"0")</f>
        <v>0</v>
      </c>
      <c r="AX27" s="61">
        <f>IFERROR(VLOOKUP(Table1215[[#This Row],[Column2]],Table12[[Column2]:[Column54]],49,FALSE),"0")</f>
        <v>0</v>
      </c>
      <c r="AY27" s="61">
        <f>IFERROR(VLOOKUP(Table1215[[#This Row],[Column2]],Table12[[Column2]:[Column54]],50,FALSE),"0")</f>
        <v>0</v>
      </c>
      <c r="AZ27" s="61">
        <f>IFERROR(VLOOKUP(Table1215[[#This Row],[Column2]],Table12[[Column2]:[Column54]],51,FALSE),"0")</f>
        <v>4</v>
      </c>
      <c r="BA27" s="61">
        <f>IFERROR(VLOOKUP(Table1215[[#This Row],[Column2]],Table12[[Column2]:[Column54]],52,FALSE),"0")</f>
        <v>4</v>
      </c>
      <c r="BB27" s="67">
        <f>AVERAGE(Table1215[[#This Row],[Column52]],Table1215[[#This Row],[Column53]])</f>
        <v>4</v>
      </c>
    </row>
    <row r="28" spans="1:54" ht="23.1" customHeight="1" x14ac:dyDescent="0.3">
      <c r="A28" s="86">
        <v>25</v>
      </c>
      <c r="B28" s="63" t="s">
        <v>241</v>
      </c>
      <c r="C28" s="64" t="s">
        <v>242</v>
      </c>
      <c r="D28" s="63" t="s">
        <v>450</v>
      </c>
      <c r="E28" s="63" t="s">
        <v>161</v>
      </c>
      <c r="F28" s="63" t="str">
        <f>REPT(CHAR(160),10)&amp;Working!$E29</f>
        <v>          B</v>
      </c>
      <c r="G28" s="65">
        <f>IFERROR(VLOOKUP(Table1215[[#This Row],[Column2]],Table12[[Column2]:[Column54]],6,FALSE),"0")</f>
        <v>0</v>
      </c>
      <c r="H28" s="65">
        <f>IFERROR(VLOOKUP(Table1215[[#This Row],[Column2]],Table12[[Column2]:[Column54]],7,FALSE),"0")</f>
        <v>0</v>
      </c>
      <c r="I28" s="65">
        <f>IFERROR(VLOOKUP(Table1215[[#This Row],[Column2]],Table12[[Column2]:[Column54]],8,FALSE),"0")</f>
        <v>4</v>
      </c>
      <c r="J28" s="65">
        <f>IFERROR(VLOOKUP(Table1215[[#This Row],[Column2]],Table12[[Column2]:[Column54]],9,FALSE),"0")</f>
        <v>0</v>
      </c>
      <c r="K28" s="65">
        <f>IFERROR(VLOOKUP(Table1215[[#This Row],[Column2]],Table12[[Column2]:[Column54]],10,FALSE),"0")</f>
        <v>0</v>
      </c>
      <c r="L28" s="67">
        <f>Table1215[[#This Row],[Column9]]</f>
        <v>4</v>
      </c>
      <c r="M28" s="65">
        <f>IFERROR(VLOOKUP(Table1215[[#This Row],[Column2]],Table12[[Column2]:[Column54]],12,FALSE),"0")</f>
        <v>0</v>
      </c>
      <c r="N28" s="65">
        <f>IFERROR(VLOOKUP(Table1215[[#This Row],[Column2]],Table12[[Column2]:[Column54]],13,FALSE),"0")</f>
        <v>4</v>
      </c>
      <c r="O28" s="65">
        <f>IFERROR(VLOOKUP(Table1215[[#This Row],[Column2]],Table12[[Column2]:[Column54]],14,FALSE),"0")</f>
        <v>4</v>
      </c>
      <c r="P28" s="65">
        <f>IFERROR(VLOOKUP(Table1215[[#This Row],[Column2]],Table12[[Column2]:[Column54]],10,FALSE),"0")</f>
        <v>0</v>
      </c>
      <c r="Q28" s="65">
        <f>IFERROR(VLOOKUP(Table1215[[#This Row],[Column2]],Table12[[Column2]:[Column54]],16,FALSE),"0")</f>
        <v>4</v>
      </c>
      <c r="R28" s="67">
        <f>AVERAGE(Table1215[[#This Row],[Column14]],Table1215[[#This Row],[Column15]],Table1215[[#This Row],[Column17]])</f>
        <v>4</v>
      </c>
      <c r="S28" s="65">
        <f>IFERROR(VLOOKUP(Table1215[[#This Row],[Column2]],Table12[[Column2]:[Column54]],18,FALSE),"0")</f>
        <v>0</v>
      </c>
      <c r="T28" s="65">
        <f>IFERROR(VLOOKUP(Table1215[[#This Row],[Column2]],Table12[[Column2]:[Column54]],19,FALSE),"0")</f>
        <v>0</v>
      </c>
      <c r="U28" s="65">
        <f>IFERROR(VLOOKUP(Table1215[[#This Row],[Column2]],Table12[[Column2]:[Column54]],20,FALSE),"0")</f>
        <v>0</v>
      </c>
      <c r="V28" s="65">
        <f>IFERROR(VLOOKUP(Table1215[[#This Row],[Column2]],Table12[[Column2]:[Column54]],21,FALSE),"0")</f>
        <v>0</v>
      </c>
      <c r="W28" s="65">
        <f>IFERROR(VLOOKUP(Table1215[[#This Row],[Column2]],Table12[[Column2]:[Column54]],22,FALSE),"0")</f>
        <v>0</v>
      </c>
      <c r="X28" s="67">
        <f>Table1215[[#This Row],[Column19]]</f>
        <v>0</v>
      </c>
      <c r="Y28" s="65">
        <f>IFERROR(VLOOKUP(Table1215[[#This Row],[Column2]],Table12[[Column2]:[Column54]],24,FALSE),"0")</f>
        <v>4</v>
      </c>
      <c r="Z28" s="65">
        <f>IFERROR(VLOOKUP(Table1215[[#This Row],[Column2]],Table12[[Column2]:[Column54]],25,FALSE),"0")</f>
        <v>0</v>
      </c>
      <c r="AA28" s="65">
        <f>IFERROR(VLOOKUP(Table1215[[#This Row],[Column2]],Table12[[Column2]:[Column54]],26,FALSE),"0")</f>
        <v>0</v>
      </c>
      <c r="AB28" s="65">
        <f>IFERROR(VLOOKUP(Table1215[[#This Row],[Column2]],Table12[[Column2]:[Column54]],27,FALSE),"0")</f>
        <v>0</v>
      </c>
      <c r="AC28" s="65">
        <f>IFERROR(VLOOKUP(Table1215[[#This Row],[Column2]],Table12[[Column2]:[Column54]],28,FALSE),"0")</f>
        <v>0</v>
      </c>
      <c r="AD28" s="67">
        <f>Table1215[[#This Row],[Column25]]</f>
        <v>4</v>
      </c>
      <c r="AE28" s="65">
        <f>IFERROR(VLOOKUP(Table1215[[#This Row],[Column2]],Table12[[Column2]:[Column54]],30,FALSE),"0")</f>
        <v>0</v>
      </c>
      <c r="AF28" s="65">
        <f>IFERROR(VLOOKUP(Table1215[[#This Row],[Column2]],Table12[[Column2]:[Column54]],31,FALSE),"0")</f>
        <v>0</v>
      </c>
      <c r="AG28" s="65">
        <f>IFERROR(VLOOKUP(Table1215[[#This Row],[Column2]],Table12[[Column2]:[Column54]],32,FALSE),"0")</f>
        <v>0</v>
      </c>
      <c r="AH28" s="65">
        <f>IFERROR(VLOOKUP(Table1215[[#This Row],[Column2]],Table12[[Column2]:[Column54]],33,FALSE),"0")</f>
        <v>0</v>
      </c>
      <c r="AI28" s="65">
        <f>IFERROR(VLOOKUP(Table1215[[#This Row],[Column2]],Table12[[Column2]:[Column54]],34,FALSE),"0")</f>
        <v>0</v>
      </c>
      <c r="AJ28" s="67">
        <f>AVERAGE(Table1215[[#This Row],[Column31]],Table1215[[#This Row],[Column32]],Table1215[[#This Row],[Column33]])</f>
        <v>0</v>
      </c>
      <c r="AK28" s="65">
        <f>IFERROR(VLOOKUP(Table1215[[#This Row],[Column2]],Table12[[Column2]:[Column54]],36,FALSE),"0")</f>
        <v>4</v>
      </c>
      <c r="AL28" s="65">
        <f>IFERROR(VLOOKUP(Table1215[[#This Row],[Column2]],Table12[[Column2]:[Column54]],37,FALSE),"0")</f>
        <v>4</v>
      </c>
      <c r="AM28" s="65">
        <f>IFERROR(VLOOKUP(Table1215[[#This Row],[Column2]],Table12[[Column2]:[Column54]],38,FALSE),"0")</f>
        <v>0</v>
      </c>
      <c r="AN28" s="65">
        <f>IFERROR(VLOOKUP(Table1215[[#This Row],[Column2]],Table12[[Column2]:[Column54]],39,FALSE),"0")</f>
        <v>4</v>
      </c>
      <c r="AO28" s="65">
        <f>IFERROR(VLOOKUP(Table1215[[#This Row],[Column2]],Table12[[Column2]:[Column54]],40,FALSE),"0")</f>
        <v>0</v>
      </c>
      <c r="AP28" s="67">
        <f>AVERAGE(Table1215[[#This Row],[Column37]],Table1215[[#This Row],[Column38]],Table1215[[#This Row],[Column40]])</f>
        <v>4</v>
      </c>
      <c r="AQ28" s="65">
        <f>IFERROR(VLOOKUP(Table1215[[#This Row],[Column2]],Table12[[Column2]:[Column54]],42,FALSE),"0")</f>
        <v>4</v>
      </c>
      <c r="AR28" s="65">
        <f>IFERROR(VLOOKUP(Table1215[[#This Row],[Column2]],Table12[[Column2]:[Column54]],43,FALSE),"0")</f>
        <v>0</v>
      </c>
      <c r="AS28" s="65">
        <f>IFERROR(VLOOKUP(Table1215[[#This Row],[Column2]],Table12[[Column2]:[Column54]],44,FALSE),"0")</f>
        <v>0</v>
      </c>
      <c r="AT28" s="65">
        <f>IFERROR(VLOOKUP(Table1215[[#This Row],[Column2]],Table12[[Column2]:[Column54]],45,FALSE),"0")</f>
        <v>0</v>
      </c>
      <c r="AU28" s="65">
        <f>IFERROR(VLOOKUP(Table1215[[#This Row],[Column2]],Table12[[Column2]:[Column54]],46,FALSE),"0")</f>
        <v>0</v>
      </c>
      <c r="AV28" s="67">
        <f>Table1215[[#This Row],[Column43]]</f>
        <v>4</v>
      </c>
      <c r="AW28" s="65">
        <f>IFERROR(VLOOKUP(Table1215[[#This Row],[Column2]],Table12[[Column2]:[Column54]],48,FALSE),"0")</f>
        <v>0</v>
      </c>
      <c r="AX28" s="65">
        <f>IFERROR(VLOOKUP(Table1215[[#This Row],[Column2]],Table12[[Column2]:[Column54]],49,FALSE),"0")</f>
        <v>0</v>
      </c>
      <c r="AY28" s="65">
        <f>IFERROR(VLOOKUP(Table1215[[#This Row],[Column2]],Table12[[Column2]:[Column54]],50,FALSE),"0")</f>
        <v>0</v>
      </c>
      <c r="AZ28" s="65">
        <f>IFERROR(VLOOKUP(Table1215[[#This Row],[Column2]],Table12[[Column2]:[Column54]],51,FALSE),"0")</f>
        <v>4</v>
      </c>
      <c r="BA28" s="65">
        <f>IFERROR(VLOOKUP(Table1215[[#This Row],[Column2]],Table12[[Column2]:[Column54]],52,FALSE),"0")</f>
        <v>4</v>
      </c>
      <c r="BB28" s="67">
        <f>AVERAGE(Table1215[[#This Row],[Column52]],Table1215[[#This Row],[Column53]])</f>
        <v>4</v>
      </c>
    </row>
    <row r="29" spans="1:54" ht="23.1" customHeight="1" x14ac:dyDescent="0.3">
      <c r="A29" s="87">
        <v>26</v>
      </c>
      <c r="B29" s="70" t="s">
        <v>298</v>
      </c>
      <c r="C29" s="71" t="s">
        <v>299</v>
      </c>
      <c r="D29" s="70" t="s">
        <v>542</v>
      </c>
      <c r="E29" s="70" t="s">
        <v>493</v>
      </c>
      <c r="F29" s="70" t="str">
        <f>REPT(CHAR(160),10)&amp;Working!$E30</f>
        <v>          C</v>
      </c>
      <c r="G29" s="61">
        <f>IFERROR(VLOOKUP(Table1215[[#This Row],[Column2]],Table12[[Column2]:[Column54]],6,FALSE),"0")</f>
        <v>0</v>
      </c>
      <c r="H29" s="61">
        <f>IFERROR(VLOOKUP(Table1215[[#This Row],[Column2]],Table12[[Column2]:[Column54]],7,FALSE),"0")</f>
        <v>0</v>
      </c>
      <c r="I29" s="61">
        <f>IFERROR(VLOOKUP(Table1215[[#This Row],[Column2]],Table12[[Column2]:[Column54]],8,FALSE),"0")</f>
        <v>4</v>
      </c>
      <c r="J29" s="61">
        <f>IFERROR(VLOOKUP(Table1215[[#This Row],[Column2]],Table12[[Column2]:[Column54]],9,FALSE),"0")</f>
        <v>0</v>
      </c>
      <c r="K29" s="61">
        <f>IFERROR(VLOOKUP(Table1215[[#This Row],[Column2]],Table12[[Column2]:[Column54]],10,FALSE),"0")</f>
        <v>0</v>
      </c>
      <c r="L29" s="67">
        <f>Table1215[[#This Row],[Column9]]</f>
        <v>4</v>
      </c>
      <c r="M29" s="61">
        <f>IFERROR(VLOOKUP(Table1215[[#This Row],[Column2]],Table12[[Column2]:[Column54]],12,FALSE),"0")</f>
        <v>0</v>
      </c>
      <c r="N29" s="61">
        <f>IFERROR(VLOOKUP(Table1215[[#This Row],[Column2]],Table12[[Column2]:[Column54]],13,FALSE),"0")</f>
        <v>5</v>
      </c>
      <c r="O29" s="61">
        <f>IFERROR(VLOOKUP(Table1215[[#This Row],[Column2]],Table12[[Column2]:[Column54]],14,FALSE),"0")</f>
        <v>5</v>
      </c>
      <c r="P29" s="61">
        <f>IFERROR(VLOOKUP(Table1215[[#This Row],[Column2]],Table12[[Column2]:[Column54]],10,FALSE),"0")</f>
        <v>0</v>
      </c>
      <c r="Q29" s="61">
        <f>IFERROR(VLOOKUP(Table1215[[#This Row],[Column2]],Table12[[Column2]:[Column54]],16,FALSE),"0")</f>
        <v>5</v>
      </c>
      <c r="R29" s="67">
        <f>AVERAGE(Table1215[[#This Row],[Column14]],Table1215[[#This Row],[Column15]],Table1215[[#This Row],[Column17]])</f>
        <v>5</v>
      </c>
      <c r="S29" s="61">
        <f>IFERROR(VLOOKUP(Table1215[[#This Row],[Column2]],Table12[[Column2]:[Column54]],18,FALSE),"0")</f>
        <v>0</v>
      </c>
      <c r="T29" s="61">
        <f>IFERROR(VLOOKUP(Table1215[[#This Row],[Column2]],Table12[[Column2]:[Column54]],19,FALSE),"0")</f>
        <v>0</v>
      </c>
      <c r="U29" s="61">
        <f>IFERROR(VLOOKUP(Table1215[[#This Row],[Column2]],Table12[[Column2]:[Column54]],20,FALSE),"0")</f>
        <v>0</v>
      </c>
      <c r="V29" s="61">
        <f>IFERROR(VLOOKUP(Table1215[[#This Row],[Column2]],Table12[[Column2]:[Column54]],21,FALSE),"0")</f>
        <v>0</v>
      </c>
      <c r="W29" s="61">
        <f>IFERROR(VLOOKUP(Table1215[[#This Row],[Column2]],Table12[[Column2]:[Column54]],22,FALSE),"0")</f>
        <v>0</v>
      </c>
      <c r="X29" s="67">
        <f>Table1215[[#This Row],[Column19]]</f>
        <v>0</v>
      </c>
      <c r="Y29" s="61">
        <f>IFERROR(VLOOKUP(Table1215[[#This Row],[Column2]],Table12[[Column2]:[Column54]],24,FALSE),"0")</f>
        <v>5</v>
      </c>
      <c r="Z29" s="61">
        <f>IFERROR(VLOOKUP(Table1215[[#This Row],[Column2]],Table12[[Column2]:[Column54]],25,FALSE),"0")</f>
        <v>0</v>
      </c>
      <c r="AA29" s="61">
        <f>IFERROR(VLOOKUP(Table1215[[#This Row],[Column2]],Table12[[Column2]:[Column54]],26,FALSE),"0")</f>
        <v>0</v>
      </c>
      <c r="AB29" s="61">
        <f>IFERROR(VLOOKUP(Table1215[[#This Row],[Column2]],Table12[[Column2]:[Column54]],27,FALSE),"0")</f>
        <v>0</v>
      </c>
      <c r="AC29" s="61">
        <f>IFERROR(VLOOKUP(Table1215[[#This Row],[Column2]],Table12[[Column2]:[Column54]],28,FALSE),"0")</f>
        <v>0</v>
      </c>
      <c r="AD29" s="67">
        <f>Table1215[[#This Row],[Column25]]</f>
        <v>5</v>
      </c>
      <c r="AE29" s="61">
        <f>IFERROR(VLOOKUP(Table1215[[#This Row],[Column2]],Table12[[Column2]:[Column54]],30,FALSE),"0")</f>
        <v>0</v>
      </c>
      <c r="AF29" s="61">
        <f>IFERROR(VLOOKUP(Table1215[[#This Row],[Column2]],Table12[[Column2]:[Column54]],31,FALSE),"0")</f>
        <v>0</v>
      </c>
      <c r="AG29" s="61">
        <f>IFERROR(VLOOKUP(Table1215[[#This Row],[Column2]],Table12[[Column2]:[Column54]],32,FALSE),"0")</f>
        <v>0</v>
      </c>
      <c r="AH29" s="61">
        <f>IFERROR(VLOOKUP(Table1215[[#This Row],[Column2]],Table12[[Column2]:[Column54]],33,FALSE),"0")</f>
        <v>0</v>
      </c>
      <c r="AI29" s="61">
        <f>IFERROR(VLOOKUP(Table1215[[#This Row],[Column2]],Table12[[Column2]:[Column54]],34,FALSE),"0")</f>
        <v>0</v>
      </c>
      <c r="AJ29" s="67">
        <f>AVERAGE(Table1215[[#This Row],[Column31]],Table1215[[#This Row],[Column32]],Table1215[[#This Row],[Column33]])</f>
        <v>0</v>
      </c>
      <c r="AK29" s="61">
        <f>IFERROR(VLOOKUP(Table1215[[#This Row],[Column2]],Table12[[Column2]:[Column54]],36,FALSE),"0")</f>
        <v>5</v>
      </c>
      <c r="AL29" s="61">
        <f>IFERROR(VLOOKUP(Table1215[[#This Row],[Column2]],Table12[[Column2]:[Column54]],37,FALSE),"0")</f>
        <v>4</v>
      </c>
      <c r="AM29" s="61">
        <f>IFERROR(VLOOKUP(Table1215[[#This Row],[Column2]],Table12[[Column2]:[Column54]],38,FALSE),"0")</f>
        <v>0</v>
      </c>
      <c r="AN29" s="61">
        <f>IFERROR(VLOOKUP(Table1215[[#This Row],[Column2]],Table12[[Column2]:[Column54]],39,FALSE),"0")</f>
        <v>4</v>
      </c>
      <c r="AO29" s="61">
        <f>IFERROR(VLOOKUP(Table1215[[#This Row],[Column2]],Table12[[Column2]:[Column54]],40,FALSE),"0")</f>
        <v>0</v>
      </c>
      <c r="AP29" s="67">
        <f>AVERAGE(Table1215[[#This Row],[Column37]],Table1215[[#This Row],[Column38]],Table1215[[#This Row],[Column40]])</f>
        <v>4.333333333333333</v>
      </c>
      <c r="AQ29" s="61">
        <f>IFERROR(VLOOKUP(Table1215[[#This Row],[Column2]],Table12[[Column2]:[Column54]],42,FALSE),"0")</f>
        <v>4</v>
      </c>
      <c r="AR29" s="61">
        <f>IFERROR(VLOOKUP(Table1215[[#This Row],[Column2]],Table12[[Column2]:[Column54]],43,FALSE),"0")</f>
        <v>0</v>
      </c>
      <c r="AS29" s="61">
        <f>IFERROR(VLOOKUP(Table1215[[#This Row],[Column2]],Table12[[Column2]:[Column54]],44,FALSE),"0")</f>
        <v>0</v>
      </c>
      <c r="AT29" s="61">
        <f>IFERROR(VLOOKUP(Table1215[[#This Row],[Column2]],Table12[[Column2]:[Column54]],45,FALSE),"0")</f>
        <v>0</v>
      </c>
      <c r="AU29" s="61">
        <f>IFERROR(VLOOKUP(Table1215[[#This Row],[Column2]],Table12[[Column2]:[Column54]],46,FALSE),"0")</f>
        <v>0</v>
      </c>
      <c r="AV29" s="67">
        <f>Table1215[[#This Row],[Column43]]</f>
        <v>4</v>
      </c>
      <c r="AW29" s="61">
        <f>IFERROR(VLOOKUP(Table1215[[#This Row],[Column2]],Table12[[Column2]:[Column54]],48,FALSE),"0")</f>
        <v>0</v>
      </c>
      <c r="AX29" s="61">
        <f>IFERROR(VLOOKUP(Table1215[[#This Row],[Column2]],Table12[[Column2]:[Column54]],49,FALSE),"0")</f>
        <v>0</v>
      </c>
      <c r="AY29" s="61">
        <f>IFERROR(VLOOKUP(Table1215[[#This Row],[Column2]],Table12[[Column2]:[Column54]],50,FALSE),"0")</f>
        <v>0</v>
      </c>
      <c r="AZ29" s="61">
        <f>IFERROR(VLOOKUP(Table1215[[#This Row],[Column2]],Table12[[Column2]:[Column54]],51,FALSE),"0")</f>
        <v>5</v>
      </c>
      <c r="BA29" s="61">
        <f>IFERROR(VLOOKUP(Table1215[[#This Row],[Column2]],Table12[[Column2]:[Column54]],52,FALSE),"0")</f>
        <v>4</v>
      </c>
      <c r="BB29" s="67">
        <f>AVERAGE(Table1215[[#This Row],[Column52]],Table1215[[#This Row],[Column53]])</f>
        <v>4.5</v>
      </c>
    </row>
    <row r="30" spans="1:54" ht="23.1" customHeight="1" x14ac:dyDescent="0.3">
      <c r="A30" s="86">
        <v>27</v>
      </c>
      <c r="B30" s="63" t="s">
        <v>257</v>
      </c>
      <c r="C30" s="64" t="s">
        <v>258</v>
      </c>
      <c r="D30" s="63" t="s">
        <v>450</v>
      </c>
      <c r="E30" s="63" t="s">
        <v>161</v>
      </c>
      <c r="F30" s="63" t="str">
        <f>REPT(CHAR(160),10)&amp;Working!$E31</f>
        <v>          B</v>
      </c>
      <c r="G30" s="65">
        <f>IFERROR(VLOOKUP(Table1215[[#This Row],[Column2]],Table12[[Column2]:[Column54]],6,FALSE),"0")</f>
        <v>0</v>
      </c>
      <c r="H30" s="65">
        <f>IFERROR(VLOOKUP(Table1215[[#This Row],[Column2]],Table12[[Column2]:[Column54]],7,FALSE),"0")</f>
        <v>0</v>
      </c>
      <c r="I30" s="65">
        <f>IFERROR(VLOOKUP(Table1215[[#This Row],[Column2]],Table12[[Column2]:[Column54]],8,FALSE),"0")</f>
        <v>4</v>
      </c>
      <c r="J30" s="65">
        <f>IFERROR(VLOOKUP(Table1215[[#This Row],[Column2]],Table12[[Column2]:[Column54]],9,FALSE),"0")</f>
        <v>0</v>
      </c>
      <c r="K30" s="65">
        <f>IFERROR(VLOOKUP(Table1215[[#This Row],[Column2]],Table12[[Column2]:[Column54]],10,FALSE),"0")</f>
        <v>0</v>
      </c>
      <c r="L30" s="67">
        <f>Table1215[[#This Row],[Column9]]</f>
        <v>4</v>
      </c>
      <c r="M30" s="65">
        <f>IFERROR(VLOOKUP(Table1215[[#This Row],[Column2]],Table12[[Column2]:[Column54]],12,FALSE),"0")</f>
        <v>0</v>
      </c>
      <c r="N30" s="65">
        <f>IFERROR(VLOOKUP(Table1215[[#This Row],[Column2]],Table12[[Column2]:[Column54]],13,FALSE),"0")</f>
        <v>5</v>
      </c>
      <c r="O30" s="65">
        <f>IFERROR(VLOOKUP(Table1215[[#This Row],[Column2]],Table12[[Column2]:[Column54]],14,FALSE),"0")</f>
        <v>4</v>
      </c>
      <c r="P30" s="65">
        <f>IFERROR(VLOOKUP(Table1215[[#This Row],[Column2]],Table12[[Column2]:[Column54]],10,FALSE),"0")</f>
        <v>0</v>
      </c>
      <c r="Q30" s="65">
        <f>IFERROR(VLOOKUP(Table1215[[#This Row],[Column2]],Table12[[Column2]:[Column54]],16,FALSE),"0")</f>
        <v>4</v>
      </c>
      <c r="R30" s="67">
        <f>AVERAGE(Table1215[[#This Row],[Column14]],Table1215[[#This Row],[Column15]],Table1215[[#This Row],[Column17]])</f>
        <v>4.333333333333333</v>
      </c>
      <c r="S30" s="65">
        <f>IFERROR(VLOOKUP(Table1215[[#This Row],[Column2]],Table12[[Column2]:[Column54]],18,FALSE),"0")</f>
        <v>0</v>
      </c>
      <c r="T30" s="65">
        <f>IFERROR(VLOOKUP(Table1215[[#This Row],[Column2]],Table12[[Column2]:[Column54]],19,FALSE),"0")</f>
        <v>0</v>
      </c>
      <c r="U30" s="65">
        <f>IFERROR(VLOOKUP(Table1215[[#This Row],[Column2]],Table12[[Column2]:[Column54]],20,FALSE),"0")</f>
        <v>0</v>
      </c>
      <c r="V30" s="65">
        <f>IFERROR(VLOOKUP(Table1215[[#This Row],[Column2]],Table12[[Column2]:[Column54]],21,FALSE),"0")</f>
        <v>0</v>
      </c>
      <c r="W30" s="65">
        <f>IFERROR(VLOOKUP(Table1215[[#This Row],[Column2]],Table12[[Column2]:[Column54]],22,FALSE),"0")</f>
        <v>0</v>
      </c>
      <c r="X30" s="67">
        <f>Table1215[[#This Row],[Column19]]</f>
        <v>0</v>
      </c>
      <c r="Y30" s="65">
        <f>IFERROR(VLOOKUP(Table1215[[#This Row],[Column2]],Table12[[Column2]:[Column54]],24,FALSE),"0")</f>
        <v>5</v>
      </c>
      <c r="Z30" s="65">
        <f>IFERROR(VLOOKUP(Table1215[[#This Row],[Column2]],Table12[[Column2]:[Column54]],25,FALSE),"0")</f>
        <v>0</v>
      </c>
      <c r="AA30" s="65">
        <f>IFERROR(VLOOKUP(Table1215[[#This Row],[Column2]],Table12[[Column2]:[Column54]],26,FALSE),"0")</f>
        <v>0</v>
      </c>
      <c r="AB30" s="65">
        <f>IFERROR(VLOOKUP(Table1215[[#This Row],[Column2]],Table12[[Column2]:[Column54]],27,FALSE),"0")</f>
        <v>0</v>
      </c>
      <c r="AC30" s="65">
        <f>IFERROR(VLOOKUP(Table1215[[#This Row],[Column2]],Table12[[Column2]:[Column54]],28,FALSE),"0")</f>
        <v>0</v>
      </c>
      <c r="AD30" s="67">
        <f>Table1215[[#This Row],[Column25]]</f>
        <v>5</v>
      </c>
      <c r="AE30" s="65">
        <f>IFERROR(VLOOKUP(Table1215[[#This Row],[Column2]],Table12[[Column2]:[Column54]],30,FALSE),"0")</f>
        <v>0</v>
      </c>
      <c r="AF30" s="65">
        <f>IFERROR(VLOOKUP(Table1215[[#This Row],[Column2]],Table12[[Column2]:[Column54]],31,FALSE),"0")</f>
        <v>0</v>
      </c>
      <c r="AG30" s="65">
        <f>IFERROR(VLOOKUP(Table1215[[#This Row],[Column2]],Table12[[Column2]:[Column54]],32,FALSE),"0")</f>
        <v>0</v>
      </c>
      <c r="AH30" s="65">
        <f>IFERROR(VLOOKUP(Table1215[[#This Row],[Column2]],Table12[[Column2]:[Column54]],33,FALSE),"0")</f>
        <v>0</v>
      </c>
      <c r="AI30" s="65">
        <f>IFERROR(VLOOKUP(Table1215[[#This Row],[Column2]],Table12[[Column2]:[Column54]],34,FALSE),"0")</f>
        <v>0</v>
      </c>
      <c r="AJ30" s="67">
        <f>AVERAGE(Table1215[[#This Row],[Column31]],Table1215[[#This Row],[Column32]],Table1215[[#This Row],[Column33]])</f>
        <v>0</v>
      </c>
      <c r="AK30" s="65">
        <f>IFERROR(VLOOKUP(Table1215[[#This Row],[Column2]],Table12[[Column2]:[Column54]],36,FALSE),"0")</f>
        <v>5</v>
      </c>
      <c r="AL30" s="65">
        <f>IFERROR(VLOOKUP(Table1215[[#This Row],[Column2]],Table12[[Column2]:[Column54]],37,FALSE),"0")</f>
        <v>5</v>
      </c>
      <c r="AM30" s="65">
        <f>IFERROR(VLOOKUP(Table1215[[#This Row],[Column2]],Table12[[Column2]:[Column54]],38,FALSE),"0")</f>
        <v>0</v>
      </c>
      <c r="AN30" s="65">
        <f>IFERROR(VLOOKUP(Table1215[[#This Row],[Column2]],Table12[[Column2]:[Column54]],39,FALSE),"0")</f>
        <v>5</v>
      </c>
      <c r="AO30" s="65">
        <f>IFERROR(VLOOKUP(Table1215[[#This Row],[Column2]],Table12[[Column2]:[Column54]],40,FALSE),"0")</f>
        <v>0</v>
      </c>
      <c r="AP30" s="67">
        <f>AVERAGE(Table1215[[#This Row],[Column37]],Table1215[[#This Row],[Column38]],Table1215[[#This Row],[Column40]])</f>
        <v>5</v>
      </c>
      <c r="AQ30" s="65">
        <f>IFERROR(VLOOKUP(Table1215[[#This Row],[Column2]],Table12[[Column2]:[Column54]],42,FALSE),"0")</f>
        <v>5</v>
      </c>
      <c r="AR30" s="65">
        <f>IFERROR(VLOOKUP(Table1215[[#This Row],[Column2]],Table12[[Column2]:[Column54]],43,FALSE),"0")</f>
        <v>0</v>
      </c>
      <c r="AS30" s="65">
        <f>IFERROR(VLOOKUP(Table1215[[#This Row],[Column2]],Table12[[Column2]:[Column54]],44,FALSE),"0")</f>
        <v>0</v>
      </c>
      <c r="AT30" s="65">
        <f>IFERROR(VLOOKUP(Table1215[[#This Row],[Column2]],Table12[[Column2]:[Column54]],45,FALSE),"0")</f>
        <v>0</v>
      </c>
      <c r="AU30" s="65">
        <f>IFERROR(VLOOKUP(Table1215[[#This Row],[Column2]],Table12[[Column2]:[Column54]],46,FALSE),"0")</f>
        <v>0</v>
      </c>
      <c r="AV30" s="67">
        <f>Table1215[[#This Row],[Column43]]</f>
        <v>5</v>
      </c>
      <c r="AW30" s="65">
        <f>IFERROR(VLOOKUP(Table1215[[#This Row],[Column2]],Table12[[Column2]:[Column54]],48,FALSE),"0")</f>
        <v>0</v>
      </c>
      <c r="AX30" s="65">
        <f>IFERROR(VLOOKUP(Table1215[[#This Row],[Column2]],Table12[[Column2]:[Column54]],49,FALSE),"0")</f>
        <v>0</v>
      </c>
      <c r="AY30" s="65">
        <f>IFERROR(VLOOKUP(Table1215[[#This Row],[Column2]],Table12[[Column2]:[Column54]],50,FALSE),"0")</f>
        <v>0</v>
      </c>
      <c r="AZ30" s="65">
        <f>IFERROR(VLOOKUP(Table1215[[#This Row],[Column2]],Table12[[Column2]:[Column54]],51,FALSE),"0")</f>
        <v>5</v>
      </c>
      <c r="BA30" s="65">
        <f>IFERROR(VLOOKUP(Table1215[[#This Row],[Column2]],Table12[[Column2]:[Column54]],52,FALSE),"0")</f>
        <v>4</v>
      </c>
      <c r="BB30" s="67">
        <f>AVERAGE(Table1215[[#This Row],[Column52]],Table1215[[#This Row],[Column53]])</f>
        <v>4.5</v>
      </c>
    </row>
    <row r="31" spans="1:54" ht="23.1" customHeight="1" x14ac:dyDescent="0.3">
      <c r="A31" s="87">
        <v>28</v>
      </c>
      <c r="B31" s="70" t="s">
        <v>66</v>
      </c>
      <c r="C31" s="71" t="s">
        <v>67</v>
      </c>
      <c r="D31" s="70" t="s">
        <v>450</v>
      </c>
      <c r="E31" s="70" t="s">
        <v>35</v>
      </c>
      <c r="F31" s="70" t="str">
        <f>REPT(CHAR(160),10)&amp;Working!$E32</f>
        <v>          A</v>
      </c>
      <c r="G31" s="61">
        <f>IFERROR(VLOOKUP(Table1215[[#This Row],[Column2]],Table12[[Column2]:[Column54]],6,FALSE),"0")</f>
        <v>0</v>
      </c>
      <c r="H31" s="61">
        <f>IFERROR(VLOOKUP(Table1215[[#This Row],[Column2]],Table12[[Column2]:[Column54]],7,FALSE),"0")</f>
        <v>0</v>
      </c>
      <c r="I31" s="61">
        <f>IFERROR(VLOOKUP(Table1215[[#This Row],[Column2]],Table12[[Column2]:[Column54]],8,FALSE),"0")</f>
        <v>5</v>
      </c>
      <c r="J31" s="61">
        <f>IFERROR(VLOOKUP(Table1215[[#This Row],[Column2]],Table12[[Column2]:[Column54]],9,FALSE),"0")</f>
        <v>0</v>
      </c>
      <c r="K31" s="61">
        <f>IFERROR(VLOOKUP(Table1215[[#This Row],[Column2]],Table12[[Column2]:[Column54]],10,FALSE),"0")</f>
        <v>0</v>
      </c>
      <c r="L31" s="67">
        <f>Table1215[[#This Row],[Column9]]</f>
        <v>5</v>
      </c>
      <c r="M31" s="61">
        <f>IFERROR(VLOOKUP(Table1215[[#This Row],[Column2]],Table12[[Column2]:[Column54]],12,FALSE),"0")</f>
        <v>0</v>
      </c>
      <c r="N31" s="61">
        <f>IFERROR(VLOOKUP(Table1215[[#This Row],[Column2]],Table12[[Column2]:[Column54]],13,FALSE),"0")</f>
        <v>4</v>
      </c>
      <c r="O31" s="61">
        <f>IFERROR(VLOOKUP(Table1215[[#This Row],[Column2]],Table12[[Column2]:[Column54]],14,FALSE),"0")</f>
        <v>4</v>
      </c>
      <c r="P31" s="61">
        <f>IFERROR(VLOOKUP(Table1215[[#This Row],[Column2]],Table12[[Column2]:[Column54]],10,FALSE),"0")</f>
        <v>0</v>
      </c>
      <c r="Q31" s="61">
        <f>IFERROR(VLOOKUP(Table1215[[#This Row],[Column2]],Table12[[Column2]:[Column54]],16,FALSE),"0")</f>
        <v>4</v>
      </c>
      <c r="R31" s="67">
        <f>AVERAGE(Table1215[[#This Row],[Column14]],Table1215[[#This Row],[Column15]],Table1215[[#This Row],[Column17]])</f>
        <v>4</v>
      </c>
      <c r="S31" s="61">
        <f>IFERROR(VLOOKUP(Table1215[[#This Row],[Column2]],Table12[[Column2]:[Column54]],18,FALSE),"0")</f>
        <v>0</v>
      </c>
      <c r="T31" s="61">
        <f>IFERROR(VLOOKUP(Table1215[[#This Row],[Column2]],Table12[[Column2]:[Column54]],19,FALSE),"0")</f>
        <v>0</v>
      </c>
      <c r="U31" s="61">
        <f>IFERROR(VLOOKUP(Table1215[[#This Row],[Column2]],Table12[[Column2]:[Column54]],20,FALSE),"0")</f>
        <v>0</v>
      </c>
      <c r="V31" s="61">
        <f>IFERROR(VLOOKUP(Table1215[[#This Row],[Column2]],Table12[[Column2]:[Column54]],21,FALSE),"0")</f>
        <v>0</v>
      </c>
      <c r="W31" s="61">
        <f>IFERROR(VLOOKUP(Table1215[[#This Row],[Column2]],Table12[[Column2]:[Column54]],22,FALSE),"0")</f>
        <v>0</v>
      </c>
      <c r="X31" s="67">
        <f>Table1215[[#This Row],[Column19]]</f>
        <v>0</v>
      </c>
      <c r="Y31" s="61">
        <f>IFERROR(VLOOKUP(Table1215[[#This Row],[Column2]],Table12[[Column2]:[Column54]],24,FALSE),"0")</f>
        <v>4</v>
      </c>
      <c r="Z31" s="61">
        <f>IFERROR(VLOOKUP(Table1215[[#This Row],[Column2]],Table12[[Column2]:[Column54]],25,FALSE),"0")</f>
        <v>0</v>
      </c>
      <c r="AA31" s="61">
        <f>IFERROR(VLOOKUP(Table1215[[#This Row],[Column2]],Table12[[Column2]:[Column54]],26,FALSE),"0")</f>
        <v>0</v>
      </c>
      <c r="AB31" s="61">
        <f>IFERROR(VLOOKUP(Table1215[[#This Row],[Column2]],Table12[[Column2]:[Column54]],27,FALSE),"0")</f>
        <v>0</v>
      </c>
      <c r="AC31" s="61">
        <f>IFERROR(VLOOKUP(Table1215[[#This Row],[Column2]],Table12[[Column2]:[Column54]],28,FALSE),"0")</f>
        <v>0</v>
      </c>
      <c r="AD31" s="67">
        <f>Table1215[[#This Row],[Column25]]</f>
        <v>4</v>
      </c>
      <c r="AE31" s="61">
        <f>IFERROR(VLOOKUP(Table1215[[#This Row],[Column2]],Table12[[Column2]:[Column54]],30,FALSE),"0")</f>
        <v>0</v>
      </c>
      <c r="AF31" s="61">
        <f>IFERROR(VLOOKUP(Table1215[[#This Row],[Column2]],Table12[[Column2]:[Column54]],31,FALSE),"0")</f>
        <v>0</v>
      </c>
      <c r="AG31" s="61">
        <f>IFERROR(VLOOKUP(Table1215[[#This Row],[Column2]],Table12[[Column2]:[Column54]],32,FALSE),"0")</f>
        <v>0</v>
      </c>
      <c r="AH31" s="61">
        <f>IFERROR(VLOOKUP(Table1215[[#This Row],[Column2]],Table12[[Column2]:[Column54]],33,FALSE),"0")</f>
        <v>0</v>
      </c>
      <c r="AI31" s="61">
        <f>IFERROR(VLOOKUP(Table1215[[#This Row],[Column2]],Table12[[Column2]:[Column54]],34,FALSE),"0")</f>
        <v>0</v>
      </c>
      <c r="AJ31" s="67">
        <f>AVERAGE(Table1215[[#This Row],[Column31]],Table1215[[#This Row],[Column32]],Table1215[[#This Row],[Column33]])</f>
        <v>0</v>
      </c>
      <c r="AK31" s="61">
        <f>IFERROR(VLOOKUP(Table1215[[#This Row],[Column2]],Table12[[Column2]:[Column54]],36,FALSE),"0")</f>
        <v>3</v>
      </c>
      <c r="AL31" s="61">
        <f>IFERROR(VLOOKUP(Table1215[[#This Row],[Column2]],Table12[[Column2]:[Column54]],37,FALSE),"0")</f>
        <v>4</v>
      </c>
      <c r="AM31" s="61">
        <f>IFERROR(VLOOKUP(Table1215[[#This Row],[Column2]],Table12[[Column2]:[Column54]],38,FALSE),"0")</f>
        <v>0</v>
      </c>
      <c r="AN31" s="61">
        <f>IFERROR(VLOOKUP(Table1215[[#This Row],[Column2]],Table12[[Column2]:[Column54]],39,FALSE),"0")</f>
        <v>5</v>
      </c>
      <c r="AO31" s="61">
        <f>IFERROR(VLOOKUP(Table1215[[#This Row],[Column2]],Table12[[Column2]:[Column54]],40,FALSE),"0")</f>
        <v>0</v>
      </c>
      <c r="AP31" s="67">
        <f>AVERAGE(Table1215[[#This Row],[Column37]],Table1215[[#This Row],[Column38]],Table1215[[#This Row],[Column40]])</f>
        <v>4</v>
      </c>
      <c r="AQ31" s="61">
        <f>IFERROR(VLOOKUP(Table1215[[#This Row],[Column2]],Table12[[Column2]:[Column54]],42,FALSE),"0")</f>
        <v>4</v>
      </c>
      <c r="AR31" s="61">
        <f>IFERROR(VLOOKUP(Table1215[[#This Row],[Column2]],Table12[[Column2]:[Column54]],43,FALSE),"0")</f>
        <v>0</v>
      </c>
      <c r="AS31" s="61">
        <f>IFERROR(VLOOKUP(Table1215[[#This Row],[Column2]],Table12[[Column2]:[Column54]],44,FALSE),"0")</f>
        <v>0</v>
      </c>
      <c r="AT31" s="61">
        <f>IFERROR(VLOOKUP(Table1215[[#This Row],[Column2]],Table12[[Column2]:[Column54]],45,FALSE),"0")</f>
        <v>0</v>
      </c>
      <c r="AU31" s="61">
        <f>IFERROR(VLOOKUP(Table1215[[#This Row],[Column2]],Table12[[Column2]:[Column54]],46,FALSE),"0")</f>
        <v>0</v>
      </c>
      <c r="AV31" s="67">
        <f>Table1215[[#This Row],[Column43]]</f>
        <v>4</v>
      </c>
      <c r="AW31" s="61">
        <f>IFERROR(VLOOKUP(Table1215[[#This Row],[Column2]],Table12[[Column2]:[Column54]],48,FALSE),"0")</f>
        <v>0</v>
      </c>
      <c r="AX31" s="61">
        <f>IFERROR(VLOOKUP(Table1215[[#This Row],[Column2]],Table12[[Column2]:[Column54]],49,FALSE),"0")</f>
        <v>0</v>
      </c>
      <c r="AY31" s="61">
        <f>IFERROR(VLOOKUP(Table1215[[#This Row],[Column2]],Table12[[Column2]:[Column54]],50,FALSE),"0")</f>
        <v>0</v>
      </c>
      <c r="AZ31" s="61">
        <f>IFERROR(VLOOKUP(Table1215[[#This Row],[Column2]],Table12[[Column2]:[Column54]],51,FALSE),"0")</f>
        <v>4</v>
      </c>
      <c r="BA31" s="61">
        <f>IFERROR(VLOOKUP(Table1215[[#This Row],[Column2]],Table12[[Column2]:[Column54]],52,FALSE),"0")</f>
        <v>5</v>
      </c>
      <c r="BB31" s="67">
        <f>AVERAGE(Table1215[[#This Row],[Column52]],Table1215[[#This Row],[Column53]])</f>
        <v>4.5</v>
      </c>
    </row>
    <row r="32" spans="1:54" ht="23.1" customHeight="1" x14ac:dyDescent="0.3">
      <c r="A32" s="86">
        <v>29</v>
      </c>
      <c r="B32" s="63" t="s">
        <v>300</v>
      </c>
      <c r="C32" s="64" t="s">
        <v>301</v>
      </c>
      <c r="D32" s="63" t="s">
        <v>450</v>
      </c>
      <c r="E32" s="63" t="s">
        <v>493</v>
      </c>
      <c r="F32" s="63" t="str">
        <f>REPT(CHAR(160),10)&amp;Working!$E33</f>
        <v>          C</v>
      </c>
      <c r="G32" s="65">
        <f>IFERROR(VLOOKUP(Table1215[[#This Row],[Column2]],Table12[[Column2]:[Column54]],6,FALSE),"0")</f>
        <v>0</v>
      </c>
      <c r="H32" s="65">
        <f>IFERROR(VLOOKUP(Table1215[[#This Row],[Column2]],Table12[[Column2]:[Column54]],7,FALSE),"0")</f>
        <v>0</v>
      </c>
      <c r="I32" s="65">
        <f>IFERROR(VLOOKUP(Table1215[[#This Row],[Column2]],Table12[[Column2]:[Column54]],8,FALSE),"0")</f>
        <v>2</v>
      </c>
      <c r="J32" s="65">
        <f>IFERROR(VLOOKUP(Table1215[[#This Row],[Column2]],Table12[[Column2]:[Column54]],9,FALSE),"0")</f>
        <v>0</v>
      </c>
      <c r="K32" s="65">
        <f>IFERROR(VLOOKUP(Table1215[[#This Row],[Column2]],Table12[[Column2]:[Column54]],10,FALSE),"0")</f>
        <v>0</v>
      </c>
      <c r="L32" s="67">
        <f>Table1215[[#This Row],[Column9]]</f>
        <v>2</v>
      </c>
      <c r="M32" s="65">
        <f>IFERROR(VLOOKUP(Table1215[[#This Row],[Column2]],Table12[[Column2]:[Column54]],12,FALSE),"0")</f>
        <v>0</v>
      </c>
      <c r="N32" s="65">
        <f>IFERROR(VLOOKUP(Table1215[[#This Row],[Column2]],Table12[[Column2]:[Column54]],13,FALSE),"0")</f>
        <v>3</v>
      </c>
      <c r="O32" s="65">
        <f>IFERROR(VLOOKUP(Table1215[[#This Row],[Column2]],Table12[[Column2]:[Column54]],14,FALSE),"0")</f>
        <v>3</v>
      </c>
      <c r="P32" s="65">
        <f>IFERROR(VLOOKUP(Table1215[[#This Row],[Column2]],Table12[[Column2]:[Column54]],10,FALSE),"0")</f>
        <v>0</v>
      </c>
      <c r="Q32" s="65">
        <f>IFERROR(VLOOKUP(Table1215[[#This Row],[Column2]],Table12[[Column2]:[Column54]],16,FALSE),"0")</f>
        <v>3</v>
      </c>
      <c r="R32" s="67">
        <f>AVERAGE(Table1215[[#This Row],[Column14]],Table1215[[#This Row],[Column15]],Table1215[[#This Row],[Column17]])</f>
        <v>3</v>
      </c>
      <c r="S32" s="65">
        <f>IFERROR(VLOOKUP(Table1215[[#This Row],[Column2]],Table12[[Column2]:[Column54]],18,FALSE),"0")</f>
        <v>0</v>
      </c>
      <c r="T32" s="65">
        <f>IFERROR(VLOOKUP(Table1215[[#This Row],[Column2]],Table12[[Column2]:[Column54]],19,FALSE),"0")</f>
        <v>0</v>
      </c>
      <c r="U32" s="65">
        <f>IFERROR(VLOOKUP(Table1215[[#This Row],[Column2]],Table12[[Column2]:[Column54]],20,FALSE),"0")</f>
        <v>0</v>
      </c>
      <c r="V32" s="65">
        <f>IFERROR(VLOOKUP(Table1215[[#This Row],[Column2]],Table12[[Column2]:[Column54]],21,FALSE),"0")</f>
        <v>0</v>
      </c>
      <c r="W32" s="65">
        <f>IFERROR(VLOOKUP(Table1215[[#This Row],[Column2]],Table12[[Column2]:[Column54]],22,FALSE),"0")</f>
        <v>0</v>
      </c>
      <c r="X32" s="67">
        <f>Table1215[[#This Row],[Column19]]</f>
        <v>0</v>
      </c>
      <c r="Y32" s="65">
        <f>IFERROR(VLOOKUP(Table1215[[#This Row],[Column2]],Table12[[Column2]:[Column54]],24,FALSE),"0")</f>
        <v>2</v>
      </c>
      <c r="Z32" s="65">
        <f>IFERROR(VLOOKUP(Table1215[[#This Row],[Column2]],Table12[[Column2]:[Column54]],25,FALSE),"0")</f>
        <v>0</v>
      </c>
      <c r="AA32" s="65">
        <f>IFERROR(VLOOKUP(Table1215[[#This Row],[Column2]],Table12[[Column2]:[Column54]],26,FALSE),"0")</f>
        <v>0</v>
      </c>
      <c r="AB32" s="65">
        <f>IFERROR(VLOOKUP(Table1215[[#This Row],[Column2]],Table12[[Column2]:[Column54]],27,FALSE),"0")</f>
        <v>0</v>
      </c>
      <c r="AC32" s="65">
        <f>IFERROR(VLOOKUP(Table1215[[#This Row],[Column2]],Table12[[Column2]:[Column54]],28,FALSE),"0")</f>
        <v>0</v>
      </c>
      <c r="AD32" s="67">
        <f>Table1215[[#This Row],[Column25]]</f>
        <v>2</v>
      </c>
      <c r="AE32" s="65">
        <f>IFERROR(VLOOKUP(Table1215[[#This Row],[Column2]],Table12[[Column2]:[Column54]],30,FALSE),"0")</f>
        <v>0</v>
      </c>
      <c r="AF32" s="65">
        <f>IFERROR(VLOOKUP(Table1215[[#This Row],[Column2]],Table12[[Column2]:[Column54]],31,FALSE),"0")</f>
        <v>0</v>
      </c>
      <c r="AG32" s="65">
        <f>IFERROR(VLOOKUP(Table1215[[#This Row],[Column2]],Table12[[Column2]:[Column54]],32,FALSE),"0")</f>
        <v>0</v>
      </c>
      <c r="AH32" s="65">
        <f>IFERROR(VLOOKUP(Table1215[[#This Row],[Column2]],Table12[[Column2]:[Column54]],33,FALSE),"0")</f>
        <v>0</v>
      </c>
      <c r="AI32" s="65">
        <f>IFERROR(VLOOKUP(Table1215[[#This Row],[Column2]],Table12[[Column2]:[Column54]],34,FALSE),"0")</f>
        <v>0</v>
      </c>
      <c r="AJ32" s="67">
        <f>AVERAGE(Table1215[[#This Row],[Column31]],Table1215[[#This Row],[Column32]],Table1215[[#This Row],[Column33]])</f>
        <v>0</v>
      </c>
      <c r="AK32" s="65">
        <f>IFERROR(VLOOKUP(Table1215[[#This Row],[Column2]],Table12[[Column2]:[Column54]],36,FALSE),"0")</f>
        <v>2</v>
      </c>
      <c r="AL32" s="65">
        <f>IFERROR(VLOOKUP(Table1215[[#This Row],[Column2]],Table12[[Column2]:[Column54]],37,FALSE),"0")</f>
        <v>2</v>
      </c>
      <c r="AM32" s="65">
        <f>IFERROR(VLOOKUP(Table1215[[#This Row],[Column2]],Table12[[Column2]:[Column54]],38,FALSE),"0")</f>
        <v>0</v>
      </c>
      <c r="AN32" s="65">
        <f>IFERROR(VLOOKUP(Table1215[[#This Row],[Column2]],Table12[[Column2]:[Column54]],39,FALSE),"0")</f>
        <v>3</v>
      </c>
      <c r="AO32" s="65">
        <f>IFERROR(VLOOKUP(Table1215[[#This Row],[Column2]],Table12[[Column2]:[Column54]],40,FALSE),"0")</f>
        <v>0</v>
      </c>
      <c r="AP32" s="67">
        <f>AVERAGE(Table1215[[#This Row],[Column37]],Table1215[[#This Row],[Column38]],Table1215[[#This Row],[Column40]])</f>
        <v>2.3333333333333335</v>
      </c>
      <c r="AQ32" s="65">
        <f>IFERROR(VLOOKUP(Table1215[[#This Row],[Column2]],Table12[[Column2]:[Column54]],42,FALSE),"0")</f>
        <v>3</v>
      </c>
      <c r="AR32" s="65">
        <f>IFERROR(VLOOKUP(Table1215[[#This Row],[Column2]],Table12[[Column2]:[Column54]],43,FALSE),"0")</f>
        <v>0</v>
      </c>
      <c r="AS32" s="65">
        <f>IFERROR(VLOOKUP(Table1215[[#This Row],[Column2]],Table12[[Column2]:[Column54]],44,FALSE),"0")</f>
        <v>0</v>
      </c>
      <c r="AT32" s="65">
        <f>IFERROR(VLOOKUP(Table1215[[#This Row],[Column2]],Table12[[Column2]:[Column54]],45,FALSE),"0")</f>
        <v>0</v>
      </c>
      <c r="AU32" s="65">
        <f>IFERROR(VLOOKUP(Table1215[[#This Row],[Column2]],Table12[[Column2]:[Column54]],46,FALSE),"0")</f>
        <v>0</v>
      </c>
      <c r="AV32" s="67">
        <f>Table1215[[#This Row],[Column43]]</f>
        <v>3</v>
      </c>
      <c r="AW32" s="65">
        <f>IFERROR(VLOOKUP(Table1215[[#This Row],[Column2]],Table12[[Column2]:[Column54]],48,FALSE),"0")</f>
        <v>0</v>
      </c>
      <c r="AX32" s="65">
        <f>IFERROR(VLOOKUP(Table1215[[#This Row],[Column2]],Table12[[Column2]:[Column54]],49,FALSE),"0")</f>
        <v>0</v>
      </c>
      <c r="AY32" s="65">
        <f>IFERROR(VLOOKUP(Table1215[[#This Row],[Column2]],Table12[[Column2]:[Column54]],50,FALSE),"0")</f>
        <v>0</v>
      </c>
      <c r="AZ32" s="65">
        <f>IFERROR(VLOOKUP(Table1215[[#This Row],[Column2]],Table12[[Column2]:[Column54]],51,FALSE),"0")</f>
        <v>3</v>
      </c>
      <c r="BA32" s="65">
        <f>IFERROR(VLOOKUP(Table1215[[#This Row],[Column2]],Table12[[Column2]:[Column54]],52,FALSE),"0")</f>
        <v>3</v>
      </c>
      <c r="BB32" s="67">
        <f>AVERAGE(Table1215[[#This Row],[Column52]],Table1215[[#This Row],[Column53]])</f>
        <v>3</v>
      </c>
    </row>
    <row r="33" spans="1:54" ht="23.1" customHeight="1" x14ac:dyDescent="0.3">
      <c r="A33" s="87">
        <v>30</v>
      </c>
      <c r="B33" s="70" t="s">
        <v>40</v>
      </c>
      <c r="C33" s="71" t="s">
        <v>41</v>
      </c>
      <c r="D33" s="70" t="s">
        <v>450</v>
      </c>
      <c r="E33" s="70" t="s">
        <v>35</v>
      </c>
      <c r="F33" s="70" t="str">
        <f>REPT(CHAR(160),10)&amp;Working!$E34</f>
        <v>          A</v>
      </c>
      <c r="G33" s="61">
        <f>IFERROR(VLOOKUP(Table1215[[#This Row],[Column2]],Table12[[Column2]:[Column54]],6,FALSE),"0")</f>
        <v>0</v>
      </c>
      <c r="H33" s="61">
        <f>IFERROR(VLOOKUP(Table1215[[#This Row],[Column2]],Table12[[Column2]:[Column54]],7,FALSE),"0")</f>
        <v>0</v>
      </c>
      <c r="I33" s="61">
        <f>IFERROR(VLOOKUP(Table1215[[#This Row],[Column2]],Table12[[Column2]:[Column54]],8,FALSE),"0")</f>
        <v>4</v>
      </c>
      <c r="J33" s="61">
        <f>IFERROR(VLOOKUP(Table1215[[#This Row],[Column2]],Table12[[Column2]:[Column54]],9,FALSE),"0")</f>
        <v>0</v>
      </c>
      <c r="K33" s="61">
        <f>IFERROR(VLOOKUP(Table1215[[#This Row],[Column2]],Table12[[Column2]:[Column54]],10,FALSE),"0")</f>
        <v>0</v>
      </c>
      <c r="L33" s="67">
        <f>Table1215[[#This Row],[Column9]]</f>
        <v>4</v>
      </c>
      <c r="M33" s="61">
        <f>IFERROR(VLOOKUP(Table1215[[#This Row],[Column2]],Table12[[Column2]:[Column54]],12,FALSE),"0")</f>
        <v>0</v>
      </c>
      <c r="N33" s="61">
        <f>IFERROR(VLOOKUP(Table1215[[#This Row],[Column2]],Table12[[Column2]:[Column54]],13,FALSE),"0")</f>
        <v>4</v>
      </c>
      <c r="O33" s="61">
        <f>IFERROR(VLOOKUP(Table1215[[#This Row],[Column2]],Table12[[Column2]:[Column54]],14,FALSE),"0")</f>
        <v>4</v>
      </c>
      <c r="P33" s="61">
        <f>IFERROR(VLOOKUP(Table1215[[#This Row],[Column2]],Table12[[Column2]:[Column54]],10,FALSE),"0")</f>
        <v>0</v>
      </c>
      <c r="Q33" s="61">
        <f>IFERROR(VLOOKUP(Table1215[[#This Row],[Column2]],Table12[[Column2]:[Column54]],16,FALSE),"0")</f>
        <v>4</v>
      </c>
      <c r="R33" s="67">
        <f>AVERAGE(Table1215[[#This Row],[Column14]],Table1215[[#This Row],[Column15]],Table1215[[#This Row],[Column17]])</f>
        <v>4</v>
      </c>
      <c r="S33" s="61">
        <f>IFERROR(VLOOKUP(Table1215[[#This Row],[Column2]],Table12[[Column2]:[Column54]],18,FALSE),"0")</f>
        <v>0</v>
      </c>
      <c r="T33" s="61">
        <f>IFERROR(VLOOKUP(Table1215[[#This Row],[Column2]],Table12[[Column2]:[Column54]],19,FALSE),"0")</f>
        <v>0</v>
      </c>
      <c r="U33" s="61">
        <f>IFERROR(VLOOKUP(Table1215[[#This Row],[Column2]],Table12[[Column2]:[Column54]],20,FALSE),"0")</f>
        <v>0</v>
      </c>
      <c r="V33" s="61">
        <f>IFERROR(VLOOKUP(Table1215[[#This Row],[Column2]],Table12[[Column2]:[Column54]],21,FALSE),"0")</f>
        <v>0</v>
      </c>
      <c r="W33" s="61">
        <f>IFERROR(VLOOKUP(Table1215[[#This Row],[Column2]],Table12[[Column2]:[Column54]],22,FALSE),"0")</f>
        <v>0</v>
      </c>
      <c r="X33" s="67">
        <f>Table1215[[#This Row],[Column19]]</f>
        <v>0</v>
      </c>
      <c r="Y33" s="61">
        <f>IFERROR(VLOOKUP(Table1215[[#This Row],[Column2]],Table12[[Column2]:[Column54]],24,FALSE),"0")</f>
        <v>4</v>
      </c>
      <c r="Z33" s="61">
        <f>IFERROR(VLOOKUP(Table1215[[#This Row],[Column2]],Table12[[Column2]:[Column54]],25,FALSE),"0")</f>
        <v>0</v>
      </c>
      <c r="AA33" s="61">
        <f>IFERROR(VLOOKUP(Table1215[[#This Row],[Column2]],Table12[[Column2]:[Column54]],26,FALSE),"0")</f>
        <v>0</v>
      </c>
      <c r="AB33" s="61">
        <f>IFERROR(VLOOKUP(Table1215[[#This Row],[Column2]],Table12[[Column2]:[Column54]],27,FALSE),"0")</f>
        <v>0</v>
      </c>
      <c r="AC33" s="61">
        <f>IFERROR(VLOOKUP(Table1215[[#This Row],[Column2]],Table12[[Column2]:[Column54]],28,FALSE),"0")</f>
        <v>0</v>
      </c>
      <c r="AD33" s="67">
        <f>Table1215[[#This Row],[Column25]]</f>
        <v>4</v>
      </c>
      <c r="AE33" s="61">
        <f>IFERROR(VLOOKUP(Table1215[[#This Row],[Column2]],Table12[[Column2]:[Column54]],30,FALSE),"0")</f>
        <v>0</v>
      </c>
      <c r="AF33" s="61">
        <f>IFERROR(VLOOKUP(Table1215[[#This Row],[Column2]],Table12[[Column2]:[Column54]],31,FALSE),"0")</f>
        <v>0</v>
      </c>
      <c r="AG33" s="61">
        <f>IFERROR(VLOOKUP(Table1215[[#This Row],[Column2]],Table12[[Column2]:[Column54]],32,FALSE),"0")</f>
        <v>0</v>
      </c>
      <c r="AH33" s="61">
        <f>IFERROR(VLOOKUP(Table1215[[#This Row],[Column2]],Table12[[Column2]:[Column54]],33,FALSE),"0")</f>
        <v>0</v>
      </c>
      <c r="AI33" s="61">
        <f>IFERROR(VLOOKUP(Table1215[[#This Row],[Column2]],Table12[[Column2]:[Column54]],34,FALSE),"0")</f>
        <v>0</v>
      </c>
      <c r="AJ33" s="67">
        <f>AVERAGE(Table1215[[#This Row],[Column31]],Table1215[[#This Row],[Column32]],Table1215[[#This Row],[Column33]])</f>
        <v>0</v>
      </c>
      <c r="AK33" s="61">
        <f>IFERROR(VLOOKUP(Table1215[[#This Row],[Column2]],Table12[[Column2]:[Column54]],36,FALSE),"0")</f>
        <v>4</v>
      </c>
      <c r="AL33" s="61">
        <f>IFERROR(VLOOKUP(Table1215[[#This Row],[Column2]],Table12[[Column2]:[Column54]],37,FALSE),"0")</f>
        <v>4</v>
      </c>
      <c r="AM33" s="61">
        <f>IFERROR(VLOOKUP(Table1215[[#This Row],[Column2]],Table12[[Column2]:[Column54]],38,FALSE),"0")</f>
        <v>0</v>
      </c>
      <c r="AN33" s="61">
        <f>IFERROR(VLOOKUP(Table1215[[#This Row],[Column2]],Table12[[Column2]:[Column54]],39,FALSE),"0")</f>
        <v>4</v>
      </c>
      <c r="AO33" s="61">
        <f>IFERROR(VLOOKUP(Table1215[[#This Row],[Column2]],Table12[[Column2]:[Column54]],40,FALSE),"0")</f>
        <v>0</v>
      </c>
      <c r="AP33" s="67">
        <f>AVERAGE(Table1215[[#This Row],[Column37]],Table1215[[#This Row],[Column38]],Table1215[[#This Row],[Column40]])</f>
        <v>4</v>
      </c>
      <c r="AQ33" s="61">
        <f>IFERROR(VLOOKUP(Table1215[[#This Row],[Column2]],Table12[[Column2]:[Column54]],42,FALSE),"0")</f>
        <v>3</v>
      </c>
      <c r="AR33" s="61">
        <f>IFERROR(VLOOKUP(Table1215[[#This Row],[Column2]],Table12[[Column2]:[Column54]],43,FALSE),"0")</f>
        <v>0</v>
      </c>
      <c r="AS33" s="61">
        <f>IFERROR(VLOOKUP(Table1215[[#This Row],[Column2]],Table12[[Column2]:[Column54]],44,FALSE),"0")</f>
        <v>0</v>
      </c>
      <c r="AT33" s="61">
        <f>IFERROR(VLOOKUP(Table1215[[#This Row],[Column2]],Table12[[Column2]:[Column54]],45,FALSE),"0")</f>
        <v>0</v>
      </c>
      <c r="AU33" s="61">
        <f>IFERROR(VLOOKUP(Table1215[[#This Row],[Column2]],Table12[[Column2]:[Column54]],46,FALSE),"0")</f>
        <v>0</v>
      </c>
      <c r="AV33" s="67">
        <f>Table1215[[#This Row],[Column43]]</f>
        <v>3</v>
      </c>
      <c r="AW33" s="61">
        <f>IFERROR(VLOOKUP(Table1215[[#This Row],[Column2]],Table12[[Column2]:[Column54]],48,FALSE),"0")</f>
        <v>0</v>
      </c>
      <c r="AX33" s="61">
        <f>IFERROR(VLOOKUP(Table1215[[#This Row],[Column2]],Table12[[Column2]:[Column54]],49,FALSE),"0")</f>
        <v>0</v>
      </c>
      <c r="AY33" s="61">
        <f>IFERROR(VLOOKUP(Table1215[[#This Row],[Column2]],Table12[[Column2]:[Column54]],50,FALSE),"0")</f>
        <v>0</v>
      </c>
      <c r="AZ33" s="61">
        <f>IFERROR(VLOOKUP(Table1215[[#This Row],[Column2]],Table12[[Column2]:[Column54]],51,FALSE),"0")</f>
        <v>4</v>
      </c>
      <c r="BA33" s="61">
        <f>IFERROR(VLOOKUP(Table1215[[#This Row],[Column2]],Table12[[Column2]:[Column54]],52,FALSE),"0")</f>
        <v>4</v>
      </c>
      <c r="BB33" s="67">
        <f>AVERAGE(Table1215[[#This Row],[Column52]],Table1215[[#This Row],[Column53]])</f>
        <v>4</v>
      </c>
    </row>
    <row r="34" spans="1:54" ht="23.1" customHeight="1" x14ac:dyDescent="0.3">
      <c r="A34" s="86">
        <v>31</v>
      </c>
      <c r="B34" s="63" t="s">
        <v>110</v>
      </c>
      <c r="C34" s="64" t="s">
        <v>111</v>
      </c>
      <c r="D34" s="63" t="s">
        <v>450</v>
      </c>
      <c r="E34" s="63" t="s">
        <v>35</v>
      </c>
      <c r="F34" s="63" t="str">
        <f>REPT(CHAR(160),10)&amp;Working!$E35</f>
        <v>          A</v>
      </c>
      <c r="G34" s="65">
        <f>IFERROR(VLOOKUP(Table1215[[#This Row],[Column2]],Table12[[Column2]:[Column54]],6,FALSE),"0")</f>
        <v>0</v>
      </c>
      <c r="H34" s="65">
        <f>IFERROR(VLOOKUP(Table1215[[#This Row],[Column2]],Table12[[Column2]:[Column54]],7,FALSE),"0")</f>
        <v>0</v>
      </c>
      <c r="I34" s="65">
        <f>IFERROR(VLOOKUP(Table1215[[#This Row],[Column2]],Table12[[Column2]:[Column54]],8,FALSE),"0")</f>
        <v>4</v>
      </c>
      <c r="J34" s="65">
        <f>IFERROR(VLOOKUP(Table1215[[#This Row],[Column2]],Table12[[Column2]:[Column54]],9,FALSE),"0")</f>
        <v>0</v>
      </c>
      <c r="K34" s="65">
        <f>IFERROR(VLOOKUP(Table1215[[#This Row],[Column2]],Table12[[Column2]:[Column54]],10,FALSE),"0")</f>
        <v>0</v>
      </c>
      <c r="L34" s="67">
        <f>Table1215[[#This Row],[Column9]]</f>
        <v>4</v>
      </c>
      <c r="M34" s="65">
        <f>IFERROR(VLOOKUP(Table1215[[#This Row],[Column2]],Table12[[Column2]:[Column54]],12,FALSE),"0")</f>
        <v>0</v>
      </c>
      <c r="N34" s="65">
        <f>IFERROR(VLOOKUP(Table1215[[#This Row],[Column2]],Table12[[Column2]:[Column54]],13,FALSE),"0")</f>
        <v>4</v>
      </c>
      <c r="O34" s="65">
        <f>IFERROR(VLOOKUP(Table1215[[#This Row],[Column2]],Table12[[Column2]:[Column54]],14,FALSE),"0")</f>
        <v>4</v>
      </c>
      <c r="P34" s="65">
        <f>IFERROR(VLOOKUP(Table1215[[#This Row],[Column2]],Table12[[Column2]:[Column54]],10,FALSE),"0")</f>
        <v>0</v>
      </c>
      <c r="Q34" s="65">
        <f>IFERROR(VLOOKUP(Table1215[[#This Row],[Column2]],Table12[[Column2]:[Column54]],16,FALSE),"0")</f>
        <v>4</v>
      </c>
      <c r="R34" s="67">
        <f>AVERAGE(Table1215[[#This Row],[Column14]],Table1215[[#This Row],[Column15]],Table1215[[#This Row],[Column17]])</f>
        <v>4</v>
      </c>
      <c r="S34" s="65">
        <f>IFERROR(VLOOKUP(Table1215[[#This Row],[Column2]],Table12[[Column2]:[Column54]],18,FALSE),"0")</f>
        <v>0</v>
      </c>
      <c r="T34" s="65">
        <f>IFERROR(VLOOKUP(Table1215[[#This Row],[Column2]],Table12[[Column2]:[Column54]],19,FALSE),"0")</f>
        <v>0</v>
      </c>
      <c r="U34" s="65">
        <f>IFERROR(VLOOKUP(Table1215[[#This Row],[Column2]],Table12[[Column2]:[Column54]],20,FALSE),"0")</f>
        <v>0</v>
      </c>
      <c r="V34" s="65">
        <f>IFERROR(VLOOKUP(Table1215[[#This Row],[Column2]],Table12[[Column2]:[Column54]],21,FALSE),"0")</f>
        <v>0</v>
      </c>
      <c r="W34" s="65">
        <f>IFERROR(VLOOKUP(Table1215[[#This Row],[Column2]],Table12[[Column2]:[Column54]],22,FALSE),"0")</f>
        <v>0</v>
      </c>
      <c r="X34" s="67">
        <f>Table1215[[#This Row],[Column19]]</f>
        <v>0</v>
      </c>
      <c r="Y34" s="65">
        <f>IFERROR(VLOOKUP(Table1215[[#This Row],[Column2]],Table12[[Column2]:[Column54]],24,FALSE),"0")</f>
        <v>4</v>
      </c>
      <c r="Z34" s="65">
        <f>IFERROR(VLOOKUP(Table1215[[#This Row],[Column2]],Table12[[Column2]:[Column54]],25,FALSE),"0")</f>
        <v>0</v>
      </c>
      <c r="AA34" s="65">
        <f>IFERROR(VLOOKUP(Table1215[[#This Row],[Column2]],Table12[[Column2]:[Column54]],26,FALSE),"0")</f>
        <v>0</v>
      </c>
      <c r="AB34" s="65">
        <f>IFERROR(VLOOKUP(Table1215[[#This Row],[Column2]],Table12[[Column2]:[Column54]],27,FALSE),"0")</f>
        <v>0</v>
      </c>
      <c r="AC34" s="65">
        <f>IFERROR(VLOOKUP(Table1215[[#This Row],[Column2]],Table12[[Column2]:[Column54]],28,FALSE),"0")</f>
        <v>0</v>
      </c>
      <c r="AD34" s="67">
        <f>Table1215[[#This Row],[Column25]]</f>
        <v>4</v>
      </c>
      <c r="AE34" s="65">
        <f>IFERROR(VLOOKUP(Table1215[[#This Row],[Column2]],Table12[[Column2]:[Column54]],30,FALSE),"0")</f>
        <v>0</v>
      </c>
      <c r="AF34" s="65">
        <f>IFERROR(VLOOKUP(Table1215[[#This Row],[Column2]],Table12[[Column2]:[Column54]],31,FALSE),"0")</f>
        <v>0</v>
      </c>
      <c r="AG34" s="65">
        <f>IFERROR(VLOOKUP(Table1215[[#This Row],[Column2]],Table12[[Column2]:[Column54]],32,FALSE),"0")</f>
        <v>0</v>
      </c>
      <c r="AH34" s="65">
        <f>IFERROR(VLOOKUP(Table1215[[#This Row],[Column2]],Table12[[Column2]:[Column54]],33,FALSE),"0")</f>
        <v>0</v>
      </c>
      <c r="AI34" s="65">
        <f>IFERROR(VLOOKUP(Table1215[[#This Row],[Column2]],Table12[[Column2]:[Column54]],34,FALSE),"0")</f>
        <v>0</v>
      </c>
      <c r="AJ34" s="67">
        <f>AVERAGE(Table1215[[#This Row],[Column31]],Table1215[[#This Row],[Column32]],Table1215[[#This Row],[Column33]])</f>
        <v>0</v>
      </c>
      <c r="AK34" s="65">
        <f>IFERROR(VLOOKUP(Table1215[[#This Row],[Column2]],Table12[[Column2]:[Column54]],36,FALSE),"0")</f>
        <v>4</v>
      </c>
      <c r="AL34" s="65">
        <f>IFERROR(VLOOKUP(Table1215[[#This Row],[Column2]],Table12[[Column2]:[Column54]],37,FALSE),"0")</f>
        <v>4</v>
      </c>
      <c r="AM34" s="65">
        <f>IFERROR(VLOOKUP(Table1215[[#This Row],[Column2]],Table12[[Column2]:[Column54]],38,FALSE),"0")</f>
        <v>0</v>
      </c>
      <c r="AN34" s="65">
        <f>IFERROR(VLOOKUP(Table1215[[#This Row],[Column2]],Table12[[Column2]:[Column54]],39,FALSE),"0")</f>
        <v>4</v>
      </c>
      <c r="AO34" s="65">
        <f>IFERROR(VLOOKUP(Table1215[[#This Row],[Column2]],Table12[[Column2]:[Column54]],40,FALSE),"0")</f>
        <v>0</v>
      </c>
      <c r="AP34" s="67">
        <f>AVERAGE(Table1215[[#This Row],[Column37]],Table1215[[#This Row],[Column38]],Table1215[[#This Row],[Column40]])</f>
        <v>4</v>
      </c>
      <c r="AQ34" s="65">
        <f>IFERROR(VLOOKUP(Table1215[[#This Row],[Column2]],Table12[[Column2]:[Column54]],42,FALSE),"0")</f>
        <v>3</v>
      </c>
      <c r="AR34" s="65">
        <f>IFERROR(VLOOKUP(Table1215[[#This Row],[Column2]],Table12[[Column2]:[Column54]],43,FALSE),"0")</f>
        <v>0</v>
      </c>
      <c r="AS34" s="65">
        <f>IFERROR(VLOOKUP(Table1215[[#This Row],[Column2]],Table12[[Column2]:[Column54]],44,FALSE),"0")</f>
        <v>0</v>
      </c>
      <c r="AT34" s="65">
        <f>IFERROR(VLOOKUP(Table1215[[#This Row],[Column2]],Table12[[Column2]:[Column54]],45,FALSE),"0")</f>
        <v>0</v>
      </c>
      <c r="AU34" s="65">
        <f>IFERROR(VLOOKUP(Table1215[[#This Row],[Column2]],Table12[[Column2]:[Column54]],46,FALSE),"0")</f>
        <v>0</v>
      </c>
      <c r="AV34" s="67">
        <f>Table1215[[#This Row],[Column43]]</f>
        <v>3</v>
      </c>
      <c r="AW34" s="65">
        <f>IFERROR(VLOOKUP(Table1215[[#This Row],[Column2]],Table12[[Column2]:[Column54]],48,FALSE),"0")</f>
        <v>0</v>
      </c>
      <c r="AX34" s="65">
        <f>IFERROR(VLOOKUP(Table1215[[#This Row],[Column2]],Table12[[Column2]:[Column54]],49,FALSE),"0")</f>
        <v>0</v>
      </c>
      <c r="AY34" s="65">
        <f>IFERROR(VLOOKUP(Table1215[[#This Row],[Column2]],Table12[[Column2]:[Column54]],50,FALSE),"0")</f>
        <v>0</v>
      </c>
      <c r="AZ34" s="65">
        <f>IFERROR(VLOOKUP(Table1215[[#This Row],[Column2]],Table12[[Column2]:[Column54]],51,FALSE),"0")</f>
        <v>4</v>
      </c>
      <c r="BA34" s="65">
        <f>IFERROR(VLOOKUP(Table1215[[#This Row],[Column2]],Table12[[Column2]:[Column54]],52,FALSE),"0")</f>
        <v>4</v>
      </c>
      <c r="BB34" s="67">
        <f>AVERAGE(Table1215[[#This Row],[Column52]],Table1215[[#This Row],[Column53]])</f>
        <v>4</v>
      </c>
    </row>
    <row r="35" spans="1:54" ht="23.1" customHeight="1" x14ac:dyDescent="0.3">
      <c r="A35" s="87">
        <v>32</v>
      </c>
      <c r="B35" s="70" t="s">
        <v>243</v>
      </c>
      <c r="C35" s="71" t="s">
        <v>244</v>
      </c>
      <c r="D35" s="70" t="s">
        <v>542</v>
      </c>
      <c r="E35" s="70" t="s">
        <v>161</v>
      </c>
      <c r="F35" s="70" t="str">
        <f>REPT(CHAR(160),10)&amp;Working!$E36</f>
        <v>          B</v>
      </c>
      <c r="G35" s="61">
        <f>IFERROR(VLOOKUP(Table1215[[#This Row],[Column2]],Table12[[Column2]:[Column54]],6,FALSE),"0")</f>
        <v>0</v>
      </c>
      <c r="H35" s="61">
        <f>IFERROR(VLOOKUP(Table1215[[#This Row],[Column2]],Table12[[Column2]:[Column54]],7,FALSE),"0")</f>
        <v>0</v>
      </c>
      <c r="I35" s="61">
        <f>IFERROR(VLOOKUP(Table1215[[#This Row],[Column2]],Table12[[Column2]:[Column54]],8,FALSE),"0")</f>
        <v>4</v>
      </c>
      <c r="J35" s="61">
        <f>IFERROR(VLOOKUP(Table1215[[#This Row],[Column2]],Table12[[Column2]:[Column54]],9,FALSE),"0")</f>
        <v>0</v>
      </c>
      <c r="K35" s="61">
        <f>IFERROR(VLOOKUP(Table1215[[#This Row],[Column2]],Table12[[Column2]:[Column54]],10,FALSE),"0")</f>
        <v>0</v>
      </c>
      <c r="L35" s="67">
        <f>Table1215[[#This Row],[Column9]]</f>
        <v>4</v>
      </c>
      <c r="M35" s="61">
        <f>IFERROR(VLOOKUP(Table1215[[#This Row],[Column2]],Table12[[Column2]:[Column54]],12,FALSE),"0")</f>
        <v>0</v>
      </c>
      <c r="N35" s="61">
        <f>IFERROR(VLOOKUP(Table1215[[#This Row],[Column2]],Table12[[Column2]:[Column54]],13,FALSE),"0")</f>
        <v>4</v>
      </c>
      <c r="O35" s="61">
        <f>IFERROR(VLOOKUP(Table1215[[#This Row],[Column2]],Table12[[Column2]:[Column54]],14,FALSE),"0")</f>
        <v>4</v>
      </c>
      <c r="P35" s="61">
        <f>IFERROR(VLOOKUP(Table1215[[#This Row],[Column2]],Table12[[Column2]:[Column54]],10,FALSE),"0")</f>
        <v>0</v>
      </c>
      <c r="Q35" s="61">
        <f>IFERROR(VLOOKUP(Table1215[[#This Row],[Column2]],Table12[[Column2]:[Column54]],16,FALSE),"0")</f>
        <v>4</v>
      </c>
      <c r="R35" s="67">
        <f>AVERAGE(Table1215[[#This Row],[Column14]],Table1215[[#This Row],[Column15]],Table1215[[#This Row],[Column17]])</f>
        <v>4</v>
      </c>
      <c r="S35" s="61">
        <f>IFERROR(VLOOKUP(Table1215[[#This Row],[Column2]],Table12[[Column2]:[Column54]],18,FALSE),"0")</f>
        <v>0</v>
      </c>
      <c r="T35" s="61">
        <f>IFERROR(VLOOKUP(Table1215[[#This Row],[Column2]],Table12[[Column2]:[Column54]],19,FALSE),"0")</f>
        <v>0</v>
      </c>
      <c r="U35" s="61">
        <f>IFERROR(VLOOKUP(Table1215[[#This Row],[Column2]],Table12[[Column2]:[Column54]],20,FALSE),"0")</f>
        <v>0</v>
      </c>
      <c r="V35" s="61">
        <f>IFERROR(VLOOKUP(Table1215[[#This Row],[Column2]],Table12[[Column2]:[Column54]],21,FALSE),"0")</f>
        <v>0</v>
      </c>
      <c r="W35" s="61">
        <f>IFERROR(VLOOKUP(Table1215[[#This Row],[Column2]],Table12[[Column2]:[Column54]],22,FALSE),"0")</f>
        <v>0</v>
      </c>
      <c r="X35" s="67">
        <f>Table1215[[#This Row],[Column19]]</f>
        <v>0</v>
      </c>
      <c r="Y35" s="61">
        <f>IFERROR(VLOOKUP(Table1215[[#This Row],[Column2]],Table12[[Column2]:[Column54]],24,FALSE),"0")</f>
        <v>4</v>
      </c>
      <c r="Z35" s="61">
        <f>IFERROR(VLOOKUP(Table1215[[#This Row],[Column2]],Table12[[Column2]:[Column54]],25,FALSE),"0")</f>
        <v>0</v>
      </c>
      <c r="AA35" s="61">
        <f>IFERROR(VLOOKUP(Table1215[[#This Row],[Column2]],Table12[[Column2]:[Column54]],26,FALSE),"0")</f>
        <v>0</v>
      </c>
      <c r="AB35" s="61">
        <f>IFERROR(VLOOKUP(Table1215[[#This Row],[Column2]],Table12[[Column2]:[Column54]],27,FALSE),"0")</f>
        <v>0</v>
      </c>
      <c r="AC35" s="61">
        <f>IFERROR(VLOOKUP(Table1215[[#This Row],[Column2]],Table12[[Column2]:[Column54]],28,FALSE),"0")</f>
        <v>0</v>
      </c>
      <c r="AD35" s="67">
        <f>Table1215[[#This Row],[Column25]]</f>
        <v>4</v>
      </c>
      <c r="AE35" s="61">
        <f>IFERROR(VLOOKUP(Table1215[[#This Row],[Column2]],Table12[[Column2]:[Column54]],30,FALSE),"0")</f>
        <v>0</v>
      </c>
      <c r="AF35" s="61">
        <f>IFERROR(VLOOKUP(Table1215[[#This Row],[Column2]],Table12[[Column2]:[Column54]],31,FALSE),"0")</f>
        <v>0</v>
      </c>
      <c r="AG35" s="61">
        <f>IFERROR(VLOOKUP(Table1215[[#This Row],[Column2]],Table12[[Column2]:[Column54]],32,FALSE),"0")</f>
        <v>0</v>
      </c>
      <c r="AH35" s="61">
        <f>IFERROR(VLOOKUP(Table1215[[#This Row],[Column2]],Table12[[Column2]:[Column54]],33,FALSE),"0")</f>
        <v>0</v>
      </c>
      <c r="AI35" s="61">
        <f>IFERROR(VLOOKUP(Table1215[[#This Row],[Column2]],Table12[[Column2]:[Column54]],34,FALSE),"0")</f>
        <v>0</v>
      </c>
      <c r="AJ35" s="67">
        <f>AVERAGE(Table1215[[#This Row],[Column31]],Table1215[[#This Row],[Column32]],Table1215[[#This Row],[Column33]])</f>
        <v>0</v>
      </c>
      <c r="AK35" s="61">
        <f>IFERROR(VLOOKUP(Table1215[[#This Row],[Column2]],Table12[[Column2]:[Column54]],36,FALSE),"0")</f>
        <v>5</v>
      </c>
      <c r="AL35" s="61">
        <f>IFERROR(VLOOKUP(Table1215[[#This Row],[Column2]],Table12[[Column2]:[Column54]],37,FALSE),"0")</f>
        <v>4</v>
      </c>
      <c r="AM35" s="61">
        <f>IFERROR(VLOOKUP(Table1215[[#This Row],[Column2]],Table12[[Column2]:[Column54]],38,FALSE),"0")</f>
        <v>0</v>
      </c>
      <c r="AN35" s="61">
        <f>IFERROR(VLOOKUP(Table1215[[#This Row],[Column2]],Table12[[Column2]:[Column54]],39,FALSE),"0")</f>
        <v>5</v>
      </c>
      <c r="AO35" s="61">
        <f>IFERROR(VLOOKUP(Table1215[[#This Row],[Column2]],Table12[[Column2]:[Column54]],40,FALSE),"0")</f>
        <v>0</v>
      </c>
      <c r="AP35" s="67">
        <f>AVERAGE(Table1215[[#This Row],[Column37]],Table1215[[#This Row],[Column38]],Table1215[[#This Row],[Column40]])</f>
        <v>4.666666666666667</v>
      </c>
      <c r="AQ35" s="61">
        <f>IFERROR(VLOOKUP(Table1215[[#This Row],[Column2]],Table12[[Column2]:[Column54]],42,FALSE),"0")</f>
        <v>4</v>
      </c>
      <c r="AR35" s="61">
        <f>IFERROR(VLOOKUP(Table1215[[#This Row],[Column2]],Table12[[Column2]:[Column54]],43,FALSE),"0")</f>
        <v>0</v>
      </c>
      <c r="AS35" s="61">
        <f>IFERROR(VLOOKUP(Table1215[[#This Row],[Column2]],Table12[[Column2]:[Column54]],44,FALSE),"0")</f>
        <v>0</v>
      </c>
      <c r="AT35" s="61">
        <f>IFERROR(VLOOKUP(Table1215[[#This Row],[Column2]],Table12[[Column2]:[Column54]],45,FALSE),"0")</f>
        <v>0</v>
      </c>
      <c r="AU35" s="61">
        <f>IFERROR(VLOOKUP(Table1215[[#This Row],[Column2]],Table12[[Column2]:[Column54]],46,FALSE),"0")</f>
        <v>0</v>
      </c>
      <c r="AV35" s="67">
        <f>Table1215[[#This Row],[Column43]]</f>
        <v>4</v>
      </c>
      <c r="AW35" s="61">
        <f>IFERROR(VLOOKUP(Table1215[[#This Row],[Column2]],Table12[[Column2]:[Column54]],48,FALSE),"0")</f>
        <v>0</v>
      </c>
      <c r="AX35" s="61">
        <f>IFERROR(VLOOKUP(Table1215[[#This Row],[Column2]],Table12[[Column2]:[Column54]],49,FALSE),"0")</f>
        <v>0</v>
      </c>
      <c r="AY35" s="61">
        <f>IFERROR(VLOOKUP(Table1215[[#This Row],[Column2]],Table12[[Column2]:[Column54]],50,FALSE),"0")</f>
        <v>0</v>
      </c>
      <c r="AZ35" s="61">
        <f>IFERROR(VLOOKUP(Table1215[[#This Row],[Column2]],Table12[[Column2]:[Column54]],51,FALSE),"0")</f>
        <v>5</v>
      </c>
      <c r="BA35" s="61">
        <f>IFERROR(VLOOKUP(Table1215[[#This Row],[Column2]],Table12[[Column2]:[Column54]],52,FALSE),"0")</f>
        <v>4</v>
      </c>
      <c r="BB35" s="67">
        <f>AVERAGE(Table1215[[#This Row],[Column52]],Table1215[[#This Row],[Column53]])</f>
        <v>4.5</v>
      </c>
    </row>
    <row r="36" spans="1:54" ht="23.1" customHeight="1" x14ac:dyDescent="0.3">
      <c r="A36" s="86">
        <v>33</v>
      </c>
      <c r="B36" s="63" t="s">
        <v>211</v>
      </c>
      <c r="C36" s="64" t="s">
        <v>212</v>
      </c>
      <c r="D36" s="63" t="s">
        <v>542</v>
      </c>
      <c r="E36" s="63" t="s">
        <v>161</v>
      </c>
      <c r="F36" s="63" t="str">
        <f>REPT(CHAR(160),10)&amp;Working!$E37</f>
        <v>          B</v>
      </c>
      <c r="G36" s="65">
        <f>IFERROR(VLOOKUP(Table1215[[#This Row],[Column2]],Table12[[Column2]:[Column54]],6,FALSE),"0")</f>
        <v>0</v>
      </c>
      <c r="H36" s="65">
        <f>IFERROR(VLOOKUP(Table1215[[#This Row],[Column2]],Table12[[Column2]:[Column54]],7,FALSE),"0")</f>
        <v>0</v>
      </c>
      <c r="I36" s="65">
        <f>IFERROR(VLOOKUP(Table1215[[#This Row],[Column2]],Table12[[Column2]:[Column54]],8,FALSE),"0")</f>
        <v>4</v>
      </c>
      <c r="J36" s="65">
        <f>IFERROR(VLOOKUP(Table1215[[#This Row],[Column2]],Table12[[Column2]:[Column54]],9,FALSE),"0")</f>
        <v>0</v>
      </c>
      <c r="K36" s="65">
        <f>IFERROR(VLOOKUP(Table1215[[#This Row],[Column2]],Table12[[Column2]:[Column54]],10,FALSE),"0")</f>
        <v>0</v>
      </c>
      <c r="L36" s="67">
        <f>Table1215[[#This Row],[Column9]]</f>
        <v>4</v>
      </c>
      <c r="M36" s="65">
        <f>IFERROR(VLOOKUP(Table1215[[#This Row],[Column2]],Table12[[Column2]:[Column54]],12,FALSE),"0")</f>
        <v>0</v>
      </c>
      <c r="N36" s="65">
        <f>IFERROR(VLOOKUP(Table1215[[#This Row],[Column2]],Table12[[Column2]:[Column54]],13,FALSE),"0")</f>
        <v>4</v>
      </c>
      <c r="O36" s="65">
        <f>IFERROR(VLOOKUP(Table1215[[#This Row],[Column2]],Table12[[Column2]:[Column54]],14,FALSE),"0")</f>
        <v>4</v>
      </c>
      <c r="P36" s="65">
        <f>IFERROR(VLOOKUP(Table1215[[#This Row],[Column2]],Table12[[Column2]:[Column54]],10,FALSE),"0")</f>
        <v>0</v>
      </c>
      <c r="Q36" s="65">
        <f>IFERROR(VLOOKUP(Table1215[[#This Row],[Column2]],Table12[[Column2]:[Column54]],16,FALSE),"0")</f>
        <v>4</v>
      </c>
      <c r="R36" s="67">
        <f>AVERAGE(Table1215[[#This Row],[Column14]],Table1215[[#This Row],[Column15]],Table1215[[#This Row],[Column17]])</f>
        <v>4</v>
      </c>
      <c r="S36" s="65">
        <f>IFERROR(VLOOKUP(Table1215[[#This Row],[Column2]],Table12[[Column2]:[Column54]],18,FALSE),"0")</f>
        <v>0</v>
      </c>
      <c r="T36" s="65">
        <f>IFERROR(VLOOKUP(Table1215[[#This Row],[Column2]],Table12[[Column2]:[Column54]],19,FALSE),"0")</f>
        <v>0</v>
      </c>
      <c r="U36" s="65">
        <f>IFERROR(VLOOKUP(Table1215[[#This Row],[Column2]],Table12[[Column2]:[Column54]],20,FALSE),"0")</f>
        <v>0</v>
      </c>
      <c r="V36" s="65">
        <f>IFERROR(VLOOKUP(Table1215[[#This Row],[Column2]],Table12[[Column2]:[Column54]],21,FALSE),"0")</f>
        <v>0</v>
      </c>
      <c r="W36" s="65">
        <f>IFERROR(VLOOKUP(Table1215[[#This Row],[Column2]],Table12[[Column2]:[Column54]],22,FALSE),"0")</f>
        <v>0</v>
      </c>
      <c r="X36" s="67">
        <f>Table1215[[#This Row],[Column19]]</f>
        <v>0</v>
      </c>
      <c r="Y36" s="65">
        <f>IFERROR(VLOOKUP(Table1215[[#This Row],[Column2]],Table12[[Column2]:[Column54]],24,FALSE),"0")</f>
        <v>4</v>
      </c>
      <c r="Z36" s="65">
        <f>IFERROR(VLOOKUP(Table1215[[#This Row],[Column2]],Table12[[Column2]:[Column54]],25,FALSE),"0")</f>
        <v>0</v>
      </c>
      <c r="AA36" s="65">
        <f>IFERROR(VLOOKUP(Table1215[[#This Row],[Column2]],Table12[[Column2]:[Column54]],26,FALSE),"0")</f>
        <v>0</v>
      </c>
      <c r="AB36" s="65">
        <f>IFERROR(VLOOKUP(Table1215[[#This Row],[Column2]],Table12[[Column2]:[Column54]],27,FALSE),"0")</f>
        <v>0</v>
      </c>
      <c r="AC36" s="65">
        <f>IFERROR(VLOOKUP(Table1215[[#This Row],[Column2]],Table12[[Column2]:[Column54]],28,FALSE),"0")</f>
        <v>0</v>
      </c>
      <c r="AD36" s="67">
        <f>Table1215[[#This Row],[Column25]]</f>
        <v>4</v>
      </c>
      <c r="AE36" s="65">
        <f>IFERROR(VLOOKUP(Table1215[[#This Row],[Column2]],Table12[[Column2]:[Column54]],30,FALSE),"0")</f>
        <v>0</v>
      </c>
      <c r="AF36" s="65">
        <f>IFERROR(VLOOKUP(Table1215[[#This Row],[Column2]],Table12[[Column2]:[Column54]],31,FALSE),"0")</f>
        <v>0</v>
      </c>
      <c r="AG36" s="65">
        <f>IFERROR(VLOOKUP(Table1215[[#This Row],[Column2]],Table12[[Column2]:[Column54]],32,FALSE),"0")</f>
        <v>0</v>
      </c>
      <c r="AH36" s="65">
        <f>IFERROR(VLOOKUP(Table1215[[#This Row],[Column2]],Table12[[Column2]:[Column54]],33,FALSE),"0")</f>
        <v>0</v>
      </c>
      <c r="AI36" s="65">
        <f>IFERROR(VLOOKUP(Table1215[[#This Row],[Column2]],Table12[[Column2]:[Column54]],34,FALSE),"0")</f>
        <v>0</v>
      </c>
      <c r="AJ36" s="67">
        <f>AVERAGE(Table1215[[#This Row],[Column31]],Table1215[[#This Row],[Column32]],Table1215[[#This Row],[Column33]])</f>
        <v>0</v>
      </c>
      <c r="AK36" s="65">
        <f>IFERROR(VLOOKUP(Table1215[[#This Row],[Column2]],Table12[[Column2]:[Column54]],36,FALSE),"0")</f>
        <v>4</v>
      </c>
      <c r="AL36" s="65">
        <f>IFERROR(VLOOKUP(Table1215[[#This Row],[Column2]],Table12[[Column2]:[Column54]],37,FALSE),"0")</f>
        <v>4</v>
      </c>
      <c r="AM36" s="65">
        <f>IFERROR(VLOOKUP(Table1215[[#This Row],[Column2]],Table12[[Column2]:[Column54]],38,FALSE),"0")</f>
        <v>0</v>
      </c>
      <c r="AN36" s="65">
        <f>IFERROR(VLOOKUP(Table1215[[#This Row],[Column2]],Table12[[Column2]:[Column54]],39,FALSE),"0")</f>
        <v>4</v>
      </c>
      <c r="AO36" s="65">
        <f>IFERROR(VLOOKUP(Table1215[[#This Row],[Column2]],Table12[[Column2]:[Column54]],40,FALSE),"0")</f>
        <v>0</v>
      </c>
      <c r="AP36" s="67">
        <f>AVERAGE(Table1215[[#This Row],[Column37]],Table1215[[#This Row],[Column38]],Table1215[[#This Row],[Column40]])</f>
        <v>4</v>
      </c>
      <c r="AQ36" s="65">
        <f>IFERROR(VLOOKUP(Table1215[[#This Row],[Column2]],Table12[[Column2]:[Column54]],42,FALSE),"0")</f>
        <v>4</v>
      </c>
      <c r="AR36" s="65">
        <f>IFERROR(VLOOKUP(Table1215[[#This Row],[Column2]],Table12[[Column2]:[Column54]],43,FALSE),"0")</f>
        <v>0</v>
      </c>
      <c r="AS36" s="65">
        <f>IFERROR(VLOOKUP(Table1215[[#This Row],[Column2]],Table12[[Column2]:[Column54]],44,FALSE),"0")</f>
        <v>0</v>
      </c>
      <c r="AT36" s="65">
        <f>IFERROR(VLOOKUP(Table1215[[#This Row],[Column2]],Table12[[Column2]:[Column54]],45,FALSE),"0")</f>
        <v>0</v>
      </c>
      <c r="AU36" s="65">
        <f>IFERROR(VLOOKUP(Table1215[[#This Row],[Column2]],Table12[[Column2]:[Column54]],46,FALSE),"0")</f>
        <v>0</v>
      </c>
      <c r="AV36" s="67">
        <f>Table1215[[#This Row],[Column43]]</f>
        <v>4</v>
      </c>
      <c r="AW36" s="65">
        <f>IFERROR(VLOOKUP(Table1215[[#This Row],[Column2]],Table12[[Column2]:[Column54]],48,FALSE),"0")</f>
        <v>0</v>
      </c>
      <c r="AX36" s="65">
        <f>IFERROR(VLOOKUP(Table1215[[#This Row],[Column2]],Table12[[Column2]:[Column54]],49,FALSE),"0")</f>
        <v>0</v>
      </c>
      <c r="AY36" s="65">
        <f>IFERROR(VLOOKUP(Table1215[[#This Row],[Column2]],Table12[[Column2]:[Column54]],50,FALSE),"0")</f>
        <v>0</v>
      </c>
      <c r="AZ36" s="65">
        <f>IFERROR(VLOOKUP(Table1215[[#This Row],[Column2]],Table12[[Column2]:[Column54]],51,FALSE),"0")</f>
        <v>4</v>
      </c>
      <c r="BA36" s="65">
        <f>IFERROR(VLOOKUP(Table1215[[#This Row],[Column2]],Table12[[Column2]:[Column54]],52,FALSE),"0")</f>
        <v>4</v>
      </c>
      <c r="BB36" s="67">
        <f>AVERAGE(Table1215[[#This Row],[Column52]],Table1215[[#This Row],[Column53]])</f>
        <v>4</v>
      </c>
    </row>
    <row r="37" spans="1:54" ht="23.1" customHeight="1" x14ac:dyDescent="0.3">
      <c r="A37" s="87">
        <v>34</v>
      </c>
      <c r="B37" s="70" t="s">
        <v>95</v>
      </c>
      <c r="C37" s="71" t="s">
        <v>96</v>
      </c>
      <c r="D37" s="70" t="s">
        <v>542</v>
      </c>
      <c r="E37" s="70" t="s">
        <v>35</v>
      </c>
      <c r="F37" s="70" t="str">
        <f>REPT(CHAR(160),10)&amp;Working!$E38</f>
        <v>          A</v>
      </c>
      <c r="G37" s="61">
        <f>IFERROR(VLOOKUP(Table1215[[#This Row],[Column2]],Table12[[Column2]:[Column54]],6,FALSE),"0")</f>
        <v>0</v>
      </c>
      <c r="H37" s="61">
        <f>IFERROR(VLOOKUP(Table1215[[#This Row],[Column2]],Table12[[Column2]:[Column54]],7,FALSE),"0")</f>
        <v>0</v>
      </c>
      <c r="I37" s="61">
        <f>IFERROR(VLOOKUP(Table1215[[#This Row],[Column2]],Table12[[Column2]:[Column54]],8,FALSE),"0")</f>
        <v>4</v>
      </c>
      <c r="J37" s="61">
        <f>IFERROR(VLOOKUP(Table1215[[#This Row],[Column2]],Table12[[Column2]:[Column54]],9,FALSE),"0")</f>
        <v>0</v>
      </c>
      <c r="K37" s="61">
        <f>IFERROR(VLOOKUP(Table1215[[#This Row],[Column2]],Table12[[Column2]:[Column54]],10,FALSE),"0")</f>
        <v>0</v>
      </c>
      <c r="L37" s="67">
        <f>Table1215[[#This Row],[Column9]]</f>
        <v>4</v>
      </c>
      <c r="M37" s="61">
        <f>IFERROR(VLOOKUP(Table1215[[#This Row],[Column2]],Table12[[Column2]:[Column54]],12,FALSE),"0")</f>
        <v>0</v>
      </c>
      <c r="N37" s="61">
        <f>IFERROR(VLOOKUP(Table1215[[#This Row],[Column2]],Table12[[Column2]:[Column54]],13,FALSE),"0")</f>
        <v>5</v>
      </c>
      <c r="O37" s="61">
        <f>IFERROR(VLOOKUP(Table1215[[#This Row],[Column2]],Table12[[Column2]:[Column54]],14,FALSE),"0")</f>
        <v>4</v>
      </c>
      <c r="P37" s="61">
        <f>IFERROR(VLOOKUP(Table1215[[#This Row],[Column2]],Table12[[Column2]:[Column54]],10,FALSE),"0")</f>
        <v>0</v>
      </c>
      <c r="Q37" s="61">
        <f>IFERROR(VLOOKUP(Table1215[[#This Row],[Column2]],Table12[[Column2]:[Column54]],16,FALSE),"0")</f>
        <v>4</v>
      </c>
      <c r="R37" s="67">
        <f>AVERAGE(Table1215[[#This Row],[Column14]],Table1215[[#This Row],[Column15]],Table1215[[#This Row],[Column17]])</f>
        <v>4.333333333333333</v>
      </c>
      <c r="S37" s="61">
        <f>IFERROR(VLOOKUP(Table1215[[#This Row],[Column2]],Table12[[Column2]:[Column54]],18,FALSE),"0")</f>
        <v>0</v>
      </c>
      <c r="T37" s="61">
        <f>IFERROR(VLOOKUP(Table1215[[#This Row],[Column2]],Table12[[Column2]:[Column54]],19,FALSE),"0")</f>
        <v>0</v>
      </c>
      <c r="U37" s="61">
        <f>IFERROR(VLOOKUP(Table1215[[#This Row],[Column2]],Table12[[Column2]:[Column54]],20,FALSE),"0")</f>
        <v>0</v>
      </c>
      <c r="V37" s="61">
        <f>IFERROR(VLOOKUP(Table1215[[#This Row],[Column2]],Table12[[Column2]:[Column54]],21,FALSE),"0")</f>
        <v>0</v>
      </c>
      <c r="W37" s="61">
        <f>IFERROR(VLOOKUP(Table1215[[#This Row],[Column2]],Table12[[Column2]:[Column54]],22,FALSE),"0")</f>
        <v>0</v>
      </c>
      <c r="X37" s="67">
        <f>Table1215[[#This Row],[Column19]]</f>
        <v>0</v>
      </c>
      <c r="Y37" s="61">
        <f>IFERROR(VLOOKUP(Table1215[[#This Row],[Column2]],Table12[[Column2]:[Column54]],24,FALSE),"0")</f>
        <v>5</v>
      </c>
      <c r="Z37" s="61">
        <f>IFERROR(VLOOKUP(Table1215[[#This Row],[Column2]],Table12[[Column2]:[Column54]],25,FALSE),"0")</f>
        <v>0</v>
      </c>
      <c r="AA37" s="61">
        <f>IFERROR(VLOOKUP(Table1215[[#This Row],[Column2]],Table12[[Column2]:[Column54]],26,FALSE),"0")</f>
        <v>0</v>
      </c>
      <c r="AB37" s="61">
        <f>IFERROR(VLOOKUP(Table1215[[#This Row],[Column2]],Table12[[Column2]:[Column54]],27,FALSE),"0")</f>
        <v>0</v>
      </c>
      <c r="AC37" s="61">
        <f>IFERROR(VLOOKUP(Table1215[[#This Row],[Column2]],Table12[[Column2]:[Column54]],28,FALSE),"0")</f>
        <v>0</v>
      </c>
      <c r="AD37" s="67">
        <f>Table1215[[#This Row],[Column25]]</f>
        <v>5</v>
      </c>
      <c r="AE37" s="61">
        <f>IFERROR(VLOOKUP(Table1215[[#This Row],[Column2]],Table12[[Column2]:[Column54]],30,FALSE),"0")</f>
        <v>0</v>
      </c>
      <c r="AF37" s="61">
        <f>IFERROR(VLOOKUP(Table1215[[#This Row],[Column2]],Table12[[Column2]:[Column54]],31,FALSE),"0")</f>
        <v>0</v>
      </c>
      <c r="AG37" s="61">
        <f>IFERROR(VLOOKUP(Table1215[[#This Row],[Column2]],Table12[[Column2]:[Column54]],32,FALSE),"0")</f>
        <v>0</v>
      </c>
      <c r="AH37" s="61">
        <f>IFERROR(VLOOKUP(Table1215[[#This Row],[Column2]],Table12[[Column2]:[Column54]],33,FALSE),"0")</f>
        <v>0</v>
      </c>
      <c r="AI37" s="61">
        <f>IFERROR(VLOOKUP(Table1215[[#This Row],[Column2]],Table12[[Column2]:[Column54]],34,FALSE),"0")</f>
        <v>0</v>
      </c>
      <c r="AJ37" s="67">
        <f>AVERAGE(Table1215[[#This Row],[Column31]],Table1215[[#This Row],[Column32]],Table1215[[#This Row],[Column33]])</f>
        <v>0</v>
      </c>
      <c r="AK37" s="61">
        <f>IFERROR(VLOOKUP(Table1215[[#This Row],[Column2]],Table12[[Column2]:[Column54]],36,FALSE),"0")</f>
        <v>5</v>
      </c>
      <c r="AL37" s="61">
        <f>IFERROR(VLOOKUP(Table1215[[#This Row],[Column2]],Table12[[Column2]:[Column54]],37,FALSE),"0")</f>
        <v>5</v>
      </c>
      <c r="AM37" s="61">
        <f>IFERROR(VLOOKUP(Table1215[[#This Row],[Column2]],Table12[[Column2]:[Column54]],38,FALSE),"0")</f>
        <v>0</v>
      </c>
      <c r="AN37" s="61">
        <f>IFERROR(VLOOKUP(Table1215[[#This Row],[Column2]],Table12[[Column2]:[Column54]],39,FALSE),"0")</f>
        <v>5</v>
      </c>
      <c r="AO37" s="61">
        <f>IFERROR(VLOOKUP(Table1215[[#This Row],[Column2]],Table12[[Column2]:[Column54]],40,FALSE),"0")</f>
        <v>0</v>
      </c>
      <c r="AP37" s="67">
        <f>AVERAGE(Table1215[[#This Row],[Column37]],Table1215[[#This Row],[Column38]],Table1215[[#This Row],[Column40]])</f>
        <v>5</v>
      </c>
      <c r="AQ37" s="61">
        <f>IFERROR(VLOOKUP(Table1215[[#This Row],[Column2]],Table12[[Column2]:[Column54]],42,FALSE),"0")</f>
        <v>5</v>
      </c>
      <c r="AR37" s="61">
        <f>IFERROR(VLOOKUP(Table1215[[#This Row],[Column2]],Table12[[Column2]:[Column54]],43,FALSE),"0")</f>
        <v>0</v>
      </c>
      <c r="AS37" s="61">
        <f>IFERROR(VLOOKUP(Table1215[[#This Row],[Column2]],Table12[[Column2]:[Column54]],44,FALSE),"0")</f>
        <v>0</v>
      </c>
      <c r="AT37" s="61">
        <f>IFERROR(VLOOKUP(Table1215[[#This Row],[Column2]],Table12[[Column2]:[Column54]],45,FALSE),"0")</f>
        <v>0</v>
      </c>
      <c r="AU37" s="61">
        <f>IFERROR(VLOOKUP(Table1215[[#This Row],[Column2]],Table12[[Column2]:[Column54]],46,FALSE),"0")</f>
        <v>0</v>
      </c>
      <c r="AV37" s="67">
        <f>Table1215[[#This Row],[Column43]]</f>
        <v>5</v>
      </c>
      <c r="AW37" s="61">
        <f>IFERROR(VLOOKUP(Table1215[[#This Row],[Column2]],Table12[[Column2]:[Column54]],48,FALSE),"0")</f>
        <v>0</v>
      </c>
      <c r="AX37" s="61">
        <f>IFERROR(VLOOKUP(Table1215[[#This Row],[Column2]],Table12[[Column2]:[Column54]],49,FALSE),"0")</f>
        <v>0</v>
      </c>
      <c r="AY37" s="61">
        <f>IFERROR(VLOOKUP(Table1215[[#This Row],[Column2]],Table12[[Column2]:[Column54]],50,FALSE),"0")</f>
        <v>0</v>
      </c>
      <c r="AZ37" s="61">
        <f>IFERROR(VLOOKUP(Table1215[[#This Row],[Column2]],Table12[[Column2]:[Column54]],51,FALSE),"0")</f>
        <v>5</v>
      </c>
      <c r="BA37" s="61">
        <f>IFERROR(VLOOKUP(Table1215[[#This Row],[Column2]],Table12[[Column2]:[Column54]],52,FALSE),"0")</f>
        <v>5</v>
      </c>
      <c r="BB37" s="67">
        <f>AVERAGE(Table1215[[#This Row],[Column52]],Table1215[[#This Row],[Column53]])</f>
        <v>5</v>
      </c>
    </row>
    <row r="38" spans="1:54" ht="23.1" customHeight="1" x14ac:dyDescent="0.3">
      <c r="A38" s="86">
        <v>35</v>
      </c>
      <c r="B38" s="63" t="s">
        <v>273</v>
      </c>
      <c r="C38" s="64" t="s">
        <v>274</v>
      </c>
      <c r="D38" s="63" t="s">
        <v>450</v>
      </c>
      <c r="E38" s="63" t="s">
        <v>161</v>
      </c>
      <c r="F38" s="63" t="str">
        <f>REPT(CHAR(160),10)&amp;Working!$E39</f>
        <v>          B</v>
      </c>
      <c r="G38" s="65">
        <f>IFERROR(VLOOKUP(Table1215[[#This Row],[Column2]],Table12[[Column2]:[Column54]],6,FALSE),"0")</f>
        <v>0</v>
      </c>
      <c r="H38" s="65">
        <f>IFERROR(VLOOKUP(Table1215[[#This Row],[Column2]],Table12[[Column2]:[Column54]],7,FALSE),"0")</f>
        <v>0</v>
      </c>
      <c r="I38" s="65">
        <f>IFERROR(VLOOKUP(Table1215[[#This Row],[Column2]],Table12[[Column2]:[Column54]],8,FALSE),"0")</f>
        <v>4</v>
      </c>
      <c r="J38" s="65">
        <f>IFERROR(VLOOKUP(Table1215[[#This Row],[Column2]],Table12[[Column2]:[Column54]],9,FALSE),"0")</f>
        <v>0</v>
      </c>
      <c r="K38" s="65">
        <f>IFERROR(VLOOKUP(Table1215[[#This Row],[Column2]],Table12[[Column2]:[Column54]],10,FALSE),"0")</f>
        <v>0</v>
      </c>
      <c r="L38" s="67">
        <f>Table1215[[#This Row],[Column9]]</f>
        <v>4</v>
      </c>
      <c r="M38" s="65">
        <f>IFERROR(VLOOKUP(Table1215[[#This Row],[Column2]],Table12[[Column2]:[Column54]],12,FALSE),"0")</f>
        <v>0</v>
      </c>
      <c r="N38" s="65">
        <f>IFERROR(VLOOKUP(Table1215[[#This Row],[Column2]],Table12[[Column2]:[Column54]],13,FALSE),"0")</f>
        <v>4</v>
      </c>
      <c r="O38" s="65">
        <f>IFERROR(VLOOKUP(Table1215[[#This Row],[Column2]],Table12[[Column2]:[Column54]],14,FALSE),"0")</f>
        <v>4</v>
      </c>
      <c r="P38" s="65">
        <f>IFERROR(VLOOKUP(Table1215[[#This Row],[Column2]],Table12[[Column2]:[Column54]],10,FALSE),"0")</f>
        <v>0</v>
      </c>
      <c r="Q38" s="65">
        <f>IFERROR(VLOOKUP(Table1215[[#This Row],[Column2]],Table12[[Column2]:[Column54]],16,FALSE),"0")</f>
        <v>4</v>
      </c>
      <c r="R38" s="67">
        <f>AVERAGE(Table1215[[#This Row],[Column14]],Table1215[[#This Row],[Column15]],Table1215[[#This Row],[Column17]])</f>
        <v>4</v>
      </c>
      <c r="S38" s="65">
        <f>IFERROR(VLOOKUP(Table1215[[#This Row],[Column2]],Table12[[Column2]:[Column54]],18,FALSE),"0")</f>
        <v>0</v>
      </c>
      <c r="T38" s="65">
        <f>IFERROR(VLOOKUP(Table1215[[#This Row],[Column2]],Table12[[Column2]:[Column54]],19,FALSE),"0")</f>
        <v>0</v>
      </c>
      <c r="U38" s="65">
        <f>IFERROR(VLOOKUP(Table1215[[#This Row],[Column2]],Table12[[Column2]:[Column54]],20,FALSE),"0")</f>
        <v>0</v>
      </c>
      <c r="V38" s="65">
        <f>IFERROR(VLOOKUP(Table1215[[#This Row],[Column2]],Table12[[Column2]:[Column54]],21,FALSE),"0")</f>
        <v>0</v>
      </c>
      <c r="W38" s="65">
        <f>IFERROR(VLOOKUP(Table1215[[#This Row],[Column2]],Table12[[Column2]:[Column54]],22,FALSE),"0")</f>
        <v>0</v>
      </c>
      <c r="X38" s="67">
        <f>Table1215[[#This Row],[Column19]]</f>
        <v>0</v>
      </c>
      <c r="Y38" s="65">
        <f>IFERROR(VLOOKUP(Table1215[[#This Row],[Column2]],Table12[[Column2]:[Column54]],24,FALSE),"0")</f>
        <v>4</v>
      </c>
      <c r="Z38" s="65">
        <f>IFERROR(VLOOKUP(Table1215[[#This Row],[Column2]],Table12[[Column2]:[Column54]],25,FALSE),"0")</f>
        <v>0</v>
      </c>
      <c r="AA38" s="65">
        <f>IFERROR(VLOOKUP(Table1215[[#This Row],[Column2]],Table12[[Column2]:[Column54]],26,FALSE),"0")</f>
        <v>0</v>
      </c>
      <c r="AB38" s="65">
        <f>IFERROR(VLOOKUP(Table1215[[#This Row],[Column2]],Table12[[Column2]:[Column54]],27,FALSE),"0")</f>
        <v>0</v>
      </c>
      <c r="AC38" s="65">
        <f>IFERROR(VLOOKUP(Table1215[[#This Row],[Column2]],Table12[[Column2]:[Column54]],28,FALSE),"0")</f>
        <v>0</v>
      </c>
      <c r="AD38" s="67">
        <f>Table1215[[#This Row],[Column25]]</f>
        <v>4</v>
      </c>
      <c r="AE38" s="65">
        <f>IFERROR(VLOOKUP(Table1215[[#This Row],[Column2]],Table12[[Column2]:[Column54]],30,FALSE),"0")</f>
        <v>0</v>
      </c>
      <c r="AF38" s="65">
        <f>IFERROR(VLOOKUP(Table1215[[#This Row],[Column2]],Table12[[Column2]:[Column54]],31,FALSE),"0")</f>
        <v>0</v>
      </c>
      <c r="AG38" s="65">
        <f>IFERROR(VLOOKUP(Table1215[[#This Row],[Column2]],Table12[[Column2]:[Column54]],32,FALSE),"0")</f>
        <v>0</v>
      </c>
      <c r="AH38" s="65">
        <f>IFERROR(VLOOKUP(Table1215[[#This Row],[Column2]],Table12[[Column2]:[Column54]],33,FALSE),"0")</f>
        <v>0</v>
      </c>
      <c r="AI38" s="65">
        <f>IFERROR(VLOOKUP(Table1215[[#This Row],[Column2]],Table12[[Column2]:[Column54]],34,FALSE),"0")</f>
        <v>0</v>
      </c>
      <c r="AJ38" s="67">
        <f>AVERAGE(Table1215[[#This Row],[Column31]],Table1215[[#This Row],[Column32]],Table1215[[#This Row],[Column33]])</f>
        <v>0</v>
      </c>
      <c r="AK38" s="65">
        <f>IFERROR(VLOOKUP(Table1215[[#This Row],[Column2]],Table12[[Column2]:[Column54]],36,FALSE),"0")</f>
        <v>5</v>
      </c>
      <c r="AL38" s="65">
        <f>IFERROR(VLOOKUP(Table1215[[#This Row],[Column2]],Table12[[Column2]:[Column54]],37,FALSE),"0")</f>
        <v>4</v>
      </c>
      <c r="AM38" s="65">
        <f>IFERROR(VLOOKUP(Table1215[[#This Row],[Column2]],Table12[[Column2]:[Column54]],38,FALSE),"0")</f>
        <v>0</v>
      </c>
      <c r="AN38" s="65">
        <f>IFERROR(VLOOKUP(Table1215[[#This Row],[Column2]],Table12[[Column2]:[Column54]],39,FALSE),"0")</f>
        <v>4</v>
      </c>
      <c r="AO38" s="65">
        <f>IFERROR(VLOOKUP(Table1215[[#This Row],[Column2]],Table12[[Column2]:[Column54]],40,FALSE),"0")</f>
        <v>0</v>
      </c>
      <c r="AP38" s="67">
        <f>AVERAGE(Table1215[[#This Row],[Column37]],Table1215[[#This Row],[Column38]],Table1215[[#This Row],[Column40]])</f>
        <v>4.333333333333333</v>
      </c>
      <c r="AQ38" s="65">
        <f>IFERROR(VLOOKUP(Table1215[[#This Row],[Column2]],Table12[[Column2]:[Column54]],42,FALSE),"0")</f>
        <v>4</v>
      </c>
      <c r="AR38" s="65">
        <f>IFERROR(VLOOKUP(Table1215[[#This Row],[Column2]],Table12[[Column2]:[Column54]],43,FALSE),"0")</f>
        <v>0</v>
      </c>
      <c r="AS38" s="65">
        <f>IFERROR(VLOOKUP(Table1215[[#This Row],[Column2]],Table12[[Column2]:[Column54]],44,FALSE),"0")</f>
        <v>0</v>
      </c>
      <c r="AT38" s="65">
        <f>IFERROR(VLOOKUP(Table1215[[#This Row],[Column2]],Table12[[Column2]:[Column54]],45,FALSE),"0")</f>
        <v>0</v>
      </c>
      <c r="AU38" s="65">
        <f>IFERROR(VLOOKUP(Table1215[[#This Row],[Column2]],Table12[[Column2]:[Column54]],46,FALSE),"0")</f>
        <v>0</v>
      </c>
      <c r="AV38" s="67">
        <f>Table1215[[#This Row],[Column43]]</f>
        <v>4</v>
      </c>
      <c r="AW38" s="65">
        <f>IFERROR(VLOOKUP(Table1215[[#This Row],[Column2]],Table12[[Column2]:[Column54]],48,FALSE),"0")</f>
        <v>0</v>
      </c>
      <c r="AX38" s="65">
        <f>IFERROR(VLOOKUP(Table1215[[#This Row],[Column2]],Table12[[Column2]:[Column54]],49,FALSE),"0")</f>
        <v>0</v>
      </c>
      <c r="AY38" s="65">
        <f>IFERROR(VLOOKUP(Table1215[[#This Row],[Column2]],Table12[[Column2]:[Column54]],50,FALSE),"0")</f>
        <v>0</v>
      </c>
      <c r="AZ38" s="65">
        <f>IFERROR(VLOOKUP(Table1215[[#This Row],[Column2]],Table12[[Column2]:[Column54]],51,FALSE),"0")</f>
        <v>4</v>
      </c>
      <c r="BA38" s="65">
        <f>IFERROR(VLOOKUP(Table1215[[#This Row],[Column2]],Table12[[Column2]:[Column54]],52,FALSE),"0")</f>
        <v>4</v>
      </c>
      <c r="BB38" s="67">
        <f>AVERAGE(Table1215[[#This Row],[Column52]],Table1215[[#This Row],[Column53]])</f>
        <v>4</v>
      </c>
    </row>
    <row r="39" spans="1:54" ht="23.1" customHeight="1" x14ac:dyDescent="0.3">
      <c r="A39" s="87">
        <v>36</v>
      </c>
      <c r="B39" s="70" t="s">
        <v>112</v>
      </c>
      <c r="C39" s="71" t="s">
        <v>113</v>
      </c>
      <c r="D39" s="70" t="s">
        <v>450</v>
      </c>
      <c r="E39" s="70" t="s">
        <v>35</v>
      </c>
      <c r="F39" s="70" t="str">
        <f>REPT(CHAR(160),10)&amp;Working!$E40</f>
        <v>          A</v>
      </c>
      <c r="G39" s="61">
        <f>IFERROR(VLOOKUP(Table1215[[#This Row],[Column2]],Table12[[Column2]:[Column54]],6,FALSE),"0")</f>
        <v>0</v>
      </c>
      <c r="H39" s="61">
        <f>IFERROR(VLOOKUP(Table1215[[#This Row],[Column2]],Table12[[Column2]:[Column54]],7,FALSE),"0")</f>
        <v>0</v>
      </c>
      <c r="I39" s="61">
        <f>IFERROR(VLOOKUP(Table1215[[#This Row],[Column2]],Table12[[Column2]:[Column54]],8,FALSE),"0")</f>
        <v>2</v>
      </c>
      <c r="J39" s="61">
        <f>IFERROR(VLOOKUP(Table1215[[#This Row],[Column2]],Table12[[Column2]:[Column54]],9,FALSE),"0")</f>
        <v>0</v>
      </c>
      <c r="K39" s="61">
        <f>IFERROR(VLOOKUP(Table1215[[#This Row],[Column2]],Table12[[Column2]:[Column54]],10,FALSE),"0")</f>
        <v>0</v>
      </c>
      <c r="L39" s="67">
        <f>Table1215[[#This Row],[Column9]]</f>
        <v>2</v>
      </c>
      <c r="M39" s="61">
        <f>IFERROR(VLOOKUP(Table1215[[#This Row],[Column2]],Table12[[Column2]:[Column54]],12,FALSE),"0")</f>
        <v>0</v>
      </c>
      <c r="N39" s="61">
        <f>IFERROR(VLOOKUP(Table1215[[#This Row],[Column2]],Table12[[Column2]:[Column54]],13,FALSE),"0")</f>
        <v>2</v>
      </c>
      <c r="O39" s="61">
        <f>IFERROR(VLOOKUP(Table1215[[#This Row],[Column2]],Table12[[Column2]:[Column54]],14,FALSE),"0")</f>
        <v>3</v>
      </c>
      <c r="P39" s="61">
        <f>IFERROR(VLOOKUP(Table1215[[#This Row],[Column2]],Table12[[Column2]:[Column54]],10,FALSE),"0")</f>
        <v>0</v>
      </c>
      <c r="Q39" s="61">
        <f>IFERROR(VLOOKUP(Table1215[[#This Row],[Column2]],Table12[[Column2]:[Column54]],16,FALSE),"0")</f>
        <v>3</v>
      </c>
      <c r="R39" s="67">
        <f>AVERAGE(Table1215[[#This Row],[Column14]],Table1215[[#This Row],[Column15]],Table1215[[#This Row],[Column17]])</f>
        <v>2.6666666666666665</v>
      </c>
      <c r="S39" s="61">
        <f>IFERROR(VLOOKUP(Table1215[[#This Row],[Column2]],Table12[[Column2]:[Column54]],18,FALSE),"0")</f>
        <v>0</v>
      </c>
      <c r="T39" s="61">
        <f>IFERROR(VLOOKUP(Table1215[[#This Row],[Column2]],Table12[[Column2]:[Column54]],19,FALSE),"0")</f>
        <v>0</v>
      </c>
      <c r="U39" s="61">
        <f>IFERROR(VLOOKUP(Table1215[[#This Row],[Column2]],Table12[[Column2]:[Column54]],20,FALSE),"0")</f>
        <v>0</v>
      </c>
      <c r="V39" s="61">
        <f>IFERROR(VLOOKUP(Table1215[[#This Row],[Column2]],Table12[[Column2]:[Column54]],21,FALSE),"0")</f>
        <v>0</v>
      </c>
      <c r="W39" s="61">
        <f>IFERROR(VLOOKUP(Table1215[[#This Row],[Column2]],Table12[[Column2]:[Column54]],22,FALSE),"0")</f>
        <v>0</v>
      </c>
      <c r="X39" s="67">
        <f>Table1215[[#This Row],[Column19]]</f>
        <v>0</v>
      </c>
      <c r="Y39" s="61">
        <f>IFERROR(VLOOKUP(Table1215[[#This Row],[Column2]],Table12[[Column2]:[Column54]],24,FALSE),"0")</f>
        <v>3</v>
      </c>
      <c r="Z39" s="61">
        <f>IFERROR(VLOOKUP(Table1215[[#This Row],[Column2]],Table12[[Column2]:[Column54]],25,FALSE),"0")</f>
        <v>0</v>
      </c>
      <c r="AA39" s="61">
        <f>IFERROR(VLOOKUP(Table1215[[#This Row],[Column2]],Table12[[Column2]:[Column54]],26,FALSE),"0")</f>
        <v>0</v>
      </c>
      <c r="AB39" s="61">
        <f>IFERROR(VLOOKUP(Table1215[[#This Row],[Column2]],Table12[[Column2]:[Column54]],27,FALSE),"0")</f>
        <v>0</v>
      </c>
      <c r="AC39" s="61">
        <f>IFERROR(VLOOKUP(Table1215[[#This Row],[Column2]],Table12[[Column2]:[Column54]],28,FALSE),"0")</f>
        <v>0</v>
      </c>
      <c r="AD39" s="67">
        <f>Table1215[[#This Row],[Column25]]</f>
        <v>3</v>
      </c>
      <c r="AE39" s="61">
        <f>IFERROR(VLOOKUP(Table1215[[#This Row],[Column2]],Table12[[Column2]:[Column54]],30,FALSE),"0")</f>
        <v>0</v>
      </c>
      <c r="AF39" s="61">
        <f>IFERROR(VLOOKUP(Table1215[[#This Row],[Column2]],Table12[[Column2]:[Column54]],31,FALSE),"0")</f>
        <v>0</v>
      </c>
      <c r="AG39" s="61">
        <f>IFERROR(VLOOKUP(Table1215[[#This Row],[Column2]],Table12[[Column2]:[Column54]],32,FALSE),"0")</f>
        <v>0</v>
      </c>
      <c r="AH39" s="61">
        <f>IFERROR(VLOOKUP(Table1215[[#This Row],[Column2]],Table12[[Column2]:[Column54]],33,FALSE),"0")</f>
        <v>0</v>
      </c>
      <c r="AI39" s="61">
        <f>IFERROR(VLOOKUP(Table1215[[#This Row],[Column2]],Table12[[Column2]:[Column54]],34,FALSE),"0")</f>
        <v>0</v>
      </c>
      <c r="AJ39" s="67">
        <f>AVERAGE(Table1215[[#This Row],[Column31]],Table1215[[#This Row],[Column32]],Table1215[[#This Row],[Column33]])</f>
        <v>0</v>
      </c>
      <c r="AK39" s="61">
        <f>IFERROR(VLOOKUP(Table1215[[#This Row],[Column2]],Table12[[Column2]:[Column54]],36,FALSE),"0")</f>
        <v>3</v>
      </c>
      <c r="AL39" s="61">
        <f>IFERROR(VLOOKUP(Table1215[[#This Row],[Column2]],Table12[[Column2]:[Column54]],37,FALSE),"0")</f>
        <v>3</v>
      </c>
      <c r="AM39" s="61">
        <f>IFERROR(VLOOKUP(Table1215[[#This Row],[Column2]],Table12[[Column2]:[Column54]],38,FALSE),"0")</f>
        <v>0</v>
      </c>
      <c r="AN39" s="61">
        <f>IFERROR(VLOOKUP(Table1215[[#This Row],[Column2]],Table12[[Column2]:[Column54]],39,FALSE),"0")</f>
        <v>3</v>
      </c>
      <c r="AO39" s="61">
        <f>IFERROR(VLOOKUP(Table1215[[#This Row],[Column2]],Table12[[Column2]:[Column54]],40,FALSE),"0")</f>
        <v>0</v>
      </c>
      <c r="AP39" s="67">
        <f>AVERAGE(Table1215[[#This Row],[Column37]],Table1215[[#This Row],[Column38]],Table1215[[#This Row],[Column40]])</f>
        <v>3</v>
      </c>
      <c r="AQ39" s="61">
        <f>IFERROR(VLOOKUP(Table1215[[#This Row],[Column2]],Table12[[Column2]:[Column54]],42,FALSE),"0")</f>
        <v>3</v>
      </c>
      <c r="AR39" s="61">
        <f>IFERROR(VLOOKUP(Table1215[[#This Row],[Column2]],Table12[[Column2]:[Column54]],43,FALSE),"0")</f>
        <v>0</v>
      </c>
      <c r="AS39" s="61">
        <f>IFERROR(VLOOKUP(Table1215[[#This Row],[Column2]],Table12[[Column2]:[Column54]],44,FALSE),"0")</f>
        <v>0</v>
      </c>
      <c r="AT39" s="61">
        <f>IFERROR(VLOOKUP(Table1215[[#This Row],[Column2]],Table12[[Column2]:[Column54]],45,FALSE),"0")</f>
        <v>0</v>
      </c>
      <c r="AU39" s="61">
        <f>IFERROR(VLOOKUP(Table1215[[#This Row],[Column2]],Table12[[Column2]:[Column54]],46,FALSE),"0")</f>
        <v>0</v>
      </c>
      <c r="AV39" s="67">
        <f>Table1215[[#This Row],[Column43]]</f>
        <v>3</v>
      </c>
      <c r="AW39" s="61">
        <f>IFERROR(VLOOKUP(Table1215[[#This Row],[Column2]],Table12[[Column2]:[Column54]],48,FALSE),"0")</f>
        <v>0</v>
      </c>
      <c r="AX39" s="61">
        <f>IFERROR(VLOOKUP(Table1215[[#This Row],[Column2]],Table12[[Column2]:[Column54]],49,FALSE),"0")</f>
        <v>0</v>
      </c>
      <c r="AY39" s="61">
        <f>IFERROR(VLOOKUP(Table1215[[#This Row],[Column2]],Table12[[Column2]:[Column54]],50,FALSE),"0")</f>
        <v>0</v>
      </c>
      <c r="AZ39" s="61">
        <f>IFERROR(VLOOKUP(Table1215[[#This Row],[Column2]],Table12[[Column2]:[Column54]],51,FALSE),"0")</f>
        <v>2</v>
      </c>
      <c r="BA39" s="61">
        <f>IFERROR(VLOOKUP(Table1215[[#This Row],[Column2]],Table12[[Column2]:[Column54]],52,FALSE),"0")</f>
        <v>3</v>
      </c>
      <c r="BB39" s="67">
        <f>AVERAGE(Table1215[[#This Row],[Column52]],Table1215[[#This Row],[Column53]])</f>
        <v>2.5</v>
      </c>
    </row>
    <row r="40" spans="1:54" ht="23.1" customHeight="1" x14ac:dyDescent="0.3">
      <c r="A40" s="86">
        <v>37</v>
      </c>
      <c r="B40" s="63" t="s">
        <v>302</v>
      </c>
      <c r="C40" s="64" t="s">
        <v>303</v>
      </c>
      <c r="D40" s="63" t="s">
        <v>450</v>
      </c>
      <c r="E40" s="63" t="s">
        <v>493</v>
      </c>
      <c r="F40" s="63" t="str">
        <f>REPT(CHAR(160),10)&amp;Working!$E41</f>
        <v>          C</v>
      </c>
      <c r="G40" s="65">
        <f>IFERROR(VLOOKUP(Table1215[[#This Row],[Column2]],Table12[[Column2]:[Column54]],6,FALSE),"0")</f>
        <v>0</v>
      </c>
      <c r="H40" s="65">
        <f>IFERROR(VLOOKUP(Table1215[[#This Row],[Column2]],Table12[[Column2]:[Column54]],7,FALSE),"0")</f>
        <v>0</v>
      </c>
      <c r="I40" s="65">
        <f>IFERROR(VLOOKUP(Table1215[[#This Row],[Column2]],Table12[[Column2]:[Column54]],8,FALSE),"0")</f>
        <v>4</v>
      </c>
      <c r="J40" s="65">
        <f>IFERROR(VLOOKUP(Table1215[[#This Row],[Column2]],Table12[[Column2]:[Column54]],9,FALSE),"0")</f>
        <v>0</v>
      </c>
      <c r="K40" s="65">
        <f>IFERROR(VLOOKUP(Table1215[[#This Row],[Column2]],Table12[[Column2]:[Column54]],10,FALSE),"0")</f>
        <v>0</v>
      </c>
      <c r="L40" s="67">
        <f>Table1215[[#This Row],[Column9]]</f>
        <v>4</v>
      </c>
      <c r="M40" s="65">
        <f>IFERROR(VLOOKUP(Table1215[[#This Row],[Column2]],Table12[[Column2]:[Column54]],12,FALSE),"0")</f>
        <v>0</v>
      </c>
      <c r="N40" s="65">
        <f>IFERROR(VLOOKUP(Table1215[[#This Row],[Column2]],Table12[[Column2]:[Column54]],13,FALSE),"0")</f>
        <v>4</v>
      </c>
      <c r="O40" s="65">
        <f>IFERROR(VLOOKUP(Table1215[[#This Row],[Column2]],Table12[[Column2]:[Column54]],14,FALSE),"0")</f>
        <v>4</v>
      </c>
      <c r="P40" s="65">
        <f>IFERROR(VLOOKUP(Table1215[[#This Row],[Column2]],Table12[[Column2]:[Column54]],10,FALSE),"0")</f>
        <v>0</v>
      </c>
      <c r="Q40" s="65">
        <f>IFERROR(VLOOKUP(Table1215[[#This Row],[Column2]],Table12[[Column2]:[Column54]],16,FALSE),"0")</f>
        <v>4</v>
      </c>
      <c r="R40" s="67">
        <f>AVERAGE(Table1215[[#This Row],[Column14]],Table1215[[#This Row],[Column15]],Table1215[[#This Row],[Column17]])</f>
        <v>4</v>
      </c>
      <c r="S40" s="65">
        <f>IFERROR(VLOOKUP(Table1215[[#This Row],[Column2]],Table12[[Column2]:[Column54]],18,FALSE),"0")</f>
        <v>0</v>
      </c>
      <c r="T40" s="65">
        <f>IFERROR(VLOOKUP(Table1215[[#This Row],[Column2]],Table12[[Column2]:[Column54]],19,FALSE),"0")</f>
        <v>0</v>
      </c>
      <c r="U40" s="65">
        <f>IFERROR(VLOOKUP(Table1215[[#This Row],[Column2]],Table12[[Column2]:[Column54]],20,FALSE),"0")</f>
        <v>0</v>
      </c>
      <c r="V40" s="65">
        <f>IFERROR(VLOOKUP(Table1215[[#This Row],[Column2]],Table12[[Column2]:[Column54]],21,FALSE),"0")</f>
        <v>0</v>
      </c>
      <c r="W40" s="65">
        <f>IFERROR(VLOOKUP(Table1215[[#This Row],[Column2]],Table12[[Column2]:[Column54]],22,FALSE),"0")</f>
        <v>0</v>
      </c>
      <c r="X40" s="67">
        <f>Table1215[[#This Row],[Column19]]</f>
        <v>0</v>
      </c>
      <c r="Y40" s="65">
        <f>IFERROR(VLOOKUP(Table1215[[#This Row],[Column2]],Table12[[Column2]:[Column54]],24,FALSE),"0")</f>
        <v>4</v>
      </c>
      <c r="Z40" s="65">
        <f>IFERROR(VLOOKUP(Table1215[[#This Row],[Column2]],Table12[[Column2]:[Column54]],25,FALSE),"0")</f>
        <v>0</v>
      </c>
      <c r="AA40" s="65">
        <f>IFERROR(VLOOKUP(Table1215[[#This Row],[Column2]],Table12[[Column2]:[Column54]],26,FALSE),"0")</f>
        <v>0</v>
      </c>
      <c r="AB40" s="65">
        <f>IFERROR(VLOOKUP(Table1215[[#This Row],[Column2]],Table12[[Column2]:[Column54]],27,FALSE),"0")</f>
        <v>0</v>
      </c>
      <c r="AC40" s="65">
        <f>IFERROR(VLOOKUP(Table1215[[#This Row],[Column2]],Table12[[Column2]:[Column54]],28,FALSE),"0")</f>
        <v>0</v>
      </c>
      <c r="AD40" s="67">
        <f>Table1215[[#This Row],[Column25]]</f>
        <v>4</v>
      </c>
      <c r="AE40" s="65">
        <f>IFERROR(VLOOKUP(Table1215[[#This Row],[Column2]],Table12[[Column2]:[Column54]],30,FALSE),"0")</f>
        <v>0</v>
      </c>
      <c r="AF40" s="65">
        <f>IFERROR(VLOOKUP(Table1215[[#This Row],[Column2]],Table12[[Column2]:[Column54]],31,FALSE),"0")</f>
        <v>0</v>
      </c>
      <c r="AG40" s="65">
        <f>IFERROR(VLOOKUP(Table1215[[#This Row],[Column2]],Table12[[Column2]:[Column54]],32,FALSE),"0")</f>
        <v>0</v>
      </c>
      <c r="AH40" s="65">
        <f>IFERROR(VLOOKUP(Table1215[[#This Row],[Column2]],Table12[[Column2]:[Column54]],33,FALSE),"0")</f>
        <v>0</v>
      </c>
      <c r="AI40" s="65">
        <f>IFERROR(VLOOKUP(Table1215[[#This Row],[Column2]],Table12[[Column2]:[Column54]],34,FALSE),"0")</f>
        <v>0</v>
      </c>
      <c r="AJ40" s="67">
        <f>AVERAGE(Table1215[[#This Row],[Column31]],Table1215[[#This Row],[Column32]],Table1215[[#This Row],[Column33]])</f>
        <v>0</v>
      </c>
      <c r="AK40" s="65">
        <f>IFERROR(VLOOKUP(Table1215[[#This Row],[Column2]],Table12[[Column2]:[Column54]],36,FALSE),"0")</f>
        <v>4</v>
      </c>
      <c r="AL40" s="65">
        <f>IFERROR(VLOOKUP(Table1215[[#This Row],[Column2]],Table12[[Column2]:[Column54]],37,FALSE),"0")</f>
        <v>4</v>
      </c>
      <c r="AM40" s="65">
        <f>IFERROR(VLOOKUP(Table1215[[#This Row],[Column2]],Table12[[Column2]:[Column54]],38,FALSE),"0")</f>
        <v>0</v>
      </c>
      <c r="AN40" s="65">
        <f>IFERROR(VLOOKUP(Table1215[[#This Row],[Column2]],Table12[[Column2]:[Column54]],39,FALSE),"0")</f>
        <v>4</v>
      </c>
      <c r="AO40" s="65">
        <f>IFERROR(VLOOKUP(Table1215[[#This Row],[Column2]],Table12[[Column2]:[Column54]],40,FALSE),"0")</f>
        <v>0</v>
      </c>
      <c r="AP40" s="67">
        <f>AVERAGE(Table1215[[#This Row],[Column37]],Table1215[[#This Row],[Column38]],Table1215[[#This Row],[Column40]])</f>
        <v>4</v>
      </c>
      <c r="AQ40" s="65">
        <f>IFERROR(VLOOKUP(Table1215[[#This Row],[Column2]],Table12[[Column2]:[Column54]],42,FALSE),"0")</f>
        <v>4</v>
      </c>
      <c r="AR40" s="65">
        <f>IFERROR(VLOOKUP(Table1215[[#This Row],[Column2]],Table12[[Column2]:[Column54]],43,FALSE),"0")</f>
        <v>0</v>
      </c>
      <c r="AS40" s="65">
        <f>IFERROR(VLOOKUP(Table1215[[#This Row],[Column2]],Table12[[Column2]:[Column54]],44,FALSE),"0")</f>
        <v>0</v>
      </c>
      <c r="AT40" s="65">
        <f>IFERROR(VLOOKUP(Table1215[[#This Row],[Column2]],Table12[[Column2]:[Column54]],45,FALSE),"0")</f>
        <v>0</v>
      </c>
      <c r="AU40" s="65">
        <f>IFERROR(VLOOKUP(Table1215[[#This Row],[Column2]],Table12[[Column2]:[Column54]],46,FALSE),"0")</f>
        <v>0</v>
      </c>
      <c r="AV40" s="67">
        <f>Table1215[[#This Row],[Column43]]</f>
        <v>4</v>
      </c>
      <c r="AW40" s="65">
        <f>IFERROR(VLOOKUP(Table1215[[#This Row],[Column2]],Table12[[Column2]:[Column54]],48,FALSE),"0")</f>
        <v>0</v>
      </c>
      <c r="AX40" s="65">
        <f>IFERROR(VLOOKUP(Table1215[[#This Row],[Column2]],Table12[[Column2]:[Column54]],49,FALSE),"0")</f>
        <v>0</v>
      </c>
      <c r="AY40" s="65">
        <f>IFERROR(VLOOKUP(Table1215[[#This Row],[Column2]],Table12[[Column2]:[Column54]],50,FALSE),"0")</f>
        <v>0</v>
      </c>
      <c r="AZ40" s="65">
        <f>IFERROR(VLOOKUP(Table1215[[#This Row],[Column2]],Table12[[Column2]:[Column54]],51,FALSE),"0")</f>
        <v>4</v>
      </c>
      <c r="BA40" s="65">
        <f>IFERROR(VLOOKUP(Table1215[[#This Row],[Column2]],Table12[[Column2]:[Column54]],52,FALSE),"0")</f>
        <v>5</v>
      </c>
      <c r="BB40" s="67">
        <f>AVERAGE(Table1215[[#This Row],[Column52]],Table1215[[#This Row],[Column53]])</f>
        <v>4.5</v>
      </c>
    </row>
    <row r="41" spans="1:54" ht="23.1" customHeight="1" x14ac:dyDescent="0.3">
      <c r="A41" s="87">
        <v>38</v>
      </c>
      <c r="B41" s="70" t="s">
        <v>227</v>
      </c>
      <c r="C41" s="71" t="s">
        <v>228</v>
      </c>
      <c r="D41" s="70" t="s">
        <v>542</v>
      </c>
      <c r="E41" s="70" t="s">
        <v>161</v>
      </c>
      <c r="F41" s="70" t="str">
        <f>REPT(CHAR(160),10)&amp;Working!$E42</f>
        <v>          B</v>
      </c>
      <c r="G41" s="61">
        <f>IFERROR(VLOOKUP(Table1215[[#This Row],[Column2]],Table12[[Column2]:[Column54]],6,FALSE),"0")</f>
        <v>0</v>
      </c>
      <c r="H41" s="61">
        <f>IFERROR(VLOOKUP(Table1215[[#This Row],[Column2]],Table12[[Column2]:[Column54]],7,FALSE),"0")</f>
        <v>0</v>
      </c>
      <c r="I41" s="61">
        <f>IFERROR(VLOOKUP(Table1215[[#This Row],[Column2]],Table12[[Column2]:[Column54]],8,FALSE),"0")</f>
        <v>4</v>
      </c>
      <c r="J41" s="61">
        <f>IFERROR(VLOOKUP(Table1215[[#This Row],[Column2]],Table12[[Column2]:[Column54]],9,FALSE),"0")</f>
        <v>0</v>
      </c>
      <c r="K41" s="61">
        <f>IFERROR(VLOOKUP(Table1215[[#This Row],[Column2]],Table12[[Column2]:[Column54]],10,FALSE),"0")</f>
        <v>0</v>
      </c>
      <c r="L41" s="67">
        <f>Table1215[[#This Row],[Column9]]</f>
        <v>4</v>
      </c>
      <c r="M41" s="61">
        <f>IFERROR(VLOOKUP(Table1215[[#This Row],[Column2]],Table12[[Column2]:[Column54]],12,FALSE),"0")</f>
        <v>0</v>
      </c>
      <c r="N41" s="61">
        <f>IFERROR(VLOOKUP(Table1215[[#This Row],[Column2]],Table12[[Column2]:[Column54]],13,FALSE),"0")</f>
        <v>4</v>
      </c>
      <c r="O41" s="61">
        <f>IFERROR(VLOOKUP(Table1215[[#This Row],[Column2]],Table12[[Column2]:[Column54]],14,FALSE),"0")</f>
        <v>4</v>
      </c>
      <c r="P41" s="61">
        <f>IFERROR(VLOOKUP(Table1215[[#This Row],[Column2]],Table12[[Column2]:[Column54]],10,FALSE),"0")</f>
        <v>0</v>
      </c>
      <c r="Q41" s="61">
        <f>IFERROR(VLOOKUP(Table1215[[#This Row],[Column2]],Table12[[Column2]:[Column54]],16,FALSE),"0")</f>
        <v>4</v>
      </c>
      <c r="R41" s="67">
        <f>AVERAGE(Table1215[[#This Row],[Column14]],Table1215[[#This Row],[Column15]],Table1215[[#This Row],[Column17]])</f>
        <v>4</v>
      </c>
      <c r="S41" s="61">
        <f>IFERROR(VLOOKUP(Table1215[[#This Row],[Column2]],Table12[[Column2]:[Column54]],18,FALSE),"0")</f>
        <v>0</v>
      </c>
      <c r="T41" s="61">
        <f>IFERROR(VLOOKUP(Table1215[[#This Row],[Column2]],Table12[[Column2]:[Column54]],19,FALSE),"0")</f>
        <v>0</v>
      </c>
      <c r="U41" s="61">
        <f>IFERROR(VLOOKUP(Table1215[[#This Row],[Column2]],Table12[[Column2]:[Column54]],20,FALSE),"0")</f>
        <v>0</v>
      </c>
      <c r="V41" s="61">
        <f>IFERROR(VLOOKUP(Table1215[[#This Row],[Column2]],Table12[[Column2]:[Column54]],21,FALSE),"0")</f>
        <v>0</v>
      </c>
      <c r="W41" s="61">
        <f>IFERROR(VLOOKUP(Table1215[[#This Row],[Column2]],Table12[[Column2]:[Column54]],22,FALSE),"0")</f>
        <v>0</v>
      </c>
      <c r="X41" s="67">
        <f>Table1215[[#This Row],[Column19]]</f>
        <v>0</v>
      </c>
      <c r="Y41" s="61">
        <f>IFERROR(VLOOKUP(Table1215[[#This Row],[Column2]],Table12[[Column2]:[Column54]],24,FALSE),"0")</f>
        <v>4</v>
      </c>
      <c r="Z41" s="61">
        <f>IFERROR(VLOOKUP(Table1215[[#This Row],[Column2]],Table12[[Column2]:[Column54]],25,FALSE),"0")</f>
        <v>0</v>
      </c>
      <c r="AA41" s="61">
        <f>IFERROR(VLOOKUP(Table1215[[#This Row],[Column2]],Table12[[Column2]:[Column54]],26,FALSE),"0")</f>
        <v>0</v>
      </c>
      <c r="AB41" s="61">
        <f>IFERROR(VLOOKUP(Table1215[[#This Row],[Column2]],Table12[[Column2]:[Column54]],27,FALSE),"0")</f>
        <v>0</v>
      </c>
      <c r="AC41" s="61">
        <f>IFERROR(VLOOKUP(Table1215[[#This Row],[Column2]],Table12[[Column2]:[Column54]],28,FALSE),"0")</f>
        <v>0</v>
      </c>
      <c r="AD41" s="67">
        <f>Table1215[[#This Row],[Column25]]</f>
        <v>4</v>
      </c>
      <c r="AE41" s="61">
        <f>IFERROR(VLOOKUP(Table1215[[#This Row],[Column2]],Table12[[Column2]:[Column54]],30,FALSE),"0")</f>
        <v>0</v>
      </c>
      <c r="AF41" s="61">
        <f>IFERROR(VLOOKUP(Table1215[[#This Row],[Column2]],Table12[[Column2]:[Column54]],31,FALSE),"0")</f>
        <v>0</v>
      </c>
      <c r="AG41" s="61">
        <f>IFERROR(VLOOKUP(Table1215[[#This Row],[Column2]],Table12[[Column2]:[Column54]],32,FALSE),"0")</f>
        <v>0</v>
      </c>
      <c r="AH41" s="61">
        <f>IFERROR(VLOOKUP(Table1215[[#This Row],[Column2]],Table12[[Column2]:[Column54]],33,FALSE),"0")</f>
        <v>0</v>
      </c>
      <c r="AI41" s="61">
        <f>IFERROR(VLOOKUP(Table1215[[#This Row],[Column2]],Table12[[Column2]:[Column54]],34,FALSE),"0")</f>
        <v>0</v>
      </c>
      <c r="AJ41" s="67">
        <f>AVERAGE(Table1215[[#This Row],[Column31]],Table1215[[#This Row],[Column32]],Table1215[[#This Row],[Column33]])</f>
        <v>0</v>
      </c>
      <c r="AK41" s="61">
        <f>IFERROR(VLOOKUP(Table1215[[#This Row],[Column2]],Table12[[Column2]:[Column54]],36,FALSE),"0")</f>
        <v>4</v>
      </c>
      <c r="AL41" s="61">
        <f>IFERROR(VLOOKUP(Table1215[[#This Row],[Column2]],Table12[[Column2]:[Column54]],37,FALSE),"0")</f>
        <v>4</v>
      </c>
      <c r="AM41" s="61">
        <f>IFERROR(VLOOKUP(Table1215[[#This Row],[Column2]],Table12[[Column2]:[Column54]],38,FALSE),"0")</f>
        <v>0</v>
      </c>
      <c r="AN41" s="61">
        <f>IFERROR(VLOOKUP(Table1215[[#This Row],[Column2]],Table12[[Column2]:[Column54]],39,FALSE),"0")</f>
        <v>4</v>
      </c>
      <c r="AO41" s="61">
        <f>IFERROR(VLOOKUP(Table1215[[#This Row],[Column2]],Table12[[Column2]:[Column54]],40,FALSE),"0")</f>
        <v>0</v>
      </c>
      <c r="AP41" s="67">
        <f>AVERAGE(Table1215[[#This Row],[Column37]],Table1215[[#This Row],[Column38]],Table1215[[#This Row],[Column40]])</f>
        <v>4</v>
      </c>
      <c r="AQ41" s="61">
        <f>IFERROR(VLOOKUP(Table1215[[#This Row],[Column2]],Table12[[Column2]:[Column54]],42,FALSE),"0")</f>
        <v>4</v>
      </c>
      <c r="AR41" s="61">
        <f>IFERROR(VLOOKUP(Table1215[[#This Row],[Column2]],Table12[[Column2]:[Column54]],43,FALSE),"0")</f>
        <v>0</v>
      </c>
      <c r="AS41" s="61">
        <f>IFERROR(VLOOKUP(Table1215[[#This Row],[Column2]],Table12[[Column2]:[Column54]],44,FALSE),"0")</f>
        <v>0</v>
      </c>
      <c r="AT41" s="61">
        <f>IFERROR(VLOOKUP(Table1215[[#This Row],[Column2]],Table12[[Column2]:[Column54]],45,FALSE),"0")</f>
        <v>0</v>
      </c>
      <c r="AU41" s="61">
        <f>IFERROR(VLOOKUP(Table1215[[#This Row],[Column2]],Table12[[Column2]:[Column54]],46,FALSE),"0")</f>
        <v>0</v>
      </c>
      <c r="AV41" s="67">
        <f>Table1215[[#This Row],[Column43]]</f>
        <v>4</v>
      </c>
      <c r="AW41" s="61">
        <f>IFERROR(VLOOKUP(Table1215[[#This Row],[Column2]],Table12[[Column2]:[Column54]],48,FALSE),"0")</f>
        <v>0</v>
      </c>
      <c r="AX41" s="61">
        <f>IFERROR(VLOOKUP(Table1215[[#This Row],[Column2]],Table12[[Column2]:[Column54]],49,FALSE),"0")</f>
        <v>0</v>
      </c>
      <c r="AY41" s="61">
        <f>IFERROR(VLOOKUP(Table1215[[#This Row],[Column2]],Table12[[Column2]:[Column54]],50,FALSE),"0")</f>
        <v>0</v>
      </c>
      <c r="AZ41" s="61">
        <f>IFERROR(VLOOKUP(Table1215[[#This Row],[Column2]],Table12[[Column2]:[Column54]],51,FALSE),"0")</f>
        <v>4</v>
      </c>
      <c r="BA41" s="61">
        <f>IFERROR(VLOOKUP(Table1215[[#This Row],[Column2]],Table12[[Column2]:[Column54]],52,FALSE),"0")</f>
        <v>5</v>
      </c>
      <c r="BB41" s="67">
        <f>AVERAGE(Table1215[[#This Row],[Column52]],Table1215[[#This Row],[Column53]])</f>
        <v>4.5</v>
      </c>
    </row>
    <row r="42" spans="1:54" ht="23.1" customHeight="1" x14ac:dyDescent="0.3">
      <c r="A42" s="86">
        <v>39</v>
      </c>
      <c r="B42" s="63" t="s">
        <v>304</v>
      </c>
      <c r="C42" s="64" t="s">
        <v>305</v>
      </c>
      <c r="D42" s="63" t="s">
        <v>542</v>
      </c>
      <c r="E42" s="63" t="s">
        <v>493</v>
      </c>
      <c r="F42" s="63" t="str">
        <f>REPT(CHAR(160),10)&amp;Working!$E43</f>
        <v>          C</v>
      </c>
      <c r="G42" s="65">
        <f>IFERROR(VLOOKUP(Table1215[[#This Row],[Column2]],Table12[[Column2]:[Column54]],6,FALSE),"0")</f>
        <v>0</v>
      </c>
      <c r="H42" s="65">
        <f>IFERROR(VLOOKUP(Table1215[[#This Row],[Column2]],Table12[[Column2]:[Column54]],7,FALSE),"0")</f>
        <v>0</v>
      </c>
      <c r="I42" s="65">
        <f>IFERROR(VLOOKUP(Table1215[[#This Row],[Column2]],Table12[[Column2]:[Column54]],8,FALSE),"0")</f>
        <v>4</v>
      </c>
      <c r="J42" s="65">
        <f>IFERROR(VLOOKUP(Table1215[[#This Row],[Column2]],Table12[[Column2]:[Column54]],9,FALSE),"0")</f>
        <v>0</v>
      </c>
      <c r="K42" s="65">
        <f>IFERROR(VLOOKUP(Table1215[[#This Row],[Column2]],Table12[[Column2]:[Column54]],10,FALSE),"0")</f>
        <v>0</v>
      </c>
      <c r="L42" s="67">
        <f>Table1215[[#This Row],[Column9]]</f>
        <v>4</v>
      </c>
      <c r="M42" s="65">
        <f>IFERROR(VLOOKUP(Table1215[[#This Row],[Column2]],Table12[[Column2]:[Column54]],12,FALSE),"0")</f>
        <v>0</v>
      </c>
      <c r="N42" s="65">
        <f>IFERROR(VLOOKUP(Table1215[[#This Row],[Column2]],Table12[[Column2]:[Column54]],13,FALSE),"0")</f>
        <v>4</v>
      </c>
      <c r="O42" s="65">
        <f>IFERROR(VLOOKUP(Table1215[[#This Row],[Column2]],Table12[[Column2]:[Column54]],14,FALSE),"0")</f>
        <v>4</v>
      </c>
      <c r="P42" s="65">
        <f>IFERROR(VLOOKUP(Table1215[[#This Row],[Column2]],Table12[[Column2]:[Column54]],10,FALSE),"0")</f>
        <v>0</v>
      </c>
      <c r="Q42" s="65">
        <f>IFERROR(VLOOKUP(Table1215[[#This Row],[Column2]],Table12[[Column2]:[Column54]],16,FALSE),"0")</f>
        <v>4</v>
      </c>
      <c r="R42" s="67">
        <f>AVERAGE(Table1215[[#This Row],[Column14]],Table1215[[#This Row],[Column15]],Table1215[[#This Row],[Column17]])</f>
        <v>4</v>
      </c>
      <c r="S42" s="65">
        <f>IFERROR(VLOOKUP(Table1215[[#This Row],[Column2]],Table12[[Column2]:[Column54]],18,FALSE),"0")</f>
        <v>0</v>
      </c>
      <c r="T42" s="65">
        <f>IFERROR(VLOOKUP(Table1215[[#This Row],[Column2]],Table12[[Column2]:[Column54]],19,FALSE),"0")</f>
        <v>0</v>
      </c>
      <c r="U42" s="65">
        <f>IFERROR(VLOOKUP(Table1215[[#This Row],[Column2]],Table12[[Column2]:[Column54]],20,FALSE),"0")</f>
        <v>0</v>
      </c>
      <c r="V42" s="65">
        <f>IFERROR(VLOOKUP(Table1215[[#This Row],[Column2]],Table12[[Column2]:[Column54]],21,FALSE),"0")</f>
        <v>0</v>
      </c>
      <c r="W42" s="65">
        <f>IFERROR(VLOOKUP(Table1215[[#This Row],[Column2]],Table12[[Column2]:[Column54]],22,FALSE),"0")</f>
        <v>0</v>
      </c>
      <c r="X42" s="67">
        <f>Table1215[[#This Row],[Column19]]</f>
        <v>0</v>
      </c>
      <c r="Y42" s="65">
        <f>IFERROR(VLOOKUP(Table1215[[#This Row],[Column2]],Table12[[Column2]:[Column54]],24,FALSE),"0")</f>
        <v>4</v>
      </c>
      <c r="Z42" s="65">
        <f>IFERROR(VLOOKUP(Table1215[[#This Row],[Column2]],Table12[[Column2]:[Column54]],25,FALSE),"0")</f>
        <v>0</v>
      </c>
      <c r="AA42" s="65">
        <f>IFERROR(VLOOKUP(Table1215[[#This Row],[Column2]],Table12[[Column2]:[Column54]],26,FALSE),"0")</f>
        <v>0</v>
      </c>
      <c r="AB42" s="65">
        <f>IFERROR(VLOOKUP(Table1215[[#This Row],[Column2]],Table12[[Column2]:[Column54]],27,FALSE),"0")</f>
        <v>0</v>
      </c>
      <c r="AC42" s="65">
        <f>IFERROR(VLOOKUP(Table1215[[#This Row],[Column2]],Table12[[Column2]:[Column54]],28,FALSE),"0")</f>
        <v>0</v>
      </c>
      <c r="AD42" s="67">
        <f>Table1215[[#This Row],[Column25]]</f>
        <v>4</v>
      </c>
      <c r="AE42" s="65">
        <f>IFERROR(VLOOKUP(Table1215[[#This Row],[Column2]],Table12[[Column2]:[Column54]],30,FALSE),"0")</f>
        <v>0</v>
      </c>
      <c r="AF42" s="65">
        <f>IFERROR(VLOOKUP(Table1215[[#This Row],[Column2]],Table12[[Column2]:[Column54]],31,FALSE),"0")</f>
        <v>0</v>
      </c>
      <c r="AG42" s="65">
        <f>IFERROR(VLOOKUP(Table1215[[#This Row],[Column2]],Table12[[Column2]:[Column54]],32,FALSE),"0")</f>
        <v>0</v>
      </c>
      <c r="AH42" s="65">
        <f>IFERROR(VLOOKUP(Table1215[[#This Row],[Column2]],Table12[[Column2]:[Column54]],33,FALSE),"0")</f>
        <v>0</v>
      </c>
      <c r="AI42" s="65">
        <f>IFERROR(VLOOKUP(Table1215[[#This Row],[Column2]],Table12[[Column2]:[Column54]],34,FALSE),"0")</f>
        <v>0</v>
      </c>
      <c r="AJ42" s="67">
        <f>AVERAGE(Table1215[[#This Row],[Column31]],Table1215[[#This Row],[Column32]],Table1215[[#This Row],[Column33]])</f>
        <v>0</v>
      </c>
      <c r="AK42" s="65">
        <f>IFERROR(VLOOKUP(Table1215[[#This Row],[Column2]],Table12[[Column2]:[Column54]],36,FALSE),"0")</f>
        <v>4</v>
      </c>
      <c r="AL42" s="65">
        <f>IFERROR(VLOOKUP(Table1215[[#This Row],[Column2]],Table12[[Column2]:[Column54]],37,FALSE),"0")</f>
        <v>4</v>
      </c>
      <c r="AM42" s="65">
        <f>IFERROR(VLOOKUP(Table1215[[#This Row],[Column2]],Table12[[Column2]:[Column54]],38,FALSE),"0")</f>
        <v>0</v>
      </c>
      <c r="AN42" s="65">
        <f>IFERROR(VLOOKUP(Table1215[[#This Row],[Column2]],Table12[[Column2]:[Column54]],39,FALSE),"0")</f>
        <v>4</v>
      </c>
      <c r="AO42" s="65">
        <f>IFERROR(VLOOKUP(Table1215[[#This Row],[Column2]],Table12[[Column2]:[Column54]],40,FALSE),"0")</f>
        <v>0</v>
      </c>
      <c r="AP42" s="67">
        <f>AVERAGE(Table1215[[#This Row],[Column37]],Table1215[[#This Row],[Column38]],Table1215[[#This Row],[Column40]])</f>
        <v>4</v>
      </c>
      <c r="AQ42" s="65">
        <f>IFERROR(VLOOKUP(Table1215[[#This Row],[Column2]],Table12[[Column2]:[Column54]],42,FALSE),"0")</f>
        <v>5</v>
      </c>
      <c r="AR42" s="65">
        <f>IFERROR(VLOOKUP(Table1215[[#This Row],[Column2]],Table12[[Column2]:[Column54]],43,FALSE),"0")</f>
        <v>0</v>
      </c>
      <c r="AS42" s="65">
        <f>IFERROR(VLOOKUP(Table1215[[#This Row],[Column2]],Table12[[Column2]:[Column54]],44,FALSE),"0")</f>
        <v>0</v>
      </c>
      <c r="AT42" s="65">
        <f>IFERROR(VLOOKUP(Table1215[[#This Row],[Column2]],Table12[[Column2]:[Column54]],45,FALSE),"0")</f>
        <v>0</v>
      </c>
      <c r="AU42" s="65">
        <f>IFERROR(VLOOKUP(Table1215[[#This Row],[Column2]],Table12[[Column2]:[Column54]],46,FALSE),"0")</f>
        <v>0</v>
      </c>
      <c r="AV42" s="67">
        <f>Table1215[[#This Row],[Column43]]</f>
        <v>5</v>
      </c>
      <c r="AW42" s="65">
        <f>IFERROR(VLOOKUP(Table1215[[#This Row],[Column2]],Table12[[Column2]:[Column54]],48,FALSE),"0")</f>
        <v>0</v>
      </c>
      <c r="AX42" s="65">
        <f>IFERROR(VLOOKUP(Table1215[[#This Row],[Column2]],Table12[[Column2]:[Column54]],49,FALSE),"0")</f>
        <v>0</v>
      </c>
      <c r="AY42" s="65">
        <f>IFERROR(VLOOKUP(Table1215[[#This Row],[Column2]],Table12[[Column2]:[Column54]],50,FALSE),"0")</f>
        <v>0</v>
      </c>
      <c r="AZ42" s="65">
        <f>IFERROR(VLOOKUP(Table1215[[#This Row],[Column2]],Table12[[Column2]:[Column54]],51,FALSE),"0")</f>
        <v>4</v>
      </c>
      <c r="BA42" s="65">
        <f>IFERROR(VLOOKUP(Table1215[[#This Row],[Column2]],Table12[[Column2]:[Column54]],52,FALSE),"0")</f>
        <v>5</v>
      </c>
      <c r="BB42" s="67">
        <f>AVERAGE(Table1215[[#This Row],[Column52]],Table1215[[#This Row],[Column53]])</f>
        <v>4.5</v>
      </c>
    </row>
    <row r="43" spans="1:54" ht="23.1" customHeight="1" x14ac:dyDescent="0.3">
      <c r="A43" s="87">
        <v>40</v>
      </c>
      <c r="B43" s="70" t="s">
        <v>89</v>
      </c>
      <c r="C43" s="71" t="s">
        <v>90</v>
      </c>
      <c r="D43" s="70" t="s">
        <v>450</v>
      </c>
      <c r="E43" s="70" t="s">
        <v>35</v>
      </c>
      <c r="F43" s="70" t="str">
        <f>REPT(CHAR(160),10)&amp;Working!$E44</f>
        <v>          A</v>
      </c>
      <c r="G43" s="61">
        <f>IFERROR(VLOOKUP(Table1215[[#This Row],[Column2]],Table12[[Column2]:[Column54]],6,FALSE),"0")</f>
        <v>0</v>
      </c>
      <c r="H43" s="61">
        <f>IFERROR(VLOOKUP(Table1215[[#This Row],[Column2]],Table12[[Column2]:[Column54]],7,FALSE),"0")</f>
        <v>0</v>
      </c>
      <c r="I43" s="61">
        <f>IFERROR(VLOOKUP(Table1215[[#This Row],[Column2]],Table12[[Column2]:[Column54]],8,FALSE),"0")</f>
        <v>4</v>
      </c>
      <c r="J43" s="61">
        <f>IFERROR(VLOOKUP(Table1215[[#This Row],[Column2]],Table12[[Column2]:[Column54]],9,FALSE),"0")</f>
        <v>0</v>
      </c>
      <c r="K43" s="61">
        <f>IFERROR(VLOOKUP(Table1215[[#This Row],[Column2]],Table12[[Column2]:[Column54]],10,FALSE),"0")</f>
        <v>0</v>
      </c>
      <c r="L43" s="67">
        <f>Table1215[[#This Row],[Column9]]</f>
        <v>4</v>
      </c>
      <c r="M43" s="61">
        <f>IFERROR(VLOOKUP(Table1215[[#This Row],[Column2]],Table12[[Column2]:[Column54]],12,FALSE),"0")</f>
        <v>0</v>
      </c>
      <c r="N43" s="61">
        <f>IFERROR(VLOOKUP(Table1215[[#This Row],[Column2]],Table12[[Column2]:[Column54]],13,FALSE),"0")</f>
        <v>4</v>
      </c>
      <c r="O43" s="61">
        <f>IFERROR(VLOOKUP(Table1215[[#This Row],[Column2]],Table12[[Column2]:[Column54]],14,FALSE),"0")</f>
        <v>4</v>
      </c>
      <c r="P43" s="61">
        <f>IFERROR(VLOOKUP(Table1215[[#This Row],[Column2]],Table12[[Column2]:[Column54]],10,FALSE),"0")</f>
        <v>0</v>
      </c>
      <c r="Q43" s="61">
        <f>IFERROR(VLOOKUP(Table1215[[#This Row],[Column2]],Table12[[Column2]:[Column54]],16,FALSE),"0")</f>
        <v>4</v>
      </c>
      <c r="R43" s="67">
        <f>AVERAGE(Table1215[[#This Row],[Column14]],Table1215[[#This Row],[Column15]],Table1215[[#This Row],[Column17]])</f>
        <v>4</v>
      </c>
      <c r="S43" s="61">
        <f>IFERROR(VLOOKUP(Table1215[[#This Row],[Column2]],Table12[[Column2]:[Column54]],18,FALSE),"0")</f>
        <v>0</v>
      </c>
      <c r="T43" s="61">
        <f>IFERROR(VLOOKUP(Table1215[[#This Row],[Column2]],Table12[[Column2]:[Column54]],19,FALSE),"0")</f>
        <v>0</v>
      </c>
      <c r="U43" s="61">
        <f>IFERROR(VLOOKUP(Table1215[[#This Row],[Column2]],Table12[[Column2]:[Column54]],20,FALSE),"0")</f>
        <v>0</v>
      </c>
      <c r="V43" s="61">
        <f>IFERROR(VLOOKUP(Table1215[[#This Row],[Column2]],Table12[[Column2]:[Column54]],21,FALSE),"0")</f>
        <v>0</v>
      </c>
      <c r="W43" s="61">
        <f>IFERROR(VLOOKUP(Table1215[[#This Row],[Column2]],Table12[[Column2]:[Column54]],22,FALSE),"0")</f>
        <v>0</v>
      </c>
      <c r="X43" s="67">
        <f>Table1215[[#This Row],[Column19]]</f>
        <v>0</v>
      </c>
      <c r="Y43" s="61">
        <f>IFERROR(VLOOKUP(Table1215[[#This Row],[Column2]],Table12[[Column2]:[Column54]],24,FALSE),"0")</f>
        <v>4</v>
      </c>
      <c r="Z43" s="61">
        <f>IFERROR(VLOOKUP(Table1215[[#This Row],[Column2]],Table12[[Column2]:[Column54]],25,FALSE),"0")</f>
        <v>0</v>
      </c>
      <c r="AA43" s="61">
        <f>IFERROR(VLOOKUP(Table1215[[#This Row],[Column2]],Table12[[Column2]:[Column54]],26,FALSE),"0")</f>
        <v>0</v>
      </c>
      <c r="AB43" s="61">
        <f>IFERROR(VLOOKUP(Table1215[[#This Row],[Column2]],Table12[[Column2]:[Column54]],27,FALSE),"0")</f>
        <v>0</v>
      </c>
      <c r="AC43" s="61">
        <f>IFERROR(VLOOKUP(Table1215[[#This Row],[Column2]],Table12[[Column2]:[Column54]],28,FALSE),"0")</f>
        <v>0</v>
      </c>
      <c r="AD43" s="67">
        <f>Table1215[[#This Row],[Column25]]</f>
        <v>4</v>
      </c>
      <c r="AE43" s="61">
        <f>IFERROR(VLOOKUP(Table1215[[#This Row],[Column2]],Table12[[Column2]:[Column54]],30,FALSE),"0")</f>
        <v>0</v>
      </c>
      <c r="AF43" s="61">
        <f>IFERROR(VLOOKUP(Table1215[[#This Row],[Column2]],Table12[[Column2]:[Column54]],31,FALSE),"0")</f>
        <v>0</v>
      </c>
      <c r="AG43" s="61">
        <f>IFERROR(VLOOKUP(Table1215[[#This Row],[Column2]],Table12[[Column2]:[Column54]],32,FALSE),"0")</f>
        <v>0</v>
      </c>
      <c r="AH43" s="61">
        <f>IFERROR(VLOOKUP(Table1215[[#This Row],[Column2]],Table12[[Column2]:[Column54]],33,FALSE),"0")</f>
        <v>0</v>
      </c>
      <c r="AI43" s="61">
        <f>IFERROR(VLOOKUP(Table1215[[#This Row],[Column2]],Table12[[Column2]:[Column54]],34,FALSE),"0")</f>
        <v>0</v>
      </c>
      <c r="AJ43" s="67">
        <f>AVERAGE(Table1215[[#This Row],[Column31]],Table1215[[#This Row],[Column32]],Table1215[[#This Row],[Column33]])</f>
        <v>0</v>
      </c>
      <c r="AK43" s="61">
        <f>IFERROR(VLOOKUP(Table1215[[#This Row],[Column2]],Table12[[Column2]:[Column54]],36,FALSE),"0")</f>
        <v>4</v>
      </c>
      <c r="AL43" s="61">
        <f>IFERROR(VLOOKUP(Table1215[[#This Row],[Column2]],Table12[[Column2]:[Column54]],37,FALSE),"0")</f>
        <v>4</v>
      </c>
      <c r="AM43" s="61">
        <f>IFERROR(VLOOKUP(Table1215[[#This Row],[Column2]],Table12[[Column2]:[Column54]],38,FALSE),"0")</f>
        <v>0</v>
      </c>
      <c r="AN43" s="61">
        <f>IFERROR(VLOOKUP(Table1215[[#This Row],[Column2]],Table12[[Column2]:[Column54]],39,FALSE),"0")</f>
        <v>5</v>
      </c>
      <c r="AO43" s="61">
        <f>IFERROR(VLOOKUP(Table1215[[#This Row],[Column2]],Table12[[Column2]:[Column54]],40,FALSE),"0")</f>
        <v>0</v>
      </c>
      <c r="AP43" s="67">
        <f>AVERAGE(Table1215[[#This Row],[Column37]],Table1215[[#This Row],[Column38]],Table1215[[#This Row],[Column40]])</f>
        <v>4.333333333333333</v>
      </c>
      <c r="AQ43" s="61">
        <f>IFERROR(VLOOKUP(Table1215[[#This Row],[Column2]],Table12[[Column2]:[Column54]],42,FALSE),"0")</f>
        <v>4</v>
      </c>
      <c r="AR43" s="61">
        <f>IFERROR(VLOOKUP(Table1215[[#This Row],[Column2]],Table12[[Column2]:[Column54]],43,FALSE),"0")</f>
        <v>0</v>
      </c>
      <c r="AS43" s="61">
        <f>IFERROR(VLOOKUP(Table1215[[#This Row],[Column2]],Table12[[Column2]:[Column54]],44,FALSE),"0")</f>
        <v>0</v>
      </c>
      <c r="AT43" s="61">
        <f>IFERROR(VLOOKUP(Table1215[[#This Row],[Column2]],Table12[[Column2]:[Column54]],45,FALSE),"0")</f>
        <v>0</v>
      </c>
      <c r="AU43" s="61">
        <f>IFERROR(VLOOKUP(Table1215[[#This Row],[Column2]],Table12[[Column2]:[Column54]],46,FALSE),"0")</f>
        <v>0</v>
      </c>
      <c r="AV43" s="67">
        <f>Table1215[[#This Row],[Column43]]</f>
        <v>4</v>
      </c>
      <c r="AW43" s="61">
        <f>IFERROR(VLOOKUP(Table1215[[#This Row],[Column2]],Table12[[Column2]:[Column54]],48,FALSE),"0")</f>
        <v>0</v>
      </c>
      <c r="AX43" s="61">
        <f>IFERROR(VLOOKUP(Table1215[[#This Row],[Column2]],Table12[[Column2]:[Column54]],49,FALSE),"0")</f>
        <v>0</v>
      </c>
      <c r="AY43" s="61">
        <f>IFERROR(VLOOKUP(Table1215[[#This Row],[Column2]],Table12[[Column2]:[Column54]],50,FALSE),"0")</f>
        <v>0</v>
      </c>
      <c r="AZ43" s="61">
        <f>IFERROR(VLOOKUP(Table1215[[#This Row],[Column2]],Table12[[Column2]:[Column54]],51,FALSE),"0")</f>
        <v>4</v>
      </c>
      <c r="BA43" s="61">
        <f>IFERROR(VLOOKUP(Table1215[[#This Row],[Column2]],Table12[[Column2]:[Column54]],52,FALSE),"0")</f>
        <v>5</v>
      </c>
      <c r="BB43" s="67">
        <f>AVERAGE(Table1215[[#This Row],[Column52]],Table1215[[#This Row],[Column53]])</f>
        <v>4.5</v>
      </c>
    </row>
    <row r="44" spans="1:54" ht="23.1" customHeight="1" x14ac:dyDescent="0.3">
      <c r="A44" s="86">
        <v>41</v>
      </c>
      <c r="B44" s="63" t="s">
        <v>306</v>
      </c>
      <c r="C44" s="64" t="s">
        <v>307</v>
      </c>
      <c r="D44" s="63" t="s">
        <v>542</v>
      </c>
      <c r="E44" s="63" t="s">
        <v>493</v>
      </c>
      <c r="F44" s="63" t="str">
        <f>REPT(CHAR(160),10)&amp;Working!$E45</f>
        <v>          C</v>
      </c>
      <c r="G44" s="65">
        <f>IFERROR(VLOOKUP(Table1215[[#This Row],[Column2]],Table12[[Column2]:[Column54]],6,FALSE),"0")</f>
        <v>0</v>
      </c>
      <c r="H44" s="65">
        <f>IFERROR(VLOOKUP(Table1215[[#This Row],[Column2]],Table12[[Column2]:[Column54]],7,FALSE),"0")</f>
        <v>0</v>
      </c>
      <c r="I44" s="65">
        <f>IFERROR(VLOOKUP(Table1215[[#This Row],[Column2]],Table12[[Column2]:[Column54]],8,FALSE),"0")</f>
        <v>4</v>
      </c>
      <c r="J44" s="65">
        <f>IFERROR(VLOOKUP(Table1215[[#This Row],[Column2]],Table12[[Column2]:[Column54]],9,FALSE),"0")</f>
        <v>0</v>
      </c>
      <c r="K44" s="65">
        <f>IFERROR(VLOOKUP(Table1215[[#This Row],[Column2]],Table12[[Column2]:[Column54]],10,FALSE),"0")</f>
        <v>0</v>
      </c>
      <c r="L44" s="67">
        <f>Table1215[[#This Row],[Column9]]</f>
        <v>4</v>
      </c>
      <c r="M44" s="65">
        <f>IFERROR(VLOOKUP(Table1215[[#This Row],[Column2]],Table12[[Column2]:[Column54]],12,FALSE),"0")</f>
        <v>0</v>
      </c>
      <c r="N44" s="65">
        <f>IFERROR(VLOOKUP(Table1215[[#This Row],[Column2]],Table12[[Column2]:[Column54]],13,FALSE),"0")</f>
        <v>4</v>
      </c>
      <c r="O44" s="65">
        <f>IFERROR(VLOOKUP(Table1215[[#This Row],[Column2]],Table12[[Column2]:[Column54]],14,FALSE),"0")</f>
        <v>4</v>
      </c>
      <c r="P44" s="65">
        <f>IFERROR(VLOOKUP(Table1215[[#This Row],[Column2]],Table12[[Column2]:[Column54]],10,FALSE),"0")</f>
        <v>0</v>
      </c>
      <c r="Q44" s="65">
        <f>IFERROR(VLOOKUP(Table1215[[#This Row],[Column2]],Table12[[Column2]:[Column54]],16,FALSE),"0")</f>
        <v>4</v>
      </c>
      <c r="R44" s="67">
        <f>AVERAGE(Table1215[[#This Row],[Column14]],Table1215[[#This Row],[Column15]],Table1215[[#This Row],[Column17]])</f>
        <v>4</v>
      </c>
      <c r="S44" s="65">
        <f>IFERROR(VLOOKUP(Table1215[[#This Row],[Column2]],Table12[[Column2]:[Column54]],18,FALSE),"0")</f>
        <v>0</v>
      </c>
      <c r="T44" s="65">
        <f>IFERROR(VLOOKUP(Table1215[[#This Row],[Column2]],Table12[[Column2]:[Column54]],19,FALSE),"0")</f>
        <v>0</v>
      </c>
      <c r="U44" s="65">
        <f>IFERROR(VLOOKUP(Table1215[[#This Row],[Column2]],Table12[[Column2]:[Column54]],20,FALSE),"0")</f>
        <v>0</v>
      </c>
      <c r="V44" s="65">
        <f>IFERROR(VLOOKUP(Table1215[[#This Row],[Column2]],Table12[[Column2]:[Column54]],21,FALSE),"0")</f>
        <v>0</v>
      </c>
      <c r="W44" s="65">
        <f>IFERROR(VLOOKUP(Table1215[[#This Row],[Column2]],Table12[[Column2]:[Column54]],22,FALSE),"0")</f>
        <v>0</v>
      </c>
      <c r="X44" s="67">
        <f>Table1215[[#This Row],[Column19]]</f>
        <v>0</v>
      </c>
      <c r="Y44" s="65">
        <f>IFERROR(VLOOKUP(Table1215[[#This Row],[Column2]],Table12[[Column2]:[Column54]],24,FALSE),"0")</f>
        <v>4</v>
      </c>
      <c r="Z44" s="65">
        <f>IFERROR(VLOOKUP(Table1215[[#This Row],[Column2]],Table12[[Column2]:[Column54]],25,FALSE),"0")</f>
        <v>0</v>
      </c>
      <c r="AA44" s="65">
        <f>IFERROR(VLOOKUP(Table1215[[#This Row],[Column2]],Table12[[Column2]:[Column54]],26,FALSE),"0")</f>
        <v>0</v>
      </c>
      <c r="AB44" s="65">
        <f>IFERROR(VLOOKUP(Table1215[[#This Row],[Column2]],Table12[[Column2]:[Column54]],27,FALSE),"0")</f>
        <v>0</v>
      </c>
      <c r="AC44" s="65">
        <f>IFERROR(VLOOKUP(Table1215[[#This Row],[Column2]],Table12[[Column2]:[Column54]],28,FALSE),"0")</f>
        <v>0</v>
      </c>
      <c r="AD44" s="67">
        <f>Table1215[[#This Row],[Column25]]</f>
        <v>4</v>
      </c>
      <c r="AE44" s="65">
        <f>IFERROR(VLOOKUP(Table1215[[#This Row],[Column2]],Table12[[Column2]:[Column54]],30,FALSE),"0")</f>
        <v>0</v>
      </c>
      <c r="AF44" s="65">
        <f>IFERROR(VLOOKUP(Table1215[[#This Row],[Column2]],Table12[[Column2]:[Column54]],31,FALSE),"0")</f>
        <v>0</v>
      </c>
      <c r="AG44" s="65">
        <f>IFERROR(VLOOKUP(Table1215[[#This Row],[Column2]],Table12[[Column2]:[Column54]],32,FALSE),"0")</f>
        <v>0</v>
      </c>
      <c r="AH44" s="65">
        <f>IFERROR(VLOOKUP(Table1215[[#This Row],[Column2]],Table12[[Column2]:[Column54]],33,FALSE),"0")</f>
        <v>0</v>
      </c>
      <c r="AI44" s="65">
        <f>IFERROR(VLOOKUP(Table1215[[#This Row],[Column2]],Table12[[Column2]:[Column54]],34,FALSE),"0")</f>
        <v>0</v>
      </c>
      <c r="AJ44" s="67">
        <f>AVERAGE(Table1215[[#This Row],[Column31]],Table1215[[#This Row],[Column32]],Table1215[[#This Row],[Column33]])</f>
        <v>0</v>
      </c>
      <c r="AK44" s="65">
        <f>IFERROR(VLOOKUP(Table1215[[#This Row],[Column2]],Table12[[Column2]:[Column54]],36,FALSE),"0")</f>
        <v>4</v>
      </c>
      <c r="AL44" s="65">
        <f>IFERROR(VLOOKUP(Table1215[[#This Row],[Column2]],Table12[[Column2]:[Column54]],37,FALSE),"0")</f>
        <v>4</v>
      </c>
      <c r="AM44" s="65">
        <f>IFERROR(VLOOKUP(Table1215[[#This Row],[Column2]],Table12[[Column2]:[Column54]],38,FALSE),"0")</f>
        <v>0</v>
      </c>
      <c r="AN44" s="65">
        <f>IFERROR(VLOOKUP(Table1215[[#This Row],[Column2]],Table12[[Column2]:[Column54]],39,FALSE),"0")</f>
        <v>4</v>
      </c>
      <c r="AO44" s="65">
        <f>IFERROR(VLOOKUP(Table1215[[#This Row],[Column2]],Table12[[Column2]:[Column54]],40,FALSE),"0")</f>
        <v>0</v>
      </c>
      <c r="AP44" s="67">
        <f>AVERAGE(Table1215[[#This Row],[Column37]],Table1215[[#This Row],[Column38]],Table1215[[#This Row],[Column40]])</f>
        <v>4</v>
      </c>
      <c r="AQ44" s="65">
        <f>IFERROR(VLOOKUP(Table1215[[#This Row],[Column2]],Table12[[Column2]:[Column54]],42,FALSE),"0")</f>
        <v>4</v>
      </c>
      <c r="AR44" s="65">
        <f>IFERROR(VLOOKUP(Table1215[[#This Row],[Column2]],Table12[[Column2]:[Column54]],43,FALSE),"0")</f>
        <v>0</v>
      </c>
      <c r="AS44" s="65">
        <f>IFERROR(VLOOKUP(Table1215[[#This Row],[Column2]],Table12[[Column2]:[Column54]],44,FALSE),"0")</f>
        <v>0</v>
      </c>
      <c r="AT44" s="65">
        <f>IFERROR(VLOOKUP(Table1215[[#This Row],[Column2]],Table12[[Column2]:[Column54]],45,FALSE),"0")</f>
        <v>0</v>
      </c>
      <c r="AU44" s="65">
        <f>IFERROR(VLOOKUP(Table1215[[#This Row],[Column2]],Table12[[Column2]:[Column54]],46,FALSE),"0")</f>
        <v>0</v>
      </c>
      <c r="AV44" s="67">
        <f>Table1215[[#This Row],[Column43]]</f>
        <v>4</v>
      </c>
      <c r="AW44" s="65">
        <f>IFERROR(VLOOKUP(Table1215[[#This Row],[Column2]],Table12[[Column2]:[Column54]],48,FALSE),"0")</f>
        <v>0</v>
      </c>
      <c r="AX44" s="65">
        <f>IFERROR(VLOOKUP(Table1215[[#This Row],[Column2]],Table12[[Column2]:[Column54]],49,FALSE),"0")</f>
        <v>0</v>
      </c>
      <c r="AY44" s="65">
        <f>IFERROR(VLOOKUP(Table1215[[#This Row],[Column2]],Table12[[Column2]:[Column54]],50,FALSE),"0")</f>
        <v>0</v>
      </c>
      <c r="AZ44" s="65">
        <f>IFERROR(VLOOKUP(Table1215[[#This Row],[Column2]],Table12[[Column2]:[Column54]],51,FALSE),"0")</f>
        <v>4</v>
      </c>
      <c r="BA44" s="65">
        <f>IFERROR(VLOOKUP(Table1215[[#This Row],[Column2]],Table12[[Column2]:[Column54]],52,FALSE),"0")</f>
        <v>5</v>
      </c>
      <c r="BB44" s="67">
        <f>AVERAGE(Table1215[[#This Row],[Column52]],Table1215[[#This Row],[Column53]])</f>
        <v>4.5</v>
      </c>
    </row>
    <row r="45" spans="1:54" ht="23.1" customHeight="1" x14ac:dyDescent="0.3">
      <c r="A45" s="87">
        <v>42</v>
      </c>
      <c r="B45" s="70" t="s">
        <v>245</v>
      </c>
      <c r="C45" s="71" t="s">
        <v>246</v>
      </c>
      <c r="D45" s="70" t="s">
        <v>542</v>
      </c>
      <c r="E45" s="70" t="s">
        <v>161</v>
      </c>
      <c r="F45" s="70" t="str">
        <f>REPT(CHAR(160),10)&amp;Working!$E46</f>
        <v>          B</v>
      </c>
      <c r="G45" s="61">
        <f>IFERROR(VLOOKUP(Table1215[[#This Row],[Column2]],Table12[[Column2]:[Column54]],6,FALSE),"0")</f>
        <v>0</v>
      </c>
      <c r="H45" s="61">
        <f>IFERROR(VLOOKUP(Table1215[[#This Row],[Column2]],Table12[[Column2]:[Column54]],7,FALSE),"0")</f>
        <v>0</v>
      </c>
      <c r="I45" s="61">
        <f>IFERROR(VLOOKUP(Table1215[[#This Row],[Column2]],Table12[[Column2]:[Column54]],8,FALSE),"0")</f>
        <v>4</v>
      </c>
      <c r="J45" s="61">
        <f>IFERROR(VLOOKUP(Table1215[[#This Row],[Column2]],Table12[[Column2]:[Column54]],9,FALSE),"0")</f>
        <v>0</v>
      </c>
      <c r="K45" s="61">
        <f>IFERROR(VLOOKUP(Table1215[[#This Row],[Column2]],Table12[[Column2]:[Column54]],10,FALSE),"0")</f>
        <v>0</v>
      </c>
      <c r="L45" s="67">
        <f>Table1215[[#This Row],[Column9]]</f>
        <v>4</v>
      </c>
      <c r="M45" s="61">
        <f>IFERROR(VLOOKUP(Table1215[[#This Row],[Column2]],Table12[[Column2]:[Column54]],12,FALSE),"0")</f>
        <v>0</v>
      </c>
      <c r="N45" s="61">
        <f>IFERROR(VLOOKUP(Table1215[[#This Row],[Column2]],Table12[[Column2]:[Column54]],13,FALSE),"0")</f>
        <v>4</v>
      </c>
      <c r="O45" s="61">
        <f>IFERROR(VLOOKUP(Table1215[[#This Row],[Column2]],Table12[[Column2]:[Column54]],14,FALSE),"0")</f>
        <v>4</v>
      </c>
      <c r="P45" s="61">
        <f>IFERROR(VLOOKUP(Table1215[[#This Row],[Column2]],Table12[[Column2]:[Column54]],10,FALSE),"0")</f>
        <v>0</v>
      </c>
      <c r="Q45" s="61">
        <f>IFERROR(VLOOKUP(Table1215[[#This Row],[Column2]],Table12[[Column2]:[Column54]],16,FALSE),"0")</f>
        <v>4</v>
      </c>
      <c r="R45" s="67">
        <f>AVERAGE(Table1215[[#This Row],[Column14]],Table1215[[#This Row],[Column15]],Table1215[[#This Row],[Column17]])</f>
        <v>4</v>
      </c>
      <c r="S45" s="61">
        <f>IFERROR(VLOOKUP(Table1215[[#This Row],[Column2]],Table12[[Column2]:[Column54]],18,FALSE),"0")</f>
        <v>0</v>
      </c>
      <c r="T45" s="61">
        <f>IFERROR(VLOOKUP(Table1215[[#This Row],[Column2]],Table12[[Column2]:[Column54]],19,FALSE),"0")</f>
        <v>0</v>
      </c>
      <c r="U45" s="61">
        <f>IFERROR(VLOOKUP(Table1215[[#This Row],[Column2]],Table12[[Column2]:[Column54]],20,FALSE),"0")</f>
        <v>0</v>
      </c>
      <c r="V45" s="61">
        <f>IFERROR(VLOOKUP(Table1215[[#This Row],[Column2]],Table12[[Column2]:[Column54]],21,FALSE),"0")</f>
        <v>0</v>
      </c>
      <c r="W45" s="61">
        <f>IFERROR(VLOOKUP(Table1215[[#This Row],[Column2]],Table12[[Column2]:[Column54]],22,FALSE),"0")</f>
        <v>0</v>
      </c>
      <c r="X45" s="67">
        <f>Table1215[[#This Row],[Column19]]</f>
        <v>0</v>
      </c>
      <c r="Y45" s="61">
        <f>IFERROR(VLOOKUP(Table1215[[#This Row],[Column2]],Table12[[Column2]:[Column54]],24,FALSE),"0")</f>
        <v>4</v>
      </c>
      <c r="Z45" s="61">
        <f>IFERROR(VLOOKUP(Table1215[[#This Row],[Column2]],Table12[[Column2]:[Column54]],25,FALSE),"0")</f>
        <v>0</v>
      </c>
      <c r="AA45" s="61">
        <f>IFERROR(VLOOKUP(Table1215[[#This Row],[Column2]],Table12[[Column2]:[Column54]],26,FALSE),"0")</f>
        <v>0</v>
      </c>
      <c r="AB45" s="61">
        <f>IFERROR(VLOOKUP(Table1215[[#This Row],[Column2]],Table12[[Column2]:[Column54]],27,FALSE),"0")</f>
        <v>0</v>
      </c>
      <c r="AC45" s="61">
        <f>IFERROR(VLOOKUP(Table1215[[#This Row],[Column2]],Table12[[Column2]:[Column54]],28,FALSE),"0")</f>
        <v>0</v>
      </c>
      <c r="AD45" s="67">
        <f>Table1215[[#This Row],[Column25]]</f>
        <v>4</v>
      </c>
      <c r="AE45" s="61">
        <f>IFERROR(VLOOKUP(Table1215[[#This Row],[Column2]],Table12[[Column2]:[Column54]],30,FALSE),"0")</f>
        <v>0</v>
      </c>
      <c r="AF45" s="61">
        <f>IFERROR(VLOOKUP(Table1215[[#This Row],[Column2]],Table12[[Column2]:[Column54]],31,FALSE),"0")</f>
        <v>0</v>
      </c>
      <c r="AG45" s="61">
        <f>IFERROR(VLOOKUP(Table1215[[#This Row],[Column2]],Table12[[Column2]:[Column54]],32,FALSE),"0")</f>
        <v>0</v>
      </c>
      <c r="AH45" s="61">
        <f>IFERROR(VLOOKUP(Table1215[[#This Row],[Column2]],Table12[[Column2]:[Column54]],33,FALSE),"0")</f>
        <v>0</v>
      </c>
      <c r="AI45" s="61">
        <f>IFERROR(VLOOKUP(Table1215[[#This Row],[Column2]],Table12[[Column2]:[Column54]],34,FALSE),"0")</f>
        <v>0</v>
      </c>
      <c r="AJ45" s="67">
        <f>AVERAGE(Table1215[[#This Row],[Column31]],Table1215[[#This Row],[Column32]],Table1215[[#This Row],[Column33]])</f>
        <v>0</v>
      </c>
      <c r="AK45" s="61">
        <f>IFERROR(VLOOKUP(Table1215[[#This Row],[Column2]],Table12[[Column2]:[Column54]],36,FALSE),"0")</f>
        <v>4</v>
      </c>
      <c r="AL45" s="61">
        <f>IFERROR(VLOOKUP(Table1215[[#This Row],[Column2]],Table12[[Column2]:[Column54]],37,FALSE),"0")</f>
        <v>4</v>
      </c>
      <c r="AM45" s="61">
        <f>IFERROR(VLOOKUP(Table1215[[#This Row],[Column2]],Table12[[Column2]:[Column54]],38,FALSE),"0")</f>
        <v>0</v>
      </c>
      <c r="AN45" s="61">
        <f>IFERROR(VLOOKUP(Table1215[[#This Row],[Column2]],Table12[[Column2]:[Column54]],39,FALSE),"0")</f>
        <v>5</v>
      </c>
      <c r="AO45" s="61">
        <f>IFERROR(VLOOKUP(Table1215[[#This Row],[Column2]],Table12[[Column2]:[Column54]],40,FALSE),"0")</f>
        <v>0</v>
      </c>
      <c r="AP45" s="67">
        <f>AVERAGE(Table1215[[#This Row],[Column37]],Table1215[[#This Row],[Column38]],Table1215[[#This Row],[Column40]])</f>
        <v>4.333333333333333</v>
      </c>
      <c r="AQ45" s="61">
        <f>IFERROR(VLOOKUP(Table1215[[#This Row],[Column2]],Table12[[Column2]:[Column54]],42,FALSE),"0")</f>
        <v>4</v>
      </c>
      <c r="AR45" s="61">
        <f>IFERROR(VLOOKUP(Table1215[[#This Row],[Column2]],Table12[[Column2]:[Column54]],43,FALSE),"0")</f>
        <v>0</v>
      </c>
      <c r="AS45" s="61">
        <f>IFERROR(VLOOKUP(Table1215[[#This Row],[Column2]],Table12[[Column2]:[Column54]],44,FALSE),"0")</f>
        <v>0</v>
      </c>
      <c r="AT45" s="61">
        <f>IFERROR(VLOOKUP(Table1215[[#This Row],[Column2]],Table12[[Column2]:[Column54]],45,FALSE),"0")</f>
        <v>0</v>
      </c>
      <c r="AU45" s="61">
        <f>IFERROR(VLOOKUP(Table1215[[#This Row],[Column2]],Table12[[Column2]:[Column54]],46,FALSE),"0")</f>
        <v>0</v>
      </c>
      <c r="AV45" s="67">
        <f>Table1215[[#This Row],[Column43]]</f>
        <v>4</v>
      </c>
      <c r="AW45" s="61">
        <f>IFERROR(VLOOKUP(Table1215[[#This Row],[Column2]],Table12[[Column2]:[Column54]],48,FALSE),"0")</f>
        <v>0</v>
      </c>
      <c r="AX45" s="61">
        <f>IFERROR(VLOOKUP(Table1215[[#This Row],[Column2]],Table12[[Column2]:[Column54]],49,FALSE),"0")</f>
        <v>0</v>
      </c>
      <c r="AY45" s="61">
        <f>IFERROR(VLOOKUP(Table1215[[#This Row],[Column2]],Table12[[Column2]:[Column54]],50,FALSE),"0")</f>
        <v>0</v>
      </c>
      <c r="AZ45" s="61">
        <f>IFERROR(VLOOKUP(Table1215[[#This Row],[Column2]],Table12[[Column2]:[Column54]],51,FALSE),"0")</f>
        <v>4</v>
      </c>
      <c r="BA45" s="61">
        <f>IFERROR(VLOOKUP(Table1215[[#This Row],[Column2]],Table12[[Column2]:[Column54]],52,FALSE),"0")</f>
        <v>4</v>
      </c>
      <c r="BB45" s="67">
        <f>AVERAGE(Table1215[[#This Row],[Column52]],Table1215[[#This Row],[Column53]])</f>
        <v>4</v>
      </c>
    </row>
    <row r="46" spans="1:54" ht="23.1" customHeight="1" x14ac:dyDescent="0.3">
      <c r="A46" s="86">
        <v>43</v>
      </c>
      <c r="B46" s="63" t="s">
        <v>114</v>
      </c>
      <c r="C46" s="64" t="s">
        <v>115</v>
      </c>
      <c r="D46" s="63" t="s">
        <v>450</v>
      </c>
      <c r="E46" s="63" t="s">
        <v>35</v>
      </c>
      <c r="F46" s="63" t="str">
        <f>REPT(CHAR(160),10)&amp;Working!$E47</f>
        <v>          A</v>
      </c>
      <c r="G46" s="65">
        <f>IFERROR(VLOOKUP(Table1215[[#This Row],[Column2]],Table12[[Column2]:[Column54]],6,FALSE),"0")</f>
        <v>0</v>
      </c>
      <c r="H46" s="65">
        <f>IFERROR(VLOOKUP(Table1215[[#This Row],[Column2]],Table12[[Column2]:[Column54]],7,FALSE),"0")</f>
        <v>0</v>
      </c>
      <c r="I46" s="65">
        <f>IFERROR(VLOOKUP(Table1215[[#This Row],[Column2]],Table12[[Column2]:[Column54]],8,FALSE),"0")</f>
        <v>4</v>
      </c>
      <c r="J46" s="65">
        <f>IFERROR(VLOOKUP(Table1215[[#This Row],[Column2]],Table12[[Column2]:[Column54]],9,FALSE),"0")</f>
        <v>0</v>
      </c>
      <c r="K46" s="65">
        <f>IFERROR(VLOOKUP(Table1215[[#This Row],[Column2]],Table12[[Column2]:[Column54]],10,FALSE),"0")</f>
        <v>0</v>
      </c>
      <c r="L46" s="67">
        <f>Table1215[[#This Row],[Column9]]</f>
        <v>4</v>
      </c>
      <c r="M46" s="65">
        <f>IFERROR(VLOOKUP(Table1215[[#This Row],[Column2]],Table12[[Column2]:[Column54]],12,FALSE),"0")</f>
        <v>0</v>
      </c>
      <c r="N46" s="65">
        <f>IFERROR(VLOOKUP(Table1215[[#This Row],[Column2]],Table12[[Column2]:[Column54]],13,FALSE),"0")</f>
        <v>4</v>
      </c>
      <c r="O46" s="65">
        <f>IFERROR(VLOOKUP(Table1215[[#This Row],[Column2]],Table12[[Column2]:[Column54]],14,FALSE),"0")</f>
        <v>4</v>
      </c>
      <c r="P46" s="65">
        <f>IFERROR(VLOOKUP(Table1215[[#This Row],[Column2]],Table12[[Column2]:[Column54]],10,FALSE),"0")</f>
        <v>0</v>
      </c>
      <c r="Q46" s="65">
        <f>IFERROR(VLOOKUP(Table1215[[#This Row],[Column2]],Table12[[Column2]:[Column54]],16,FALSE),"0")</f>
        <v>4</v>
      </c>
      <c r="R46" s="67">
        <f>AVERAGE(Table1215[[#This Row],[Column14]],Table1215[[#This Row],[Column15]],Table1215[[#This Row],[Column17]])</f>
        <v>4</v>
      </c>
      <c r="S46" s="65">
        <f>IFERROR(VLOOKUP(Table1215[[#This Row],[Column2]],Table12[[Column2]:[Column54]],18,FALSE),"0")</f>
        <v>0</v>
      </c>
      <c r="T46" s="65">
        <f>IFERROR(VLOOKUP(Table1215[[#This Row],[Column2]],Table12[[Column2]:[Column54]],19,FALSE),"0")</f>
        <v>0</v>
      </c>
      <c r="U46" s="65">
        <f>IFERROR(VLOOKUP(Table1215[[#This Row],[Column2]],Table12[[Column2]:[Column54]],20,FALSE),"0")</f>
        <v>0</v>
      </c>
      <c r="V46" s="65">
        <f>IFERROR(VLOOKUP(Table1215[[#This Row],[Column2]],Table12[[Column2]:[Column54]],21,FALSE),"0")</f>
        <v>0</v>
      </c>
      <c r="W46" s="65">
        <f>IFERROR(VLOOKUP(Table1215[[#This Row],[Column2]],Table12[[Column2]:[Column54]],22,FALSE),"0")</f>
        <v>0</v>
      </c>
      <c r="X46" s="67">
        <f>Table1215[[#This Row],[Column19]]</f>
        <v>0</v>
      </c>
      <c r="Y46" s="65">
        <f>IFERROR(VLOOKUP(Table1215[[#This Row],[Column2]],Table12[[Column2]:[Column54]],24,FALSE),"0")</f>
        <v>3</v>
      </c>
      <c r="Z46" s="65">
        <f>IFERROR(VLOOKUP(Table1215[[#This Row],[Column2]],Table12[[Column2]:[Column54]],25,FALSE),"0")</f>
        <v>0</v>
      </c>
      <c r="AA46" s="65">
        <f>IFERROR(VLOOKUP(Table1215[[#This Row],[Column2]],Table12[[Column2]:[Column54]],26,FALSE),"0")</f>
        <v>0</v>
      </c>
      <c r="AB46" s="65">
        <f>IFERROR(VLOOKUP(Table1215[[#This Row],[Column2]],Table12[[Column2]:[Column54]],27,FALSE),"0")</f>
        <v>0</v>
      </c>
      <c r="AC46" s="65">
        <f>IFERROR(VLOOKUP(Table1215[[#This Row],[Column2]],Table12[[Column2]:[Column54]],28,FALSE),"0")</f>
        <v>0</v>
      </c>
      <c r="AD46" s="67">
        <f>Table1215[[#This Row],[Column25]]</f>
        <v>3</v>
      </c>
      <c r="AE46" s="65">
        <f>IFERROR(VLOOKUP(Table1215[[#This Row],[Column2]],Table12[[Column2]:[Column54]],30,FALSE),"0")</f>
        <v>0</v>
      </c>
      <c r="AF46" s="65">
        <f>IFERROR(VLOOKUP(Table1215[[#This Row],[Column2]],Table12[[Column2]:[Column54]],31,FALSE),"0")</f>
        <v>0</v>
      </c>
      <c r="AG46" s="65">
        <f>IFERROR(VLOOKUP(Table1215[[#This Row],[Column2]],Table12[[Column2]:[Column54]],32,FALSE),"0")</f>
        <v>0</v>
      </c>
      <c r="AH46" s="65">
        <f>IFERROR(VLOOKUP(Table1215[[#This Row],[Column2]],Table12[[Column2]:[Column54]],33,FALSE),"0")</f>
        <v>0</v>
      </c>
      <c r="AI46" s="65">
        <f>IFERROR(VLOOKUP(Table1215[[#This Row],[Column2]],Table12[[Column2]:[Column54]],34,FALSE),"0")</f>
        <v>0</v>
      </c>
      <c r="AJ46" s="67">
        <f>AVERAGE(Table1215[[#This Row],[Column31]],Table1215[[#This Row],[Column32]],Table1215[[#This Row],[Column33]])</f>
        <v>0</v>
      </c>
      <c r="AK46" s="65">
        <f>IFERROR(VLOOKUP(Table1215[[#This Row],[Column2]],Table12[[Column2]:[Column54]],36,FALSE),"0")</f>
        <v>4</v>
      </c>
      <c r="AL46" s="65">
        <f>IFERROR(VLOOKUP(Table1215[[#This Row],[Column2]],Table12[[Column2]:[Column54]],37,FALSE),"0")</f>
        <v>3</v>
      </c>
      <c r="AM46" s="65">
        <f>IFERROR(VLOOKUP(Table1215[[#This Row],[Column2]],Table12[[Column2]:[Column54]],38,FALSE),"0")</f>
        <v>0</v>
      </c>
      <c r="AN46" s="65">
        <f>IFERROR(VLOOKUP(Table1215[[#This Row],[Column2]],Table12[[Column2]:[Column54]],39,FALSE),"0")</f>
        <v>4</v>
      </c>
      <c r="AO46" s="65">
        <f>IFERROR(VLOOKUP(Table1215[[#This Row],[Column2]],Table12[[Column2]:[Column54]],40,FALSE),"0")</f>
        <v>0</v>
      </c>
      <c r="AP46" s="67">
        <f>AVERAGE(Table1215[[#This Row],[Column37]],Table1215[[#This Row],[Column38]],Table1215[[#This Row],[Column40]])</f>
        <v>3.6666666666666665</v>
      </c>
      <c r="AQ46" s="65">
        <f>IFERROR(VLOOKUP(Table1215[[#This Row],[Column2]],Table12[[Column2]:[Column54]],42,FALSE),"0")</f>
        <v>4</v>
      </c>
      <c r="AR46" s="65">
        <f>IFERROR(VLOOKUP(Table1215[[#This Row],[Column2]],Table12[[Column2]:[Column54]],43,FALSE),"0")</f>
        <v>0</v>
      </c>
      <c r="AS46" s="65">
        <f>IFERROR(VLOOKUP(Table1215[[#This Row],[Column2]],Table12[[Column2]:[Column54]],44,FALSE),"0")</f>
        <v>0</v>
      </c>
      <c r="AT46" s="65">
        <f>IFERROR(VLOOKUP(Table1215[[#This Row],[Column2]],Table12[[Column2]:[Column54]],45,FALSE),"0")</f>
        <v>0</v>
      </c>
      <c r="AU46" s="65">
        <f>IFERROR(VLOOKUP(Table1215[[#This Row],[Column2]],Table12[[Column2]:[Column54]],46,FALSE),"0")</f>
        <v>0</v>
      </c>
      <c r="AV46" s="67">
        <f>Table1215[[#This Row],[Column43]]</f>
        <v>4</v>
      </c>
      <c r="AW46" s="65">
        <f>IFERROR(VLOOKUP(Table1215[[#This Row],[Column2]],Table12[[Column2]:[Column54]],48,FALSE),"0")</f>
        <v>0</v>
      </c>
      <c r="AX46" s="65">
        <f>IFERROR(VLOOKUP(Table1215[[#This Row],[Column2]],Table12[[Column2]:[Column54]],49,FALSE),"0")</f>
        <v>0</v>
      </c>
      <c r="AY46" s="65">
        <f>IFERROR(VLOOKUP(Table1215[[#This Row],[Column2]],Table12[[Column2]:[Column54]],50,FALSE),"0")</f>
        <v>0</v>
      </c>
      <c r="AZ46" s="65">
        <f>IFERROR(VLOOKUP(Table1215[[#This Row],[Column2]],Table12[[Column2]:[Column54]],51,FALSE),"0")</f>
        <v>4</v>
      </c>
      <c r="BA46" s="65">
        <f>IFERROR(VLOOKUP(Table1215[[#This Row],[Column2]],Table12[[Column2]:[Column54]],52,FALSE),"0")</f>
        <v>3</v>
      </c>
      <c r="BB46" s="67">
        <f>AVERAGE(Table1215[[#This Row],[Column52]],Table1215[[#This Row],[Column53]])</f>
        <v>3.5</v>
      </c>
    </row>
    <row r="47" spans="1:54" ht="23.1" customHeight="1" x14ac:dyDescent="0.3">
      <c r="A47" s="87">
        <v>44</v>
      </c>
      <c r="B47" s="70" t="s">
        <v>116</v>
      </c>
      <c r="C47" s="71" t="s">
        <v>117</v>
      </c>
      <c r="D47" s="70" t="s">
        <v>542</v>
      </c>
      <c r="E47" s="70" t="s">
        <v>35</v>
      </c>
      <c r="F47" s="70" t="str">
        <f>REPT(CHAR(160),10)&amp;Working!$E48</f>
        <v>          A</v>
      </c>
      <c r="G47" s="61">
        <f>IFERROR(VLOOKUP(Table1215[[#This Row],[Column2]],Table12[[Column2]:[Column54]],6,FALSE),"0")</f>
        <v>0</v>
      </c>
      <c r="H47" s="61">
        <f>IFERROR(VLOOKUP(Table1215[[#This Row],[Column2]],Table12[[Column2]:[Column54]],7,FALSE),"0")</f>
        <v>0</v>
      </c>
      <c r="I47" s="61">
        <f>IFERROR(VLOOKUP(Table1215[[#This Row],[Column2]],Table12[[Column2]:[Column54]],8,FALSE),"0")</f>
        <v>3</v>
      </c>
      <c r="J47" s="61">
        <f>IFERROR(VLOOKUP(Table1215[[#This Row],[Column2]],Table12[[Column2]:[Column54]],9,FALSE),"0")</f>
        <v>0</v>
      </c>
      <c r="K47" s="61">
        <f>IFERROR(VLOOKUP(Table1215[[#This Row],[Column2]],Table12[[Column2]:[Column54]],10,FALSE),"0")</f>
        <v>0</v>
      </c>
      <c r="L47" s="67">
        <f>Table1215[[#This Row],[Column9]]</f>
        <v>3</v>
      </c>
      <c r="M47" s="61">
        <f>IFERROR(VLOOKUP(Table1215[[#This Row],[Column2]],Table12[[Column2]:[Column54]],12,FALSE),"0")</f>
        <v>0</v>
      </c>
      <c r="N47" s="61">
        <f>IFERROR(VLOOKUP(Table1215[[#This Row],[Column2]],Table12[[Column2]:[Column54]],13,FALSE),"0")</f>
        <v>3</v>
      </c>
      <c r="O47" s="61">
        <f>IFERROR(VLOOKUP(Table1215[[#This Row],[Column2]],Table12[[Column2]:[Column54]],14,FALSE),"0")</f>
        <v>3</v>
      </c>
      <c r="P47" s="61">
        <f>IFERROR(VLOOKUP(Table1215[[#This Row],[Column2]],Table12[[Column2]:[Column54]],10,FALSE),"0")</f>
        <v>0</v>
      </c>
      <c r="Q47" s="61">
        <f>IFERROR(VLOOKUP(Table1215[[#This Row],[Column2]],Table12[[Column2]:[Column54]],16,FALSE),"0")</f>
        <v>3</v>
      </c>
      <c r="R47" s="67">
        <f>AVERAGE(Table1215[[#This Row],[Column14]],Table1215[[#This Row],[Column15]],Table1215[[#This Row],[Column17]])</f>
        <v>3</v>
      </c>
      <c r="S47" s="61">
        <f>IFERROR(VLOOKUP(Table1215[[#This Row],[Column2]],Table12[[Column2]:[Column54]],18,FALSE),"0")</f>
        <v>0</v>
      </c>
      <c r="T47" s="61">
        <f>IFERROR(VLOOKUP(Table1215[[#This Row],[Column2]],Table12[[Column2]:[Column54]],19,FALSE),"0")</f>
        <v>0</v>
      </c>
      <c r="U47" s="61">
        <f>IFERROR(VLOOKUP(Table1215[[#This Row],[Column2]],Table12[[Column2]:[Column54]],20,FALSE),"0")</f>
        <v>0</v>
      </c>
      <c r="V47" s="61">
        <f>IFERROR(VLOOKUP(Table1215[[#This Row],[Column2]],Table12[[Column2]:[Column54]],21,FALSE),"0")</f>
        <v>0</v>
      </c>
      <c r="W47" s="61">
        <f>IFERROR(VLOOKUP(Table1215[[#This Row],[Column2]],Table12[[Column2]:[Column54]],22,FALSE),"0")</f>
        <v>0</v>
      </c>
      <c r="X47" s="67">
        <f>Table1215[[#This Row],[Column19]]</f>
        <v>0</v>
      </c>
      <c r="Y47" s="61">
        <f>IFERROR(VLOOKUP(Table1215[[#This Row],[Column2]],Table12[[Column2]:[Column54]],24,FALSE),"0")</f>
        <v>4</v>
      </c>
      <c r="Z47" s="61">
        <f>IFERROR(VLOOKUP(Table1215[[#This Row],[Column2]],Table12[[Column2]:[Column54]],25,FALSE),"0")</f>
        <v>0</v>
      </c>
      <c r="AA47" s="61">
        <f>IFERROR(VLOOKUP(Table1215[[#This Row],[Column2]],Table12[[Column2]:[Column54]],26,FALSE),"0")</f>
        <v>0</v>
      </c>
      <c r="AB47" s="61">
        <f>IFERROR(VLOOKUP(Table1215[[#This Row],[Column2]],Table12[[Column2]:[Column54]],27,FALSE),"0")</f>
        <v>0</v>
      </c>
      <c r="AC47" s="61">
        <f>IFERROR(VLOOKUP(Table1215[[#This Row],[Column2]],Table12[[Column2]:[Column54]],28,FALSE),"0")</f>
        <v>0</v>
      </c>
      <c r="AD47" s="67">
        <f>Table1215[[#This Row],[Column25]]</f>
        <v>4</v>
      </c>
      <c r="AE47" s="61">
        <f>IFERROR(VLOOKUP(Table1215[[#This Row],[Column2]],Table12[[Column2]:[Column54]],30,FALSE),"0")</f>
        <v>0</v>
      </c>
      <c r="AF47" s="61">
        <f>IFERROR(VLOOKUP(Table1215[[#This Row],[Column2]],Table12[[Column2]:[Column54]],31,FALSE),"0")</f>
        <v>0</v>
      </c>
      <c r="AG47" s="61">
        <f>IFERROR(VLOOKUP(Table1215[[#This Row],[Column2]],Table12[[Column2]:[Column54]],32,FALSE),"0")</f>
        <v>0</v>
      </c>
      <c r="AH47" s="61">
        <f>IFERROR(VLOOKUP(Table1215[[#This Row],[Column2]],Table12[[Column2]:[Column54]],33,FALSE),"0")</f>
        <v>0</v>
      </c>
      <c r="AI47" s="61">
        <f>IFERROR(VLOOKUP(Table1215[[#This Row],[Column2]],Table12[[Column2]:[Column54]],34,FALSE),"0")</f>
        <v>0</v>
      </c>
      <c r="AJ47" s="67">
        <f>AVERAGE(Table1215[[#This Row],[Column31]],Table1215[[#This Row],[Column32]],Table1215[[#This Row],[Column33]])</f>
        <v>0</v>
      </c>
      <c r="AK47" s="61">
        <f>IFERROR(VLOOKUP(Table1215[[#This Row],[Column2]],Table12[[Column2]:[Column54]],36,FALSE),"0")</f>
        <v>3</v>
      </c>
      <c r="AL47" s="61">
        <f>IFERROR(VLOOKUP(Table1215[[#This Row],[Column2]],Table12[[Column2]:[Column54]],37,FALSE),"0")</f>
        <v>4</v>
      </c>
      <c r="AM47" s="61">
        <f>IFERROR(VLOOKUP(Table1215[[#This Row],[Column2]],Table12[[Column2]:[Column54]],38,FALSE),"0")</f>
        <v>0</v>
      </c>
      <c r="AN47" s="61">
        <f>IFERROR(VLOOKUP(Table1215[[#This Row],[Column2]],Table12[[Column2]:[Column54]],39,FALSE),"0")</f>
        <v>3</v>
      </c>
      <c r="AO47" s="61">
        <f>IFERROR(VLOOKUP(Table1215[[#This Row],[Column2]],Table12[[Column2]:[Column54]],40,FALSE),"0")</f>
        <v>0</v>
      </c>
      <c r="AP47" s="67">
        <f>AVERAGE(Table1215[[#This Row],[Column37]],Table1215[[#This Row],[Column38]],Table1215[[#This Row],[Column40]])</f>
        <v>3.3333333333333335</v>
      </c>
      <c r="AQ47" s="61">
        <f>IFERROR(VLOOKUP(Table1215[[#This Row],[Column2]],Table12[[Column2]:[Column54]],42,FALSE),"0")</f>
        <v>3</v>
      </c>
      <c r="AR47" s="61">
        <f>IFERROR(VLOOKUP(Table1215[[#This Row],[Column2]],Table12[[Column2]:[Column54]],43,FALSE),"0")</f>
        <v>0</v>
      </c>
      <c r="AS47" s="61">
        <f>IFERROR(VLOOKUP(Table1215[[#This Row],[Column2]],Table12[[Column2]:[Column54]],44,FALSE),"0")</f>
        <v>0</v>
      </c>
      <c r="AT47" s="61">
        <f>IFERROR(VLOOKUP(Table1215[[#This Row],[Column2]],Table12[[Column2]:[Column54]],45,FALSE),"0")</f>
        <v>0</v>
      </c>
      <c r="AU47" s="61">
        <f>IFERROR(VLOOKUP(Table1215[[#This Row],[Column2]],Table12[[Column2]:[Column54]],46,FALSE),"0")</f>
        <v>0</v>
      </c>
      <c r="AV47" s="67">
        <f>Table1215[[#This Row],[Column43]]</f>
        <v>3</v>
      </c>
      <c r="AW47" s="61">
        <f>IFERROR(VLOOKUP(Table1215[[#This Row],[Column2]],Table12[[Column2]:[Column54]],48,FALSE),"0")</f>
        <v>0</v>
      </c>
      <c r="AX47" s="61">
        <f>IFERROR(VLOOKUP(Table1215[[#This Row],[Column2]],Table12[[Column2]:[Column54]],49,FALSE),"0")</f>
        <v>0</v>
      </c>
      <c r="AY47" s="61">
        <f>IFERROR(VLOOKUP(Table1215[[#This Row],[Column2]],Table12[[Column2]:[Column54]],50,FALSE),"0")</f>
        <v>0</v>
      </c>
      <c r="AZ47" s="61">
        <f>IFERROR(VLOOKUP(Table1215[[#This Row],[Column2]],Table12[[Column2]:[Column54]],51,FALSE),"0")</f>
        <v>3</v>
      </c>
      <c r="BA47" s="61">
        <f>IFERROR(VLOOKUP(Table1215[[#This Row],[Column2]],Table12[[Column2]:[Column54]],52,FALSE),"0")</f>
        <v>4</v>
      </c>
      <c r="BB47" s="67">
        <f>AVERAGE(Table1215[[#This Row],[Column52]],Table1215[[#This Row],[Column53]])</f>
        <v>3.5</v>
      </c>
    </row>
    <row r="48" spans="1:54" ht="23.1" customHeight="1" x14ac:dyDescent="0.3">
      <c r="A48" s="86">
        <v>45</v>
      </c>
      <c r="B48" s="63" t="s">
        <v>180</v>
      </c>
      <c r="C48" s="64" t="s">
        <v>181</v>
      </c>
      <c r="D48" s="63" t="s">
        <v>450</v>
      </c>
      <c r="E48" s="63" t="s">
        <v>161</v>
      </c>
      <c r="F48" s="63" t="str">
        <f>REPT(CHAR(160),10)&amp;Working!$E49</f>
        <v>          B</v>
      </c>
      <c r="G48" s="65">
        <f>IFERROR(VLOOKUP(Table1215[[#This Row],[Column2]],Table12[[Column2]:[Column54]],6,FALSE),"0")</f>
        <v>0</v>
      </c>
      <c r="H48" s="65">
        <f>IFERROR(VLOOKUP(Table1215[[#This Row],[Column2]],Table12[[Column2]:[Column54]],7,FALSE),"0")</f>
        <v>0</v>
      </c>
      <c r="I48" s="65">
        <f>IFERROR(VLOOKUP(Table1215[[#This Row],[Column2]],Table12[[Column2]:[Column54]],8,FALSE),"0")</f>
        <v>3</v>
      </c>
      <c r="J48" s="65">
        <f>IFERROR(VLOOKUP(Table1215[[#This Row],[Column2]],Table12[[Column2]:[Column54]],9,FALSE),"0")</f>
        <v>0</v>
      </c>
      <c r="K48" s="65">
        <f>IFERROR(VLOOKUP(Table1215[[#This Row],[Column2]],Table12[[Column2]:[Column54]],10,FALSE),"0")</f>
        <v>0</v>
      </c>
      <c r="L48" s="67">
        <f>Table1215[[#This Row],[Column9]]</f>
        <v>3</v>
      </c>
      <c r="M48" s="65">
        <f>IFERROR(VLOOKUP(Table1215[[#This Row],[Column2]],Table12[[Column2]:[Column54]],12,FALSE),"0")</f>
        <v>0</v>
      </c>
      <c r="N48" s="65">
        <f>IFERROR(VLOOKUP(Table1215[[#This Row],[Column2]],Table12[[Column2]:[Column54]],13,FALSE),"0")</f>
        <v>3</v>
      </c>
      <c r="O48" s="65">
        <f>IFERROR(VLOOKUP(Table1215[[#This Row],[Column2]],Table12[[Column2]:[Column54]],14,FALSE),"0")</f>
        <v>4</v>
      </c>
      <c r="P48" s="65">
        <f>IFERROR(VLOOKUP(Table1215[[#This Row],[Column2]],Table12[[Column2]:[Column54]],10,FALSE),"0")</f>
        <v>0</v>
      </c>
      <c r="Q48" s="65">
        <f>IFERROR(VLOOKUP(Table1215[[#This Row],[Column2]],Table12[[Column2]:[Column54]],16,FALSE),"0")</f>
        <v>4</v>
      </c>
      <c r="R48" s="67">
        <f>AVERAGE(Table1215[[#This Row],[Column14]],Table1215[[#This Row],[Column15]],Table1215[[#This Row],[Column17]])</f>
        <v>3.6666666666666665</v>
      </c>
      <c r="S48" s="65">
        <f>IFERROR(VLOOKUP(Table1215[[#This Row],[Column2]],Table12[[Column2]:[Column54]],18,FALSE),"0")</f>
        <v>0</v>
      </c>
      <c r="T48" s="65">
        <f>IFERROR(VLOOKUP(Table1215[[#This Row],[Column2]],Table12[[Column2]:[Column54]],19,FALSE),"0")</f>
        <v>0</v>
      </c>
      <c r="U48" s="65">
        <f>IFERROR(VLOOKUP(Table1215[[#This Row],[Column2]],Table12[[Column2]:[Column54]],20,FALSE),"0")</f>
        <v>0</v>
      </c>
      <c r="V48" s="65">
        <f>IFERROR(VLOOKUP(Table1215[[#This Row],[Column2]],Table12[[Column2]:[Column54]],21,FALSE),"0")</f>
        <v>0</v>
      </c>
      <c r="W48" s="65">
        <f>IFERROR(VLOOKUP(Table1215[[#This Row],[Column2]],Table12[[Column2]:[Column54]],22,FALSE),"0")</f>
        <v>0</v>
      </c>
      <c r="X48" s="67">
        <f>Table1215[[#This Row],[Column19]]</f>
        <v>0</v>
      </c>
      <c r="Y48" s="65">
        <f>IFERROR(VLOOKUP(Table1215[[#This Row],[Column2]],Table12[[Column2]:[Column54]],24,FALSE),"0")</f>
        <v>4</v>
      </c>
      <c r="Z48" s="65">
        <f>IFERROR(VLOOKUP(Table1215[[#This Row],[Column2]],Table12[[Column2]:[Column54]],25,FALSE),"0")</f>
        <v>0</v>
      </c>
      <c r="AA48" s="65">
        <f>IFERROR(VLOOKUP(Table1215[[#This Row],[Column2]],Table12[[Column2]:[Column54]],26,FALSE),"0")</f>
        <v>0</v>
      </c>
      <c r="AB48" s="65">
        <f>IFERROR(VLOOKUP(Table1215[[#This Row],[Column2]],Table12[[Column2]:[Column54]],27,FALSE),"0")</f>
        <v>0</v>
      </c>
      <c r="AC48" s="65">
        <f>IFERROR(VLOOKUP(Table1215[[#This Row],[Column2]],Table12[[Column2]:[Column54]],28,FALSE),"0")</f>
        <v>0</v>
      </c>
      <c r="AD48" s="67">
        <f>Table1215[[#This Row],[Column25]]</f>
        <v>4</v>
      </c>
      <c r="AE48" s="65">
        <f>IFERROR(VLOOKUP(Table1215[[#This Row],[Column2]],Table12[[Column2]:[Column54]],30,FALSE),"0")</f>
        <v>0</v>
      </c>
      <c r="AF48" s="65">
        <f>IFERROR(VLOOKUP(Table1215[[#This Row],[Column2]],Table12[[Column2]:[Column54]],31,FALSE),"0")</f>
        <v>0</v>
      </c>
      <c r="AG48" s="65">
        <f>IFERROR(VLOOKUP(Table1215[[#This Row],[Column2]],Table12[[Column2]:[Column54]],32,FALSE),"0")</f>
        <v>0</v>
      </c>
      <c r="AH48" s="65">
        <f>IFERROR(VLOOKUP(Table1215[[#This Row],[Column2]],Table12[[Column2]:[Column54]],33,FALSE),"0")</f>
        <v>0</v>
      </c>
      <c r="AI48" s="65">
        <f>IFERROR(VLOOKUP(Table1215[[#This Row],[Column2]],Table12[[Column2]:[Column54]],34,FALSE),"0")</f>
        <v>0</v>
      </c>
      <c r="AJ48" s="67">
        <f>AVERAGE(Table1215[[#This Row],[Column31]],Table1215[[#This Row],[Column32]],Table1215[[#This Row],[Column33]])</f>
        <v>0</v>
      </c>
      <c r="AK48" s="65">
        <f>IFERROR(VLOOKUP(Table1215[[#This Row],[Column2]],Table12[[Column2]:[Column54]],36,FALSE),"0")</f>
        <v>4</v>
      </c>
      <c r="AL48" s="65">
        <f>IFERROR(VLOOKUP(Table1215[[#This Row],[Column2]],Table12[[Column2]:[Column54]],37,FALSE),"0")</f>
        <v>3</v>
      </c>
      <c r="AM48" s="65">
        <f>IFERROR(VLOOKUP(Table1215[[#This Row],[Column2]],Table12[[Column2]:[Column54]],38,FALSE),"0")</f>
        <v>0</v>
      </c>
      <c r="AN48" s="65">
        <f>IFERROR(VLOOKUP(Table1215[[#This Row],[Column2]],Table12[[Column2]:[Column54]],39,FALSE),"0")</f>
        <v>4</v>
      </c>
      <c r="AO48" s="65">
        <f>IFERROR(VLOOKUP(Table1215[[#This Row],[Column2]],Table12[[Column2]:[Column54]],40,FALSE),"0")</f>
        <v>0</v>
      </c>
      <c r="AP48" s="67">
        <f>AVERAGE(Table1215[[#This Row],[Column37]],Table1215[[#This Row],[Column38]],Table1215[[#This Row],[Column40]])</f>
        <v>3.6666666666666665</v>
      </c>
      <c r="AQ48" s="65">
        <f>IFERROR(VLOOKUP(Table1215[[#This Row],[Column2]],Table12[[Column2]:[Column54]],42,FALSE),"0")</f>
        <v>4</v>
      </c>
      <c r="AR48" s="65">
        <f>IFERROR(VLOOKUP(Table1215[[#This Row],[Column2]],Table12[[Column2]:[Column54]],43,FALSE),"0")</f>
        <v>0</v>
      </c>
      <c r="AS48" s="65">
        <f>IFERROR(VLOOKUP(Table1215[[#This Row],[Column2]],Table12[[Column2]:[Column54]],44,FALSE),"0")</f>
        <v>0</v>
      </c>
      <c r="AT48" s="65">
        <f>IFERROR(VLOOKUP(Table1215[[#This Row],[Column2]],Table12[[Column2]:[Column54]],45,FALSE),"0")</f>
        <v>0</v>
      </c>
      <c r="AU48" s="65">
        <f>IFERROR(VLOOKUP(Table1215[[#This Row],[Column2]],Table12[[Column2]:[Column54]],46,FALSE),"0")</f>
        <v>0</v>
      </c>
      <c r="AV48" s="67">
        <f>Table1215[[#This Row],[Column43]]</f>
        <v>4</v>
      </c>
      <c r="AW48" s="65">
        <f>IFERROR(VLOOKUP(Table1215[[#This Row],[Column2]],Table12[[Column2]:[Column54]],48,FALSE),"0")</f>
        <v>0</v>
      </c>
      <c r="AX48" s="65">
        <f>IFERROR(VLOOKUP(Table1215[[#This Row],[Column2]],Table12[[Column2]:[Column54]],49,FALSE),"0")</f>
        <v>0</v>
      </c>
      <c r="AY48" s="65">
        <f>IFERROR(VLOOKUP(Table1215[[#This Row],[Column2]],Table12[[Column2]:[Column54]],50,FALSE),"0")</f>
        <v>0</v>
      </c>
      <c r="AZ48" s="65">
        <f>IFERROR(VLOOKUP(Table1215[[#This Row],[Column2]],Table12[[Column2]:[Column54]],51,FALSE),"0")</f>
        <v>4</v>
      </c>
      <c r="BA48" s="65">
        <f>IFERROR(VLOOKUP(Table1215[[#This Row],[Column2]],Table12[[Column2]:[Column54]],52,FALSE),"0")</f>
        <v>4</v>
      </c>
      <c r="BB48" s="67">
        <f>AVERAGE(Table1215[[#This Row],[Column52]],Table1215[[#This Row],[Column53]])</f>
        <v>4</v>
      </c>
    </row>
    <row r="49" spans="1:54" ht="23.1" customHeight="1" x14ac:dyDescent="0.3">
      <c r="A49" s="87">
        <v>46</v>
      </c>
      <c r="B49" s="70" t="s">
        <v>308</v>
      </c>
      <c r="C49" s="71" t="s">
        <v>309</v>
      </c>
      <c r="D49" s="70" t="s">
        <v>542</v>
      </c>
      <c r="E49" s="70" t="s">
        <v>493</v>
      </c>
      <c r="F49" s="70" t="str">
        <f>REPT(CHAR(160),10)&amp;Working!$E50</f>
        <v>          C</v>
      </c>
      <c r="G49" s="61">
        <f>IFERROR(VLOOKUP(Table1215[[#This Row],[Column2]],Table12[[Column2]:[Column54]],6,FALSE),"0")</f>
        <v>0</v>
      </c>
      <c r="H49" s="61">
        <f>IFERROR(VLOOKUP(Table1215[[#This Row],[Column2]],Table12[[Column2]:[Column54]],7,FALSE),"0")</f>
        <v>0</v>
      </c>
      <c r="I49" s="61">
        <f>IFERROR(VLOOKUP(Table1215[[#This Row],[Column2]],Table12[[Column2]:[Column54]],8,FALSE),"0")</f>
        <v>4</v>
      </c>
      <c r="J49" s="61">
        <f>IFERROR(VLOOKUP(Table1215[[#This Row],[Column2]],Table12[[Column2]:[Column54]],9,FALSE),"0")</f>
        <v>0</v>
      </c>
      <c r="K49" s="61">
        <f>IFERROR(VLOOKUP(Table1215[[#This Row],[Column2]],Table12[[Column2]:[Column54]],10,FALSE),"0")</f>
        <v>0</v>
      </c>
      <c r="L49" s="67">
        <f>Table1215[[#This Row],[Column9]]</f>
        <v>4</v>
      </c>
      <c r="M49" s="61">
        <f>IFERROR(VLOOKUP(Table1215[[#This Row],[Column2]],Table12[[Column2]:[Column54]],12,FALSE),"0")</f>
        <v>0</v>
      </c>
      <c r="N49" s="61">
        <f>IFERROR(VLOOKUP(Table1215[[#This Row],[Column2]],Table12[[Column2]:[Column54]],13,FALSE),"0")</f>
        <v>4</v>
      </c>
      <c r="O49" s="61">
        <f>IFERROR(VLOOKUP(Table1215[[#This Row],[Column2]],Table12[[Column2]:[Column54]],14,FALSE),"0")</f>
        <v>4</v>
      </c>
      <c r="P49" s="61">
        <f>IFERROR(VLOOKUP(Table1215[[#This Row],[Column2]],Table12[[Column2]:[Column54]],10,FALSE),"0")</f>
        <v>0</v>
      </c>
      <c r="Q49" s="61">
        <f>IFERROR(VLOOKUP(Table1215[[#This Row],[Column2]],Table12[[Column2]:[Column54]],16,FALSE),"0")</f>
        <v>4</v>
      </c>
      <c r="R49" s="67">
        <f>AVERAGE(Table1215[[#This Row],[Column14]],Table1215[[#This Row],[Column15]],Table1215[[#This Row],[Column17]])</f>
        <v>4</v>
      </c>
      <c r="S49" s="61">
        <f>IFERROR(VLOOKUP(Table1215[[#This Row],[Column2]],Table12[[Column2]:[Column54]],18,FALSE),"0")</f>
        <v>0</v>
      </c>
      <c r="T49" s="61">
        <f>IFERROR(VLOOKUP(Table1215[[#This Row],[Column2]],Table12[[Column2]:[Column54]],19,FALSE),"0")</f>
        <v>0</v>
      </c>
      <c r="U49" s="61">
        <f>IFERROR(VLOOKUP(Table1215[[#This Row],[Column2]],Table12[[Column2]:[Column54]],20,FALSE),"0")</f>
        <v>0</v>
      </c>
      <c r="V49" s="61">
        <f>IFERROR(VLOOKUP(Table1215[[#This Row],[Column2]],Table12[[Column2]:[Column54]],21,FALSE),"0")</f>
        <v>0</v>
      </c>
      <c r="W49" s="61">
        <f>IFERROR(VLOOKUP(Table1215[[#This Row],[Column2]],Table12[[Column2]:[Column54]],22,FALSE),"0")</f>
        <v>0</v>
      </c>
      <c r="X49" s="67">
        <f>Table1215[[#This Row],[Column19]]</f>
        <v>0</v>
      </c>
      <c r="Y49" s="61">
        <f>IFERROR(VLOOKUP(Table1215[[#This Row],[Column2]],Table12[[Column2]:[Column54]],24,FALSE),"0")</f>
        <v>4</v>
      </c>
      <c r="Z49" s="61">
        <f>IFERROR(VLOOKUP(Table1215[[#This Row],[Column2]],Table12[[Column2]:[Column54]],25,FALSE),"0")</f>
        <v>0</v>
      </c>
      <c r="AA49" s="61">
        <f>IFERROR(VLOOKUP(Table1215[[#This Row],[Column2]],Table12[[Column2]:[Column54]],26,FALSE),"0")</f>
        <v>0</v>
      </c>
      <c r="AB49" s="61">
        <f>IFERROR(VLOOKUP(Table1215[[#This Row],[Column2]],Table12[[Column2]:[Column54]],27,FALSE),"0")</f>
        <v>0</v>
      </c>
      <c r="AC49" s="61">
        <f>IFERROR(VLOOKUP(Table1215[[#This Row],[Column2]],Table12[[Column2]:[Column54]],28,FALSE),"0")</f>
        <v>0</v>
      </c>
      <c r="AD49" s="67">
        <f>Table1215[[#This Row],[Column25]]</f>
        <v>4</v>
      </c>
      <c r="AE49" s="61">
        <f>IFERROR(VLOOKUP(Table1215[[#This Row],[Column2]],Table12[[Column2]:[Column54]],30,FALSE),"0")</f>
        <v>0</v>
      </c>
      <c r="AF49" s="61">
        <f>IFERROR(VLOOKUP(Table1215[[#This Row],[Column2]],Table12[[Column2]:[Column54]],31,FALSE),"0")</f>
        <v>0</v>
      </c>
      <c r="AG49" s="61">
        <f>IFERROR(VLOOKUP(Table1215[[#This Row],[Column2]],Table12[[Column2]:[Column54]],32,FALSE),"0")</f>
        <v>0</v>
      </c>
      <c r="AH49" s="61">
        <f>IFERROR(VLOOKUP(Table1215[[#This Row],[Column2]],Table12[[Column2]:[Column54]],33,FALSE),"0")</f>
        <v>0</v>
      </c>
      <c r="AI49" s="61">
        <f>IFERROR(VLOOKUP(Table1215[[#This Row],[Column2]],Table12[[Column2]:[Column54]],34,FALSE),"0")</f>
        <v>0</v>
      </c>
      <c r="AJ49" s="67">
        <f>AVERAGE(Table1215[[#This Row],[Column31]],Table1215[[#This Row],[Column32]],Table1215[[#This Row],[Column33]])</f>
        <v>0</v>
      </c>
      <c r="AK49" s="61">
        <f>IFERROR(VLOOKUP(Table1215[[#This Row],[Column2]],Table12[[Column2]:[Column54]],36,FALSE),"0")</f>
        <v>4</v>
      </c>
      <c r="AL49" s="61">
        <f>IFERROR(VLOOKUP(Table1215[[#This Row],[Column2]],Table12[[Column2]:[Column54]],37,FALSE),"0")</f>
        <v>4</v>
      </c>
      <c r="AM49" s="61">
        <f>IFERROR(VLOOKUP(Table1215[[#This Row],[Column2]],Table12[[Column2]:[Column54]],38,FALSE),"0")</f>
        <v>0</v>
      </c>
      <c r="AN49" s="61">
        <f>IFERROR(VLOOKUP(Table1215[[#This Row],[Column2]],Table12[[Column2]:[Column54]],39,FALSE),"0")</f>
        <v>4</v>
      </c>
      <c r="AO49" s="61">
        <f>IFERROR(VLOOKUP(Table1215[[#This Row],[Column2]],Table12[[Column2]:[Column54]],40,FALSE),"0")</f>
        <v>0</v>
      </c>
      <c r="AP49" s="67">
        <f>AVERAGE(Table1215[[#This Row],[Column37]],Table1215[[#This Row],[Column38]],Table1215[[#This Row],[Column40]])</f>
        <v>4</v>
      </c>
      <c r="AQ49" s="61">
        <f>IFERROR(VLOOKUP(Table1215[[#This Row],[Column2]],Table12[[Column2]:[Column54]],42,FALSE),"0")</f>
        <v>4</v>
      </c>
      <c r="AR49" s="61">
        <f>IFERROR(VLOOKUP(Table1215[[#This Row],[Column2]],Table12[[Column2]:[Column54]],43,FALSE),"0")</f>
        <v>0</v>
      </c>
      <c r="AS49" s="61">
        <f>IFERROR(VLOOKUP(Table1215[[#This Row],[Column2]],Table12[[Column2]:[Column54]],44,FALSE),"0")</f>
        <v>0</v>
      </c>
      <c r="AT49" s="61">
        <f>IFERROR(VLOOKUP(Table1215[[#This Row],[Column2]],Table12[[Column2]:[Column54]],45,FALSE),"0")</f>
        <v>0</v>
      </c>
      <c r="AU49" s="61">
        <f>IFERROR(VLOOKUP(Table1215[[#This Row],[Column2]],Table12[[Column2]:[Column54]],46,FALSE),"0")</f>
        <v>0</v>
      </c>
      <c r="AV49" s="67">
        <f>Table1215[[#This Row],[Column43]]</f>
        <v>4</v>
      </c>
      <c r="AW49" s="61">
        <f>IFERROR(VLOOKUP(Table1215[[#This Row],[Column2]],Table12[[Column2]:[Column54]],48,FALSE),"0")</f>
        <v>0</v>
      </c>
      <c r="AX49" s="61">
        <f>IFERROR(VLOOKUP(Table1215[[#This Row],[Column2]],Table12[[Column2]:[Column54]],49,FALSE),"0")</f>
        <v>0</v>
      </c>
      <c r="AY49" s="61">
        <f>IFERROR(VLOOKUP(Table1215[[#This Row],[Column2]],Table12[[Column2]:[Column54]],50,FALSE),"0")</f>
        <v>0</v>
      </c>
      <c r="AZ49" s="61">
        <f>IFERROR(VLOOKUP(Table1215[[#This Row],[Column2]],Table12[[Column2]:[Column54]],51,FALSE),"0")</f>
        <v>4</v>
      </c>
      <c r="BA49" s="61">
        <f>IFERROR(VLOOKUP(Table1215[[#This Row],[Column2]],Table12[[Column2]:[Column54]],52,FALSE),"0")</f>
        <v>4</v>
      </c>
      <c r="BB49" s="67">
        <f>AVERAGE(Table1215[[#This Row],[Column52]],Table1215[[#This Row],[Column53]])</f>
        <v>4</v>
      </c>
    </row>
    <row r="50" spans="1:54" ht="23.1" customHeight="1" x14ac:dyDescent="0.3">
      <c r="A50" s="86">
        <v>47</v>
      </c>
      <c r="B50" s="63" t="s">
        <v>118</v>
      </c>
      <c r="C50" s="64" t="s">
        <v>119</v>
      </c>
      <c r="D50" s="63" t="s">
        <v>450</v>
      </c>
      <c r="E50" s="63" t="s">
        <v>35</v>
      </c>
      <c r="F50" s="63" t="str">
        <f>REPT(CHAR(160),10)&amp;Working!$E51</f>
        <v>          A</v>
      </c>
      <c r="G50" s="65">
        <f>IFERROR(VLOOKUP(Table1215[[#This Row],[Column2]],Table12[[Column2]:[Column54]],6,FALSE),"0")</f>
        <v>0</v>
      </c>
      <c r="H50" s="65">
        <f>IFERROR(VLOOKUP(Table1215[[#This Row],[Column2]],Table12[[Column2]:[Column54]],7,FALSE),"0")</f>
        <v>0</v>
      </c>
      <c r="I50" s="65">
        <f>IFERROR(VLOOKUP(Table1215[[#This Row],[Column2]],Table12[[Column2]:[Column54]],8,FALSE),"0")</f>
        <v>4</v>
      </c>
      <c r="J50" s="65">
        <f>IFERROR(VLOOKUP(Table1215[[#This Row],[Column2]],Table12[[Column2]:[Column54]],9,FALSE),"0")</f>
        <v>0</v>
      </c>
      <c r="K50" s="65">
        <f>IFERROR(VLOOKUP(Table1215[[#This Row],[Column2]],Table12[[Column2]:[Column54]],10,FALSE),"0")</f>
        <v>0</v>
      </c>
      <c r="L50" s="67">
        <f>Table1215[[#This Row],[Column9]]</f>
        <v>4</v>
      </c>
      <c r="M50" s="65">
        <f>IFERROR(VLOOKUP(Table1215[[#This Row],[Column2]],Table12[[Column2]:[Column54]],12,FALSE),"0")</f>
        <v>0</v>
      </c>
      <c r="N50" s="65">
        <f>IFERROR(VLOOKUP(Table1215[[#This Row],[Column2]],Table12[[Column2]:[Column54]],13,FALSE),"0")</f>
        <v>4</v>
      </c>
      <c r="O50" s="65">
        <f>IFERROR(VLOOKUP(Table1215[[#This Row],[Column2]],Table12[[Column2]:[Column54]],14,FALSE),"0")</f>
        <v>4</v>
      </c>
      <c r="P50" s="65">
        <f>IFERROR(VLOOKUP(Table1215[[#This Row],[Column2]],Table12[[Column2]:[Column54]],10,FALSE),"0")</f>
        <v>0</v>
      </c>
      <c r="Q50" s="65">
        <f>IFERROR(VLOOKUP(Table1215[[#This Row],[Column2]],Table12[[Column2]:[Column54]],16,FALSE),"0")</f>
        <v>4</v>
      </c>
      <c r="R50" s="67">
        <f>AVERAGE(Table1215[[#This Row],[Column14]],Table1215[[#This Row],[Column15]],Table1215[[#This Row],[Column17]])</f>
        <v>4</v>
      </c>
      <c r="S50" s="65">
        <f>IFERROR(VLOOKUP(Table1215[[#This Row],[Column2]],Table12[[Column2]:[Column54]],18,FALSE),"0")</f>
        <v>0</v>
      </c>
      <c r="T50" s="65">
        <f>IFERROR(VLOOKUP(Table1215[[#This Row],[Column2]],Table12[[Column2]:[Column54]],19,FALSE),"0")</f>
        <v>0</v>
      </c>
      <c r="U50" s="65">
        <f>IFERROR(VLOOKUP(Table1215[[#This Row],[Column2]],Table12[[Column2]:[Column54]],20,FALSE),"0")</f>
        <v>0</v>
      </c>
      <c r="V50" s="65">
        <f>IFERROR(VLOOKUP(Table1215[[#This Row],[Column2]],Table12[[Column2]:[Column54]],21,FALSE),"0")</f>
        <v>0</v>
      </c>
      <c r="W50" s="65">
        <f>IFERROR(VLOOKUP(Table1215[[#This Row],[Column2]],Table12[[Column2]:[Column54]],22,FALSE),"0")</f>
        <v>0</v>
      </c>
      <c r="X50" s="67">
        <f>Table1215[[#This Row],[Column19]]</f>
        <v>0</v>
      </c>
      <c r="Y50" s="65">
        <f>IFERROR(VLOOKUP(Table1215[[#This Row],[Column2]],Table12[[Column2]:[Column54]],24,FALSE),"0")</f>
        <v>4</v>
      </c>
      <c r="Z50" s="65">
        <f>IFERROR(VLOOKUP(Table1215[[#This Row],[Column2]],Table12[[Column2]:[Column54]],25,FALSE),"0")</f>
        <v>0</v>
      </c>
      <c r="AA50" s="65">
        <f>IFERROR(VLOOKUP(Table1215[[#This Row],[Column2]],Table12[[Column2]:[Column54]],26,FALSE),"0")</f>
        <v>0</v>
      </c>
      <c r="AB50" s="65">
        <f>IFERROR(VLOOKUP(Table1215[[#This Row],[Column2]],Table12[[Column2]:[Column54]],27,FALSE),"0")</f>
        <v>0</v>
      </c>
      <c r="AC50" s="65">
        <f>IFERROR(VLOOKUP(Table1215[[#This Row],[Column2]],Table12[[Column2]:[Column54]],28,FALSE),"0")</f>
        <v>0</v>
      </c>
      <c r="AD50" s="67">
        <f>Table1215[[#This Row],[Column25]]</f>
        <v>4</v>
      </c>
      <c r="AE50" s="65">
        <f>IFERROR(VLOOKUP(Table1215[[#This Row],[Column2]],Table12[[Column2]:[Column54]],30,FALSE),"0")</f>
        <v>0</v>
      </c>
      <c r="AF50" s="65">
        <f>IFERROR(VLOOKUP(Table1215[[#This Row],[Column2]],Table12[[Column2]:[Column54]],31,FALSE),"0")</f>
        <v>0</v>
      </c>
      <c r="AG50" s="65">
        <f>IFERROR(VLOOKUP(Table1215[[#This Row],[Column2]],Table12[[Column2]:[Column54]],32,FALSE),"0")</f>
        <v>0</v>
      </c>
      <c r="AH50" s="65">
        <f>IFERROR(VLOOKUP(Table1215[[#This Row],[Column2]],Table12[[Column2]:[Column54]],33,FALSE),"0")</f>
        <v>0</v>
      </c>
      <c r="AI50" s="65">
        <f>IFERROR(VLOOKUP(Table1215[[#This Row],[Column2]],Table12[[Column2]:[Column54]],34,FALSE),"0")</f>
        <v>0</v>
      </c>
      <c r="AJ50" s="67">
        <f>AVERAGE(Table1215[[#This Row],[Column31]],Table1215[[#This Row],[Column32]],Table1215[[#This Row],[Column33]])</f>
        <v>0</v>
      </c>
      <c r="AK50" s="65">
        <f>IFERROR(VLOOKUP(Table1215[[#This Row],[Column2]],Table12[[Column2]:[Column54]],36,FALSE),"0")</f>
        <v>4</v>
      </c>
      <c r="AL50" s="65">
        <f>IFERROR(VLOOKUP(Table1215[[#This Row],[Column2]],Table12[[Column2]:[Column54]],37,FALSE),"0")</f>
        <v>4</v>
      </c>
      <c r="AM50" s="65">
        <f>IFERROR(VLOOKUP(Table1215[[#This Row],[Column2]],Table12[[Column2]:[Column54]],38,FALSE),"0")</f>
        <v>0</v>
      </c>
      <c r="AN50" s="65">
        <f>IFERROR(VLOOKUP(Table1215[[#This Row],[Column2]],Table12[[Column2]:[Column54]],39,FALSE),"0")</f>
        <v>4</v>
      </c>
      <c r="AO50" s="65">
        <f>IFERROR(VLOOKUP(Table1215[[#This Row],[Column2]],Table12[[Column2]:[Column54]],40,FALSE),"0")</f>
        <v>0</v>
      </c>
      <c r="AP50" s="67">
        <f>AVERAGE(Table1215[[#This Row],[Column37]],Table1215[[#This Row],[Column38]],Table1215[[#This Row],[Column40]])</f>
        <v>4</v>
      </c>
      <c r="AQ50" s="65">
        <f>IFERROR(VLOOKUP(Table1215[[#This Row],[Column2]],Table12[[Column2]:[Column54]],42,FALSE),"0")</f>
        <v>4</v>
      </c>
      <c r="AR50" s="65">
        <f>IFERROR(VLOOKUP(Table1215[[#This Row],[Column2]],Table12[[Column2]:[Column54]],43,FALSE),"0")</f>
        <v>0</v>
      </c>
      <c r="AS50" s="65">
        <f>IFERROR(VLOOKUP(Table1215[[#This Row],[Column2]],Table12[[Column2]:[Column54]],44,FALSE),"0")</f>
        <v>0</v>
      </c>
      <c r="AT50" s="65">
        <f>IFERROR(VLOOKUP(Table1215[[#This Row],[Column2]],Table12[[Column2]:[Column54]],45,FALSE),"0")</f>
        <v>0</v>
      </c>
      <c r="AU50" s="65">
        <f>IFERROR(VLOOKUP(Table1215[[#This Row],[Column2]],Table12[[Column2]:[Column54]],46,FALSE),"0")</f>
        <v>0</v>
      </c>
      <c r="AV50" s="67">
        <f>Table1215[[#This Row],[Column43]]</f>
        <v>4</v>
      </c>
      <c r="AW50" s="65">
        <f>IFERROR(VLOOKUP(Table1215[[#This Row],[Column2]],Table12[[Column2]:[Column54]],48,FALSE),"0")</f>
        <v>0</v>
      </c>
      <c r="AX50" s="65">
        <f>IFERROR(VLOOKUP(Table1215[[#This Row],[Column2]],Table12[[Column2]:[Column54]],49,FALSE),"0")</f>
        <v>0</v>
      </c>
      <c r="AY50" s="65">
        <f>IFERROR(VLOOKUP(Table1215[[#This Row],[Column2]],Table12[[Column2]:[Column54]],50,FALSE),"0")</f>
        <v>0</v>
      </c>
      <c r="AZ50" s="65">
        <f>IFERROR(VLOOKUP(Table1215[[#This Row],[Column2]],Table12[[Column2]:[Column54]],51,FALSE),"0")</f>
        <v>4</v>
      </c>
      <c r="BA50" s="65">
        <f>IFERROR(VLOOKUP(Table1215[[#This Row],[Column2]],Table12[[Column2]:[Column54]],52,FALSE),"0")</f>
        <v>4</v>
      </c>
      <c r="BB50" s="67">
        <f>AVERAGE(Table1215[[#This Row],[Column52]],Table1215[[#This Row],[Column53]])</f>
        <v>4</v>
      </c>
    </row>
    <row r="51" spans="1:54" ht="23.1" customHeight="1" x14ac:dyDescent="0.3">
      <c r="A51" s="87">
        <v>48</v>
      </c>
      <c r="B51" s="70" t="s">
        <v>197</v>
      </c>
      <c r="C51" s="71" t="s">
        <v>198</v>
      </c>
      <c r="D51" s="70" t="s">
        <v>450</v>
      </c>
      <c r="E51" s="70" t="s">
        <v>161</v>
      </c>
      <c r="F51" s="70" t="str">
        <f>REPT(CHAR(160),10)&amp;Working!$E52</f>
        <v>          B</v>
      </c>
      <c r="G51" s="61">
        <f>IFERROR(VLOOKUP(Table1215[[#This Row],[Column2]],Table12[[Column2]:[Column54]],6,FALSE),"0")</f>
        <v>0</v>
      </c>
      <c r="H51" s="61">
        <f>IFERROR(VLOOKUP(Table1215[[#This Row],[Column2]],Table12[[Column2]:[Column54]],7,FALSE),"0")</f>
        <v>0</v>
      </c>
      <c r="I51" s="61">
        <f>IFERROR(VLOOKUP(Table1215[[#This Row],[Column2]],Table12[[Column2]:[Column54]],8,FALSE),"0")</f>
        <v>4</v>
      </c>
      <c r="J51" s="61">
        <f>IFERROR(VLOOKUP(Table1215[[#This Row],[Column2]],Table12[[Column2]:[Column54]],9,FALSE),"0")</f>
        <v>0</v>
      </c>
      <c r="K51" s="61">
        <f>IFERROR(VLOOKUP(Table1215[[#This Row],[Column2]],Table12[[Column2]:[Column54]],10,FALSE),"0")</f>
        <v>0</v>
      </c>
      <c r="L51" s="67">
        <f>Table1215[[#This Row],[Column9]]</f>
        <v>4</v>
      </c>
      <c r="M51" s="61">
        <f>IFERROR(VLOOKUP(Table1215[[#This Row],[Column2]],Table12[[Column2]:[Column54]],12,FALSE),"0")</f>
        <v>0</v>
      </c>
      <c r="N51" s="61">
        <f>IFERROR(VLOOKUP(Table1215[[#This Row],[Column2]],Table12[[Column2]:[Column54]],13,FALSE),"0")</f>
        <v>4</v>
      </c>
      <c r="O51" s="61">
        <f>IFERROR(VLOOKUP(Table1215[[#This Row],[Column2]],Table12[[Column2]:[Column54]],14,FALSE),"0")</f>
        <v>4</v>
      </c>
      <c r="P51" s="61">
        <f>IFERROR(VLOOKUP(Table1215[[#This Row],[Column2]],Table12[[Column2]:[Column54]],10,FALSE),"0")</f>
        <v>0</v>
      </c>
      <c r="Q51" s="61">
        <f>IFERROR(VLOOKUP(Table1215[[#This Row],[Column2]],Table12[[Column2]:[Column54]],16,FALSE),"0")</f>
        <v>4</v>
      </c>
      <c r="R51" s="67">
        <f>AVERAGE(Table1215[[#This Row],[Column14]],Table1215[[#This Row],[Column15]],Table1215[[#This Row],[Column17]])</f>
        <v>4</v>
      </c>
      <c r="S51" s="61">
        <f>IFERROR(VLOOKUP(Table1215[[#This Row],[Column2]],Table12[[Column2]:[Column54]],18,FALSE),"0")</f>
        <v>0</v>
      </c>
      <c r="T51" s="61">
        <f>IFERROR(VLOOKUP(Table1215[[#This Row],[Column2]],Table12[[Column2]:[Column54]],19,FALSE),"0")</f>
        <v>0</v>
      </c>
      <c r="U51" s="61">
        <f>IFERROR(VLOOKUP(Table1215[[#This Row],[Column2]],Table12[[Column2]:[Column54]],20,FALSE),"0")</f>
        <v>0</v>
      </c>
      <c r="V51" s="61">
        <f>IFERROR(VLOOKUP(Table1215[[#This Row],[Column2]],Table12[[Column2]:[Column54]],21,FALSE),"0")</f>
        <v>0</v>
      </c>
      <c r="W51" s="61">
        <f>IFERROR(VLOOKUP(Table1215[[#This Row],[Column2]],Table12[[Column2]:[Column54]],22,FALSE),"0")</f>
        <v>0</v>
      </c>
      <c r="X51" s="67">
        <f>Table1215[[#This Row],[Column19]]</f>
        <v>0</v>
      </c>
      <c r="Y51" s="61">
        <f>IFERROR(VLOOKUP(Table1215[[#This Row],[Column2]],Table12[[Column2]:[Column54]],24,FALSE),"0")</f>
        <v>4</v>
      </c>
      <c r="Z51" s="61">
        <f>IFERROR(VLOOKUP(Table1215[[#This Row],[Column2]],Table12[[Column2]:[Column54]],25,FALSE),"0")</f>
        <v>0</v>
      </c>
      <c r="AA51" s="61">
        <f>IFERROR(VLOOKUP(Table1215[[#This Row],[Column2]],Table12[[Column2]:[Column54]],26,FALSE),"0")</f>
        <v>0</v>
      </c>
      <c r="AB51" s="61">
        <f>IFERROR(VLOOKUP(Table1215[[#This Row],[Column2]],Table12[[Column2]:[Column54]],27,FALSE),"0")</f>
        <v>0</v>
      </c>
      <c r="AC51" s="61">
        <f>IFERROR(VLOOKUP(Table1215[[#This Row],[Column2]],Table12[[Column2]:[Column54]],28,FALSE),"0")</f>
        <v>0</v>
      </c>
      <c r="AD51" s="67">
        <f>Table1215[[#This Row],[Column25]]</f>
        <v>4</v>
      </c>
      <c r="AE51" s="61">
        <f>IFERROR(VLOOKUP(Table1215[[#This Row],[Column2]],Table12[[Column2]:[Column54]],30,FALSE),"0")</f>
        <v>0</v>
      </c>
      <c r="AF51" s="61">
        <f>IFERROR(VLOOKUP(Table1215[[#This Row],[Column2]],Table12[[Column2]:[Column54]],31,FALSE),"0")</f>
        <v>0</v>
      </c>
      <c r="AG51" s="61">
        <f>IFERROR(VLOOKUP(Table1215[[#This Row],[Column2]],Table12[[Column2]:[Column54]],32,FALSE),"0")</f>
        <v>0</v>
      </c>
      <c r="AH51" s="61">
        <f>IFERROR(VLOOKUP(Table1215[[#This Row],[Column2]],Table12[[Column2]:[Column54]],33,FALSE),"0")</f>
        <v>0</v>
      </c>
      <c r="AI51" s="61">
        <f>IFERROR(VLOOKUP(Table1215[[#This Row],[Column2]],Table12[[Column2]:[Column54]],34,FALSE),"0")</f>
        <v>0</v>
      </c>
      <c r="AJ51" s="67">
        <f>AVERAGE(Table1215[[#This Row],[Column31]],Table1215[[#This Row],[Column32]],Table1215[[#This Row],[Column33]])</f>
        <v>0</v>
      </c>
      <c r="AK51" s="61">
        <f>IFERROR(VLOOKUP(Table1215[[#This Row],[Column2]],Table12[[Column2]:[Column54]],36,FALSE),"0")</f>
        <v>4</v>
      </c>
      <c r="AL51" s="61">
        <f>IFERROR(VLOOKUP(Table1215[[#This Row],[Column2]],Table12[[Column2]:[Column54]],37,FALSE),"0")</f>
        <v>3</v>
      </c>
      <c r="AM51" s="61">
        <f>IFERROR(VLOOKUP(Table1215[[#This Row],[Column2]],Table12[[Column2]:[Column54]],38,FALSE),"0")</f>
        <v>0</v>
      </c>
      <c r="AN51" s="61">
        <f>IFERROR(VLOOKUP(Table1215[[#This Row],[Column2]],Table12[[Column2]:[Column54]],39,FALSE),"0")</f>
        <v>4</v>
      </c>
      <c r="AO51" s="61">
        <f>IFERROR(VLOOKUP(Table1215[[#This Row],[Column2]],Table12[[Column2]:[Column54]],40,FALSE),"0")</f>
        <v>0</v>
      </c>
      <c r="AP51" s="67">
        <f>AVERAGE(Table1215[[#This Row],[Column37]],Table1215[[#This Row],[Column38]],Table1215[[#This Row],[Column40]])</f>
        <v>3.6666666666666665</v>
      </c>
      <c r="AQ51" s="61">
        <f>IFERROR(VLOOKUP(Table1215[[#This Row],[Column2]],Table12[[Column2]:[Column54]],42,FALSE),"0")</f>
        <v>3</v>
      </c>
      <c r="AR51" s="61">
        <f>IFERROR(VLOOKUP(Table1215[[#This Row],[Column2]],Table12[[Column2]:[Column54]],43,FALSE),"0")</f>
        <v>0</v>
      </c>
      <c r="AS51" s="61">
        <f>IFERROR(VLOOKUP(Table1215[[#This Row],[Column2]],Table12[[Column2]:[Column54]],44,FALSE),"0")</f>
        <v>0</v>
      </c>
      <c r="AT51" s="61">
        <f>IFERROR(VLOOKUP(Table1215[[#This Row],[Column2]],Table12[[Column2]:[Column54]],45,FALSE),"0")</f>
        <v>0</v>
      </c>
      <c r="AU51" s="61">
        <f>IFERROR(VLOOKUP(Table1215[[#This Row],[Column2]],Table12[[Column2]:[Column54]],46,FALSE),"0")</f>
        <v>0</v>
      </c>
      <c r="AV51" s="67">
        <f>Table1215[[#This Row],[Column43]]</f>
        <v>3</v>
      </c>
      <c r="AW51" s="61">
        <f>IFERROR(VLOOKUP(Table1215[[#This Row],[Column2]],Table12[[Column2]:[Column54]],48,FALSE),"0")</f>
        <v>0</v>
      </c>
      <c r="AX51" s="61">
        <f>IFERROR(VLOOKUP(Table1215[[#This Row],[Column2]],Table12[[Column2]:[Column54]],49,FALSE),"0")</f>
        <v>0</v>
      </c>
      <c r="AY51" s="61">
        <f>IFERROR(VLOOKUP(Table1215[[#This Row],[Column2]],Table12[[Column2]:[Column54]],50,FALSE),"0")</f>
        <v>0</v>
      </c>
      <c r="AZ51" s="61">
        <f>IFERROR(VLOOKUP(Table1215[[#This Row],[Column2]],Table12[[Column2]:[Column54]],51,FALSE),"0")</f>
        <v>4</v>
      </c>
      <c r="BA51" s="61">
        <f>IFERROR(VLOOKUP(Table1215[[#This Row],[Column2]],Table12[[Column2]:[Column54]],52,FALSE),"0")</f>
        <v>4</v>
      </c>
      <c r="BB51" s="67">
        <f>AVERAGE(Table1215[[#This Row],[Column52]],Table1215[[#This Row],[Column53]])</f>
        <v>4</v>
      </c>
    </row>
    <row r="52" spans="1:54" ht="23.1" customHeight="1" x14ac:dyDescent="0.3">
      <c r="A52" s="86">
        <v>49</v>
      </c>
      <c r="B52" s="63" t="s">
        <v>310</v>
      </c>
      <c r="C52" s="64" t="s">
        <v>311</v>
      </c>
      <c r="D52" s="63" t="s">
        <v>450</v>
      </c>
      <c r="E52" s="63" t="s">
        <v>493</v>
      </c>
      <c r="F52" s="63" t="str">
        <f>REPT(CHAR(160),10)&amp;Working!$E53</f>
        <v>          C</v>
      </c>
      <c r="G52" s="65">
        <f>IFERROR(VLOOKUP(Table1215[[#This Row],[Column2]],Table12[[Column2]:[Column54]],6,FALSE),"0")</f>
        <v>0</v>
      </c>
      <c r="H52" s="65">
        <f>IFERROR(VLOOKUP(Table1215[[#This Row],[Column2]],Table12[[Column2]:[Column54]],7,FALSE),"0")</f>
        <v>0</v>
      </c>
      <c r="I52" s="65">
        <f>IFERROR(VLOOKUP(Table1215[[#This Row],[Column2]],Table12[[Column2]:[Column54]],8,FALSE),"0")</f>
        <v>4</v>
      </c>
      <c r="J52" s="65">
        <f>IFERROR(VLOOKUP(Table1215[[#This Row],[Column2]],Table12[[Column2]:[Column54]],9,FALSE),"0")</f>
        <v>0</v>
      </c>
      <c r="K52" s="65">
        <f>IFERROR(VLOOKUP(Table1215[[#This Row],[Column2]],Table12[[Column2]:[Column54]],10,FALSE),"0")</f>
        <v>0</v>
      </c>
      <c r="L52" s="67">
        <f>Table1215[[#This Row],[Column9]]</f>
        <v>4</v>
      </c>
      <c r="M52" s="65">
        <f>IFERROR(VLOOKUP(Table1215[[#This Row],[Column2]],Table12[[Column2]:[Column54]],12,FALSE),"0")</f>
        <v>0</v>
      </c>
      <c r="N52" s="65">
        <f>IFERROR(VLOOKUP(Table1215[[#This Row],[Column2]],Table12[[Column2]:[Column54]],13,FALSE),"0")</f>
        <v>5</v>
      </c>
      <c r="O52" s="65">
        <f>IFERROR(VLOOKUP(Table1215[[#This Row],[Column2]],Table12[[Column2]:[Column54]],14,FALSE),"0")</f>
        <v>4</v>
      </c>
      <c r="P52" s="65">
        <f>IFERROR(VLOOKUP(Table1215[[#This Row],[Column2]],Table12[[Column2]:[Column54]],10,FALSE),"0")</f>
        <v>0</v>
      </c>
      <c r="Q52" s="65">
        <f>IFERROR(VLOOKUP(Table1215[[#This Row],[Column2]],Table12[[Column2]:[Column54]],16,FALSE),"0")</f>
        <v>4</v>
      </c>
      <c r="R52" s="67">
        <f>AVERAGE(Table1215[[#This Row],[Column14]],Table1215[[#This Row],[Column15]],Table1215[[#This Row],[Column17]])</f>
        <v>4.333333333333333</v>
      </c>
      <c r="S52" s="65">
        <f>IFERROR(VLOOKUP(Table1215[[#This Row],[Column2]],Table12[[Column2]:[Column54]],18,FALSE),"0")</f>
        <v>0</v>
      </c>
      <c r="T52" s="65">
        <f>IFERROR(VLOOKUP(Table1215[[#This Row],[Column2]],Table12[[Column2]:[Column54]],19,FALSE),"0")</f>
        <v>0</v>
      </c>
      <c r="U52" s="65">
        <f>IFERROR(VLOOKUP(Table1215[[#This Row],[Column2]],Table12[[Column2]:[Column54]],20,FALSE),"0")</f>
        <v>0</v>
      </c>
      <c r="V52" s="65">
        <f>IFERROR(VLOOKUP(Table1215[[#This Row],[Column2]],Table12[[Column2]:[Column54]],21,FALSE),"0")</f>
        <v>0</v>
      </c>
      <c r="W52" s="65">
        <f>IFERROR(VLOOKUP(Table1215[[#This Row],[Column2]],Table12[[Column2]:[Column54]],22,FALSE),"0")</f>
        <v>0</v>
      </c>
      <c r="X52" s="67">
        <f>Table1215[[#This Row],[Column19]]</f>
        <v>0</v>
      </c>
      <c r="Y52" s="65">
        <f>IFERROR(VLOOKUP(Table1215[[#This Row],[Column2]],Table12[[Column2]:[Column54]],24,FALSE),"0")</f>
        <v>4</v>
      </c>
      <c r="Z52" s="65">
        <f>IFERROR(VLOOKUP(Table1215[[#This Row],[Column2]],Table12[[Column2]:[Column54]],25,FALSE),"0")</f>
        <v>0</v>
      </c>
      <c r="AA52" s="65">
        <f>IFERROR(VLOOKUP(Table1215[[#This Row],[Column2]],Table12[[Column2]:[Column54]],26,FALSE),"0")</f>
        <v>0</v>
      </c>
      <c r="AB52" s="65">
        <f>IFERROR(VLOOKUP(Table1215[[#This Row],[Column2]],Table12[[Column2]:[Column54]],27,FALSE),"0")</f>
        <v>0</v>
      </c>
      <c r="AC52" s="65">
        <f>IFERROR(VLOOKUP(Table1215[[#This Row],[Column2]],Table12[[Column2]:[Column54]],28,FALSE),"0")</f>
        <v>0</v>
      </c>
      <c r="AD52" s="67">
        <f>Table1215[[#This Row],[Column25]]</f>
        <v>4</v>
      </c>
      <c r="AE52" s="65">
        <f>IFERROR(VLOOKUP(Table1215[[#This Row],[Column2]],Table12[[Column2]:[Column54]],30,FALSE),"0")</f>
        <v>0</v>
      </c>
      <c r="AF52" s="65">
        <f>IFERROR(VLOOKUP(Table1215[[#This Row],[Column2]],Table12[[Column2]:[Column54]],31,FALSE),"0")</f>
        <v>0</v>
      </c>
      <c r="AG52" s="65">
        <f>IFERROR(VLOOKUP(Table1215[[#This Row],[Column2]],Table12[[Column2]:[Column54]],32,FALSE),"0")</f>
        <v>0</v>
      </c>
      <c r="AH52" s="65">
        <f>IFERROR(VLOOKUP(Table1215[[#This Row],[Column2]],Table12[[Column2]:[Column54]],33,FALSE),"0")</f>
        <v>0</v>
      </c>
      <c r="AI52" s="65">
        <f>IFERROR(VLOOKUP(Table1215[[#This Row],[Column2]],Table12[[Column2]:[Column54]],34,FALSE),"0")</f>
        <v>0</v>
      </c>
      <c r="AJ52" s="67">
        <f>AVERAGE(Table1215[[#This Row],[Column31]],Table1215[[#This Row],[Column32]],Table1215[[#This Row],[Column33]])</f>
        <v>0</v>
      </c>
      <c r="AK52" s="65">
        <f>IFERROR(VLOOKUP(Table1215[[#This Row],[Column2]],Table12[[Column2]:[Column54]],36,FALSE),"0")</f>
        <v>4</v>
      </c>
      <c r="AL52" s="65">
        <f>IFERROR(VLOOKUP(Table1215[[#This Row],[Column2]],Table12[[Column2]:[Column54]],37,FALSE),"0")</f>
        <v>3</v>
      </c>
      <c r="AM52" s="65">
        <f>IFERROR(VLOOKUP(Table1215[[#This Row],[Column2]],Table12[[Column2]:[Column54]],38,FALSE),"0")</f>
        <v>0</v>
      </c>
      <c r="AN52" s="65">
        <f>IFERROR(VLOOKUP(Table1215[[#This Row],[Column2]],Table12[[Column2]:[Column54]],39,FALSE),"0")</f>
        <v>4</v>
      </c>
      <c r="AO52" s="65">
        <f>IFERROR(VLOOKUP(Table1215[[#This Row],[Column2]],Table12[[Column2]:[Column54]],40,FALSE),"0")</f>
        <v>0</v>
      </c>
      <c r="AP52" s="67">
        <f>AVERAGE(Table1215[[#This Row],[Column37]],Table1215[[#This Row],[Column38]],Table1215[[#This Row],[Column40]])</f>
        <v>3.6666666666666665</v>
      </c>
      <c r="AQ52" s="65">
        <f>IFERROR(VLOOKUP(Table1215[[#This Row],[Column2]],Table12[[Column2]:[Column54]],42,FALSE),"0")</f>
        <v>5</v>
      </c>
      <c r="AR52" s="65">
        <f>IFERROR(VLOOKUP(Table1215[[#This Row],[Column2]],Table12[[Column2]:[Column54]],43,FALSE),"0")</f>
        <v>0</v>
      </c>
      <c r="AS52" s="65">
        <f>IFERROR(VLOOKUP(Table1215[[#This Row],[Column2]],Table12[[Column2]:[Column54]],44,FALSE),"0")</f>
        <v>0</v>
      </c>
      <c r="AT52" s="65">
        <f>IFERROR(VLOOKUP(Table1215[[#This Row],[Column2]],Table12[[Column2]:[Column54]],45,FALSE),"0")</f>
        <v>0</v>
      </c>
      <c r="AU52" s="65">
        <f>IFERROR(VLOOKUP(Table1215[[#This Row],[Column2]],Table12[[Column2]:[Column54]],46,FALSE),"0")</f>
        <v>0</v>
      </c>
      <c r="AV52" s="67">
        <f>Table1215[[#This Row],[Column43]]</f>
        <v>5</v>
      </c>
      <c r="AW52" s="65">
        <f>IFERROR(VLOOKUP(Table1215[[#This Row],[Column2]],Table12[[Column2]:[Column54]],48,FALSE),"0")</f>
        <v>0</v>
      </c>
      <c r="AX52" s="65">
        <f>IFERROR(VLOOKUP(Table1215[[#This Row],[Column2]],Table12[[Column2]:[Column54]],49,FALSE),"0")</f>
        <v>0</v>
      </c>
      <c r="AY52" s="65">
        <f>IFERROR(VLOOKUP(Table1215[[#This Row],[Column2]],Table12[[Column2]:[Column54]],50,FALSE),"0")</f>
        <v>0</v>
      </c>
      <c r="AZ52" s="65">
        <f>IFERROR(VLOOKUP(Table1215[[#This Row],[Column2]],Table12[[Column2]:[Column54]],51,FALSE),"0")</f>
        <v>4</v>
      </c>
      <c r="BA52" s="65">
        <f>IFERROR(VLOOKUP(Table1215[[#This Row],[Column2]],Table12[[Column2]:[Column54]],52,FALSE),"0")</f>
        <v>4</v>
      </c>
      <c r="BB52" s="67">
        <f>AVERAGE(Table1215[[#This Row],[Column52]],Table1215[[#This Row],[Column53]])</f>
        <v>4</v>
      </c>
    </row>
    <row r="53" spans="1:54" ht="23.1" customHeight="1" x14ac:dyDescent="0.3">
      <c r="A53" s="87">
        <v>50</v>
      </c>
      <c r="B53" s="70" t="s">
        <v>122</v>
      </c>
      <c r="C53" s="71" t="s">
        <v>123</v>
      </c>
      <c r="D53" s="70" t="s">
        <v>450</v>
      </c>
      <c r="E53" s="70" t="s">
        <v>35</v>
      </c>
      <c r="F53" s="70" t="str">
        <f>REPT(CHAR(160),10)&amp;Working!$E54</f>
        <v>          A</v>
      </c>
      <c r="G53" s="61">
        <f>IFERROR(VLOOKUP(Table1215[[#This Row],[Column2]],Table12[[Column2]:[Column54]],6,FALSE),"0")</f>
        <v>0</v>
      </c>
      <c r="H53" s="61">
        <f>IFERROR(VLOOKUP(Table1215[[#This Row],[Column2]],Table12[[Column2]:[Column54]],7,FALSE),"0")</f>
        <v>0</v>
      </c>
      <c r="I53" s="61">
        <f>IFERROR(VLOOKUP(Table1215[[#This Row],[Column2]],Table12[[Column2]:[Column54]],8,FALSE),"0")</f>
        <v>3</v>
      </c>
      <c r="J53" s="61">
        <f>IFERROR(VLOOKUP(Table1215[[#This Row],[Column2]],Table12[[Column2]:[Column54]],9,FALSE),"0")</f>
        <v>0</v>
      </c>
      <c r="K53" s="61">
        <f>IFERROR(VLOOKUP(Table1215[[#This Row],[Column2]],Table12[[Column2]:[Column54]],10,FALSE),"0")</f>
        <v>0</v>
      </c>
      <c r="L53" s="67">
        <f>Table1215[[#This Row],[Column9]]</f>
        <v>3</v>
      </c>
      <c r="M53" s="61">
        <f>IFERROR(VLOOKUP(Table1215[[#This Row],[Column2]],Table12[[Column2]:[Column54]],12,FALSE),"0")</f>
        <v>0</v>
      </c>
      <c r="N53" s="61">
        <f>IFERROR(VLOOKUP(Table1215[[#This Row],[Column2]],Table12[[Column2]:[Column54]],13,FALSE),"0")</f>
        <v>3</v>
      </c>
      <c r="O53" s="61">
        <f>IFERROR(VLOOKUP(Table1215[[#This Row],[Column2]],Table12[[Column2]:[Column54]],14,FALSE),"0")</f>
        <v>3</v>
      </c>
      <c r="P53" s="61">
        <f>IFERROR(VLOOKUP(Table1215[[#This Row],[Column2]],Table12[[Column2]:[Column54]],10,FALSE),"0")</f>
        <v>0</v>
      </c>
      <c r="Q53" s="61">
        <f>IFERROR(VLOOKUP(Table1215[[#This Row],[Column2]],Table12[[Column2]:[Column54]],16,FALSE),"0")</f>
        <v>3</v>
      </c>
      <c r="R53" s="67">
        <f>AVERAGE(Table1215[[#This Row],[Column14]],Table1215[[#This Row],[Column15]],Table1215[[#This Row],[Column17]])</f>
        <v>3</v>
      </c>
      <c r="S53" s="61">
        <f>IFERROR(VLOOKUP(Table1215[[#This Row],[Column2]],Table12[[Column2]:[Column54]],18,FALSE),"0")</f>
        <v>0</v>
      </c>
      <c r="T53" s="61">
        <f>IFERROR(VLOOKUP(Table1215[[#This Row],[Column2]],Table12[[Column2]:[Column54]],19,FALSE),"0")</f>
        <v>0</v>
      </c>
      <c r="U53" s="61">
        <f>IFERROR(VLOOKUP(Table1215[[#This Row],[Column2]],Table12[[Column2]:[Column54]],20,FALSE),"0")</f>
        <v>0</v>
      </c>
      <c r="V53" s="61">
        <f>IFERROR(VLOOKUP(Table1215[[#This Row],[Column2]],Table12[[Column2]:[Column54]],21,FALSE),"0")</f>
        <v>0</v>
      </c>
      <c r="W53" s="61">
        <f>IFERROR(VLOOKUP(Table1215[[#This Row],[Column2]],Table12[[Column2]:[Column54]],22,FALSE),"0")</f>
        <v>0</v>
      </c>
      <c r="X53" s="67">
        <f>Table1215[[#This Row],[Column19]]</f>
        <v>0</v>
      </c>
      <c r="Y53" s="61">
        <f>IFERROR(VLOOKUP(Table1215[[#This Row],[Column2]],Table12[[Column2]:[Column54]],24,FALSE),"0")</f>
        <v>2</v>
      </c>
      <c r="Z53" s="61">
        <f>IFERROR(VLOOKUP(Table1215[[#This Row],[Column2]],Table12[[Column2]:[Column54]],25,FALSE),"0")</f>
        <v>0</v>
      </c>
      <c r="AA53" s="61">
        <f>IFERROR(VLOOKUP(Table1215[[#This Row],[Column2]],Table12[[Column2]:[Column54]],26,FALSE),"0")</f>
        <v>0</v>
      </c>
      <c r="AB53" s="61">
        <f>IFERROR(VLOOKUP(Table1215[[#This Row],[Column2]],Table12[[Column2]:[Column54]],27,FALSE),"0")</f>
        <v>0</v>
      </c>
      <c r="AC53" s="61">
        <f>IFERROR(VLOOKUP(Table1215[[#This Row],[Column2]],Table12[[Column2]:[Column54]],28,FALSE),"0")</f>
        <v>0</v>
      </c>
      <c r="AD53" s="67">
        <f>Table1215[[#This Row],[Column25]]</f>
        <v>2</v>
      </c>
      <c r="AE53" s="61">
        <f>IFERROR(VLOOKUP(Table1215[[#This Row],[Column2]],Table12[[Column2]:[Column54]],30,FALSE),"0")</f>
        <v>0</v>
      </c>
      <c r="AF53" s="61">
        <f>IFERROR(VLOOKUP(Table1215[[#This Row],[Column2]],Table12[[Column2]:[Column54]],31,FALSE),"0")</f>
        <v>0</v>
      </c>
      <c r="AG53" s="61">
        <f>IFERROR(VLOOKUP(Table1215[[#This Row],[Column2]],Table12[[Column2]:[Column54]],32,FALSE),"0")</f>
        <v>0</v>
      </c>
      <c r="AH53" s="61">
        <f>IFERROR(VLOOKUP(Table1215[[#This Row],[Column2]],Table12[[Column2]:[Column54]],33,FALSE),"0")</f>
        <v>0</v>
      </c>
      <c r="AI53" s="61">
        <f>IFERROR(VLOOKUP(Table1215[[#This Row],[Column2]],Table12[[Column2]:[Column54]],34,FALSE),"0")</f>
        <v>0</v>
      </c>
      <c r="AJ53" s="67">
        <f>AVERAGE(Table1215[[#This Row],[Column31]],Table1215[[#This Row],[Column32]],Table1215[[#This Row],[Column33]])</f>
        <v>0</v>
      </c>
      <c r="AK53" s="61">
        <f>IFERROR(VLOOKUP(Table1215[[#This Row],[Column2]],Table12[[Column2]:[Column54]],36,FALSE),"0")</f>
        <v>3</v>
      </c>
      <c r="AL53" s="61">
        <f>IFERROR(VLOOKUP(Table1215[[#This Row],[Column2]],Table12[[Column2]:[Column54]],37,FALSE),"0")</f>
        <v>3</v>
      </c>
      <c r="AM53" s="61">
        <f>IFERROR(VLOOKUP(Table1215[[#This Row],[Column2]],Table12[[Column2]:[Column54]],38,FALSE),"0")</f>
        <v>0</v>
      </c>
      <c r="AN53" s="61">
        <f>IFERROR(VLOOKUP(Table1215[[#This Row],[Column2]],Table12[[Column2]:[Column54]],39,FALSE),"0")</f>
        <v>3</v>
      </c>
      <c r="AO53" s="61">
        <f>IFERROR(VLOOKUP(Table1215[[#This Row],[Column2]],Table12[[Column2]:[Column54]],40,FALSE),"0")</f>
        <v>0</v>
      </c>
      <c r="AP53" s="67">
        <f>AVERAGE(Table1215[[#This Row],[Column37]],Table1215[[#This Row],[Column38]],Table1215[[#This Row],[Column40]])</f>
        <v>3</v>
      </c>
      <c r="AQ53" s="61">
        <f>IFERROR(VLOOKUP(Table1215[[#This Row],[Column2]],Table12[[Column2]:[Column54]],42,FALSE),"0")</f>
        <v>3</v>
      </c>
      <c r="AR53" s="61">
        <f>IFERROR(VLOOKUP(Table1215[[#This Row],[Column2]],Table12[[Column2]:[Column54]],43,FALSE),"0")</f>
        <v>0</v>
      </c>
      <c r="AS53" s="61">
        <f>IFERROR(VLOOKUP(Table1215[[#This Row],[Column2]],Table12[[Column2]:[Column54]],44,FALSE),"0")</f>
        <v>0</v>
      </c>
      <c r="AT53" s="61">
        <f>IFERROR(VLOOKUP(Table1215[[#This Row],[Column2]],Table12[[Column2]:[Column54]],45,FALSE),"0")</f>
        <v>0</v>
      </c>
      <c r="AU53" s="61">
        <f>IFERROR(VLOOKUP(Table1215[[#This Row],[Column2]],Table12[[Column2]:[Column54]],46,FALSE),"0")</f>
        <v>0</v>
      </c>
      <c r="AV53" s="67">
        <f>Table1215[[#This Row],[Column43]]</f>
        <v>3</v>
      </c>
      <c r="AW53" s="61">
        <f>IFERROR(VLOOKUP(Table1215[[#This Row],[Column2]],Table12[[Column2]:[Column54]],48,FALSE),"0")</f>
        <v>0</v>
      </c>
      <c r="AX53" s="61">
        <f>IFERROR(VLOOKUP(Table1215[[#This Row],[Column2]],Table12[[Column2]:[Column54]],49,FALSE),"0")</f>
        <v>0</v>
      </c>
      <c r="AY53" s="61">
        <f>IFERROR(VLOOKUP(Table1215[[#This Row],[Column2]],Table12[[Column2]:[Column54]],50,FALSE),"0")</f>
        <v>0</v>
      </c>
      <c r="AZ53" s="61">
        <f>IFERROR(VLOOKUP(Table1215[[#This Row],[Column2]],Table12[[Column2]:[Column54]],51,FALSE),"0")</f>
        <v>2</v>
      </c>
      <c r="BA53" s="61">
        <f>IFERROR(VLOOKUP(Table1215[[#This Row],[Column2]],Table12[[Column2]:[Column54]],52,FALSE),"0")</f>
        <v>3</v>
      </c>
      <c r="BB53" s="67">
        <f>AVERAGE(Table1215[[#This Row],[Column52]],Table1215[[#This Row],[Column53]])</f>
        <v>2.5</v>
      </c>
    </row>
    <row r="54" spans="1:54" ht="23.1" customHeight="1" x14ac:dyDescent="0.3">
      <c r="A54" s="86">
        <v>51</v>
      </c>
      <c r="B54" s="63" t="s">
        <v>259</v>
      </c>
      <c r="C54" s="64" t="s">
        <v>260</v>
      </c>
      <c r="D54" s="63" t="s">
        <v>542</v>
      </c>
      <c r="E54" s="63" t="s">
        <v>161</v>
      </c>
      <c r="F54" s="63" t="str">
        <f>REPT(CHAR(160),10)&amp;Working!$E55</f>
        <v>          B</v>
      </c>
      <c r="G54" s="65">
        <f>IFERROR(VLOOKUP(Table1215[[#This Row],[Column2]],Table12[[Column2]:[Column54]],6,FALSE),"0")</f>
        <v>0</v>
      </c>
      <c r="H54" s="65">
        <f>IFERROR(VLOOKUP(Table1215[[#This Row],[Column2]],Table12[[Column2]:[Column54]],7,FALSE),"0")</f>
        <v>0</v>
      </c>
      <c r="I54" s="65">
        <f>IFERROR(VLOOKUP(Table1215[[#This Row],[Column2]],Table12[[Column2]:[Column54]],8,FALSE),"0")</f>
        <v>2</v>
      </c>
      <c r="J54" s="65">
        <f>IFERROR(VLOOKUP(Table1215[[#This Row],[Column2]],Table12[[Column2]:[Column54]],9,FALSE),"0")</f>
        <v>0</v>
      </c>
      <c r="K54" s="65">
        <f>IFERROR(VLOOKUP(Table1215[[#This Row],[Column2]],Table12[[Column2]:[Column54]],10,FALSE),"0")</f>
        <v>0</v>
      </c>
      <c r="L54" s="67">
        <f>Table1215[[#This Row],[Column9]]</f>
        <v>2</v>
      </c>
      <c r="M54" s="65">
        <f>IFERROR(VLOOKUP(Table1215[[#This Row],[Column2]],Table12[[Column2]:[Column54]],12,FALSE),"0")</f>
        <v>0</v>
      </c>
      <c r="N54" s="65">
        <f>IFERROR(VLOOKUP(Table1215[[#This Row],[Column2]],Table12[[Column2]:[Column54]],13,FALSE),"0")</f>
        <v>2</v>
      </c>
      <c r="O54" s="65">
        <f>IFERROR(VLOOKUP(Table1215[[#This Row],[Column2]],Table12[[Column2]:[Column54]],14,FALSE),"0")</f>
        <v>2</v>
      </c>
      <c r="P54" s="65">
        <f>IFERROR(VLOOKUP(Table1215[[#This Row],[Column2]],Table12[[Column2]:[Column54]],10,FALSE),"0")</f>
        <v>0</v>
      </c>
      <c r="Q54" s="65">
        <f>IFERROR(VLOOKUP(Table1215[[#This Row],[Column2]],Table12[[Column2]:[Column54]],16,FALSE),"0")</f>
        <v>2</v>
      </c>
      <c r="R54" s="67">
        <f>AVERAGE(Table1215[[#This Row],[Column14]],Table1215[[#This Row],[Column15]],Table1215[[#This Row],[Column17]])</f>
        <v>2</v>
      </c>
      <c r="S54" s="65">
        <f>IFERROR(VLOOKUP(Table1215[[#This Row],[Column2]],Table12[[Column2]:[Column54]],18,FALSE),"0")</f>
        <v>0</v>
      </c>
      <c r="T54" s="65">
        <f>IFERROR(VLOOKUP(Table1215[[#This Row],[Column2]],Table12[[Column2]:[Column54]],19,FALSE),"0")</f>
        <v>0</v>
      </c>
      <c r="U54" s="65">
        <f>IFERROR(VLOOKUP(Table1215[[#This Row],[Column2]],Table12[[Column2]:[Column54]],20,FALSE),"0")</f>
        <v>0</v>
      </c>
      <c r="V54" s="65">
        <f>IFERROR(VLOOKUP(Table1215[[#This Row],[Column2]],Table12[[Column2]:[Column54]],21,FALSE),"0")</f>
        <v>0</v>
      </c>
      <c r="W54" s="65">
        <f>IFERROR(VLOOKUP(Table1215[[#This Row],[Column2]],Table12[[Column2]:[Column54]],22,FALSE),"0")</f>
        <v>0</v>
      </c>
      <c r="X54" s="67">
        <f>Table1215[[#This Row],[Column19]]</f>
        <v>0</v>
      </c>
      <c r="Y54" s="65">
        <f>IFERROR(VLOOKUP(Table1215[[#This Row],[Column2]],Table12[[Column2]:[Column54]],24,FALSE),"0")</f>
        <v>3</v>
      </c>
      <c r="Z54" s="65">
        <f>IFERROR(VLOOKUP(Table1215[[#This Row],[Column2]],Table12[[Column2]:[Column54]],25,FALSE),"0")</f>
        <v>0</v>
      </c>
      <c r="AA54" s="65">
        <f>IFERROR(VLOOKUP(Table1215[[#This Row],[Column2]],Table12[[Column2]:[Column54]],26,FALSE),"0")</f>
        <v>0</v>
      </c>
      <c r="AB54" s="65">
        <f>IFERROR(VLOOKUP(Table1215[[#This Row],[Column2]],Table12[[Column2]:[Column54]],27,FALSE),"0")</f>
        <v>0</v>
      </c>
      <c r="AC54" s="65">
        <f>IFERROR(VLOOKUP(Table1215[[#This Row],[Column2]],Table12[[Column2]:[Column54]],28,FALSE),"0")</f>
        <v>0</v>
      </c>
      <c r="AD54" s="67">
        <f>Table1215[[#This Row],[Column25]]</f>
        <v>3</v>
      </c>
      <c r="AE54" s="65">
        <f>IFERROR(VLOOKUP(Table1215[[#This Row],[Column2]],Table12[[Column2]:[Column54]],30,FALSE),"0")</f>
        <v>0</v>
      </c>
      <c r="AF54" s="65">
        <f>IFERROR(VLOOKUP(Table1215[[#This Row],[Column2]],Table12[[Column2]:[Column54]],31,FALSE),"0")</f>
        <v>0</v>
      </c>
      <c r="AG54" s="65">
        <f>IFERROR(VLOOKUP(Table1215[[#This Row],[Column2]],Table12[[Column2]:[Column54]],32,FALSE),"0")</f>
        <v>0</v>
      </c>
      <c r="AH54" s="65">
        <f>IFERROR(VLOOKUP(Table1215[[#This Row],[Column2]],Table12[[Column2]:[Column54]],33,FALSE),"0")</f>
        <v>0</v>
      </c>
      <c r="AI54" s="65">
        <f>IFERROR(VLOOKUP(Table1215[[#This Row],[Column2]],Table12[[Column2]:[Column54]],34,FALSE),"0")</f>
        <v>0</v>
      </c>
      <c r="AJ54" s="67">
        <f>AVERAGE(Table1215[[#This Row],[Column31]],Table1215[[#This Row],[Column32]],Table1215[[#This Row],[Column33]])</f>
        <v>0</v>
      </c>
      <c r="AK54" s="65">
        <f>IFERROR(VLOOKUP(Table1215[[#This Row],[Column2]],Table12[[Column2]:[Column54]],36,FALSE),"0")</f>
        <v>2</v>
      </c>
      <c r="AL54" s="65">
        <f>IFERROR(VLOOKUP(Table1215[[#This Row],[Column2]],Table12[[Column2]:[Column54]],37,FALSE),"0")</f>
        <v>3</v>
      </c>
      <c r="AM54" s="65">
        <f>IFERROR(VLOOKUP(Table1215[[#This Row],[Column2]],Table12[[Column2]:[Column54]],38,FALSE),"0")</f>
        <v>0</v>
      </c>
      <c r="AN54" s="65">
        <f>IFERROR(VLOOKUP(Table1215[[#This Row],[Column2]],Table12[[Column2]:[Column54]],39,FALSE),"0")</f>
        <v>3</v>
      </c>
      <c r="AO54" s="65">
        <f>IFERROR(VLOOKUP(Table1215[[#This Row],[Column2]],Table12[[Column2]:[Column54]],40,FALSE),"0")</f>
        <v>0</v>
      </c>
      <c r="AP54" s="67">
        <f>AVERAGE(Table1215[[#This Row],[Column37]],Table1215[[#This Row],[Column38]],Table1215[[#This Row],[Column40]])</f>
        <v>2.6666666666666665</v>
      </c>
      <c r="AQ54" s="65">
        <f>IFERROR(VLOOKUP(Table1215[[#This Row],[Column2]],Table12[[Column2]:[Column54]],42,FALSE),"0")</f>
        <v>2</v>
      </c>
      <c r="AR54" s="65">
        <f>IFERROR(VLOOKUP(Table1215[[#This Row],[Column2]],Table12[[Column2]:[Column54]],43,FALSE),"0")</f>
        <v>0</v>
      </c>
      <c r="AS54" s="65">
        <f>IFERROR(VLOOKUP(Table1215[[#This Row],[Column2]],Table12[[Column2]:[Column54]],44,FALSE),"0")</f>
        <v>0</v>
      </c>
      <c r="AT54" s="65">
        <f>IFERROR(VLOOKUP(Table1215[[#This Row],[Column2]],Table12[[Column2]:[Column54]],45,FALSE),"0")</f>
        <v>0</v>
      </c>
      <c r="AU54" s="65">
        <f>IFERROR(VLOOKUP(Table1215[[#This Row],[Column2]],Table12[[Column2]:[Column54]],46,FALSE),"0")</f>
        <v>0</v>
      </c>
      <c r="AV54" s="67">
        <f>Table1215[[#This Row],[Column43]]</f>
        <v>2</v>
      </c>
      <c r="AW54" s="65">
        <f>IFERROR(VLOOKUP(Table1215[[#This Row],[Column2]],Table12[[Column2]:[Column54]],48,FALSE),"0")</f>
        <v>0</v>
      </c>
      <c r="AX54" s="65">
        <f>IFERROR(VLOOKUP(Table1215[[#This Row],[Column2]],Table12[[Column2]:[Column54]],49,FALSE),"0")</f>
        <v>0</v>
      </c>
      <c r="AY54" s="65">
        <f>IFERROR(VLOOKUP(Table1215[[#This Row],[Column2]],Table12[[Column2]:[Column54]],50,FALSE),"0")</f>
        <v>0</v>
      </c>
      <c r="AZ54" s="65">
        <f>IFERROR(VLOOKUP(Table1215[[#This Row],[Column2]],Table12[[Column2]:[Column54]],51,FALSE),"0")</f>
        <v>3</v>
      </c>
      <c r="BA54" s="65">
        <f>IFERROR(VLOOKUP(Table1215[[#This Row],[Column2]],Table12[[Column2]:[Column54]],52,FALSE),"0")</f>
        <v>2</v>
      </c>
      <c r="BB54" s="67">
        <f>AVERAGE(Table1215[[#This Row],[Column52]],Table1215[[#This Row],[Column53]])</f>
        <v>2.5</v>
      </c>
    </row>
    <row r="55" spans="1:54" ht="23.1" customHeight="1" x14ac:dyDescent="0.3">
      <c r="A55" s="87">
        <v>52</v>
      </c>
      <c r="B55" s="70" t="s">
        <v>213</v>
      </c>
      <c r="C55" s="71" t="s">
        <v>214</v>
      </c>
      <c r="D55" s="70" t="s">
        <v>450</v>
      </c>
      <c r="E55" s="70" t="s">
        <v>161</v>
      </c>
      <c r="F55" s="70" t="str">
        <f>REPT(CHAR(160),10)&amp;Working!$E56</f>
        <v>          B</v>
      </c>
      <c r="G55" s="61">
        <f>IFERROR(VLOOKUP(Table1215[[#This Row],[Column2]],Table12[[Column2]:[Column54]],6,FALSE),"0")</f>
        <v>0</v>
      </c>
      <c r="H55" s="61">
        <f>IFERROR(VLOOKUP(Table1215[[#This Row],[Column2]],Table12[[Column2]:[Column54]],7,FALSE),"0")</f>
        <v>0</v>
      </c>
      <c r="I55" s="61">
        <f>IFERROR(VLOOKUP(Table1215[[#This Row],[Column2]],Table12[[Column2]:[Column54]],8,FALSE),"0")</f>
        <v>2</v>
      </c>
      <c r="J55" s="61">
        <f>IFERROR(VLOOKUP(Table1215[[#This Row],[Column2]],Table12[[Column2]:[Column54]],9,FALSE),"0")</f>
        <v>0</v>
      </c>
      <c r="K55" s="61">
        <f>IFERROR(VLOOKUP(Table1215[[#This Row],[Column2]],Table12[[Column2]:[Column54]],10,FALSE),"0")</f>
        <v>0</v>
      </c>
      <c r="L55" s="67">
        <f>Table1215[[#This Row],[Column9]]</f>
        <v>2</v>
      </c>
      <c r="M55" s="61">
        <f>IFERROR(VLOOKUP(Table1215[[#This Row],[Column2]],Table12[[Column2]:[Column54]],12,FALSE),"0")</f>
        <v>0</v>
      </c>
      <c r="N55" s="61">
        <f>IFERROR(VLOOKUP(Table1215[[#This Row],[Column2]],Table12[[Column2]:[Column54]],13,FALSE),"0")</f>
        <v>2</v>
      </c>
      <c r="O55" s="61">
        <f>IFERROR(VLOOKUP(Table1215[[#This Row],[Column2]],Table12[[Column2]:[Column54]],14,FALSE),"0")</f>
        <v>2</v>
      </c>
      <c r="P55" s="61">
        <f>IFERROR(VLOOKUP(Table1215[[#This Row],[Column2]],Table12[[Column2]:[Column54]],10,FALSE),"0")</f>
        <v>0</v>
      </c>
      <c r="Q55" s="61">
        <f>IFERROR(VLOOKUP(Table1215[[#This Row],[Column2]],Table12[[Column2]:[Column54]],16,FALSE),"0")</f>
        <v>2</v>
      </c>
      <c r="R55" s="67">
        <f>AVERAGE(Table1215[[#This Row],[Column14]],Table1215[[#This Row],[Column15]],Table1215[[#This Row],[Column17]])</f>
        <v>2</v>
      </c>
      <c r="S55" s="61">
        <f>IFERROR(VLOOKUP(Table1215[[#This Row],[Column2]],Table12[[Column2]:[Column54]],18,FALSE),"0")</f>
        <v>0</v>
      </c>
      <c r="T55" s="61">
        <f>IFERROR(VLOOKUP(Table1215[[#This Row],[Column2]],Table12[[Column2]:[Column54]],19,FALSE),"0")</f>
        <v>0</v>
      </c>
      <c r="U55" s="61">
        <f>IFERROR(VLOOKUP(Table1215[[#This Row],[Column2]],Table12[[Column2]:[Column54]],20,FALSE),"0")</f>
        <v>0</v>
      </c>
      <c r="V55" s="61">
        <f>IFERROR(VLOOKUP(Table1215[[#This Row],[Column2]],Table12[[Column2]:[Column54]],21,FALSE),"0")</f>
        <v>0</v>
      </c>
      <c r="W55" s="61">
        <f>IFERROR(VLOOKUP(Table1215[[#This Row],[Column2]],Table12[[Column2]:[Column54]],22,FALSE),"0")</f>
        <v>0</v>
      </c>
      <c r="X55" s="67">
        <f>Table1215[[#This Row],[Column19]]</f>
        <v>0</v>
      </c>
      <c r="Y55" s="61">
        <f>IFERROR(VLOOKUP(Table1215[[#This Row],[Column2]],Table12[[Column2]:[Column54]],24,FALSE),"0")</f>
        <v>2</v>
      </c>
      <c r="Z55" s="61">
        <f>IFERROR(VLOOKUP(Table1215[[#This Row],[Column2]],Table12[[Column2]:[Column54]],25,FALSE),"0")</f>
        <v>0</v>
      </c>
      <c r="AA55" s="61">
        <f>IFERROR(VLOOKUP(Table1215[[#This Row],[Column2]],Table12[[Column2]:[Column54]],26,FALSE),"0")</f>
        <v>0</v>
      </c>
      <c r="AB55" s="61">
        <f>IFERROR(VLOOKUP(Table1215[[#This Row],[Column2]],Table12[[Column2]:[Column54]],27,FALSE),"0")</f>
        <v>0</v>
      </c>
      <c r="AC55" s="61">
        <f>IFERROR(VLOOKUP(Table1215[[#This Row],[Column2]],Table12[[Column2]:[Column54]],28,FALSE),"0")</f>
        <v>0</v>
      </c>
      <c r="AD55" s="67">
        <f>Table1215[[#This Row],[Column25]]</f>
        <v>2</v>
      </c>
      <c r="AE55" s="61">
        <f>IFERROR(VLOOKUP(Table1215[[#This Row],[Column2]],Table12[[Column2]:[Column54]],30,FALSE),"0")</f>
        <v>0</v>
      </c>
      <c r="AF55" s="61">
        <f>IFERROR(VLOOKUP(Table1215[[#This Row],[Column2]],Table12[[Column2]:[Column54]],31,FALSE),"0")</f>
        <v>0</v>
      </c>
      <c r="AG55" s="61">
        <f>IFERROR(VLOOKUP(Table1215[[#This Row],[Column2]],Table12[[Column2]:[Column54]],32,FALSE),"0")</f>
        <v>0</v>
      </c>
      <c r="AH55" s="61">
        <f>IFERROR(VLOOKUP(Table1215[[#This Row],[Column2]],Table12[[Column2]:[Column54]],33,FALSE),"0")</f>
        <v>0</v>
      </c>
      <c r="AI55" s="61">
        <f>IFERROR(VLOOKUP(Table1215[[#This Row],[Column2]],Table12[[Column2]:[Column54]],34,FALSE),"0")</f>
        <v>0</v>
      </c>
      <c r="AJ55" s="67">
        <f>AVERAGE(Table1215[[#This Row],[Column31]],Table1215[[#This Row],[Column32]],Table1215[[#This Row],[Column33]])</f>
        <v>0</v>
      </c>
      <c r="AK55" s="61">
        <f>IFERROR(VLOOKUP(Table1215[[#This Row],[Column2]],Table12[[Column2]:[Column54]],36,FALSE),"0")</f>
        <v>3</v>
      </c>
      <c r="AL55" s="61">
        <f>IFERROR(VLOOKUP(Table1215[[#This Row],[Column2]],Table12[[Column2]:[Column54]],37,FALSE),"0")</f>
        <v>3</v>
      </c>
      <c r="AM55" s="61">
        <f>IFERROR(VLOOKUP(Table1215[[#This Row],[Column2]],Table12[[Column2]:[Column54]],38,FALSE),"0")</f>
        <v>0</v>
      </c>
      <c r="AN55" s="61">
        <f>IFERROR(VLOOKUP(Table1215[[#This Row],[Column2]],Table12[[Column2]:[Column54]],39,FALSE),"0")</f>
        <v>2</v>
      </c>
      <c r="AO55" s="61">
        <f>IFERROR(VLOOKUP(Table1215[[#This Row],[Column2]],Table12[[Column2]:[Column54]],40,FALSE),"0")</f>
        <v>0</v>
      </c>
      <c r="AP55" s="67">
        <f>AVERAGE(Table1215[[#This Row],[Column37]],Table1215[[#This Row],[Column38]],Table1215[[#This Row],[Column40]])</f>
        <v>2.6666666666666665</v>
      </c>
      <c r="AQ55" s="61">
        <f>IFERROR(VLOOKUP(Table1215[[#This Row],[Column2]],Table12[[Column2]:[Column54]],42,FALSE),"0")</f>
        <v>3</v>
      </c>
      <c r="AR55" s="61">
        <f>IFERROR(VLOOKUP(Table1215[[#This Row],[Column2]],Table12[[Column2]:[Column54]],43,FALSE),"0")</f>
        <v>0</v>
      </c>
      <c r="AS55" s="61">
        <f>IFERROR(VLOOKUP(Table1215[[#This Row],[Column2]],Table12[[Column2]:[Column54]],44,FALSE),"0")</f>
        <v>0</v>
      </c>
      <c r="AT55" s="61">
        <f>IFERROR(VLOOKUP(Table1215[[#This Row],[Column2]],Table12[[Column2]:[Column54]],45,FALSE),"0")</f>
        <v>0</v>
      </c>
      <c r="AU55" s="61">
        <f>IFERROR(VLOOKUP(Table1215[[#This Row],[Column2]],Table12[[Column2]:[Column54]],46,FALSE),"0")</f>
        <v>0</v>
      </c>
      <c r="AV55" s="67">
        <f>Table1215[[#This Row],[Column43]]</f>
        <v>3</v>
      </c>
      <c r="AW55" s="61">
        <f>IFERROR(VLOOKUP(Table1215[[#This Row],[Column2]],Table12[[Column2]:[Column54]],48,FALSE),"0")</f>
        <v>0</v>
      </c>
      <c r="AX55" s="61">
        <f>IFERROR(VLOOKUP(Table1215[[#This Row],[Column2]],Table12[[Column2]:[Column54]],49,FALSE),"0")</f>
        <v>0</v>
      </c>
      <c r="AY55" s="61">
        <f>IFERROR(VLOOKUP(Table1215[[#This Row],[Column2]],Table12[[Column2]:[Column54]],50,FALSE),"0")</f>
        <v>0</v>
      </c>
      <c r="AZ55" s="61">
        <f>IFERROR(VLOOKUP(Table1215[[#This Row],[Column2]],Table12[[Column2]:[Column54]],51,FALSE),"0")</f>
        <v>3</v>
      </c>
      <c r="BA55" s="61">
        <f>IFERROR(VLOOKUP(Table1215[[#This Row],[Column2]],Table12[[Column2]:[Column54]],52,FALSE),"0")</f>
        <v>3</v>
      </c>
      <c r="BB55" s="67">
        <f>AVERAGE(Table1215[[#This Row],[Column52]],Table1215[[#This Row],[Column53]])</f>
        <v>3</v>
      </c>
    </row>
    <row r="56" spans="1:54" ht="23.1" customHeight="1" x14ac:dyDescent="0.3">
      <c r="A56" s="86">
        <v>53</v>
      </c>
      <c r="B56" s="63" t="s">
        <v>229</v>
      </c>
      <c r="C56" s="64" t="s">
        <v>230</v>
      </c>
      <c r="D56" s="63" t="s">
        <v>450</v>
      </c>
      <c r="E56" s="63" t="s">
        <v>161</v>
      </c>
      <c r="F56" s="63" t="str">
        <f>REPT(CHAR(160),10)&amp;Working!$E57</f>
        <v>          B</v>
      </c>
      <c r="G56" s="65">
        <f>IFERROR(VLOOKUP(Table1215[[#This Row],[Column2]],Table12[[Column2]:[Column54]],6,FALSE),"0")</f>
        <v>0</v>
      </c>
      <c r="H56" s="65">
        <f>IFERROR(VLOOKUP(Table1215[[#This Row],[Column2]],Table12[[Column2]:[Column54]],7,FALSE),"0")</f>
        <v>0</v>
      </c>
      <c r="I56" s="65">
        <f>IFERROR(VLOOKUP(Table1215[[#This Row],[Column2]],Table12[[Column2]:[Column54]],8,FALSE),"0")</f>
        <v>2</v>
      </c>
      <c r="J56" s="65">
        <f>IFERROR(VLOOKUP(Table1215[[#This Row],[Column2]],Table12[[Column2]:[Column54]],9,FALSE),"0")</f>
        <v>0</v>
      </c>
      <c r="K56" s="65">
        <f>IFERROR(VLOOKUP(Table1215[[#This Row],[Column2]],Table12[[Column2]:[Column54]],10,FALSE),"0")</f>
        <v>0</v>
      </c>
      <c r="L56" s="67">
        <f>Table1215[[#This Row],[Column9]]</f>
        <v>2</v>
      </c>
      <c r="M56" s="65">
        <f>IFERROR(VLOOKUP(Table1215[[#This Row],[Column2]],Table12[[Column2]:[Column54]],12,FALSE),"0")</f>
        <v>0</v>
      </c>
      <c r="N56" s="65">
        <f>IFERROR(VLOOKUP(Table1215[[#This Row],[Column2]],Table12[[Column2]:[Column54]],13,FALSE),"0")</f>
        <v>2</v>
      </c>
      <c r="O56" s="65">
        <f>IFERROR(VLOOKUP(Table1215[[#This Row],[Column2]],Table12[[Column2]:[Column54]],14,FALSE),"0")</f>
        <v>2</v>
      </c>
      <c r="P56" s="65">
        <f>IFERROR(VLOOKUP(Table1215[[#This Row],[Column2]],Table12[[Column2]:[Column54]],10,FALSE),"0")</f>
        <v>0</v>
      </c>
      <c r="Q56" s="65">
        <f>IFERROR(VLOOKUP(Table1215[[#This Row],[Column2]],Table12[[Column2]:[Column54]],16,FALSE),"0")</f>
        <v>2</v>
      </c>
      <c r="R56" s="67">
        <f>AVERAGE(Table1215[[#This Row],[Column14]],Table1215[[#This Row],[Column15]],Table1215[[#This Row],[Column17]])</f>
        <v>2</v>
      </c>
      <c r="S56" s="65">
        <f>IFERROR(VLOOKUP(Table1215[[#This Row],[Column2]],Table12[[Column2]:[Column54]],18,FALSE),"0")</f>
        <v>0</v>
      </c>
      <c r="T56" s="65">
        <f>IFERROR(VLOOKUP(Table1215[[#This Row],[Column2]],Table12[[Column2]:[Column54]],19,FALSE),"0")</f>
        <v>0</v>
      </c>
      <c r="U56" s="65">
        <f>IFERROR(VLOOKUP(Table1215[[#This Row],[Column2]],Table12[[Column2]:[Column54]],20,FALSE),"0")</f>
        <v>0</v>
      </c>
      <c r="V56" s="65">
        <f>IFERROR(VLOOKUP(Table1215[[#This Row],[Column2]],Table12[[Column2]:[Column54]],21,FALSE),"0")</f>
        <v>0</v>
      </c>
      <c r="W56" s="65">
        <f>IFERROR(VLOOKUP(Table1215[[#This Row],[Column2]],Table12[[Column2]:[Column54]],22,FALSE),"0")</f>
        <v>0</v>
      </c>
      <c r="X56" s="67">
        <f>Table1215[[#This Row],[Column19]]</f>
        <v>0</v>
      </c>
      <c r="Y56" s="65">
        <f>IFERROR(VLOOKUP(Table1215[[#This Row],[Column2]],Table12[[Column2]:[Column54]],24,FALSE),"0")</f>
        <v>2</v>
      </c>
      <c r="Z56" s="65">
        <f>IFERROR(VLOOKUP(Table1215[[#This Row],[Column2]],Table12[[Column2]:[Column54]],25,FALSE),"0")</f>
        <v>0</v>
      </c>
      <c r="AA56" s="65">
        <f>IFERROR(VLOOKUP(Table1215[[#This Row],[Column2]],Table12[[Column2]:[Column54]],26,FALSE),"0")</f>
        <v>0</v>
      </c>
      <c r="AB56" s="65">
        <f>IFERROR(VLOOKUP(Table1215[[#This Row],[Column2]],Table12[[Column2]:[Column54]],27,FALSE),"0")</f>
        <v>0</v>
      </c>
      <c r="AC56" s="65">
        <f>IFERROR(VLOOKUP(Table1215[[#This Row],[Column2]],Table12[[Column2]:[Column54]],28,FALSE),"0")</f>
        <v>0</v>
      </c>
      <c r="AD56" s="67">
        <f>Table1215[[#This Row],[Column25]]</f>
        <v>2</v>
      </c>
      <c r="AE56" s="65">
        <f>IFERROR(VLOOKUP(Table1215[[#This Row],[Column2]],Table12[[Column2]:[Column54]],30,FALSE),"0")</f>
        <v>0</v>
      </c>
      <c r="AF56" s="65">
        <f>IFERROR(VLOOKUP(Table1215[[#This Row],[Column2]],Table12[[Column2]:[Column54]],31,FALSE),"0")</f>
        <v>0</v>
      </c>
      <c r="AG56" s="65">
        <f>IFERROR(VLOOKUP(Table1215[[#This Row],[Column2]],Table12[[Column2]:[Column54]],32,FALSE),"0")</f>
        <v>0</v>
      </c>
      <c r="AH56" s="65">
        <f>IFERROR(VLOOKUP(Table1215[[#This Row],[Column2]],Table12[[Column2]:[Column54]],33,FALSE),"0")</f>
        <v>0</v>
      </c>
      <c r="AI56" s="65">
        <f>IFERROR(VLOOKUP(Table1215[[#This Row],[Column2]],Table12[[Column2]:[Column54]],34,FALSE),"0")</f>
        <v>0</v>
      </c>
      <c r="AJ56" s="67">
        <f>AVERAGE(Table1215[[#This Row],[Column31]],Table1215[[#This Row],[Column32]],Table1215[[#This Row],[Column33]])</f>
        <v>0</v>
      </c>
      <c r="AK56" s="65">
        <f>IFERROR(VLOOKUP(Table1215[[#This Row],[Column2]],Table12[[Column2]:[Column54]],36,FALSE),"0")</f>
        <v>2</v>
      </c>
      <c r="AL56" s="65">
        <f>IFERROR(VLOOKUP(Table1215[[#This Row],[Column2]],Table12[[Column2]:[Column54]],37,FALSE),"0")</f>
        <v>3</v>
      </c>
      <c r="AM56" s="65">
        <f>IFERROR(VLOOKUP(Table1215[[#This Row],[Column2]],Table12[[Column2]:[Column54]],38,FALSE),"0")</f>
        <v>0</v>
      </c>
      <c r="AN56" s="65">
        <f>IFERROR(VLOOKUP(Table1215[[#This Row],[Column2]],Table12[[Column2]:[Column54]],39,FALSE),"0")</f>
        <v>3</v>
      </c>
      <c r="AO56" s="65">
        <f>IFERROR(VLOOKUP(Table1215[[#This Row],[Column2]],Table12[[Column2]:[Column54]],40,FALSE),"0")</f>
        <v>0</v>
      </c>
      <c r="AP56" s="67">
        <f>AVERAGE(Table1215[[#This Row],[Column37]],Table1215[[#This Row],[Column38]],Table1215[[#This Row],[Column40]])</f>
        <v>2.6666666666666665</v>
      </c>
      <c r="AQ56" s="65">
        <f>IFERROR(VLOOKUP(Table1215[[#This Row],[Column2]],Table12[[Column2]:[Column54]],42,FALSE),"0")</f>
        <v>3</v>
      </c>
      <c r="AR56" s="65">
        <f>IFERROR(VLOOKUP(Table1215[[#This Row],[Column2]],Table12[[Column2]:[Column54]],43,FALSE),"0")</f>
        <v>0</v>
      </c>
      <c r="AS56" s="65">
        <f>IFERROR(VLOOKUP(Table1215[[#This Row],[Column2]],Table12[[Column2]:[Column54]],44,FALSE),"0")</f>
        <v>0</v>
      </c>
      <c r="AT56" s="65">
        <f>IFERROR(VLOOKUP(Table1215[[#This Row],[Column2]],Table12[[Column2]:[Column54]],45,FALSE),"0")</f>
        <v>0</v>
      </c>
      <c r="AU56" s="65">
        <f>IFERROR(VLOOKUP(Table1215[[#This Row],[Column2]],Table12[[Column2]:[Column54]],46,FALSE),"0")</f>
        <v>0</v>
      </c>
      <c r="AV56" s="67">
        <f>Table1215[[#This Row],[Column43]]</f>
        <v>3</v>
      </c>
      <c r="AW56" s="65">
        <f>IFERROR(VLOOKUP(Table1215[[#This Row],[Column2]],Table12[[Column2]:[Column54]],48,FALSE),"0")</f>
        <v>0</v>
      </c>
      <c r="AX56" s="65">
        <f>IFERROR(VLOOKUP(Table1215[[#This Row],[Column2]],Table12[[Column2]:[Column54]],49,FALSE),"0")</f>
        <v>0</v>
      </c>
      <c r="AY56" s="65">
        <f>IFERROR(VLOOKUP(Table1215[[#This Row],[Column2]],Table12[[Column2]:[Column54]],50,FALSE),"0")</f>
        <v>0</v>
      </c>
      <c r="AZ56" s="65">
        <f>IFERROR(VLOOKUP(Table1215[[#This Row],[Column2]],Table12[[Column2]:[Column54]],51,FALSE),"0")</f>
        <v>3</v>
      </c>
      <c r="BA56" s="65">
        <f>IFERROR(VLOOKUP(Table1215[[#This Row],[Column2]],Table12[[Column2]:[Column54]],52,FALSE),"0")</f>
        <v>2</v>
      </c>
      <c r="BB56" s="67">
        <f>AVERAGE(Table1215[[#This Row],[Column52]],Table1215[[#This Row],[Column53]])</f>
        <v>2.5</v>
      </c>
    </row>
    <row r="57" spans="1:54" ht="23.1" customHeight="1" x14ac:dyDescent="0.3">
      <c r="A57" s="87">
        <v>54</v>
      </c>
      <c r="B57" s="70" t="s">
        <v>312</v>
      </c>
      <c r="C57" s="71" t="s">
        <v>313</v>
      </c>
      <c r="D57" s="70" t="s">
        <v>450</v>
      </c>
      <c r="E57" s="70" t="s">
        <v>493</v>
      </c>
      <c r="F57" s="70" t="str">
        <f>REPT(CHAR(160),10)&amp;Working!$E58</f>
        <v>          C</v>
      </c>
      <c r="G57" s="61">
        <f>IFERROR(VLOOKUP(Table1215[[#This Row],[Column2]],Table12[[Column2]:[Column54]],6,FALSE),"0")</f>
        <v>0</v>
      </c>
      <c r="H57" s="61">
        <f>IFERROR(VLOOKUP(Table1215[[#This Row],[Column2]],Table12[[Column2]:[Column54]],7,FALSE),"0")</f>
        <v>0</v>
      </c>
      <c r="I57" s="61">
        <f>IFERROR(VLOOKUP(Table1215[[#This Row],[Column2]],Table12[[Column2]:[Column54]],8,FALSE),"0")</f>
        <v>4</v>
      </c>
      <c r="J57" s="61">
        <f>IFERROR(VLOOKUP(Table1215[[#This Row],[Column2]],Table12[[Column2]:[Column54]],9,FALSE),"0")</f>
        <v>0</v>
      </c>
      <c r="K57" s="61">
        <f>IFERROR(VLOOKUP(Table1215[[#This Row],[Column2]],Table12[[Column2]:[Column54]],10,FALSE),"0")</f>
        <v>0</v>
      </c>
      <c r="L57" s="67">
        <f>Table1215[[#This Row],[Column9]]</f>
        <v>4</v>
      </c>
      <c r="M57" s="61">
        <f>IFERROR(VLOOKUP(Table1215[[#This Row],[Column2]],Table12[[Column2]:[Column54]],12,FALSE),"0")</f>
        <v>0</v>
      </c>
      <c r="N57" s="61">
        <f>IFERROR(VLOOKUP(Table1215[[#This Row],[Column2]],Table12[[Column2]:[Column54]],13,FALSE),"0")</f>
        <v>3</v>
      </c>
      <c r="O57" s="61">
        <f>IFERROR(VLOOKUP(Table1215[[#This Row],[Column2]],Table12[[Column2]:[Column54]],14,FALSE),"0")</f>
        <v>3</v>
      </c>
      <c r="P57" s="61">
        <f>IFERROR(VLOOKUP(Table1215[[#This Row],[Column2]],Table12[[Column2]:[Column54]],10,FALSE),"0")</f>
        <v>0</v>
      </c>
      <c r="Q57" s="61">
        <f>IFERROR(VLOOKUP(Table1215[[#This Row],[Column2]],Table12[[Column2]:[Column54]],16,FALSE),"0")</f>
        <v>3</v>
      </c>
      <c r="R57" s="67">
        <f>AVERAGE(Table1215[[#This Row],[Column14]],Table1215[[#This Row],[Column15]],Table1215[[#This Row],[Column17]])</f>
        <v>3</v>
      </c>
      <c r="S57" s="61">
        <f>IFERROR(VLOOKUP(Table1215[[#This Row],[Column2]],Table12[[Column2]:[Column54]],18,FALSE),"0")</f>
        <v>0</v>
      </c>
      <c r="T57" s="61">
        <f>IFERROR(VLOOKUP(Table1215[[#This Row],[Column2]],Table12[[Column2]:[Column54]],19,FALSE),"0")</f>
        <v>0</v>
      </c>
      <c r="U57" s="61">
        <f>IFERROR(VLOOKUP(Table1215[[#This Row],[Column2]],Table12[[Column2]:[Column54]],20,FALSE),"0")</f>
        <v>0</v>
      </c>
      <c r="V57" s="61">
        <f>IFERROR(VLOOKUP(Table1215[[#This Row],[Column2]],Table12[[Column2]:[Column54]],21,FALSE),"0")</f>
        <v>0</v>
      </c>
      <c r="W57" s="61">
        <f>IFERROR(VLOOKUP(Table1215[[#This Row],[Column2]],Table12[[Column2]:[Column54]],22,FALSE),"0")</f>
        <v>0</v>
      </c>
      <c r="X57" s="67">
        <f>Table1215[[#This Row],[Column19]]</f>
        <v>0</v>
      </c>
      <c r="Y57" s="61">
        <f>IFERROR(VLOOKUP(Table1215[[#This Row],[Column2]],Table12[[Column2]:[Column54]],24,FALSE),"0")</f>
        <v>3</v>
      </c>
      <c r="Z57" s="61">
        <f>IFERROR(VLOOKUP(Table1215[[#This Row],[Column2]],Table12[[Column2]:[Column54]],25,FALSE),"0")</f>
        <v>0</v>
      </c>
      <c r="AA57" s="61">
        <f>IFERROR(VLOOKUP(Table1215[[#This Row],[Column2]],Table12[[Column2]:[Column54]],26,FALSE),"0")</f>
        <v>0</v>
      </c>
      <c r="AB57" s="61">
        <f>IFERROR(VLOOKUP(Table1215[[#This Row],[Column2]],Table12[[Column2]:[Column54]],27,FALSE),"0")</f>
        <v>0</v>
      </c>
      <c r="AC57" s="61">
        <f>IFERROR(VLOOKUP(Table1215[[#This Row],[Column2]],Table12[[Column2]:[Column54]],28,FALSE),"0")</f>
        <v>0</v>
      </c>
      <c r="AD57" s="67">
        <f>Table1215[[#This Row],[Column25]]</f>
        <v>3</v>
      </c>
      <c r="AE57" s="61">
        <f>IFERROR(VLOOKUP(Table1215[[#This Row],[Column2]],Table12[[Column2]:[Column54]],30,FALSE),"0")</f>
        <v>0</v>
      </c>
      <c r="AF57" s="61">
        <f>IFERROR(VLOOKUP(Table1215[[#This Row],[Column2]],Table12[[Column2]:[Column54]],31,FALSE),"0")</f>
        <v>0</v>
      </c>
      <c r="AG57" s="61">
        <f>IFERROR(VLOOKUP(Table1215[[#This Row],[Column2]],Table12[[Column2]:[Column54]],32,FALSE),"0")</f>
        <v>0</v>
      </c>
      <c r="AH57" s="61">
        <f>IFERROR(VLOOKUP(Table1215[[#This Row],[Column2]],Table12[[Column2]:[Column54]],33,FALSE),"0")</f>
        <v>0</v>
      </c>
      <c r="AI57" s="61">
        <f>IFERROR(VLOOKUP(Table1215[[#This Row],[Column2]],Table12[[Column2]:[Column54]],34,FALSE),"0")</f>
        <v>0</v>
      </c>
      <c r="AJ57" s="67">
        <f>AVERAGE(Table1215[[#This Row],[Column31]],Table1215[[#This Row],[Column32]],Table1215[[#This Row],[Column33]])</f>
        <v>0</v>
      </c>
      <c r="AK57" s="61">
        <f>IFERROR(VLOOKUP(Table1215[[#This Row],[Column2]],Table12[[Column2]:[Column54]],36,FALSE),"0")</f>
        <v>3</v>
      </c>
      <c r="AL57" s="61">
        <f>IFERROR(VLOOKUP(Table1215[[#This Row],[Column2]],Table12[[Column2]:[Column54]],37,FALSE),"0")</f>
        <v>3</v>
      </c>
      <c r="AM57" s="61">
        <f>IFERROR(VLOOKUP(Table1215[[#This Row],[Column2]],Table12[[Column2]:[Column54]],38,FALSE),"0")</f>
        <v>0</v>
      </c>
      <c r="AN57" s="61">
        <f>IFERROR(VLOOKUP(Table1215[[#This Row],[Column2]],Table12[[Column2]:[Column54]],39,FALSE),"0")</f>
        <v>3</v>
      </c>
      <c r="AO57" s="61">
        <f>IFERROR(VLOOKUP(Table1215[[#This Row],[Column2]],Table12[[Column2]:[Column54]],40,FALSE),"0")</f>
        <v>0</v>
      </c>
      <c r="AP57" s="67">
        <f>AVERAGE(Table1215[[#This Row],[Column37]],Table1215[[#This Row],[Column38]],Table1215[[#This Row],[Column40]])</f>
        <v>3</v>
      </c>
      <c r="AQ57" s="61">
        <f>IFERROR(VLOOKUP(Table1215[[#This Row],[Column2]],Table12[[Column2]:[Column54]],42,FALSE),"0")</f>
        <v>5</v>
      </c>
      <c r="AR57" s="61">
        <f>IFERROR(VLOOKUP(Table1215[[#This Row],[Column2]],Table12[[Column2]:[Column54]],43,FALSE),"0")</f>
        <v>0</v>
      </c>
      <c r="AS57" s="61">
        <f>IFERROR(VLOOKUP(Table1215[[#This Row],[Column2]],Table12[[Column2]:[Column54]],44,FALSE),"0")</f>
        <v>0</v>
      </c>
      <c r="AT57" s="61">
        <f>IFERROR(VLOOKUP(Table1215[[#This Row],[Column2]],Table12[[Column2]:[Column54]],45,FALSE),"0")</f>
        <v>0</v>
      </c>
      <c r="AU57" s="61">
        <f>IFERROR(VLOOKUP(Table1215[[#This Row],[Column2]],Table12[[Column2]:[Column54]],46,FALSE),"0")</f>
        <v>0</v>
      </c>
      <c r="AV57" s="67">
        <f>Table1215[[#This Row],[Column43]]</f>
        <v>5</v>
      </c>
      <c r="AW57" s="61">
        <f>IFERROR(VLOOKUP(Table1215[[#This Row],[Column2]],Table12[[Column2]:[Column54]],48,FALSE),"0")</f>
        <v>0</v>
      </c>
      <c r="AX57" s="61">
        <f>IFERROR(VLOOKUP(Table1215[[#This Row],[Column2]],Table12[[Column2]:[Column54]],49,FALSE),"0")</f>
        <v>0</v>
      </c>
      <c r="AY57" s="61">
        <f>IFERROR(VLOOKUP(Table1215[[#This Row],[Column2]],Table12[[Column2]:[Column54]],50,FALSE),"0")</f>
        <v>0</v>
      </c>
      <c r="AZ57" s="61">
        <f>IFERROR(VLOOKUP(Table1215[[#This Row],[Column2]],Table12[[Column2]:[Column54]],51,FALSE),"0")</f>
        <v>4</v>
      </c>
      <c r="BA57" s="61">
        <f>IFERROR(VLOOKUP(Table1215[[#This Row],[Column2]],Table12[[Column2]:[Column54]],52,FALSE),"0")</f>
        <v>3</v>
      </c>
      <c r="BB57" s="67">
        <f>AVERAGE(Table1215[[#This Row],[Column52]],Table1215[[#This Row],[Column53]])</f>
        <v>3.5</v>
      </c>
    </row>
    <row r="58" spans="1:54" ht="23.1" customHeight="1" x14ac:dyDescent="0.3">
      <c r="A58" s="86">
        <v>55</v>
      </c>
      <c r="B58" s="63" t="s">
        <v>247</v>
      </c>
      <c r="C58" s="64" t="s">
        <v>248</v>
      </c>
      <c r="D58" s="63" t="s">
        <v>450</v>
      </c>
      <c r="E58" s="63" t="s">
        <v>161</v>
      </c>
      <c r="F58" s="63" t="str">
        <f>REPT(CHAR(160),10)&amp;Working!$E59</f>
        <v>          B</v>
      </c>
      <c r="G58" s="65">
        <f>IFERROR(VLOOKUP(Table1215[[#This Row],[Column2]],Table12[[Column2]:[Column54]],6,FALSE),"0")</f>
        <v>0</v>
      </c>
      <c r="H58" s="65">
        <f>IFERROR(VLOOKUP(Table1215[[#This Row],[Column2]],Table12[[Column2]:[Column54]],7,FALSE),"0")</f>
        <v>0</v>
      </c>
      <c r="I58" s="65">
        <f>IFERROR(VLOOKUP(Table1215[[#This Row],[Column2]],Table12[[Column2]:[Column54]],8,FALSE),"0")</f>
        <v>3</v>
      </c>
      <c r="J58" s="65">
        <f>IFERROR(VLOOKUP(Table1215[[#This Row],[Column2]],Table12[[Column2]:[Column54]],9,FALSE),"0")</f>
        <v>0</v>
      </c>
      <c r="K58" s="65">
        <f>IFERROR(VLOOKUP(Table1215[[#This Row],[Column2]],Table12[[Column2]:[Column54]],10,FALSE),"0")</f>
        <v>0</v>
      </c>
      <c r="L58" s="67">
        <f>Table1215[[#This Row],[Column9]]</f>
        <v>3</v>
      </c>
      <c r="M58" s="65">
        <f>IFERROR(VLOOKUP(Table1215[[#This Row],[Column2]],Table12[[Column2]:[Column54]],12,FALSE),"0")</f>
        <v>0</v>
      </c>
      <c r="N58" s="65">
        <f>IFERROR(VLOOKUP(Table1215[[#This Row],[Column2]],Table12[[Column2]:[Column54]],13,FALSE),"0")</f>
        <v>4</v>
      </c>
      <c r="O58" s="65">
        <f>IFERROR(VLOOKUP(Table1215[[#This Row],[Column2]],Table12[[Column2]:[Column54]],14,FALSE),"0")</f>
        <v>3</v>
      </c>
      <c r="P58" s="65">
        <f>IFERROR(VLOOKUP(Table1215[[#This Row],[Column2]],Table12[[Column2]:[Column54]],10,FALSE),"0")</f>
        <v>0</v>
      </c>
      <c r="Q58" s="65">
        <f>IFERROR(VLOOKUP(Table1215[[#This Row],[Column2]],Table12[[Column2]:[Column54]],16,FALSE),"0")</f>
        <v>3</v>
      </c>
      <c r="R58" s="67">
        <f>AVERAGE(Table1215[[#This Row],[Column14]],Table1215[[#This Row],[Column15]],Table1215[[#This Row],[Column17]])</f>
        <v>3.3333333333333335</v>
      </c>
      <c r="S58" s="65">
        <f>IFERROR(VLOOKUP(Table1215[[#This Row],[Column2]],Table12[[Column2]:[Column54]],18,FALSE),"0")</f>
        <v>0</v>
      </c>
      <c r="T58" s="65">
        <f>IFERROR(VLOOKUP(Table1215[[#This Row],[Column2]],Table12[[Column2]:[Column54]],19,FALSE),"0")</f>
        <v>0</v>
      </c>
      <c r="U58" s="65">
        <f>IFERROR(VLOOKUP(Table1215[[#This Row],[Column2]],Table12[[Column2]:[Column54]],20,FALSE),"0")</f>
        <v>0</v>
      </c>
      <c r="V58" s="65">
        <f>IFERROR(VLOOKUP(Table1215[[#This Row],[Column2]],Table12[[Column2]:[Column54]],21,FALSE),"0")</f>
        <v>0</v>
      </c>
      <c r="W58" s="65">
        <f>IFERROR(VLOOKUP(Table1215[[#This Row],[Column2]],Table12[[Column2]:[Column54]],22,FALSE),"0")</f>
        <v>0</v>
      </c>
      <c r="X58" s="67">
        <f>Table1215[[#This Row],[Column19]]</f>
        <v>0</v>
      </c>
      <c r="Y58" s="65">
        <f>IFERROR(VLOOKUP(Table1215[[#This Row],[Column2]],Table12[[Column2]:[Column54]],24,FALSE),"0")</f>
        <v>2</v>
      </c>
      <c r="Z58" s="65">
        <f>IFERROR(VLOOKUP(Table1215[[#This Row],[Column2]],Table12[[Column2]:[Column54]],25,FALSE),"0")</f>
        <v>0</v>
      </c>
      <c r="AA58" s="65">
        <f>IFERROR(VLOOKUP(Table1215[[#This Row],[Column2]],Table12[[Column2]:[Column54]],26,FALSE),"0")</f>
        <v>0</v>
      </c>
      <c r="AB58" s="65">
        <f>IFERROR(VLOOKUP(Table1215[[#This Row],[Column2]],Table12[[Column2]:[Column54]],27,FALSE),"0")</f>
        <v>0</v>
      </c>
      <c r="AC58" s="65">
        <f>IFERROR(VLOOKUP(Table1215[[#This Row],[Column2]],Table12[[Column2]:[Column54]],28,FALSE),"0")</f>
        <v>0</v>
      </c>
      <c r="AD58" s="67">
        <f>Table1215[[#This Row],[Column25]]</f>
        <v>2</v>
      </c>
      <c r="AE58" s="65">
        <f>IFERROR(VLOOKUP(Table1215[[#This Row],[Column2]],Table12[[Column2]:[Column54]],30,FALSE),"0")</f>
        <v>0</v>
      </c>
      <c r="AF58" s="65">
        <f>IFERROR(VLOOKUP(Table1215[[#This Row],[Column2]],Table12[[Column2]:[Column54]],31,FALSE),"0")</f>
        <v>0</v>
      </c>
      <c r="AG58" s="65">
        <f>IFERROR(VLOOKUP(Table1215[[#This Row],[Column2]],Table12[[Column2]:[Column54]],32,FALSE),"0")</f>
        <v>0</v>
      </c>
      <c r="AH58" s="65">
        <f>IFERROR(VLOOKUP(Table1215[[#This Row],[Column2]],Table12[[Column2]:[Column54]],33,FALSE),"0")</f>
        <v>0</v>
      </c>
      <c r="AI58" s="65">
        <f>IFERROR(VLOOKUP(Table1215[[#This Row],[Column2]],Table12[[Column2]:[Column54]],34,FALSE),"0")</f>
        <v>0</v>
      </c>
      <c r="AJ58" s="67">
        <f>AVERAGE(Table1215[[#This Row],[Column31]],Table1215[[#This Row],[Column32]],Table1215[[#This Row],[Column33]])</f>
        <v>0</v>
      </c>
      <c r="AK58" s="65">
        <f>IFERROR(VLOOKUP(Table1215[[#This Row],[Column2]],Table12[[Column2]:[Column54]],36,FALSE),"0")</f>
        <v>3</v>
      </c>
      <c r="AL58" s="65">
        <f>IFERROR(VLOOKUP(Table1215[[#This Row],[Column2]],Table12[[Column2]:[Column54]],37,FALSE),"0")</f>
        <v>3</v>
      </c>
      <c r="AM58" s="65">
        <f>IFERROR(VLOOKUP(Table1215[[#This Row],[Column2]],Table12[[Column2]:[Column54]],38,FALSE),"0")</f>
        <v>0</v>
      </c>
      <c r="AN58" s="65">
        <f>IFERROR(VLOOKUP(Table1215[[#This Row],[Column2]],Table12[[Column2]:[Column54]],39,FALSE),"0")</f>
        <v>3</v>
      </c>
      <c r="AO58" s="65">
        <f>IFERROR(VLOOKUP(Table1215[[#This Row],[Column2]],Table12[[Column2]:[Column54]],40,FALSE),"0")</f>
        <v>0</v>
      </c>
      <c r="AP58" s="67">
        <f>AVERAGE(Table1215[[#This Row],[Column37]],Table1215[[#This Row],[Column38]],Table1215[[#This Row],[Column40]])</f>
        <v>3</v>
      </c>
      <c r="AQ58" s="65">
        <f>IFERROR(VLOOKUP(Table1215[[#This Row],[Column2]],Table12[[Column2]:[Column54]],42,FALSE),"0")</f>
        <v>3</v>
      </c>
      <c r="AR58" s="65">
        <f>IFERROR(VLOOKUP(Table1215[[#This Row],[Column2]],Table12[[Column2]:[Column54]],43,FALSE),"0")</f>
        <v>0</v>
      </c>
      <c r="AS58" s="65">
        <f>IFERROR(VLOOKUP(Table1215[[#This Row],[Column2]],Table12[[Column2]:[Column54]],44,FALSE),"0")</f>
        <v>0</v>
      </c>
      <c r="AT58" s="65">
        <f>IFERROR(VLOOKUP(Table1215[[#This Row],[Column2]],Table12[[Column2]:[Column54]],45,FALSE),"0")</f>
        <v>0</v>
      </c>
      <c r="AU58" s="65">
        <f>IFERROR(VLOOKUP(Table1215[[#This Row],[Column2]],Table12[[Column2]:[Column54]],46,FALSE),"0")</f>
        <v>0</v>
      </c>
      <c r="AV58" s="67">
        <f>Table1215[[#This Row],[Column43]]</f>
        <v>3</v>
      </c>
      <c r="AW58" s="65">
        <f>IFERROR(VLOOKUP(Table1215[[#This Row],[Column2]],Table12[[Column2]:[Column54]],48,FALSE),"0")</f>
        <v>0</v>
      </c>
      <c r="AX58" s="65">
        <f>IFERROR(VLOOKUP(Table1215[[#This Row],[Column2]],Table12[[Column2]:[Column54]],49,FALSE),"0")</f>
        <v>0</v>
      </c>
      <c r="AY58" s="65">
        <f>IFERROR(VLOOKUP(Table1215[[#This Row],[Column2]],Table12[[Column2]:[Column54]],50,FALSE),"0")</f>
        <v>0</v>
      </c>
      <c r="AZ58" s="65">
        <f>IFERROR(VLOOKUP(Table1215[[#This Row],[Column2]],Table12[[Column2]:[Column54]],51,FALSE),"0")</f>
        <v>3</v>
      </c>
      <c r="BA58" s="65">
        <f>IFERROR(VLOOKUP(Table1215[[#This Row],[Column2]],Table12[[Column2]:[Column54]],52,FALSE),"0")</f>
        <v>3</v>
      </c>
      <c r="BB58" s="67">
        <f>AVERAGE(Table1215[[#This Row],[Column52]],Table1215[[#This Row],[Column53]])</f>
        <v>3</v>
      </c>
    </row>
    <row r="59" spans="1:54" ht="23.1" customHeight="1" x14ac:dyDescent="0.3">
      <c r="A59" s="87">
        <v>56</v>
      </c>
      <c r="B59" s="70" t="s">
        <v>124</v>
      </c>
      <c r="C59" s="71" t="s">
        <v>125</v>
      </c>
      <c r="D59" s="70" t="s">
        <v>542</v>
      </c>
      <c r="E59" s="70" t="s">
        <v>35</v>
      </c>
      <c r="F59" s="70" t="str">
        <f>REPT(CHAR(160),10)&amp;Working!$E60</f>
        <v>          A</v>
      </c>
      <c r="G59" s="61">
        <f>IFERROR(VLOOKUP(Table1215[[#This Row],[Column2]],Table12[[Column2]:[Column54]],6,FALSE),"0")</f>
        <v>0</v>
      </c>
      <c r="H59" s="61">
        <f>IFERROR(VLOOKUP(Table1215[[#This Row],[Column2]],Table12[[Column2]:[Column54]],7,FALSE),"0")</f>
        <v>0</v>
      </c>
      <c r="I59" s="61">
        <f>IFERROR(VLOOKUP(Table1215[[#This Row],[Column2]],Table12[[Column2]:[Column54]],8,FALSE),"0")</f>
        <v>3</v>
      </c>
      <c r="J59" s="61">
        <f>IFERROR(VLOOKUP(Table1215[[#This Row],[Column2]],Table12[[Column2]:[Column54]],9,FALSE),"0")</f>
        <v>0</v>
      </c>
      <c r="K59" s="61">
        <f>IFERROR(VLOOKUP(Table1215[[#This Row],[Column2]],Table12[[Column2]:[Column54]],10,FALSE),"0")</f>
        <v>0</v>
      </c>
      <c r="L59" s="67">
        <f>Table1215[[#This Row],[Column9]]</f>
        <v>3</v>
      </c>
      <c r="M59" s="61">
        <f>IFERROR(VLOOKUP(Table1215[[#This Row],[Column2]],Table12[[Column2]:[Column54]],12,FALSE),"0")</f>
        <v>0</v>
      </c>
      <c r="N59" s="61">
        <f>IFERROR(VLOOKUP(Table1215[[#This Row],[Column2]],Table12[[Column2]:[Column54]],13,FALSE),"0")</f>
        <v>3</v>
      </c>
      <c r="O59" s="61">
        <f>IFERROR(VLOOKUP(Table1215[[#This Row],[Column2]],Table12[[Column2]:[Column54]],14,FALSE),"0")</f>
        <v>3</v>
      </c>
      <c r="P59" s="61">
        <f>IFERROR(VLOOKUP(Table1215[[#This Row],[Column2]],Table12[[Column2]:[Column54]],10,FALSE),"0")</f>
        <v>0</v>
      </c>
      <c r="Q59" s="61">
        <f>IFERROR(VLOOKUP(Table1215[[#This Row],[Column2]],Table12[[Column2]:[Column54]],16,FALSE),"0")</f>
        <v>3</v>
      </c>
      <c r="R59" s="67">
        <f>AVERAGE(Table1215[[#This Row],[Column14]],Table1215[[#This Row],[Column15]],Table1215[[#This Row],[Column17]])</f>
        <v>3</v>
      </c>
      <c r="S59" s="61">
        <f>IFERROR(VLOOKUP(Table1215[[#This Row],[Column2]],Table12[[Column2]:[Column54]],18,FALSE),"0")</f>
        <v>0</v>
      </c>
      <c r="T59" s="61">
        <f>IFERROR(VLOOKUP(Table1215[[#This Row],[Column2]],Table12[[Column2]:[Column54]],19,FALSE),"0")</f>
        <v>0</v>
      </c>
      <c r="U59" s="61">
        <f>IFERROR(VLOOKUP(Table1215[[#This Row],[Column2]],Table12[[Column2]:[Column54]],20,FALSE),"0")</f>
        <v>0</v>
      </c>
      <c r="V59" s="61">
        <f>IFERROR(VLOOKUP(Table1215[[#This Row],[Column2]],Table12[[Column2]:[Column54]],21,FALSE),"0")</f>
        <v>0</v>
      </c>
      <c r="W59" s="61">
        <f>IFERROR(VLOOKUP(Table1215[[#This Row],[Column2]],Table12[[Column2]:[Column54]],22,FALSE),"0")</f>
        <v>0</v>
      </c>
      <c r="X59" s="67">
        <f>Table1215[[#This Row],[Column19]]</f>
        <v>0</v>
      </c>
      <c r="Y59" s="61">
        <f>IFERROR(VLOOKUP(Table1215[[#This Row],[Column2]],Table12[[Column2]:[Column54]],24,FALSE),"0")</f>
        <v>3</v>
      </c>
      <c r="Z59" s="61">
        <f>IFERROR(VLOOKUP(Table1215[[#This Row],[Column2]],Table12[[Column2]:[Column54]],25,FALSE),"0")</f>
        <v>0</v>
      </c>
      <c r="AA59" s="61">
        <f>IFERROR(VLOOKUP(Table1215[[#This Row],[Column2]],Table12[[Column2]:[Column54]],26,FALSE),"0")</f>
        <v>0</v>
      </c>
      <c r="AB59" s="61">
        <f>IFERROR(VLOOKUP(Table1215[[#This Row],[Column2]],Table12[[Column2]:[Column54]],27,FALSE),"0")</f>
        <v>0</v>
      </c>
      <c r="AC59" s="61">
        <f>IFERROR(VLOOKUP(Table1215[[#This Row],[Column2]],Table12[[Column2]:[Column54]],28,FALSE),"0")</f>
        <v>0</v>
      </c>
      <c r="AD59" s="67">
        <f>Table1215[[#This Row],[Column25]]</f>
        <v>3</v>
      </c>
      <c r="AE59" s="61">
        <f>IFERROR(VLOOKUP(Table1215[[#This Row],[Column2]],Table12[[Column2]:[Column54]],30,FALSE),"0")</f>
        <v>0</v>
      </c>
      <c r="AF59" s="61">
        <f>IFERROR(VLOOKUP(Table1215[[#This Row],[Column2]],Table12[[Column2]:[Column54]],31,FALSE),"0")</f>
        <v>0</v>
      </c>
      <c r="AG59" s="61">
        <f>IFERROR(VLOOKUP(Table1215[[#This Row],[Column2]],Table12[[Column2]:[Column54]],32,FALSE),"0")</f>
        <v>0</v>
      </c>
      <c r="AH59" s="61">
        <f>IFERROR(VLOOKUP(Table1215[[#This Row],[Column2]],Table12[[Column2]:[Column54]],33,FALSE),"0")</f>
        <v>0</v>
      </c>
      <c r="AI59" s="61">
        <f>IFERROR(VLOOKUP(Table1215[[#This Row],[Column2]],Table12[[Column2]:[Column54]],34,FALSE),"0")</f>
        <v>0</v>
      </c>
      <c r="AJ59" s="67">
        <f>AVERAGE(Table1215[[#This Row],[Column31]],Table1215[[#This Row],[Column32]],Table1215[[#This Row],[Column33]])</f>
        <v>0</v>
      </c>
      <c r="AK59" s="61">
        <f>IFERROR(VLOOKUP(Table1215[[#This Row],[Column2]],Table12[[Column2]:[Column54]],36,FALSE),"0")</f>
        <v>3</v>
      </c>
      <c r="AL59" s="61">
        <f>IFERROR(VLOOKUP(Table1215[[#This Row],[Column2]],Table12[[Column2]:[Column54]],37,FALSE),"0")</f>
        <v>3</v>
      </c>
      <c r="AM59" s="61">
        <f>IFERROR(VLOOKUP(Table1215[[#This Row],[Column2]],Table12[[Column2]:[Column54]],38,FALSE),"0")</f>
        <v>0</v>
      </c>
      <c r="AN59" s="61">
        <f>IFERROR(VLOOKUP(Table1215[[#This Row],[Column2]],Table12[[Column2]:[Column54]],39,FALSE),"0")</f>
        <v>3</v>
      </c>
      <c r="AO59" s="61">
        <f>IFERROR(VLOOKUP(Table1215[[#This Row],[Column2]],Table12[[Column2]:[Column54]],40,FALSE),"0")</f>
        <v>0</v>
      </c>
      <c r="AP59" s="67">
        <f>AVERAGE(Table1215[[#This Row],[Column37]],Table1215[[#This Row],[Column38]],Table1215[[#This Row],[Column40]])</f>
        <v>3</v>
      </c>
      <c r="AQ59" s="61">
        <f>IFERROR(VLOOKUP(Table1215[[#This Row],[Column2]],Table12[[Column2]:[Column54]],42,FALSE),"0")</f>
        <v>3</v>
      </c>
      <c r="AR59" s="61">
        <f>IFERROR(VLOOKUP(Table1215[[#This Row],[Column2]],Table12[[Column2]:[Column54]],43,FALSE),"0")</f>
        <v>0</v>
      </c>
      <c r="AS59" s="61">
        <f>IFERROR(VLOOKUP(Table1215[[#This Row],[Column2]],Table12[[Column2]:[Column54]],44,FALSE),"0")</f>
        <v>0</v>
      </c>
      <c r="AT59" s="61">
        <f>IFERROR(VLOOKUP(Table1215[[#This Row],[Column2]],Table12[[Column2]:[Column54]],45,FALSE),"0")</f>
        <v>0</v>
      </c>
      <c r="AU59" s="61">
        <f>IFERROR(VLOOKUP(Table1215[[#This Row],[Column2]],Table12[[Column2]:[Column54]],46,FALSE),"0")</f>
        <v>0</v>
      </c>
      <c r="AV59" s="67">
        <f>Table1215[[#This Row],[Column43]]</f>
        <v>3</v>
      </c>
      <c r="AW59" s="61">
        <f>IFERROR(VLOOKUP(Table1215[[#This Row],[Column2]],Table12[[Column2]:[Column54]],48,FALSE),"0")</f>
        <v>0</v>
      </c>
      <c r="AX59" s="61">
        <f>IFERROR(VLOOKUP(Table1215[[#This Row],[Column2]],Table12[[Column2]:[Column54]],49,FALSE),"0")</f>
        <v>0</v>
      </c>
      <c r="AY59" s="61">
        <f>IFERROR(VLOOKUP(Table1215[[#This Row],[Column2]],Table12[[Column2]:[Column54]],50,FALSE),"0")</f>
        <v>0</v>
      </c>
      <c r="AZ59" s="61">
        <f>IFERROR(VLOOKUP(Table1215[[#This Row],[Column2]],Table12[[Column2]:[Column54]],51,FALSE),"0")</f>
        <v>3</v>
      </c>
      <c r="BA59" s="61">
        <f>IFERROR(VLOOKUP(Table1215[[#This Row],[Column2]],Table12[[Column2]:[Column54]],52,FALSE),"0")</f>
        <v>3</v>
      </c>
      <c r="BB59" s="67">
        <f>AVERAGE(Table1215[[#This Row],[Column52]],Table1215[[#This Row],[Column53]])</f>
        <v>3</v>
      </c>
    </row>
    <row r="60" spans="1:54" ht="23.1" customHeight="1" x14ac:dyDescent="0.3">
      <c r="A60" s="86">
        <v>57</v>
      </c>
      <c r="B60" s="63" t="s">
        <v>314</v>
      </c>
      <c r="C60" s="64" t="s">
        <v>315</v>
      </c>
      <c r="D60" s="63" t="s">
        <v>542</v>
      </c>
      <c r="E60" s="63" t="s">
        <v>493</v>
      </c>
      <c r="F60" s="63" t="str">
        <f>REPT(CHAR(160),10)&amp;Working!$E61</f>
        <v>          C</v>
      </c>
      <c r="G60" s="65">
        <f>IFERROR(VLOOKUP(Table1215[[#This Row],[Column2]],Table12[[Column2]:[Column54]],6,FALSE),"0")</f>
        <v>0</v>
      </c>
      <c r="H60" s="65">
        <f>IFERROR(VLOOKUP(Table1215[[#This Row],[Column2]],Table12[[Column2]:[Column54]],7,FALSE),"0")</f>
        <v>0</v>
      </c>
      <c r="I60" s="65">
        <f>IFERROR(VLOOKUP(Table1215[[#This Row],[Column2]],Table12[[Column2]:[Column54]],8,FALSE),"0")</f>
        <v>2</v>
      </c>
      <c r="J60" s="65">
        <f>IFERROR(VLOOKUP(Table1215[[#This Row],[Column2]],Table12[[Column2]:[Column54]],9,FALSE),"0")</f>
        <v>0</v>
      </c>
      <c r="K60" s="65">
        <f>IFERROR(VLOOKUP(Table1215[[#This Row],[Column2]],Table12[[Column2]:[Column54]],10,FALSE),"0")</f>
        <v>0</v>
      </c>
      <c r="L60" s="67">
        <f>Table1215[[#This Row],[Column9]]</f>
        <v>2</v>
      </c>
      <c r="M60" s="65">
        <f>IFERROR(VLOOKUP(Table1215[[#This Row],[Column2]],Table12[[Column2]:[Column54]],12,FALSE),"0")</f>
        <v>0</v>
      </c>
      <c r="N60" s="65">
        <f>IFERROR(VLOOKUP(Table1215[[#This Row],[Column2]],Table12[[Column2]:[Column54]],13,FALSE),"0")</f>
        <v>2</v>
      </c>
      <c r="O60" s="65">
        <f>IFERROR(VLOOKUP(Table1215[[#This Row],[Column2]],Table12[[Column2]:[Column54]],14,FALSE),"0")</f>
        <v>2</v>
      </c>
      <c r="P60" s="65">
        <f>IFERROR(VLOOKUP(Table1215[[#This Row],[Column2]],Table12[[Column2]:[Column54]],10,FALSE),"0")</f>
        <v>0</v>
      </c>
      <c r="Q60" s="65">
        <f>IFERROR(VLOOKUP(Table1215[[#This Row],[Column2]],Table12[[Column2]:[Column54]],16,FALSE),"0")</f>
        <v>2</v>
      </c>
      <c r="R60" s="67">
        <f>AVERAGE(Table1215[[#This Row],[Column14]],Table1215[[#This Row],[Column15]],Table1215[[#This Row],[Column17]])</f>
        <v>2</v>
      </c>
      <c r="S60" s="65">
        <f>IFERROR(VLOOKUP(Table1215[[#This Row],[Column2]],Table12[[Column2]:[Column54]],18,FALSE),"0")</f>
        <v>0</v>
      </c>
      <c r="T60" s="65">
        <f>IFERROR(VLOOKUP(Table1215[[#This Row],[Column2]],Table12[[Column2]:[Column54]],19,FALSE),"0")</f>
        <v>0</v>
      </c>
      <c r="U60" s="65">
        <f>IFERROR(VLOOKUP(Table1215[[#This Row],[Column2]],Table12[[Column2]:[Column54]],20,FALSE),"0")</f>
        <v>0</v>
      </c>
      <c r="V60" s="65">
        <f>IFERROR(VLOOKUP(Table1215[[#This Row],[Column2]],Table12[[Column2]:[Column54]],21,FALSE),"0")</f>
        <v>0</v>
      </c>
      <c r="W60" s="65">
        <f>IFERROR(VLOOKUP(Table1215[[#This Row],[Column2]],Table12[[Column2]:[Column54]],22,FALSE),"0")</f>
        <v>0</v>
      </c>
      <c r="X60" s="67">
        <f>Table1215[[#This Row],[Column19]]</f>
        <v>0</v>
      </c>
      <c r="Y60" s="65">
        <f>IFERROR(VLOOKUP(Table1215[[#This Row],[Column2]],Table12[[Column2]:[Column54]],24,FALSE),"0")</f>
        <v>2</v>
      </c>
      <c r="Z60" s="65">
        <f>IFERROR(VLOOKUP(Table1215[[#This Row],[Column2]],Table12[[Column2]:[Column54]],25,FALSE),"0")</f>
        <v>0</v>
      </c>
      <c r="AA60" s="65">
        <f>IFERROR(VLOOKUP(Table1215[[#This Row],[Column2]],Table12[[Column2]:[Column54]],26,FALSE),"0")</f>
        <v>0</v>
      </c>
      <c r="AB60" s="65">
        <f>IFERROR(VLOOKUP(Table1215[[#This Row],[Column2]],Table12[[Column2]:[Column54]],27,FALSE),"0")</f>
        <v>0</v>
      </c>
      <c r="AC60" s="65">
        <f>IFERROR(VLOOKUP(Table1215[[#This Row],[Column2]],Table12[[Column2]:[Column54]],28,FALSE),"0")</f>
        <v>0</v>
      </c>
      <c r="AD60" s="67">
        <f>Table1215[[#This Row],[Column25]]</f>
        <v>2</v>
      </c>
      <c r="AE60" s="65">
        <f>IFERROR(VLOOKUP(Table1215[[#This Row],[Column2]],Table12[[Column2]:[Column54]],30,FALSE),"0")</f>
        <v>0</v>
      </c>
      <c r="AF60" s="65">
        <f>IFERROR(VLOOKUP(Table1215[[#This Row],[Column2]],Table12[[Column2]:[Column54]],31,FALSE),"0")</f>
        <v>0</v>
      </c>
      <c r="AG60" s="65">
        <f>IFERROR(VLOOKUP(Table1215[[#This Row],[Column2]],Table12[[Column2]:[Column54]],32,FALSE),"0")</f>
        <v>0</v>
      </c>
      <c r="AH60" s="65">
        <f>IFERROR(VLOOKUP(Table1215[[#This Row],[Column2]],Table12[[Column2]:[Column54]],33,FALSE),"0")</f>
        <v>0</v>
      </c>
      <c r="AI60" s="65">
        <f>IFERROR(VLOOKUP(Table1215[[#This Row],[Column2]],Table12[[Column2]:[Column54]],34,FALSE),"0")</f>
        <v>0</v>
      </c>
      <c r="AJ60" s="67">
        <f>AVERAGE(Table1215[[#This Row],[Column31]],Table1215[[#This Row],[Column32]],Table1215[[#This Row],[Column33]])</f>
        <v>0</v>
      </c>
      <c r="AK60" s="65">
        <f>IFERROR(VLOOKUP(Table1215[[#This Row],[Column2]],Table12[[Column2]:[Column54]],36,FALSE),"0")</f>
        <v>2</v>
      </c>
      <c r="AL60" s="65">
        <f>IFERROR(VLOOKUP(Table1215[[#This Row],[Column2]],Table12[[Column2]:[Column54]],37,FALSE),"0")</f>
        <v>3</v>
      </c>
      <c r="AM60" s="65">
        <f>IFERROR(VLOOKUP(Table1215[[#This Row],[Column2]],Table12[[Column2]:[Column54]],38,FALSE),"0")</f>
        <v>0</v>
      </c>
      <c r="AN60" s="65">
        <f>IFERROR(VLOOKUP(Table1215[[#This Row],[Column2]],Table12[[Column2]:[Column54]],39,FALSE),"0")</f>
        <v>3</v>
      </c>
      <c r="AO60" s="65">
        <f>IFERROR(VLOOKUP(Table1215[[#This Row],[Column2]],Table12[[Column2]:[Column54]],40,FALSE),"0")</f>
        <v>0</v>
      </c>
      <c r="AP60" s="67">
        <f>AVERAGE(Table1215[[#This Row],[Column37]],Table1215[[#This Row],[Column38]],Table1215[[#This Row],[Column40]])</f>
        <v>2.6666666666666665</v>
      </c>
      <c r="AQ60" s="65">
        <f>IFERROR(VLOOKUP(Table1215[[#This Row],[Column2]],Table12[[Column2]:[Column54]],42,FALSE),"0")</f>
        <v>3</v>
      </c>
      <c r="AR60" s="65">
        <f>IFERROR(VLOOKUP(Table1215[[#This Row],[Column2]],Table12[[Column2]:[Column54]],43,FALSE),"0")</f>
        <v>0</v>
      </c>
      <c r="AS60" s="65">
        <f>IFERROR(VLOOKUP(Table1215[[#This Row],[Column2]],Table12[[Column2]:[Column54]],44,FALSE),"0")</f>
        <v>0</v>
      </c>
      <c r="AT60" s="65">
        <f>IFERROR(VLOOKUP(Table1215[[#This Row],[Column2]],Table12[[Column2]:[Column54]],45,FALSE),"0")</f>
        <v>0</v>
      </c>
      <c r="AU60" s="65">
        <f>IFERROR(VLOOKUP(Table1215[[#This Row],[Column2]],Table12[[Column2]:[Column54]],46,FALSE),"0")</f>
        <v>0</v>
      </c>
      <c r="AV60" s="67">
        <f>Table1215[[#This Row],[Column43]]</f>
        <v>3</v>
      </c>
      <c r="AW60" s="65">
        <f>IFERROR(VLOOKUP(Table1215[[#This Row],[Column2]],Table12[[Column2]:[Column54]],48,FALSE),"0")</f>
        <v>0</v>
      </c>
      <c r="AX60" s="65">
        <f>IFERROR(VLOOKUP(Table1215[[#This Row],[Column2]],Table12[[Column2]:[Column54]],49,FALSE),"0")</f>
        <v>0</v>
      </c>
      <c r="AY60" s="65">
        <f>IFERROR(VLOOKUP(Table1215[[#This Row],[Column2]],Table12[[Column2]:[Column54]],50,FALSE),"0")</f>
        <v>0</v>
      </c>
      <c r="AZ60" s="65">
        <f>IFERROR(VLOOKUP(Table1215[[#This Row],[Column2]],Table12[[Column2]:[Column54]],51,FALSE),"0")</f>
        <v>3</v>
      </c>
      <c r="BA60" s="65">
        <f>IFERROR(VLOOKUP(Table1215[[#This Row],[Column2]],Table12[[Column2]:[Column54]],52,FALSE),"0")</f>
        <v>2</v>
      </c>
      <c r="BB60" s="67">
        <f>AVERAGE(Table1215[[#This Row],[Column52]],Table1215[[#This Row],[Column53]])</f>
        <v>2.5</v>
      </c>
    </row>
    <row r="61" spans="1:54" ht="23.1" customHeight="1" x14ac:dyDescent="0.3">
      <c r="A61" s="87">
        <v>58</v>
      </c>
      <c r="B61" s="70" t="s">
        <v>316</v>
      </c>
      <c r="C61" s="71" t="s">
        <v>317</v>
      </c>
      <c r="D61" s="70" t="s">
        <v>450</v>
      </c>
      <c r="E61" s="70" t="s">
        <v>493</v>
      </c>
      <c r="F61" s="70" t="str">
        <f>REPT(CHAR(160),10)&amp;Working!$E62</f>
        <v>          C</v>
      </c>
      <c r="G61" s="61">
        <f>IFERROR(VLOOKUP(Table1215[[#This Row],[Column2]],Table12[[Column2]:[Column54]],6,FALSE),"0")</f>
        <v>0</v>
      </c>
      <c r="H61" s="61">
        <f>IFERROR(VLOOKUP(Table1215[[#This Row],[Column2]],Table12[[Column2]:[Column54]],7,FALSE),"0")</f>
        <v>0</v>
      </c>
      <c r="I61" s="61">
        <f>IFERROR(VLOOKUP(Table1215[[#This Row],[Column2]],Table12[[Column2]:[Column54]],8,FALSE),"0")</f>
        <v>1</v>
      </c>
      <c r="J61" s="61">
        <f>IFERROR(VLOOKUP(Table1215[[#This Row],[Column2]],Table12[[Column2]:[Column54]],9,FALSE),"0")</f>
        <v>0</v>
      </c>
      <c r="K61" s="61">
        <f>IFERROR(VLOOKUP(Table1215[[#This Row],[Column2]],Table12[[Column2]:[Column54]],10,FALSE),"0")</f>
        <v>0</v>
      </c>
      <c r="L61" s="67">
        <f>Table1215[[#This Row],[Column9]]</f>
        <v>1</v>
      </c>
      <c r="M61" s="61">
        <f>IFERROR(VLOOKUP(Table1215[[#This Row],[Column2]],Table12[[Column2]:[Column54]],12,FALSE),"0")</f>
        <v>0</v>
      </c>
      <c r="N61" s="61">
        <f>IFERROR(VLOOKUP(Table1215[[#This Row],[Column2]],Table12[[Column2]:[Column54]],13,FALSE),"0")</f>
        <v>1</v>
      </c>
      <c r="O61" s="61">
        <f>IFERROR(VLOOKUP(Table1215[[#This Row],[Column2]],Table12[[Column2]:[Column54]],14,FALSE),"0")</f>
        <v>1</v>
      </c>
      <c r="P61" s="61">
        <f>IFERROR(VLOOKUP(Table1215[[#This Row],[Column2]],Table12[[Column2]:[Column54]],10,FALSE),"0")</f>
        <v>0</v>
      </c>
      <c r="Q61" s="61">
        <f>IFERROR(VLOOKUP(Table1215[[#This Row],[Column2]],Table12[[Column2]:[Column54]],16,FALSE),"0")</f>
        <v>1</v>
      </c>
      <c r="R61" s="67">
        <f>AVERAGE(Table1215[[#This Row],[Column14]],Table1215[[#This Row],[Column15]],Table1215[[#This Row],[Column17]])</f>
        <v>1</v>
      </c>
      <c r="S61" s="61">
        <f>IFERROR(VLOOKUP(Table1215[[#This Row],[Column2]],Table12[[Column2]:[Column54]],18,FALSE),"0")</f>
        <v>0</v>
      </c>
      <c r="T61" s="61">
        <f>IFERROR(VLOOKUP(Table1215[[#This Row],[Column2]],Table12[[Column2]:[Column54]],19,FALSE),"0")</f>
        <v>0</v>
      </c>
      <c r="U61" s="61">
        <f>IFERROR(VLOOKUP(Table1215[[#This Row],[Column2]],Table12[[Column2]:[Column54]],20,FALSE),"0")</f>
        <v>0</v>
      </c>
      <c r="V61" s="61">
        <f>IFERROR(VLOOKUP(Table1215[[#This Row],[Column2]],Table12[[Column2]:[Column54]],21,FALSE),"0")</f>
        <v>0</v>
      </c>
      <c r="W61" s="61">
        <f>IFERROR(VLOOKUP(Table1215[[#This Row],[Column2]],Table12[[Column2]:[Column54]],22,FALSE),"0")</f>
        <v>0</v>
      </c>
      <c r="X61" s="67">
        <f>Table1215[[#This Row],[Column19]]</f>
        <v>0</v>
      </c>
      <c r="Y61" s="61">
        <f>IFERROR(VLOOKUP(Table1215[[#This Row],[Column2]],Table12[[Column2]:[Column54]],24,FALSE),"0")</f>
        <v>1</v>
      </c>
      <c r="Z61" s="61">
        <f>IFERROR(VLOOKUP(Table1215[[#This Row],[Column2]],Table12[[Column2]:[Column54]],25,FALSE),"0")</f>
        <v>0</v>
      </c>
      <c r="AA61" s="61">
        <f>IFERROR(VLOOKUP(Table1215[[#This Row],[Column2]],Table12[[Column2]:[Column54]],26,FALSE),"0")</f>
        <v>0</v>
      </c>
      <c r="AB61" s="61">
        <f>IFERROR(VLOOKUP(Table1215[[#This Row],[Column2]],Table12[[Column2]:[Column54]],27,FALSE),"0")</f>
        <v>0</v>
      </c>
      <c r="AC61" s="61">
        <f>IFERROR(VLOOKUP(Table1215[[#This Row],[Column2]],Table12[[Column2]:[Column54]],28,FALSE),"0")</f>
        <v>0</v>
      </c>
      <c r="AD61" s="67">
        <f>Table1215[[#This Row],[Column25]]</f>
        <v>1</v>
      </c>
      <c r="AE61" s="61">
        <f>IFERROR(VLOOKUP(Table1215[[#This Row],[Column2]],Table12[[Column2]:[Column54]],30,FALSE),"0")</f>
        <v>0</v>
      </c>
      <c r="AF61" s="61">
        <f>IFERROR(VLOOKUP(Table1215[[#This Row],[Column2]],Table12[[Column2]:[Column54]],31,FALSE),"0")</f>
        <v>0</v>
      </c>
      <c r="AG61" s="61">
        <f>IFERROR(VLOOKUP(Table1215[[#This Row],[Column2]],Table12[[Column2]:[Column54]],32,FALSE),"0")</f>
        <v>0</v>
      </c>
      <c r="AH61" s="61">
        <f>IFERROR(VLOOKUP(Table1215[[#This Row],[Column2]],Table12[[Column2]:[Column54]],33,FALSE),"0")</f>
        <v>0</v>
      </c>
      <c r="AI61" s="61">
        <f>IFERROR(VLOOKUP(Table1215[[#This Row],[Column2]],Table12[[Column2]:[Column54]],34,FALSE),"0")</f>
        <v>0</v>
      </c>
      <c r="AJ61" s="67">
        <f>AVERAGE(Table1215[[#This Row],[Column31]],Table1215[[#This Row],[Column32]],Table1215[[#This Row],[Column33]])</f>
        <v>0</v>
      </c>
      <c r="AK61" s="61">
        <f>IFERROR(VLOOKUP(Table1215[[#This Row],[Column2]],Table12[[Column2]:[Column54]],36,FALSE),"0")</f>
        <v>1</v>
      </c>
      <c r="AL61" s="61">
        <f>IFERROR(VLOOKUP(Table1215[[#This Row],[Column2]],Table12[[Column2]:[Column54]],37,FALSE),"0")</f>
        <v>1</v>
      </c>
      <c r="AM61" s="61">
        <f>IFERROR(VLOOKUP(Table1215[[#This Row],[Column2]],Table12[[Column2]:[Column54]],38,FALSE),"0")</f>
        <v>0</v>
      </c>
      <c r="AN61" s="61">
        <f>IFERROR(VLOOKUP(Table1215[[#This Row],[Column2]],Table12[[Column2]:[Column54]],39,FALSE),"0")</f>
        <v>1</v>
      </c>
      <c r="AO61" s="61">
        <f>IFERROR(VLOOKUP(Table1215[[#This Row],[Column2]],Table12[[Column2]:[Column54]],40,FALSE),"0")</f>
        <v>0</v>
      </c>
      <c r="AP61" s="67">
        <f>AVERAGE(Table1215[[#This Row],[Column37]],Table1215[[#This Row],[Column38]],Table1215[[#This Row],[Column40]])</f>
        <v>1</v>
      </c>
      <c r="AQ61" s="61">
        <f>IFERROR(VLOOKUP(Table1215[[#This Row],[Column2]],Table12[[Column2]:[Column54]],42,FALSE),"0")</f>
        <v>1</v>
      </c>
      <c r="AR61" s="61">
        <f>IFERROR(VLOOKUP(Table1215[[#This Row],[Column2]],Table12[[Column2]:[Column54]],43,FALSE),"0")</f>
        <v>0</v>
      </c>
      <c r="AS61" s="61">
        <f>IFERROR(VLOOKUP(Table1215[[#This Row],[Column2]],Table12[[Column2]:[Column54]],44,FALSE),"0")</f>
        <v>0</v>
      </c>
      <c r="AT61" s="61">
        <f>IFERROR(VLOOKUP(Table1215[[#This Row],[Column2]],Table12[[Column2]:[Column54]],45,FALSE),"0")</f>
        <v>0</v>
      </c>
      <c r="AU61" s="61">
        <f>IFERROR(VLOOKUP(Table1215[[#This Row],[Column2]],Table12[[Column2]:[Column54]],46,FALSE),"0")</f>
        <v>0</v>
      </c>
      <c r="AV61" s="67">
        <f>Table1215[[#This Row],[Column43]]</f>
        <v>1</v>
      </c>
      <c r="AW61" s="61">
        <f>IFERROR(VLOOKUP(Table1215[[#This Row],[Column2]],Table12[[Column2]:[Column54]],48,FALSE),"0")</f>
        <v>0</v>
      </c>
      <c r="AX61" s="61">
        <f>IFERROR(VLOOKUP(Table1215[[#This Row],[Column2]],Table12[[Column2]:[Column54]],49,FALSE),"0")</f>
        <v>0</v>
      </c>
      <c r="AY61" s="61">
        <f>IFERROR(VLOOKUP(Table1215[[#This Row],[Column2]],Table12[[Column2]:[Column54]],50,FALSE),"0")</f>
        <v>0</v>
      </c>
      <c r="AZ61" s="61">
        <f>IFERROR(VLOOKUP(Table1215[[#This Row],[Column2]],Table12[[Column2]:[Column54]],51,FALSE),"0")</f>
        <v>1</v>
      </c>
      <c r="BA61" s="61">
        <f>IFERROR(VLOOKUP(Table1215[[#This Row],[Column2]],Table12[[Column2]:[Column54]],52,FALSE),"0")</f>
        <v>1</v>
      </c>
      <c r="BB61" s="67">
        <f>AVERAGE(Table1215[[#This Row],[Column52]],Table1215[[#This Row],[Column53]])</f>
        <v>1</v>
      </c>
    </row>
    <row r="62" spans="1:54" ht="23.1" customHeight="1" x14ac:dyDescent="0.3">
      <c r="A62" s="86">
        <v>59</v>
      </c>
      <c r="B62" s="63" t="s">
        <v>126</v>
      </c>
      <c r="C62" s="64" t="s">
        <v>127</v>
      </c>
      <c r="D62" s="63" t="s">
        <v>450</v>
      </c>
      <c r="E62" s="63" t="s">
        <v>35</v>
      </c>
      <c r="F62" s="63" t="str">
        <f>REPT(CHAR(160),10)&amp;Working!$E63</f>
        <v>          A</v>
      </c>
      <c r="G62" s="65">
        <f>IFERROR(VLOOKUP(Table1215[[#This Row],[Column2]],Table12[[Column2]:[Column54]],6,FALSE),"0")</f>
        <v>0</v>
      </c>
      <c r="H62" s="65">
        <f>IFERROR(VLOOKUP(Table1215[[#This Row],[Column2]],Table12[[Column2]:[Column54]],7,FALSE),"0")</f>
        <v>0</v>
      </c>
      <c r="I62" s="65">
        <f>IFERROR(VLOOKUP(Table1215[[#This Row],[Column2]],Table12[[Column2]:[Column54]],8,FALSE),"0")</f>
        <v>3</v>
      </c>
      <c r="J62" s="65">
        <f>IFERROR(VLOOKUP(Table1215[[#This Row],[Column2]],Table12[[Column2]:[Column54]],9,FALSE),"0")</f>
        <v>0</v>
      </c>
      <c r="K62" s="65">
        <f>IFERROR(VLOOKUP(Table1215[[#This Row],[Column2]],Table12[[Column2]:[Column54]],10,FALSE),"0")</f>
        <v>0</v>
      </c>
      <c r="L62" s="67">
        <f>Table1215[[#This Row],[Column9]]</f>
        <v>3</v>
      </c>
      <c r="M62" s="65">
        <f>IFERROR(VLOOKUP(Table1215[[#This Row],[Column2]],Table12[[Column2]:[Column54]],12,FALSE),"0")</f>
        <v>0</v>
      </c>
      <c r="N62" s="65">
        <f>IFERROR(VLOOKUP(Table1215[[#This Row],[Column2]],Table12[[Column2]:[Column54]],13,FALSE),"0")</f>
        <v>4</v>
      </c>
      <c r="O62" s="65">
        <f>IFERROR(VLOOKUP(Table1215[[#This Row],[Column2]],Table12[[Column2]:[Column54]],14,FALSE),"0")</f>
        <v>3</v>
      </c>
      <c r="P62" s="65">
        <f>IFERROR(VLOOKUP(Table1215[[#This Row],[Column2]],Table12[[Column2]:[Column54]],10,FALSE),"0")</f>
        <v>0</v>
      </c>
      <c r="Q62" s="65">
        <f>IFERROR(VLOOKUP(Table1215[[#This Row],[Column2]],Table12[[Column2]:[Column54]],16,FALSE),"0")</f>
        <v>3</v>
      </c>
      <c r="R62" s="67">
        <f>AVERAGE(Table1215[[#This Row],[Column14]],Table1215[[#This Row],[Column15]],Table1215[[#This Row],[Column17]])</f>
        <v>3.3333333333333335</v>
      </c>
      <c r="S62" s="65">
        <f>IFERROR(VLOOKUP(Table1215[[#This Row],[Column2]],Table12[[Column2]:[Column54]],18,FALSE),"0")</f>
        <v>0</v>
      </c>
      <c r="T62" s="65">
        <f>IFERROR(VLOOKUP(Table1215[[#This Row],[Column2]],Table12[[Column2]:[Column54]],19,FALSE),"0")</f>
        <v>0</v>
      </c>
      <c r="U62" s="65">
        <f>IFERROR(VLOOKUP(Table1215[[#This Row],[Column2]],Table12[[Column2]:[Column54]],20,FALSE),"0")</f>
        <v>0</v>
      </c>
      <c r="V62" s="65">
        <f>IFERROR(VLOOKUP(Table1215[[#This Row],[Column2]],Table12[[Column2]:[Column54]],21,FALSE),"0")</f>
        <v>0</v>
      </c>
      <c r="W62" s="65">
        <f>IFERROR(VLOOKUP(Table1215[[#This Row],[Column2]],Table12[[Column2]:[Column54]],22,FALSE),"0")</f>
        <v>0</v>
      </c>
      <c r="X62" s="67">
        <f>Table1215[[#This Row],[Column19]]</f>
        <v>0</v>
      </c>
      <c r="Y62" s="65">
        <f>IFERROR(VLOOKUP(Table1215[[#This Row],[Column2]],Table12[[Column2]:[Column54]],24,FALSE),"0")</f>
        <v>3</v>
      </c>
      <c r="Z62" s="65">
        <f>IFERROR(VLOOKUP(Table1215[[#This Row],[Column2]],Table12[[Column2]:[Column54]],25,FALSE),"0")</f>
        <v>0</v>
      </c>
      <c r="AA62" s="65">
        <f>IFERROR(VLOOKUP(Table1215[[#This Row],[Column2]],Table12[[Column2]:[Column54]],26,FALSE),"0")</f>
        <v>0</v>
      </c>
      <c r="AB62" s="65">
        <f>IFERROR(VLOOKUP(Table1215[[#This Row],[Column2]],Table12[[Column2]:[Column54]],27,FALSE),"0")</f>
        <v>0</v>
      </c>
      <c r="AC62" s="65">
        <f>IFERROR(VLOOKUP(Table1215[[#This Row],[Column2]],Table12[[Column2]:[Column54]],28,FALSE),"0")</f>
        <v>0</v>
      </c>
      <c r="AD62" s="67">
        <f>Table1215[[#This Row],[Column25]]</f>
        <v>3</v>
      </c>
      <c r="AE62" s="65">
        <f>IFERROR(VLOOKUP(Table1215[[#This Row],[Column2]],Table12[[Column2]:[Column54]],30,FALSE),"0")</f>
        <v>0</v>
      </c>
      <c r="AF62" s="65">
        <f>IFERROR(VLOOKUP(Table1215[[#This Row],[Column2]],Table12[[Column2]:[Column54]],31,FALSE),"0")</f>
        <v>0</v>
      </c>
      <c r="AG62" s="65">
        <f>IFERROR(VLOOKUP(Table1215[[#This Row],[Column2]],Table12[[Column2]:[Column54]],32,FALSE),"0")</f>
        <v>0</v>
      </c>
      <c r="AH62" s="65">
        <f>IFERROR(VLOOKUP(Table1215[[#This Row],[Column2]],Table12[[Column2]:[Column54]],33,FALSE),"0")</f>
        <v>0</v>
      </c>
      <c r="AI62" s="65">
        <f>IFERROR(VLOOKUP(Table1215[[#This Row],[Column2]],Table12[[Column2]:[Column54]],34,FALSE),"0")</f>
        <v>0</v>
      </c>
      <c r="AJ62" s="67">
        <f>AVERAGE(Table1215[[#This Row],[Column31]],Table1215[[#This Row],[Column32]],Table1215[[#This Row],[Column33]])</f>
        <v>0</v>
      </c>
      <c r="AK62" s="65">
        <f>IFERROR(VLOOKUP(Table1215[[#This Row],[Column2]],Table12[[Column2]:[Column54]],36,FALSE),"0")</f>
        <v>3</v>
      </c>
      <c r="AL62" s="65">
        <f>IFERROR(VLOOKUP(Table1215[[#This Row],[Column2]],Table12[[Column2]:[Column54]],37,FALSE),"0")</f>
        <v>3</v>
      </c>
      <c r="AM62" s="65">
        <f>IFERROR(VLOOKUP(Table1215[[#This Row],[Column2]],Table12[[Column2]:[Column54]],38,FALSE),"0")</f>
        <v>0</v>
      </c>
      <c r="AN62" s="65">
        <f>IFERROR(VLOOKUP(Table1215[[#This Row],[Column2]],Table12[[Column2]:[Column54]],39,FALSE),"0")</f>
        <v>4</v>
      </c>
      <c r="AO62" s="65">
        <f>IFERROR(VLOOKUP(Table1215[[#This Row],[Column2]],Table12[[Column2]:[Column54]],40,FALSE),"0")</f>
        <v>0</v>
      </c>
      <c r="AP62" s="67">
        <f>AVERAGE(Table1215[[#This Row],[Column37]],Table1215[[#This Row],[Column38]],Table1215[[#This Row],[Column40]])</f>
        <v>3.3333333333333335</v>
      </c>
      <c r="AQ62" s="65">
        <f>IFERROR(VLOOKUP(Table1215[[#This Row],[Column2]],Table12[[Column2]:[Column54]],42,FALSE),"0")</f>
        <v>3</v>
      </c>
      <c r="AR62" s="65">
        <f>IFERROR(VLOOKUP(Table1215[[#This Row],[Column2]],Table12[[Column2]:[Column54]],43,FALSE),"0")</f>
        <v>0</v>
      </c>
      <c r="AS62" s="65">
        <f>IFERROR(VLOOKUP(Table1215[[#This Row],[Column2]],Table12[[Column2]:[Column54]],44,FALSE),"0")</f>
        <v>0</v>
      </c>
      <c r="AT62" s="65">
        <f>IFERROR(VLOOKUP(Table1215[[#This Row],[Column2]],Table12[[Column2]:[Column54]],45,FALSE),"0")</f>
        <v>0</v>
      </c>
      <c r="AU62" s="65">
        <f>IFERROR(VLOOKUP(Table1215[[#This Row],[Column2]],Table12[[Column2]:[Column54]],46,FALSE),"0")</f>
        <v>0</v>
      </c>
      <c r="AV62" s="67">
        <f>Table1215[[#This Row],[Column43]]</f>
        <v>3</v>
      </c>
      <c r="AW62" s="65">
        <f>IFERROR(VLOOKUP(Table1215[[#This Row],[Column2]],Table12[[Column2]:[Column54]],48,FALSE),"0")</f>
        <v>0</v>
      </c>
      <c r="AX62" s="65">
        <f>IFERROR(VLOOKUP(Table1215[[#This Row],[Column2]],Table12[[Column2]:[Column54]],49,FALSE),"0")</f>
        <v>0</v>
      </c>
      <c r="AY62" s="65">
        <f>IFERROR(VLOOKUP(Table1215[[#This Row],[Column2]],Table12[[Column2]:[Column54]],50,FALSE),"0")</f>
        <v>0</v>
      </c>
      <c r="AZ62" s="65">
        <f>IFERROR(VLOOKUP(Table1215[[#This Row],[Column2]],Table12[[Column2]:[Column54]],51,FALSE),"0")</f>
        <v>4</v>
      </c>
      <c r="BA62" s="65">
        <f>IFERROR(VLOOKUP(Table1215[[#This Row],[Column2]],Table12[[Column2]:[Column54]],52,FALSE),"0")</f>
        <v>4</v>
      </c>
      <c r="BB62" s="67">
        <f>AVERAGE(Table1215[[#This Row],[Column52]],Table1215[[#This Row],[Column53]])</f>
        <v>4</v>
      </c>
    </row>
    <row r="63" spans="1:54" ht="23.1" customHeight="1" x14ac:dyDescent="0.3">
      <c r="A63" s="87">
        <v>60</v>
      </c>
      <c r="B63" s="70" t="s">
        <v>42</v>
      </c>
      <c r="C63" s="71" t="s">
        <v>43</v>
      </c>
      <c r="D63" s="70" t="s">
        <v>450</v>
      </c>
      <c r="E63" s="70" t="s">
        <v>35</v>
      </c>
      <c r="F63" s="70" t="str">
        <f>REPT(CHAR(160),10)&amp;Working!$E64</f>
        <v>          A</v>
      </c>
      <c r="G63" s="61">
        <f>IFERROR(VLOOKUP(Table1215[[#This Row],[Column2]],Table12[[Column2]:[Column54]],6,FALSE),"0")</f>
        <v>0</v>
      </c>
      <c r="H63" s="61">
        <f>IFERROR(VLOOKUP(Table1215[[#This Row],[Column2]],Table12[[Column2]:[Column54]],7,FALSE),"0")</f>
        <v>0</v>
      </c>
      <c r="I63" s="61">
        <f>IFERROR(VLOOKUP(Table1215[[#This Row],[Column2]],Table12[[Column2]:[Column54]],8,FALSE),"0")</f>
        <v>4</v>
      </c>
      <c r="J63" s="61">
        <f>IFERROR(VLOOKUP(Table1215[[#This Row],[Column2]],Table12[[Column2]:[Column54]],9,FALSE),"0")</f>
        <v>0</v>
      </c>
      <c r="K63" s="61">
        <f>IFERROR(VLOOKUP(Table1215[[#This Row],[Column2]],Table12[[Column2]:[Column54]],10,FALSE),"0")</f>
        <v>0</v>
      </c>
      <c r="L63" s="67">
        <f>Table1215[[#This Row],[Column9]]</f>
        <v>4</v>
      </c>
      <c r="M63" s="61">
        <f>IFERROR(VLOOKUP(Table1215[[#This Row],[Column2]],Table12[[Column2]:[Column54]],12,FALSE),"0")</f>
        <v>0</v>
      </c>
      <c r="N63" s="61">
        <f>IFERROR(VLOOKUP(Table1215[[#This Row],[Column2]],Table12[[Column2]:[Column54]],13,FALSE),"0")</f>
        <v>4</v>
      </c>
      <c r="O63" s="61">
        <f>IFERROR(VLOOKUP(Table1215[[#This Row],[Column2]],Table12[[Column2]:[Column54]],14,FALSE),"0")</f>
        <v>4</v>
      </c>
      <c r="P63" s="61">
        <f>IFERROR(VLOOKUP(Table1215[[#This Row],[Column2]],Table12[[Column2]:[Column54]],10,FALSE),"0")</f>
        <v>0</v>
      </c>
      <c r="Q63" s="61">
        <f>IFERROR(VLOOKUP(Table1215[[#This Row],[Column2]],Table12[[Column2]:[Column54]],16,FALSE),"0")</f>
        <v>4</v>
      </c>
      <c r="R63" s="67">
        <f>AVERAGE(Table1215[[#This Row],[Column14]],Table1215[[#This Row],[Column15]],Table1215[[#This Row],[Column17]])</f>
        <v>4</v>
      </c>
      <c r="S63" s="61">
        <f>IFERROR(VLOOKUP(Table1215[[#This Row],[Column2]],Table12[[Column2]:[Column54]],18,FALSE),"0")</f>
        <v>0</v>
      </c>
      <c r="T63" s="61">
        <f>IFERROR(VLOOKUP(Table1215[[#This Row],[Column2]],Table12[[Column2]:[Column54]],19,FALSE),"0")</f>
        <v>0</v>
      </c>
      <c r="U63" s="61">
        <f>IFERROR(VLOOKUP(Table1215[[#This Row],[Column2]],Table12[[Column2]:[Column54]],20,FALSE),"0")</f>
        <v>0</v>
      </c>
      <c r="V63" s="61">
        <f>IFERROR(VLOOKUP(Table1215[[#This Row],[Column2]],Table12[[Column2]:[Column54]],21,FALSE),"0")</f>
        <v>0</v>
      </c>
      <c r="W63" s="61">
        <f>IFERROR(VLOOKUP(Table1215[[#This Row],[Column2]],Table12[[Column2]:[Column54]],22,FALSE),"0")</f>
        <v>0</v>
      </c>
      <c r="X63" s="67">
        <f>Table1215[[#This Row],[Column19]]</f>
        <v>0</v>
      </c>
      <c r="Y63" s="61">
        <f>IFERROR(VLOOKUP(Table1215[[#This Row],[Column2]],Table12[[Column2]:[Column54]],24,FALSE),"0")</f>
        <v>4</v>
      </c>
      <c r="Z63" s="61">
        <f>IFERROR(VLOOKUP(Table1215[[#This Row],[Column2]],Table12[[Column2]:[Column54]],25,FALSE),"0")</f>
        <v>0</v>
      </c>
      <c r="AA63" s="61">
        <f>IFERROR(VLOOKUP(Table1215[[#This Row],[Column2]],Table12[[Column2]:[Column54]],26,FALSE),"0")</f>
        <v>0</v>
      </c>
      <c r="AB63" s="61">
        <f>IFERROR(VLOOKUP(Table1215[[#This Row],[Column2]],Table12[[Column2]:[Column54]],27,FALSE),"0")</f>
        <v>0</v>
      </c>
      <c r="AC63" s="61">
        <f>IFERROR(VLOOKUP(Table1215[[#This Row],[Column2]],Table12[[Column2]:[Column54]],28,FALSE),"0")</f>
        <v>0</v>
      </c>
      <c r="AD63" s="67">
        <f>Table1215[[#This Row],[Column25]]</f>
        <v>4</v>
      </c>
      <c r="AE63" s="61">
        <f>IFERROR(VLOOKUP(Table1215[[#This Row],[Column2]],Table12[[Column2]:[Column54]],30,FALSE),"0")</f>
        <v>0</v>
      </c>
      <c r="AF63" s="61">
        <f>IFERROR(VLOOKUP(Table1215[[#This Row],[Column2]],Table12[[Column2]:[Column54]],31,FALSE),"0")</f>
        <v>0</v>
      </c>
      <c r="AG63" s="61">
        <f>IFERROR(VLOOKUP(Table1215[[#This Row],[Column2]],Table12[[Column2]:[Column54]],32,FALSE),"0")</f>
        <v>0</v>
      </c>
      <c r="AH63" s="61">
        <f>IFERROR(VLOOKUP(Table1215[[#This Row],[Column2]],Table12[[Column2]:[Column54]],33,FALSE),"0")</f>
        <v>0</v>
      </c>
      <c r="AI63" s="61">
        <f>IFERROR(VLOOKUP(Table1215[[#This Row],[Column2]],Table12[[Column2]:[Column54]],34,FALSE),"0")</f>
        <v>0</v>
      </c>
      <c r="AJ63" s="67">
        <f>AVERAGE(Table1215[[#This Row],[Column31]],Table1215[[#This Row],[Column32]],Table1215[[#This Row],[Column33]])</f>
        <v>0</v>
      </c>
      <c r="AK63" s="61">
        <f>IFERROR(VLOOKUP(Table1215[[#This Row],[Column2]],Table12[[Column2]:[Column54]],36,FALSE),"0")</f>
        <v>4</v>
      </c>
      <c r="AL63" s="61">
        <f>IFERROR(VLOOKUP(Table1215[[#This Row],[Column2]],Table12[[Column2]:[Column54]],37,FALSE),"0")</f>
        <v>4</v>
      </c>
      <c r="AM63" s="61">
        <f>IFERROR(VLOOKUP(Table1215[[#This Row],[Column2]],Table12[[Column2]:[Column54]],38,FALSE),"0")</f>
        <v>0</v>
      </c>
      <c r="AN63" s="61">
        <f>IFERROR(VLOOKUP(Table1215[[#This Row],[Column2]],Table12[[Column2]:[Column54]],39,FALSE),"0")</f>
        <v>4</v>
      </c>
      <c r="AO63" s="61">
        <f>IFERROR(VLOOKUP(Table1215[[#This Row],[Column2]],Table12[[Column2]:[Column54]],40,FALSE),"0")</f>
        <v>0</v>
      </c>
      <c r="AP63" s="67">
        <f>AVERAGE(Table1215[[#This Row],[Column37]],Table1215[[#This Row],[Column38]],Table1215[[#This Row],[Column40]])</f>
        <v>4</v>
      </c>
      <c r="AQ63" s="61">
        <f>IFERROR(VLOOKUP(Table1215[[#This Row],[Column2]],Table12[[Column2]:[Column54]],42,FALSE),"0")</f>
        <v>4</v>
      </c>
      <c r="AR63" s="61">
        <f>IFERROR(VLOOKUP(Table1215[[#This Row],[Column2]],Table12[[Column2]:[Column54]],43,FALSE),"0")</f>
        <v>0</v>
      </c>
      <c r="AS63" s="61">
        <f>IFERROR(VLOOKUP(Table1215[[#This Row],[Column2]],Table12[[Column2]:[Column54]],44,FALSE),"0")</f>
        <v>0</v>
      </c>
      <c r="AT63" s="61">
        <f>IFERROR(VLOOKUP(Table1215[[#This Row],[Column2]],Table12[[Column2]:[Column54]],45,FALSE),"0")</f>
        <v>0</v>
      </c>
      <c r="AU63" s="61">
        <f>IFERROR(VLOOKUP(Table1215[[#This Row],[Column2]],Table12[[Column2]:[Column54]],46,FALSE),"0")</f>
        <v>0</v>
      </c>
      <c r="AV63" s="67">
        <f>Table1215[[#This Row],[Column43]]</f>
        <v>4</v>
      </c>
      <c r="AW63" s="61">
        <f>IFERROR(VLOOKUP(Table1215[[#This Row],[Column2]],Table12[[Column2]:[Column54]],48,FALSE),"0")</f>
        <v>0</v>
      </c>
      <c r="AX63" s="61">
        <f>IFERROR(VLOOKUP(Table1215[[#This Row],[Column2]],Table12[[Column2]:[Column54]],49,FALSE),"0")</f>
        <v>0</v>
      </c>
      <c r="AY63" s="61">
        <f>IFERROR(VLOOKUP(Table1215[[#This Row],[Column2]],Table12[[Column2]:[Column54]],50,FALSE),"0")</f>
        <v>0</v>
      </c>
      <c r="AZ63" s="61">
        <f>IFERROR(VLOOKUP(Table1215[[#This Row],[Column2]],Table12[[Column2]:[Column54]],51,FALSE),"0")</f>
        <v>4</v>
      </c>
      <c r="BA63" s="61">
        <f>IFERROR(VLOOKUP(Table1215[[#This Row],[Column2]],Table12[[Column2]:[Column54]],52,FALSE),"0")</f>
        <v>4</v>
      </c>
      <c r="BB63" s="67">
        <f>AVERAGE(Table1215[[#This Row],[Column52]],Table1215[[#This Row],[Column53]])</f>
        <v>4</v>
      </c>
    </row>
    <row r="64" spans="1:54" ht="23.1" customHeight="1" x14ac:dyDescent="0.3">
      <c r="A64" s="86">
        <v>61</v>
      </c>
      <c r="B64" s="63" t="s">
        <v>128</v>
      </c>
      <c r="C64" s="64" t="s">
        <v>129</v>
      </c>
      <c r="D64" s="63" t="s">
        <v>450</v>
      </c>
      <c r="E64" s="63" t="s">
        <v>35</v>
      </c>
      <c r="F64" s="63" t="str">
        <f>REPT(CHAR(160),10)&amp;Working!$E65</f>
        <v>          A</v>
      </c>
      <c r="G64" s="65">
        <f>IFERROR(VLOOKUP(Table1215[[#This Row],[Column2]],Table12[[Column2]:[Column54]],6,FALSE),"0")</f>
        <v>0</v>
      </c>
      <c r="H64" s="65">
        <f>IFERROR(VLOOKUP(Table1215[[#This Row],[Column2]],Table12[[Column2]:[Column54]],7,FALSE),"0")</f>
        <v>0</v>
      </c>
      <c r="I64" s="65">
        <f>IFERROR(VLOOKUP(Table1215[[#This Row],[Column2]],Table12[[Column2]:[Column54]],8,FALSE),"0")</f>
        <v>4</v>
      </c>
      <c r="J64" s="65">
        <f>IFERROR(VLOOKUP(Table1215[[#This Row],[Column2]],Table12[[Column2]:[Column54]],9,FALSE),"0")</f>
        <v>0</v>
      </c>
      <c r="K64" s="65">
        <f>IFERROR(VLOOKUP(Table1215[[#This Row],[Column2]],Table12[[Column2]:[Column54]],10,FALSE),"0")</f>
        <v>0</v>
      </c>
      <c r="L64" s="67">
        <f>Table1215[[#This Row],[Column9]]</f>
        <v>4</v>
      </c>
      <c r="M64" s="65">
        <f>IFERROR(VLOOKUP(Table1215[[#This Row],[Column2]],Table12[[Column2]:[Column54]],12,FALSE),"0")</f>
        <v>0</v>
      </c>
      <c r="N64" s="65">
        <f>IFERROR(VLOOKUP(Table1215[[#This Row],[Column2]],Table12[[Column2]:[Column54]],13,FALSE),"0")</f>
        <v>3</v>
      </c>
      <c r="O64" s="65">
        <f>IFERROR(VLOOKUP(Table1215[[#This Row],[Column2]],Table12[[Column2]:[Column54]],14,FALSE),"0")</f>
        <v>4</v>
      </c>
      <c r="P64" s="65">
        <f>IFERROR(VLOOKUP(Table1215[[#This Row],[Column2]],Table12[[Column2]:[Column54]],10,FALSE),"0")</f>
        <v>0</v>
      </c>
      <c r="Q64" s="65">
        <f>IFERROR(VLOOKUP(Table1215[[#This Row],[Column2]],Table12[[Column2]:[Column54]],16,FALSE),"0")</f>
        <v>4</v>
      </c>
      <c r="R64" s="67">
        <f>AVERAGE(Table1215[[#This Row],[Column14]],Table1215[[#This Row],[Column15]],Table1215[[#This Row],[Column17]])</f>
        <v>3.6666666666666665</v>
      </c>
      <c r="S64" s="65">
        <f>IFERROR(VLOOKUP(Table1215[[#This Row],[Column2]],Table12[[Column2]:[Column54]],18,FALSE),"0")</f>
        <v>0</v>
      </c>
      <c r="T64" s="65">
        <f>IFERROR(VLOOKUP(Table1215[[#This Row],[Column2]],Table12[[Column2]:[Column54]],19,FALSE),"0")</f>
        <v>0</v>
      </c>
      <c r="U64" s="65">
        <f>IFERROR(VLOOKUP(Table1215[[#This Row],[Column2]],Table12[[Column2]:[Column54]],20,FALSE),"0")</f>
        <v>0</v>
      </c>
      <c r="V64" s="65">
        <f>IFERROR(VLOOKUP(Table1215[[#This Row],[Column2]],Table12[[Column2]:[Column54]],21,FALSE),"0")</f>
        <v>0</v>
      </c>
      <c r="W64" s="65">
        <f>IFERROR(VLOOKUP(Table1215[[#This Row],[Column2]],Table12[[Column2]:[Column54]],22,FALSE),"0")</f>
        <v>0</v>
      </c>
      <c r="X64" s="67">
        <f>Table1215[[#This Row],[Column19]]</f>
        <v>0</v>
      </c>
      <c r="Y64" s="65">
        <f>IFERROR(VLOOKUP(Table1215[[#This Row],[Column2]],Table12[[Column2]:[Column54]],24,FALSE),"0")</f>
        <v>4</v>
      </c>
      <c r="Z64" s="65">
        <f>IFERROR(VLOOKUP(Table1215[[#This Row],[Column2]],Table12[[Column2]:[Column54]],25,FALSE),"0")</f>
        <v>0</v>
      </c>
      <c r="AA64" s="65">
        <f>IFERROR(VLOOKUP(Table1215[[#This Row],[Column2]],Table12[[Column2]:[Column54]],26,FALSE),"0")</f>
        <v>0</v>
      </c>
      <c r="AB64" s="65">
        <f>IFERROR(VLOOKUP(Table1215[[#This Row],[Column2]],Table12[[Column2]:[Column54]],27,FALSE),"0")</f>
        <v>0</v>
      </c>
      <c r="AC64" s="65">
        <f>IFERROR(VLOOKUP(Table1215[[#This Row],[Column2]],Table12[[Column2]:[Column54]],28,FALSE),"0")</f>
        <v>0</v>
      </c>
      <c r="AD64" s="67">
        <f>Table1215[[#This Row],[Column25]]</f>
        <v>4</v>
      </c>
      <c r="AE64" s="65">
        <f>IFERROR(VLOOKUP(Table1215[[#This Row],[Column2]],Table12[[Column2]:[Column54]],30,FALSE),"0")</f>
        <v>0</v>
      </c>
      <c r="AF64" s="65">
        <f>IFERROR(VLOOKUP(Table1215[[#This Row],[Column2]],Table12[[Column2]:[Column54]],31,FALSE),"0")</f>
        <v>0</v>
      </c>
      <c r="AG64" s="65">
        <f>IFERROR(VLOOKUP(Table1215[[#This Row],[Column2]],Table12[[Column2]:[Column54]],32,FALSE),"0")</f>
        <v>0</v>
      </c>
      <c r="AH64" s="65">
        <f>IFERROR(VLOOKUP(Table1215[[#This Row],[Column2]],Table12[[Column2]:[Column54]],33,FALSE),"0")</f>
        <v>0</v>
      </c>
      <c r="AI64" s="65">
        <f>IFERROR(VLOOKUP(Table1215[[#This Row],[Column2]],Table12[[Column2]:[Column54]],34,FALSE),"0")</f>
        <v>0</v>
      </c>
      <c r="AJ64" s="67">
        <f>AVERAGE(Table1215[[#This Row],[Column31]],Table1215[[#This Row],[Column32]],Table1215[[#This Row],[Column33]])</f>
        <v>0</v>
      </c>
      <c r="AK64" s="65">
        <f>IFERROR(VLOOKUP(Table1215[[#This Row],[Column2]],Table12[[Column2]:[Column54]],36,FALSE),"0")</f>
        <v>3</v>
      </c>
      <c r="AL64" s="65">
        <f>IFERROR(VLOOKUP(Table1215[[#This Row],[Column2]],Table12[[Column2]:[Column54]],37,FALSE),"0")</f>
        <v>4</v>
      </c>
      <c r="AM64" s="65">
        <f>IFERROR(VLOOKUP(Table1215[[#This Row],[Column2]],Table12[[Column2]:[Column54]],38,FALSE),"0")</f>
        <v>0</v>
      </c>
      <c r="AN64" s="65">
        <f>IFERROR(VLOOKUP(Table1215[[#This Row],[Column2]],Table12[[Column2]:[Column54]],39,FALSE),"0")</f>
        <v>4</v>
      </c>
      <c r="AO64" s="65">
        <f>IFERROR(VLOOKUP(Table1215[[#This Row],[Column2]],Table12[[Column2]:[Column54]],40,FALSE),"0")</f>
        <v>0</v>
      </c>
      <c r="AP64" s="67">
        <f>AVERAGE(Table1215[[#This Row],[Column37]],Table1215[[#This Row],[Column38]],Table1215[[#This Row],[Column40]])</f>
        <v>3.6666666666666665</v>
      </c>
      <c r="AQ64" s="65">
        <f>IFERROR(VLOOKUP(Table1215[[#This Row],[Column2]],Table12[[Column2]:[Column54]],42,FALSE),"0")</f>
        <v>4</v>
      </c>
      <c r="AR64" s="65">
        <f>IFERROR(VLOOKUP(Table1215[[#This Row],[Column2]],Table12[[Column2]:[Column54]],43,FALSE),"0")</f>
        <v>0</v>
      </c>
      <c r="AS64" s="65">
        <f>IFERROR(VLOOKUP(Table1215[[#This Row],[Column2]],Table12[[Column2]:[Column54]],44,FALSE),"0")</f>
        <v>0</v>
      </c>
      <c r="AT64" s="65">
        <f>IFERROR(VLOOKUP(Table1215[[#This Row],[Column2]],Table12[[Column2]:[Column54]],45,FALSE),"0")</f>
        <v>0</v>
      </c>
      <c r="AU64" s="65">
        <f>IFERROR(VLOOKUP(Table1215[[#This Row],[Column2]],Table12[[Column2]:[Column54]],46,FALSE),"0")</f>
        <v>0</v>
      </c>
      <c r="AV64" s="67">
        <f>Table1215[[#This Row],[Column43]]</f>
        <v>4</v>
      </c>
      <c r="AW64" s="65">
        <f>IFERROR(VLOOKUP(Table1215[[#This Row],[Column2]],Table12[[Column2]:[Column54]],48,FALSE),"0")</f>
        <v>0</v>
      </c>
      <c r="AX64" s="65">
        <f>IFERROR(VLOOKUP(Table1215[[#This Row],[Column2]],Table12[[Column2]:[Column54]],49,FALSE),"0")</f>
        <v>0</v>
      </c>
      <c r="AY64" s="65">
        <f>IFERROR(VLOOKUP(Table1215[[#This Row],[Column2]],Table12[[Column2]:[Column54]],50,FALSE),"0")</f>
        <v>0</v>
      </c>
      <c r="AZ64" s="65">
        <f>IFERROR(VLOOKUP(Table1215[[#This Row],[Column2]],Table12[[Column2]:[Column54]],51,FALSE),"0")</f>
        <v>4</v>
      </c>
      <c r="BA64" s="65">
        <f>IFERROR(VLOOKUP(Table1215[[#This Row],[Column2]],Table12[[Column2]:[Column54]],52,FALSE),"0")</f>
        <v>4</v>
      </c>
      <c r="BB64" s="67">
        <f>AVERAGE(Table1215[[#This Row],[Column52]],Table1215[[#This Row],[Column53]])</f>
        <v>4</v>
      </c>
    </row>
    <row r="65" spans="1:54" ht="23.1" customHeight="1" x14ac:dyDescent="0.3">
      <c r="A65" s="87">
        <v>62</v>
      </c>
      <c r="B65" s="70" t="s">
        <v>275</v>
      </c>
      <c r="C65" s="71" t="s">
        <v>276</v>
      </c>
      <c r="D65" s="70" t="s">
        <v>542</v>
      </c>
      <c r="E65" s="70" t="s">
        <v>161</v>
      </c>
      <c r="F65" s="70" t="str">
        <f>REPT(CHAR(160),10)&amp;Working!$E66</f>
        <v>          B</v>
      </c>
      <c r="G65" s="61">
        <f>IFERROR(VLOOKUP(Table1215[[#This Row],[Column2]],Table12[[Column2]:[Column54]],6,FALSE),"0")</f>
        <v>0</v>
      </c>
      <c r="H65" s="61">
        <f>IFERROR(VLOOKUP(Table1215[[#This Row],[Column2]],Table12[[Column2]:[Column54]],7,FALSE),"0")</f>
        <v>0</v>
      </c>
      <c r="I65" s="61">
        <f>IFERROR(VLOOKUP(Table1215[[#This Row],[Column2]],Table12[[Column2]:[Column54]],8,FALSE),"0")</f>
        <v>3</v>
      </c>
      <c r="J65" s="61">
        <f>IFERROR(VLOOKUP(Table1215[[#This Row],[Column2]],Table12[[Column2]:[Column54]],9,FALSE),"0")</f>
        <v>0</v>
      </c>
      <c r="K65" s="61">
        <f>IFERROR(VLOOKUP(Table1215[[#This Row],[Column2]],Table12[[Column2]:[Column54]],10,FALSE),"0")</f>
        <v>0</v>
      </c>
      <c r="L65" s="67">
        <f>Table1215[[#This Row],[Column9]]</f>
        <v>3</v>
      </c>
      <c r="M65" s="61">
        <f>IFERROR(VLOOKUP(Table1215[[#This Row],[Column2]],Table12[[Column2]:[Column54]],12,FALSE),"0")</f>
        <v>0</v>
      </c>
      <c r="N65" s="61">
        <f>IFERROR(VLOOKUP(Table1215[[#This Row],[Column2]],Table12[[Column2]:[Column54]],13,FALSE),"0")</f>
        <v>3</v>
      </c>
      <c r="O65" s="61">
        <f>IFERROR(VLOOKUP(Table1215[[#This Row],[Column2]],Table12[[Column2]:[Column54]],14,FALSE),"0")</f>
        <v>3</v>
      </c>
      <c r="P65" s="61">
        <f>IFERROR(VLOOKUP(Table1215[[#This Row],[Column2]],Table12[[Column2]:[Column54]],10,FALSE),"0")</f>
        <v>0</v>
      </c>
      <c r="Q65" s="61">
        <f>IFERROR(VLOOKUP(Table1215[[#This Row],[Column2]],Table12[[Column2]:[Column54]],16,FALSE),"0")</f>
        <v>3</v>
      </c>
      <c r="R65" s="67">
        <f>AVERAGE(Table1215[[#This Row],[Column14]],Table1215[[#This Row],[Column15]],Table1215[[#This Row],[Column17]])</f>
        <v>3</v>
      </c>
      <c r="S65" s="61">
        <f>IFERROR(VLOOKUP(Table1215[[#This Row],[Column2]],Table12[[Column2]:[Column54]],18,FALSE),"0")</f>
        <v>0</v>
      </c>
      <c r="T65" s="61">
        <f>IFERROR(VLOOKUP(Table1215[[#This Row],[Column2]],Table12[[Column2]:[Column54]],19,FALSE),"0")</f>
        <v>0</v>
      </c>
      <c r="U65" s="61">
        <f>IFERROR(VLOOKUP(Table1215[[#This Row],[Column2]],Table12[[Column2]:[Column54]],20,FALSE),"0")</f>
        <v>0</v>
      </c>
      <c r="V65" s="61">
        <f>IFERROR(VLOOKUP(Table1215[[#This Row],[Column2]],Table12[[Column2]:[Column54]],21,FALSE),"0")</f>
        <v>0</v>
      </c>
      <c r="W65" s="61">
        <f>IFERROR(VLOOKUP(Table1215[[#This Row],[Column2]],Table12[[Column2]:[Column54]],22,FALSE),"0")</f>
        <v>0</v>
      </c>
      <c r="X65" s="67">
        <f>Table1215[[#This Row],[Column19]]</f>
        <v>0</v>
      </c>
      <c r="Y65" s="61">
        <f>IFERROR(VLOOKUP(Table1215[[#This Row],[Column2]],Table12[[Column2]:[Column54]],24,FALSE),"0")</f>
        <v>3</v>
      </c>
      <c r="Z65" s="61">
        <f>IFERROR(VLOOKUP(Table1215[[#This Row],[Column2]],Table12[[Column2]:[Column54]],25,FALSE),"0")</f>
        <v>0</v>
      </c>
      <c r="AA65" s="61">
        <f>IFERROR(VLOOKUP(Table1215[[#This Row],[Column2]],Table12[[Column2]:[Column54]],26,FALSE),"0")</f>
        <v>0</v>
      </c>
      <c r="AB65" s="61">
        <f>IFERROR(VLOOKUP(Table1215[[#This Row],[Column2]],Table12[[Column2]:[Column54]],27,FALSE),"0")</f>
        <v>0</v>
      </c>
      <c r="AC65" s="61">
        <f>IFERROR(VLOOKUP(Table1215[[#This Row],[Column2]],Table12[[Column2]:[Column54]],28,FALSE),"0")</f>
        <v>0</v>
      </c>
      <c r="AD65" s="67">
        <f>Table1215[[#This Row],[Column25]]</f>
        <v>3</v>
      </c>
      <c r="AE65" s="61">
        <f>IFERROR(VLOOKUP(Table1215[[#This Row],[Column2]],Table12[[Column2]:[Column54]],30,FALSE),"0")</f>
        <v>0</v>
      </c>
      <c r="AF65" s="61">
        <f>IFERROR(VLOOKUP(Table1215[[#This Row],[Column2]],Table12[[Column2]:[Column54]],31,FALSE),"0")</f>
        <v>0</v>
      </c>
      <c r="AG65" s="61">
        <f>IFERROR(VLOOKUP(Table1215[[#This Row],[Column2]],Table12[[Column2]:[Column54]],32,FALSE),"0")</f>
        <v>0</v>
      </c>
      <c r="AH65" s="61">
        <f>IFERROR(VLOOKUP(Table1215[[#This Row],[Column2]],Table12[[Column2]:[Column54]],33,FALSE),"0")</f>
        <v>0</v>
      </c>
      <c r="AI65" s="61">
        <f>IFERROR(VLOOKUP(Table1215[[#This Row],[Column2]],Table12[[Column2]:[Column54]],34,FALSE),"0")</f>
        <v>0</v>
      </c>
      <c r="AJ65" s="67">
        <f>AVERAGE(Table1215[[#This Row],[Column31]],Table1215[[#This Row],[Column32]],Table1215[[#This Row],[Column33]])</f>
        <v>0</v>
      </c>
      <c r="AK65" s="61">
        <f>IFERROR(VLOOKUP(Table1215[[#This Row],[Column2]],Table12[[Column2]:[Column54]],36,FALSE),"0")</f>
        <v>3</v>
      </c>
      <c r="AL65" s="61">
        <f>IFERROR(VLOOKUP(Table1215[[#This Row],[Column2]],Table12[[Column2]:[Column54]],37,FALSE),"0")</f>
        <v>4</v>
      </c>
      <c r="AM65" s="61">
        <f>IFERROR(VLOOKUP(Table1215[[#This Row],[Column2]],Table12[[Column2]:[Column54]],38,FALSE),"0")</f>
        <v>0</v>
      </c>
      <c r="AN65" s="61">
        <f>IFERROR(VLOOKUP(Table1215[[#This Row],[Column2]],Table12[[Column2]:[Column54]],39,FALSE),"0")</f>
        <v>4</v>
      </c>
      <c r="AO65" s="61">
        <f>IFERROR(VLOOKUP(Table1215[[#This Row],[Column2]],Table12[[Column2]:[Column54]],40,FALSE),"0")</f>
        <v>0</v>
      </c>
      <c r="AP65" s="67">
        <f>AVERAGE(Table1215[[#This Row],[Column37]],Table1215[[#This Row],[Column38]],Table1215[[#This Row],[Column40]])</f>
        <v>3.6666666666666665</v>
      </c>
      <c r="AQ65" s="61">
        <f>IFERROR(VLOOKUP(Table1215[[#This Row],[Column2]],Table12[[Column2]:[Column54]],42,FALSE),"0")</f>
        <v>3</v>
      </c>
      <c r="AR65" s="61">
        <f>IFERROR(VLOOKUP(Table1215[[#This Row],[Column2]],Table12[[Column2]:[Column54]],43,FALSE),"0")</f>
        <v>0</v>
      </c>
      <c r="AS65" s="61">
        <f>IFERROR(VLOOKUP(Table1215[[#This Row],[Column2]],Table12[[Column2]:[Column54]],44,FALSE),"0")</f>
        <v>0</v>
      </c>
      <c r="AT65" s="61">
        <f>IFERROR(VLOOKUP(Table1215[[#This Row],[Column2]],Table12[[Column2]:[Column54]],45,FALSE),"0")</f>
        <v>0</v>
      </c>
      <c r="AU65" s="61">
        <f>IFERROR(VLOOKUP(Table1215[[#This Row],[Column2]],Table12[[Column2]:[Column54]],46,FALSE),"0")</f>
        <v>0</v>
      </c>
      <c r="AV65" s="67">
        <f>Table1215[[#This Row],[Column43]]</f>
        <v>3</v>
      </c>
      <c r="AW65" s="61">
        <f>IFERROR(VLOOKUP(Table1215[[#This Row],[Column2]],Table12[[Column2]:[Column54]],48,FALSE),"0")</f>
        <v>0</v>
      </c>
      <c r="AX65" s="61">
        <f>IFERROR(VLOOKUP(Table1215[[#This Row],[Column2]],Table12[[Column2]:[Column54]],49,FALSE),"0")</f>
        <v>0</v>
      </c>
      <c r="AY65" s="61">
        <f>IFERROR(VLOOKUP(Table1215[[#This Row],[Column2]],Table12[[Column2]:[Column54]],50,FALSE),"0")</f>
        <v>0</v>
      </c>
      <c r="AZ65" s="61">
        <f>IFERROR(VLOOKUP(Table1215[[#This Row],[Column2]],Table12[[Column2]:[Column54]],51,FALSE),"0")</f>
        <v>3</v>
      </c>
      <c r="BA65" s="61">
        <f>IFERROR(VLOOKUP(Table1215[[#This Row],[Column2]],Table12[[Column2]:[Column54]],52,FALSE),"0")</f>
        <v>4</v>
      </c>
      <c r="BB65" s="67">
        <f>AVERAGE(Table1215[[#This Row],[Column52]],Table1215[[#This Row],[Column53]])</f>
        <v>3.5</v>
      </c>
    </row>
    <row r="66" spans="1:54" ht="23.1" customHeight="1" x14ac:dyDescent="0.3">
      <c r="A66" s="86">
        <v>63</v>
      </c>
      <c r="B66" s="63" t="s">
        <v>60</v>
      </c>
      <c r="C66" s="64" t="s">
        <v>61</v>
      </c>
      <c r="D66" s="63" t="s">
        <v>450</v>
      </c>
      <c r="E66" s="63" t="s">
        <v>35</v>
      </c>
      <c r="F66" s="63" t="str">
        <f>REPT(CHAR(160),10)&amp;Working!$E67</f>
        <v>          A</v>
      </c>
      <c r="G66" s="65">
        <f>IFERROR(VLOOKUP(Table1215[[#This Row],[Column2]],Table12[[Column2]:[Column54]],6,FALSE),"0")</f>
        <v>0</v>
      </c>
      <c r="H66" s="65">
        <f>IFERROR(VLOOKUP(Table1215[[#This Row],[Column2]],Table12[[Column2]:[Column54]],7,FALSE),"0")</f>
        <v>0</v>
      </c>
      <c r="I66" s="65">
        <f>IFERROR(VLOOKUP(Table1215[[#This Row],[Column2]],Table12[[Column2]:[Column54]],8,FALSE),"0")</f>
        <v>3</v>
      </c>
      <c r="J66" s="65">
        <f>IFERROR(VLOOKUP(Table1215[[#This Row],[Column2]],Table12[[Column2]:[Column54]],9,FALSE),"0")</f>
        <v>0</v>
      </c>
      <c r="K66" s="65">
        <f>IFERROR(VLOOKUP(Table1215[[#This Row],[Column2]],Table12[[Column2]:[Column54]],10,FALSE),"0")</f>
        <v>0</v>
      </c>
      <c r="L66" s="67">
        <f>Table1215[[#This Row],[Column9]]</f>
        <v>3</v>
      </c>
      <c r="M66" s="65">
        <f>IFERROR(VLOOKUP(Table1215[[#This Row],[Column2]],Table12[[Column2]:[Column54]],12,FALSE),"0")</f>
        <v>0</v>
      </c>
      <c r="N66" s="65">
        <f>IFERROR(VLOOKUP(Table1215[[#This Row],[Column2]],Table12[[Column2]:[Column54]],13,FALSE),"0")</f>
        <v>3</v>
      </c>
      <c r="O66" s="65">
        <f>IFERROR(VLOOKUP(Table1215[[#This Row],[Column2]],Table12[[Column2]:[Column54]],14,FALSE),"0")</f>
        <v>3</v>
      </c>
      <c r="P66" s="65">
        <f>IFERROR(VLOOKUP(Table1215[[#This Row],[Column2]],Table12[[Column2]:[Column54]],10,FALSE),"0")</f>
        <v>0</v>
      </c>
      <c r="Q66" s="65">
        <f>IFERROR(VLOOKUP(Table1215[[#This Row],[Column2]],Table12[[Column2]:[Column54]],16,FALSE),"0")</f>
        <v>3</v>
      </c>
      <c r="R66" s="67">
        <f>AVERAGE(Table1215[[#This Row],[Column14]],Table1215[[#This Row],[Column15]],Table1215[[#This Row],[Column17]])</f>
        <v>3</v>
      </c>
      <c r="S66" s="65">
        <f>IFERROR(VLOOKUP(Table1215[[#This Row],[Column2]],Table12[[Column2]:[Column54]],18,FALSE),"0")</f>
        <v>0</v>
      </c>
      <c r="T66" s="65">
        <f>IFERROR(VLOOKUP(Table1215[[#This Row],[Column2]],Table12[[Column2]:[Column54]],19,FALSE),"0")</f>
        <v>0</v>
      </c>
      <c r="U66" s="65">
        <f>IFERROR(VLOOKUP(Table1215[[#This Row],[Column2]],Table12[[Column2]:[Column54]],20,FALSE),"0")</f>
        <v>0</v>
      </c>
      <c r="V66" s="65">
        <f>IFERROR(VLOOKUP(Table1215[[#This Row],[Column2]],Table12[[Column2]:[Column54]],21,FALSE),"0")</f>
        <v>0</v>
      </c>
      <c r="W66" s="65">
        <f>IFERROR(VLOOKUP(Table1215[[#This Row],[Column2]],Table12[[Column2]:[Column54]],22,FALSE),"0")</f>
        <v>0</v>
      </c>
      <c r="X66" s="67">
        <f>Table1215[[#This Row],[Column19]]</f>
        <v>0</v>
      </c>
      <c r="Y66" s="65">
        <f>IFERROR(VLOOKUP(Table1215[[#This Row],[Column2]],Table12[[Column2]:[Column54]],24,FALSE),"0")</f>
        <v>4</v>
      </c>
      <c r="Z66" s="65">
        <f>IFERROR(VLOOKUP(Table1215[[#This Row],[Column2]],Table12[[Column2]:[Column54]],25,FALSE),"0")</f>
        <v>0</v>
      </c>
      <c r="AA66" s="65">
        <f>IFERROR(VLOOKUP(Table1215[[#This Row],[Column2]],Table12[[Column2]:[Column54]],26,FALSE),"0")</f>
        <v>0</v>
      </c>
      <c r="AB66" s="65">
        <f>IFERROR(VLOOKUP(Table1215[[#This Row],[Column2]],Table12[[Column2]:[Column54]],27,FALSE),"0")</f>
        <v>0</v>
      </c>
      <c r="AC66" s="65">
        <f>IFERROR(VLOOKUP(Table1215[[#This Row],[Column2]],Table12[[Column2]:[Column54]],28,FALSE),"0")</f>
        <v>0</v>
      </c>
      <c r="AD66" s="67">
        <f>Table1215[[#This Row],[Column25]]</f>
        <v>4</v>
      </c>
      <c r="AE66" s="65">
        <f>IFERROR(VLOOKUP(Table1215[[#This Row],[Column2]],Table12[[Column2]:[Column54]],30,FALSE),"0")</f>
        <v>0</v>
      </c>
      <c r="AF66" s="65">
        <f>IFERROR(VLOOKUP(Table1215[[#This Row],[Column2]],Table12[[Column2]:[Column54]],31,FALSE),"0")</f>
        <v>0</v>
      </c>
      <c r="AG66" s="65">
        <f>IFERROR(VLOOKUP(Table1215[[#This Row],[Column2]],Table12[[Column2]:[Column54]],32,FALSE),"0")</f>
        <v>0</v>
      </c>
      <c r="AH66" s="65">
        <f>IFERROR(VLOOKUP(Table1215[[#This Row],[Column2]],Table12[[Column2]:[Column54]],33,FALSE),"0")</f>
        <v>0</v>
      </c>
      <c r="AI66" s="65">
        <f>IFERROR(VLOOKUP(Table1215[[#This Row],[Column2]],Table12[[Column2]:[Column54]],34,FALSE),"0")</f>
        <v>0</v>
      </c>
      <c r="AJ66" s="67">
        <f>AVERAGE(Table1215[[#This Row],[Column31]],Table1215[[#This Row],[Column32]],Table1215[[#This Row],[Column33]])</f>
        <v>0</v>
      </c>
      <c r="AK66" s="65">
        <f>IFERROR(VLOOKUP(Table1215[[#This Row],[Column2]],Table12[[Column2]:[Column54]],36,FALSE),"0")</f>
        <v>3</v>
      </c>
      <c r="AL66" s="65">
        <f>IFERROR(VLOOKUP(Table1215[[#This Row],[Column2]],Table12[[Column2]:[Column54]],37,FALSE),"0")</f>
        <v>4</v>
      </c>
      <c r="AM66" s="65">
        <f>IFERROR(VLOOKUP(Table1215[[#This Row],[Column2]],Table12[[Column2]:[Column54]],38,FALSE),"0")</f>
        <v>0</v>
      </c>
      <c r="AN66" s="65">
        <f>IFERROR(VLOOKUP(Table1215[[#This Row],[Column2]],Table12[[Column2]:[Column54]],39,FALSE),"0")</f>
        <v>3</v>
      </c>
      <c r="AO66" s="65">
        <f>IFERROR(VLOOKUP(Table1215[[#This Row],[Column2]],Table12[[Column2]:[Column54]],40,FALSE),"0")</f>
        <v>0</v>
      </c>
      <c r="AP66" s="67">
        <f>AVERAGE(Table1215[[#This Row],[Column37]],Table1215[[#This Row],[Column38]],Table1215[[#This Row],[Column40]])</f>
        <v>3.3333333333333335</v>
      </c>
      <c r="AQ66" s="65">
        <f>IFERROR(VLOOKUP(Table1215[[#This Row],[Column2]],Table12[[Column2]:[Column54]],42,FALSE),"0")</f>
        <v>3</v>
      </c>
      <c r="AR66" s="65">
        <f>IFERROR(VLOOKUP(Table1215[[#This Row],[Column2]],Table12[[Column2]:[Column54]],43,FALSE),"0")</f>
        <v>0</v>
      </c>
      <c r="AS66" s="65">
        <f>IFERROR(VLOOKUP(Table1215[[#This Row],[Column2]],Table12[[Column2]:[Column54]],44,FALSE),"0")</f>
        <v>0</v>
      </c>
      <c r="AT66" s="65">
        <f>IFERROR(VLOOKUP(Table1215[[#This Row],[Column2]],Table12[[Column2]:[Column54]],45,FALSE),"0")</f>
        <v>0</v>
      </c>
      <c r="AU66" s="65">
        <f>IFERROR(VLOOKUP(Table1215[[#This Row],[Column2]],Table12[[Column2]:[Column54]],46,FALSE),"0")</f>
        <v>0</v>
      </c>
      <c r="AV66" s="67">
        <f>Table1215[[#This Row],[Column43]]</f>
        <v>3</v>
      </c>
      <c r="AW66" s="65">
        <f>IFERROR(VLOOKUP(Table1215[[#This Row],[Column2]],Table12[[Column2]:[Column54]],48,FALSE),"0")</f>
        <v>0</v>
      </c>
      <c r="AX66" s="65">
        <f>IFERROR(VLOOKUP(Table1215[[#This Row],[Column2]],Table12[[Column2]:[Column54]],49,FALSE),"0")</f>
        <v>0</v>
      </c>
      <c r="AY66" s="65">
        <f>IFERROR(VLOOKUP(Table1215[[#This Row],[Column2]],Table12[[Column2]:[Column54]],50,FALSE),"0")</f>
        <v>0</v>
      </c>
      <c r="AZ66" s="65">
        <f>IFERROR(VLOOKUP(Table1215[[#This Row],[Column2]],Table12[[Column2]:[Column54]],51,FALSE),"0")</f>
        <v>3</v>
      </c>
      <c r="BA66" s="65">
        <f>IFERROR(VLOOKUP(Table1215[[#This Row],[Column2]],Table12[[Column2]:[Column54]],52,FALSE),"0")</f>
        <v>3</v>
      </c>
      <c r="BB66" s="67">
        <f>AVERAGE(Table1215[[#This Row],[Column52]],Table1215[[#This Row],[Column53]])</f>
        <v>3</v>
      </c>
    </row>
    <row r="67" spans="1:54" ht="23.1" customHeight="1" x14ac:dyDescent="0.3">
      <c r="A67" s="87">
        <v>64</v>
      </c>
      <c r="B67" s="70" t="s">
        <v>318</v>
      </c>
      <c r="C67" s="71" t="s">
        <v>319</v>
      </c>
      <c r="D67" s="70" t="s">
        <v>450</v>
      </c>
      <c r="E67" s="70" t="s">
        <v>493</v>
      </c>
      <c r="F67" s="70" t="str">
        <f>REPT(CHAR(160),10)&amp;Working!$E68</f>
        <v>          C</v>
      </c>
      <c r="G67" s="61">
        <f>IFERROR(VLOOKUP(Table1215[[#This Row],[Column2]],Table12[[Column2]:[Column54]],6,FALSE),"0")</f>
        <v>0</v>
      </c>
      <c r="H67" s="61">
        <f>IFERROR(VLOOKUP(Table1215[[#This Row],[Column2]],Table12[[Column2]:[Column54]],7,FALSE),"0")</f>
        <v>0</v>
      </c>
      <c r="I67" s="61">
        <f>IFERROR(VLOOKUP(Table1215[[#This Row],[Column2]],Table12[[Column2]:[Column54]],8,FALSE),"0")</f>
        <v>0</v>
      </c>
      <c r="J67" s="61">
        <f>IFERROR(VLOOKUP(Table1215[[#This Row],[Column2]],Table12[[Column2]:[Column54]],9,FALSE),"0")</f>
        <v>0</v>
      </c>
      <c r="K67" s="61">
        <f>IFERROR(VLOOKUP(Table1215[[#This Row],[Column2]],Table12[[Column2]:[Column54]],10,FALSE),"0")</f>
        <v>0</v>
      </c>
      <c r="L67" s="67">
        <f>Table1215[[#This Row],[Column9]]</f>
        <v>0</v>
      </c>
      <c r="M67" s="61">
        <f>IFERROR(VLOOKUP(Table1215[[#This Row],[Column2]],Table12[[Column2]:[Column54]],12,FALSE),"0")</f>
        <v>0</v>
      </c>
      <c r="N67" s="61">
        <f>IFERROR(VLOOKUP(Table1215[[#This Row],[Column2]],Table12[[Column2]:[Column54]],13,FALSE),"0")</f>
        <v>0</v>
      </c>
      <c r="O67" s="61">
        <f>IFERROR(VLOOKUP(Table1215[[#This Row],[Column2]],Table12[[Column2]:[Column54]],14,FALSE),"0")</f>
        <v>0</v>
      </c>
      <c r="P67" s="61">
        <f>IFERROR(VLOOKUP(Table1215[[#This Row],[Column2]],Table12[[Column2]:[Column54]],10,FALSE),"0")</f>
        <v>0</v>
      </c>
      <c r="Q67" s="61">
        <f>IFERROR(VLOOKUP(Table1215[[#This Row],[Column2]],Table12[[Column2]:[Column54]],16,FALSE),"0")</f>
        <v>0</v>
      </c>
      <c r="R67" s="67">
        <f>AVERAGE(Table1215[[#This Row],[Column14]],Table1215[[#This Row],[Column15]],Table1215[[#This Row],[Column17]])</f>
        <v>0</v>
      </c>
      <c r="S67" s="61">
        <f>IFERROR(VLOOKUP(Table1215[[#This Row],[Column2]],Table12[[Column2]:[Column54]],18,FALSE),"0")</f>
        <v>0</v>
      </c>
      <c r="T67" s="61">
        <f>IFERROR(VLOOKUP(Table1215[[#This Row],[Column2]],Table12[[Column2]:[Column54]],19,FALSE),"0")</f>
        <v>0</v>
      </c>
      <c r="U67" s="61">
        <f>IFERROR(VLOOKUP(Table1215[[#This Row],[Column2]],Table12[[Column2]:[Column54]],20,FALSE),"0")</f>
        <v>0</v>
      </c>
      <c r="V67" s="61">
        <f>IFERROR(VLOOKUP(Table1215[[#This Row],[Column2]],Table12[[Column2]:[Column54]],21,FALSE),"0")</f>
        <v>0</v>
      </c>
      <c r="W67" s="61">
        <f>IFERROR(VLOOKUP(Table1215[[#This Row],[Column2]],Table12[[Column2]:[Column54]],22,FALSE),"0")</f>
        <v>0</v>
      </c>
      <c r="X67" s="67">
        <f>Table1215[[#This Row],[Column19]]</f>
        <v>0</v>
      </c>
      <c r="Y67" s="61">
        <f>IFERROR(VLOOKUP(Table1215[[#This Row],[Column2]],Table12[[Column2]:[Column54]],24,FALSE),"0")</f>
        <v>0</v>
      </c>
      <c r="Z67" s="61">
        <f>IFERROR(VLOOKUP(Table1215[[#This Row],[Column2]],Table12[[Column2]:[Column54]],25,FALSE),"0")</f>
        <v>0</v>
      </c>
      <c r="AA67" s="61">
        <f>IFERROR(VLOOKUP(Table1215[[#This Row],[Column2]],Table12[[Column2]:[Column54]],26,FALSE),"0")</f>
        <v>0</v>
      </c>
      <c r="AB67" s="61">
        <f>IFERROR(VLOOKUP(Table1215[[#This Row],[Column2]],Table12[[Column2]:[Column54]],27,FALSE),"0")</f>
        <v>0</v>
      </c>
      <c r="AC67" s="61">
        <f>IFERROR(VLOOKUP(Table1215[[#This Row],[Column2]],Table12[[Column2]:[Column54]],28,FALSE),"0")</f>
        <v>0</v>
      </c>
      <c r="AD67" s="67">
        <f>Table1215[[#This Row],[Column25]]</f>
        <v>0</v>
      </c>
      <c r="AE67" s="61">
        <f>IFERROR(VLOOKUP(Table1215[[#This Row],[Column2]],Table12[[Column2]:[Column54]],30,FALSE),"0")</f>
        <v>0</v>
      </c>
      <c r="AF67" s="61">
        <f>IFERROR(VLOOKUP(Table1215[[#This Row],[Column2]],Table12[[Column2]:[Column54]],31,FALSE),"0")</f>
        <v>0</v>
      </c>
      <c r="AG67" s="61">
        <f>IFERROR(VLOOKUP(Table1215[[#This Row],[Column2]],Table12[[Column2]:[Column54]],32,FALSE),"0")</f>
        <v>0</v>
      </c>
      <c r="AH67" s="61">
        <f>IFERROR(VLOOKUP(Table1215[[#This Row],[Column2]],Table12[[Column2]:[Column54]],33,FALSE),"0")</f>
        <v>0</v>
      </c>
      <c r="AI67" s="61">
        <f>IFERROR(VLOOKUP(Table1215[[#This Row],[Column2]],Table12[[Column2]:[Column54]],34,FALSE),"0")</f>
        <v>0</v>
      </c>
      <c r="AJ67" s="67">
        <f>AVERAGE(Table1215[[#This Row],[Column31]],Table1215[[#This Row],[Column32]],Table1215[[#This Row],[Column33]])</f>
        <v>0</v>
      </c>
      <c r="AK67" s="61">
        <f>IFERROR(VLOOKUP(Table1215[[#This Row],[Column2]],Table12[[Column2]:[Column54]],36,FALSE),"0")</f>
        <v>0</v>
      </c>
      <c r="AL67" s="61">
        <f>IFERROR(VLOOKUP(Table1215[[#This Row],[Column2]],Table12[[Column2]:[Column54]],37,FALSE),"0")</f>
        <v>0</v>
      </c>
      <c r="AM67" s="61">
        <f>IFERROR(VLOOKUP(Table1215[[#This Row],[Column2]],Table12[[Column2]:[Column54]],38,FALSE),"0")</f>
        <v>0</v>
      </c>
      <c r="AN67" s="61" t="str">
        <f>IFERROR(VLOOKUP(Table1215[[#This Row],[Column2]],Table12[[Column2]:[Column54]],39,FALSE),"0")</f>
        <v>A</v>
      </c>
      <c r="AO67" s="61">
        <f>IFERROR(VLOOKUP(Table1215[[#This Row],[Column2]],Table12[[Column2]:[Column54]],40,FALSE),"0")</f>
        <v>0</v>
      </c>
      <c r="AP67" s="67">
        <f>AVERAGE(Table1215[[#This Row],[Column37]],Table1215[[#This Row],[Column38]],Table1215[[#This Row],[Column40]])</f>
        <v>0</v>
      </c>
      <c r="AQ67" s="61">
        <f>IFERROR(VLOOKUP(Table1215[[#This Row],[Column2]],Table12[[Column2]:[Column54]],42,FALSE),"0")</f>
        <v>0</v>
      </c>
      <c r="AR67" s="61">
        <f>IFERROR(VLOOKUP(Table1215[[#This Row],[Column2]],Table12[[Column2]:[Column54]],43,FALSE),"0")</f>
        <v>0</v>
      </c>
      <c r="AS67" s="61">
        <f>IFERROR(VLOOKUP(Table1215[[#This Row],[Column2]],Table12[[Column2]:[Column54]],44,FALSE),"0")</f>
        <v>0</v>
      </c>
      <c r="AT67" s="61">
        <f>IFERROR(VLOOKUP(Table1215[[#This Row],[Column2]],Table12[[Column2]:[Column54]],45,FALSE),"0")</f>
        <v>0</v>
      </c>
      <c r="AU67" s="61">
        <f>IFERROR(VLOOKUP(Table1215[[#This Row],[Column2]],Table12[[Column2]:[Column54]],46,FALSE),"0")</f>
        <v>0</v>
      </c>
      <c r="AV67" s="67">
        <f>Table1215[[#This Row],[Column43]]</f>
        <v>0</v>
      </c>
      <c r="AW67" s="61">
        <f>IFERROR(VLOOKUP(Table1215[[#This Row],[Column2]],Table12[[Column2]:[Column54]],48,FALSE),"0")</f>
        <v>0</v>
      </c>
      <c r="AX67" s="61">
        <f>IFERROR(VLOOKUP(Table1215[[#This Row],[Column2]],Table12[[Column2]:[Column54]],49,FALSE),"0")</f>
        <v>0</v>
      </c>
      <c r="AY67" s="61">
        <f>IFERROR(VLOOKUP(Table1215[[#This Row],[Column2]],Table12[[Column2]:[Column54]],50,FALSE),"0")</f>
        <v>0</v>
      </c>
      <c r="AZ67" s="61">
        <f>IFERROR(VLOOKUP(Table1215[[#This Row],[Column2]],Table12[[Column2]:[Column54]],51,FALSE),"0")</f>
        <v>0</v>
      </c>
      <c r="BA67" s="61">
        <f>IFERROR(VLOOKUP(Table1215[[#This Row],[Column2]],Table12[[Column2]:[Column54]],52,FALSE),"0")</f>
        <v>0</v>
      </c>
      <c r="BB67" s="67">
        <f>AVERAGE(Table1215[[#This Row],[Column52]],Table1215[[#This Row],[Column53]])</f>
        <v>0</v>
      </c>
    </row>
    <row r="68" spans="1:54" ht="23.1" customHeight="1" x14ac:dyDescent="0.3">
      <c r="A68" s="86">
        <v>65</v>
      </c>
      <c r="B68" s="63" t="s">
        <v>91</v>
      </c>
      <c r="C68" s="64" t="s">
        <v>92</v>
      </c>
      <c r="D68" s="63" t="s">
        <v>450</v>
      </c>
      <c r="E68" s="63" t="s">
        <v>35</v>
      </c>
      <c r="F68" s="63" t="str">
        <f>REPT(CHAR(160),10)&amp;Working!$E69</f>
        <v>          A</v>
      </c>
      <c r="G68" s="65">
        <f>IFERROR(VLOOKUP(Table1215[[#This Row],[Column2]],Table12[[Column2]:[Column54]],6,FALSE),"0")</f>
        <v>0</v>
      </c>
      <c r="H68" s="65">
        <f>IFERROR(VLOOKUP(Table1215[[#This Row],[Column2]],Table12[[Column2]:[Column54]],7,FALSE),"0")</f>
        <v>0</v>
      </c>
      <c r="I68" s="65">
        <f>IFERROR(VLOOKUP(Table1215[[#This Row],[Column2]],Table12[[Column2]:[Column54]],8,FALSE),"0")</f>
        <v>3</v>
      </c>
      <c r="J68" s="65">
        <f>IFERROR(VLOOKUP(Table1215[[#This Row],[Column2]],Table12[[Column2]:[Column54]],9,FALSE),"0")</f>
        <v>0</v>
      </c>
      <c r="K68" s="65">
        <f>IFERROR(VLOOKUP(Table1215[[#This Row],[Column2]],Table12[[Column2]:[Column54]],10,FALSE),"0")</f>
        <v>0</v>
      </c>
      <c r="L68" s="67">
        <f>Table1215[[#This Row],[Column9]]</f>
        <v>3</v>
      </c>
      <c r="M68" s="65">
        <f>IFERROR(VLOOKUP(Table1215[[#This Row],[Column2]],Table12[[Column2]:[Column54]],12,FALSE),"0")</f>
        <v>0</v>
      </c>
      <c r="N68" s="65">
        <f>IFERROR(VLOOKUP(Table1215[[#This Row],[Column2]],Table12[[Column2]:[Column54]],13,FALSE),"0")</f>
        <v>3</v>
      </c>
      <c r="O68" s="65">
        <f>IFERROR(VLOOKUP(Table1215[[#This Row],[Column2]],Table12[[Column2]:[Column54]],14,FALSE),"0")</f>
        <v>3</v>
      </c>
      <c r="P68" s="65">
        <f>IFERROR(VLOOKUP(Table1215[[#This Row],[Column2]],Table12[[Column2]:[Column54]],10,FALSE),"0")</f>
        <v>0</v>
      </c>
      <c r="Q68" s="65">
        <f>IFERROR(VLOOKUP(Table1215[[#This Row],[Column2]],Table12[[Column2]:[Column54]],16,FALSE),"0")</f>
        <v>3</v>
      </c>
      <c r="R68" s="67">
        <f>AVERAGE(Table1215[[#This Row],[Column14]],Table1215[[#This Row],[Column15]],Table1215[[#This Row],[Column17]])</f>
        <v>3</v>
      </c>
      <c r="S68" s="65">
        <f>IFERROR(VLOOKUP(Table1215[[#This Row],[Column2]],Table12[[Column2]:[Column54]],18,FALSE),"0")</f>
        <v>0</v>
      </c>
      <c r="T68" s="65">
        <f>IFERROR(VLOOKUP(Table1215[[#This Row],[Column2]],Table12[[Column2]:[Column54]],19,FALSE),"0")</f>
        <v>0</v>
      </c>
      <c r="U68" s="65">
        <f>IFERROR(VLOOKUP(Table1215[[#This Row],[Column2]],Table12[[Column2]:[Column54]],20,FALSE),"0")</f>
        <v>0</v>
      </c>
      <c r="V68" s="65">
        <f>IFERROR(VLOOKUP(Table1215[[#This Row],[Column2]],Table12[[Column2]:[Column54]],21,FALSE),"0")</f>
        <v>0</v>
      </c>
      <c r="W68" s="65">
        <f>IFERROR(VLOOKUP(Table1215[[#This Row],[Column2]],Table12[[Column2]:[Column54]],22,FALSE),"0")</f>
        <v>0</v>
      </c>
      <c r="X68" s="67">
        <f>Table1215[[#This Row],[Column19]]</f>
        <v>0</v>
      </c>
      <c r="Y68" s="65">
        <f>IFERROR(VLOOKUP(Table1215[[#This Row],[Column2]],Table12[[Column2]:[Column54]],24,FALSE),"0")</f>
        <v>3</v>
      </c>
      <c r="Z68" s="65">
        <f>IFERROR(VLOOKUP(Table1215[[#This Row],[Column2]],Table12[[Column2]:[Column54]],25,FALSE),"0")</f>
        <v>0</v>
      </c>
      <c r="AA68" s="65">
        <f>IFERROR(VLOOKUP(Table1215[[#This Row],[Column2]],Table12[[Column2]:[Column54]],26,FALSE),"0")</f>
        <v>0</v>
      </c>
      <c r="AB68" s="65">
        <f>IFERROR(VLOOKUP(Table1215[[#This Row],[Column2]],Table12[[Column2]:[Column54]],27,FALSE),"0")</f>
        <v>0</v>
      </c>
      <c r="AC68" s="65">
        <f>IFERROR(VLOOKUP(Table1215[[#This Row],[Column2]],Table12[[Column2]:[Column54]],28,FALSE),"0")</f>
        <v>0</v>
      </c>
      <c r="AD68" s="67">
        <f>Table1215[[#This Row],[Column25]]</f>
        <v>3</v>
      </c>
      <c r="AE68" s="65">
        <f>IFERROR(VLOOKUP(Table1215[[#This Row],[Column2]],Table12[[Column2]:[Column54]],30,FALSE),"0")</f>
        <v>0</v>
      </c>
      <c r="AF68" s="65">
        <f>IFERROR(VLOOKUP(Table1215[[#This Row],[Column2]],Table12[[Column2]:[Column54]],31,FALSE),"0")</f>
        <v>0</v>
      </c>
      <c r="AG68" s="65">
        <f>IFERROR(VLOOKUP(Table1215[[#This Row],[Column2]],Table12[[Column2]:[Column54]],32,FALSE),"0")</f>
        <v>0</v>
      </c>
      <c r="AH68" s="65">
        <f>IFERROR(VLOOKUP(Table1215[[#This Row],[Column2]],Table12[[Column2]:[Column54]],33,FALSE),"0")</f>
        <v>0</v>
      </c>
      <c r="AI68" s="65">
        <f>IFERROR(VLOOKUP(Table1215[[#This Row],[Column2]],Table12[[Column2]:[Column54]],34,FALSE),"0")</f>
        <v>0</v>
      </c>
      <c r="AJ68" s="67">
        <f>AVERAGE(Table1215[[#This Row],[Column31]],Table1215[[#This Row],[Column32]],Table1215[[#This Row],[Column33]])</f>
        <v>0</v>
      </c>
      <c r="AK68" s="65">
        <f>IFERROR(VLOOKUP(Table1215[[#This Row],[Column2]],Table12[[Column2]:[Column54]],36,FALSE),"0")</f>
        <v>4</v>
      </c>
      <c r="AL68" s="65">
        <f>IFERROR(VLOOKUP(Table1215[[#This Row],[Column2]],Table12[[Column2]:[Column54]],37,FALSE),"0")</f>
        <v>4</v>
      </c>
      <c r="AM68" s="65">
        <f>IFERROR(VLOOKUP(Table1215[[#This Row],[Column2]],Table12[[Column2]:[Column54]],38,FALSE),"0")</f>
        <v>0</v>
      </c>
      <c r="AN68" s="65">
        <f>IFERROR(VLOOKUP(Table1215[[#This Row],[Column2]],Table12[[Column2]:[Column54]],39,FALSE),"0")</f>
        <v>4</v>
      </c>
      <c r="AO68" s="65">
        <f>IFERROR(VLOOKUP(Table1215[[#This Row],[Column2]],Table12[[Column2]:[Column54]],40,FALSE),"0")</f>
        <v>0</v>
      </c>
      <c r="AP68" s="67">
        <f>AVERAGE(Table1215[[#This Row],[Column37]],Table1215[[#This Row],[Column38]],Table1215[[#This Row],[Column40]])</f>
        <v>4</v>
      </c>
      <c r="AQ68" s="65">
        <f>IFERROR(VLOOKUP(Table1215[[#This Row],[Column2]],Table12[[Column2]:[Column54]],42,FALSE),"0")</f>
        <v>4</v>
      </c>
      <c r="AR68" s="65">
        <f>IFERROR(VLOOKUP(Table1215[[#This Row],[Column2]],Table12[[Column2]:[Column54]],43,FALSE),"0")</f>
        <v>0</v>
      </c>
      <c r="AS68" s="65">
        <f>IFERROR(VLOOKUP(Table1215[[#This Row],[Column2]],Table12[[Column2]:[Column54]],44,FALSE),"0")</f>
        <v>0</v>
      </c>
      <c r="AT68" s="65">
        <f>IFERROR(VLOOKUP(Table1215[[#This Row],[Column2]],Table12[[Column2]:[Column54]],45,FALSE),"0")</f>
        <v>0</v>
      </c>
      <c r="AU68" s="65">
        <f>IFERROR(VLOOKUP(Table1215[[#This Row],[Column2]],Table12[[Column2]:[Column54]],46,FALSE),"0")</f>
        <v>0</v>
      </c>
      <c r="AV68" s="67">
        <f>Table1215[[#This Row],[Column43]]</f>
        <v>4</v>
      </c>
      <c r="AW68" s="65">
        <f>IFERROR(VLOOKUP(Table1215[[#This Row],[Column2]],Table12[[Column2]:[Column54]],48,FALSE),"0")</f>
        <v>0</v>
      </c>
      <c r="AX68" s="65">
        <f>IFERROR(VLOOKUP(Table1215[[#This Row],[Column2]],Table12[[Column2]:[Column54]],49,FALSE),"0")</f>
        <v>0</v>
      </c>
      <c r="AY68" s="65">
        <f>IFERROR(VLOOKUP(Table1215[[#This Row],[Column2]],Table12[[Column2]:[Column54]],50,FALSE),"0")</f>
        <v>0</v>
      </c>
      <c r="AZ68" s="65">
        <f>IFERROR(VLOOKUP(Table1215[[#This Row],[Column2]],Table12[[Column2]:[Column54]],51,FALSE),"0")</f>
        <v>3</v>
      </c>
      <c r="BA68" s="65">
        <f>IFERROR(VLOOKUP(Table1215[[#This Row],[Column2]],Table12[[Column2]:[Column54]],52,FALSE),"0")</f>
        <v>3</v>
      </c>
      <c r="BB68" s="67">
        <f>AVERAGE(Table1215[[#This Row],[Column52]],Table1215[[#This Row],[Column53]])</f>
        <v>3</v>
      </c>
    </row>
    <row r="69" spans="1:54" ht="23.1" customHeight="1" x14ac:dyDescent="0.3">
      <c r="A69" s="87">
        <v>66</v>
      </c>
      <c r="B69" s="70" t="s">
        <v>261</v>
      </c>
      <c r="C69" s="71" t="s">
        <v>262</v>
      </c>
      <c r="D69" s="70" t="s">
        <v>450</v>
      </c>
      <c r="E69" s="70" t="s">
        <v>161</v>
      </c>
      <c r="F69" s="70" t="str">
        <f>REPT(CHAR(160),10)&amp;Working!$E70</f>
        <v>          B</v>
      </c>
      <c r="G69" s="61">
        <f>IFERROR(VLOOKUP(Table1215[[#This Row],[Column2]],Table12[[Column2]:[Column54]],6,FALSE),"0")</f>
        <v>0</v>
      </c>
      <c r="H69" s="61">
        <f>IFERROR(VLOOKUP(Table1215[[#This Row],[Column2]],Table12[[Column2]:[Column54]],7,FALSE),"0")</f>
        <v>0</v>
      </c>
      <c r="I69" s="61">
        <f>IFERROR(VLOOKUP(Table1215[[#This Row],[Column2]],Table12[[Column2]:[Column54]],8,FALSE),"0")</f>
        <v>0</v>
      </c>
      <c r="J69" s="61">
        <f>IFERROR(VLOOKUP(Table1215[[#This Row],[Column2]],Table12[[Column2]:[Column54]],9,FALSE),"0")</f>
        <v>0</v>
      </c>
      <c r="K69" s="61">
        <f>IFERROR(VLOOKUP(Table1215[[#This Row],[Column2]],Table12[[Column2]:[Column54]],10,FALSE),"0")</f>
        <v>0</v>
      </c>
      <c r="L69" s="67">
        <f>Table1215[[#This Row],[Column9]]</f>
        <v>0</v>
      </c>
      <c r="M69" s="61">
        <f>IFERROR(VLOOKUP(Table1215[[#This Row],[Column2]],Table12[[Column2]:[Column54]],12,FALSE),"0")</f>
        <v>0</v>
      </c>
      <c r="N69" s="61">
        <f>IFERROR(VLOOKUP(Table1215[[#This Row],[Column2]],Table12[[Column2]:[Column54]],13,FALSE),"0")</f>
        <v>0</v>
      </c>
      <c r="O69" s="61">
        <f>IFERROR(VLOOKUP(Table1215[[#This Row],[Column2]],Table12[[Column2]:[Column54]],14,FALSE),"0")</f>
        <v>0</v>
      </c>
      <c r="P69" s="61">
        <f>IFERROR(VLOOKUP(Table1215[[#This Row],[Column2]],Table12[[Column2]:[Column54]],10,FALSE),"0")</f>
        <v>0</v>
      </c>
      <c r="Q69" s="61">
        <f>IFERROR(VLOOKUP(Table1215[[#This Row],[Column2]],Table12[[Column2]:[Column54]],16,FALSE),"0")</f>
        <v>0</v>
      </c>
      <c r="R69" s="67">
        <f>AVERAGE(Table1215[[#This Row],[Column14]],Table1215[[#This Row],[Column15]],Table1215[[#This Row],[Column17]])</f>
        <v>0</v>
      </c>
      <c r="S69" s="61">
        <f>IFERROR(VLOOKUP(Table1215[[#This Row],[Column2]],Table12[[Column2]:[Column54]],18,FALSE),"0")</f>
        <v>0</v>
      </c>
      <c r="T69" s="61">
        <f>IFERROR(VLOOKUP(Table1215[[#This Row],[Column2]],Table12[[Column2]:[Column54]],19,FALSE),"0")</f>
        <v>0</v>
      </c>
      <c r="U69" s="61">
        <f>IFERROR(VLOOKUP(Table1215[[#This Row],[Column2]],Table12[[Column2]:[Column54]],20,FALSE),"0")</f>
        <v>0</v>
      </c>
      <c r="V69" s="61">
        <f>IFERROR(VLOOKUP(Table1215[[#This Row],[Column2]],Table12[[Column2]:[Column54]],21,FALSE),"0")</f>
        <v>0</v>
      </c>
      <c r="W69" s="61">
        <f>IFERROR(VLOOKUP(Table1215[[#This Row],[Column2]],Table12[[Column2]:[Column54]],22,FALSE),"0")</f>
        <v>0</v>
      </c>
      <c r="X69" s="67">
        <f>Table1215[[#This Row],[Column19]]</f>
        <v>0</v>
      </c>
      <c r="Y69" s="61">
        <f>IFERROR(VLOOKUP(Table1215[[#This Row],[Column2]],Table12[[Column2]:[Column54]],24,FALSE),"0")</f>
        <v>0</v>
      </c>
      <c r="Z69" s="61">
        <f>IFERROR(VLOOKUP(Table1215[[#This Row],[Column2]],Table12[[Column2]:[Column54]],25,FALSE),"0")</f>
        <v>0</v>
      </c>
      <c r="AA69" s="61">
        <f>IFERROR(VLOOKUP(Table1215[[#This Row],[Column2]],Table12[[Column2]:[Column54]],26,FALSE),"0")</f>
        <v>0</v>
      </c>
      <c r="AB69" s="61">
        <f>IFERROR(VLOOKUP(Table1215[[#This Row],[Column2]],Table12[[Column2]:[Column54]],27,FALSE),"0")</f>
        <v>0</v>
      </c>
      <c r="AC69" s="61">
        <f>IFERROR(VLOOKUP(Table1215[[#This Row],[Column2]],Table12[[Column2]:[Column54]],28,FALSE),"0")</f>
        <v>0</v>
      </c>
      <c r="AD69" s="67">
        <f>Table1215[[#This Row],[Column25]]</f>
        <v>0</v>
      </c>
      <c r="AE69" s="61">
        <f>IFERROR(VLOOKUP(Table1215[[#This Row],[Column2]],Table12[[Column2]:[Column54]],30,FALSE),"0")</f>
        <v>0</v>
      </c>
      <c r="AF69" s="61">
        <f>IFERROR(VLOOKUP(Table1215[[#This Row],[Column2]],Table12[[Column2]:[Column54]],31,FALSE),"0")</f>
        <v>0</v>
      </c>
      <c r="AG69" s="61">
        <f>IFERROR(VLOOKUP(Table1215[[#This Row],[Column2]],Table12[[Column2]:[Column54]],32,FALSE),"0")</f>
        <v>0</v>
      </c>
      <c r="AH69" s="61">
        <f>IFERROR(VLOOKUP(Table1215[[#This Row],[Column2]],Table12[[Column2]:[Column54]],33,FALSE),"0")</f>
        <v>0</v>
      </c>
      <c r="AI69" s="61">
        <f>IFERROR(VLOOKUP(Table1215[[#This Row],[Column2]],Table12[[Column2]:[Column54]],34,FALSE),"0")</f>
        <v>0</v>
      </c>
      <c r="AJ69" s="67">
        <f>AVERAGE(Table1215[[#This Row],[Column31]],Table1215[[#This Row],[Column32]],Table1215[[#This Row],[Column33]])</f>
        <v>0</v>
      </c>
      <c r="AK69" s="61">
        <f>IFERROR(VLOOKUP(Table1215[[#This Row],[Column2]],Table12[[Column2]:[Column54]],36,FALSE),"0")</f>
        <v>0</v>
      </c>
      <c r="AL69" s="61">
        <f>IFERROR(VLOOKUP(Table1215[[#This Row],[Column2]],Table12[[Column2]:[Column54]],37,FALSE),"0")</f>
        <v>0</v>
      </c>
      <c r="AM69" s="61">
        <f>IFERROR(VLOOKUP(Table1215[[#This Row],[Column2]],Table12[[Column2]:[Column54]],38,FALSE),"0")</f>
        <v>0</v>
      </c>
      <c r="AN69" s="61" t="str">
        <f>IFERROR(VLOOKUP(Table1215[[#This Row],[Column2]],Table12[[Column2]:[Column54]],39,FALSE),"0")</f>
        <v>A</v>
      </c>
      <c r="AO69" s="61">
        <f>IFERROR(VLOOKUP(Table1215[[#This Row],[Column2]],Table12[[Column2]:[Column54]],40,FALSE),"0")</f>
        <v>0</v>
      </c>
      <c r="AP69" s="67">
        <f>AVERAGE(Table1215[[#This Row],[Column37]],Table1215[[#This Row],[Column38]],Table1215[[#This Row],[Column40]])</f>
        <v>0</v>
      </c>
      <c r="AQ69" s="61">
        <f>IFERROR(VLOOKUP(Table1215[[#This Row],[Column2]],Table12[[Column2]:[Column54]],42,FALSE),"0")</f>
        <v>0</v>
      </c>
      <c r="AR69" s="61">
        <f>IFERROR(VLOOKUP(Table1215[[#This Row],[Column2]],Table12[[Column2]:[Column54]],43,FALSE),"0")</f>
        <v>0</v>
      </c>
      <c r="AS69" s="61">
        <f>IFERROR(VLOOKUP(Table1215[[#This Row],[Column2]],Table12[[Column2]:[Column54]],44,FALSE),"0")</f>
        <v>0</v>
      </c>
      <c r="AT69" s="61">
        <f>IFERROR(VLOOKUP(Table1215[[#This Row],[Column2]],Table12[[Column2]:[Column54]],45,FALSE),"0")</f>
        <v>0</v>
      </c>
      <c r="AU69" s="61">
        <f>IFERROR(VLOOKUP(Table1215[[#This Row],[Column2]],Table12[[Column2]:[Column54]],46,FALSE),"0")</f>
        <v>0</v>
      </c>
      <c r="AV69" s="67">
        <f>Table1215[[#This Row],[Column43]]</f>
        <v>0</v>
      </c>
      <c r="AW69" s="61">
        <f>IFERROR(VLOOKUP(Table1215[[#This Row],[Column2]],Table12[[Column2]:[Column54]],48,FALSE),"0")</f>
        <v>0</v>
      </c>
      <c r="AX69" s="61">
        <f>IFERROR(VLOOKUP(Table1215[[#This Row],[Column2]],Table12[[Column2]:[Column54]],49,FALSE),"0")</f>
        <v>0</v>
      </c>
      <c r="AY69" s="61">
        <f>IFERROR(VLOOKUP(Table1215[[#This Row],[Column2]],Table12[[Column2]:[Column54]],50,FALSE),"0")</f>
        <v>0</v>
      </c>
      <c r="AZ69" s="61">
        <f>IFERROR(VLOOKUP(Table1215[[#This Row],[Column2]],Table12[[Column2]:[Column54]],51,FALSE),"0")</f>
        <v>0</v>
      </c>
      <c r="BA69" s="61">
        <f>IFERROR(VLOOKUP(Table1215[[#This Row],[Column2]],Table12[[Column2]:[Column54]],52,FALSE),"0")</f>
        <v>0</v>
      </c>
      <c r="BB69" s="67">
        <f>AVERAGE(Table1215[[#This Row],[Column52]],Table1215[[#This Row],[Column53]])</f>
        <v>0</v>
      </c>
    </row>
    <row r="70" spans="1:54" ht="23.1" customHeight="1" x14ac:dyDescent="0.3">
      <c r="A70" s="86">
        <v>67</v>
      </c>
      <c r="B70" s="63" t="s">
        <v>277</v>
      </c>
      <c r="C70" s="64" t="s">
        <v>278</v>
      </c>
      <c r="D70" s="63" t="s">
        <v>450</v>
      </c>
      <c r="E70" s="63" t="s">
        <v>161</v>
      </c>
      <c r="F70" s="63" t="str">
        <f>REPT(CHAR(160),10)&amp;Working!$E71</f>
        <v>          B</v>
      </c>
      <c r="G70" s="65">
        <f>IFERROR(VLOOKUP(Table1215[[#This Row],[Column2]],Table12[[Column2]:[Column54]],6,FALSE),"0")</f>
        <v>0</v>
      </c>
      <c r="H70" s="65">
        <f>IFERROR(VLOOKUP(Table1215[[#This Row],[Column2]],Table12[[Column2]:[Column54]],7,FALSE),"0")</f>
        <v>0</v>
      </c>
      <c r="I70" s="65">
        <f>IFERROR(VLOOKUP(Table1215[[#This Row],[Column2]],Table12[[Column2]:[Column54]],8,FALSE),"0")</f>
        <v>3</v>
      </c>
      <c r="J70" s="65">
        <f>IFERROR(VLOOKUP(Table1215[[#This Row],[Column2]],Table12[[Column2]:[Column54]],9,FALSE),"0")</f>
        <v>0</v>
      </c>
      <c r="K70" s="65">
        <f>IFERROR(VLOOKUP(Table1215[[#This Row],[Column2]],Table12[[Column2]:[Column54]],10,FALSE),"0")</f>
        <v>0</v>
      </c>
      <c r="L70" s="67">
        <f>Table1215[[#This Row],[Column9]]</f>
        <v>3</v>
      </c>
      <c r="M70" s="65">
        <f>IFERROR(VLOOKUP(Table1215[[#This Row],[Column2]],Table12[[Column2]:[Column54]],12,FALSE),"0")</f>
        <v>0</v>
      </c>
      <c r="N70" s="65">
        <f>IFERROR(VLOOKUP(Table1215[[#This Row],[Column2]],Table12[[Column2]:[Column54]],13,FALSE),"0")</f>
        <v>3</v>
      </c>
      <c r="O70" s="65">
        <f>IFERROR(VLOOKUP(Table1215[[#This Row],[Column2]],Table12[[Column2]:[Column54]],14,FALSE),"0")</f>
        <v>3</v>
      </c>
      <c r="P70" s="65">
        <f>IFERROR(VLOOKUP(Table1215[[#This Row],[Column2]],Table12[[Column2]:[Column54]],10,FALSE),"0")</f>
        <v>0</v>
      </c>
      <c r="Q70" s="65">
        <f>IFERROR(VLOOKUP(Table1215[[#This Row],[Column2]],Table12[[Column2]:[Column54]],16,FALSE),"0")</f>
        <v>3</v>
      </c>
      <c r="R70" s="67">
        <f>AVERAGE(Table1215[[#This Row],[Column14]],Table1215[[#This Row],[Column15]],Table1215[[#This Row],[Column17]])</f>
        <v>3</v>
      </c>
      <c r="S70" s="65">
        <f>IFERROR(VLOOKUP(Table1215[[#This Row],[Column2]],Table12[[Column2]:[Column54]],18,FALSE),"0")</f>
        <v>0</v>
      </c>
      <c r="T70" s="65">
        <f>IFERROR(VLOOKUP(Table1215[[#This Row],[Column2]],Table12[[Column2]:[Column54]],19,FALSE),"0")</f>
        <v>0</v>
      </c>
      <c r="U70" s="65">
        <f>IFERROR(VLOOKUP(Table1215[[#This Row],[Column2]],Table12[[Column2]:[Column54]],20,FALSE),"0")</f>
        <v>0</v>
      </c>
      <c r="V70" s="65">
        <f>IFERROR(VLOOKUP(Table1215[[#This Row],[Column2]],Table12[[Column2]:[Column54]],21,FALSE),"0")</f>
        <v>0</v>
      </c>
      <c r="W70" s="65">
        <f>IFERROR(VLOOKUP(Table1215[[#This Row],[Column2]],Table12[[Column2]:[Column54]],22,FALSE),"0")</f>
        <v>0</v>
      </c>
      <c r="X70" s="67">
        <f>Table1215[[#This Row],[Column19]]</f>
        <v>0</v>
      </c>
      <c r="Y70" s="65">
        <f>IFERROR(VLOOKUP(Table1215[[#This Row],[Column2]],Table12[[Column2]:[Column54]],24,FALSE),"0")</f>
        <v>3</v>
      </c>
      <c r="Z70" s="65">
        <f>IFERROR(VLOOKUP(Table1215[[#This Row],[Column2]],Table12[[Column2]:[Column54]],25,FALSE),"0")</f>
        <v>0</v>
      </c>
      <c r="AA70" s="65">
        <f>IFERROR(VLOOKUP(Table1215[[#This Row],[Column2]],Table12[[Column2]:[Column54]],26,FALSE),"0")</f>
        <v>0</v>
      </c>
      <c r="AB70" s="65">
        <f>IFERROR(VLOOKUP(Table1215[[#This Row],[Column2]],Table12[[Column2]:[Column54]],27,FALSE),"0")</f>
        <v>0</v>
      </c>
      <c r="AC70" s="65">
        <f>IFERROR(VLOOKUP(Table1215[[#This Row],[Column2]],Table12[[Column2]:[Column54]],28,FALSE),"0")</f>
        <v>0</v>
      </c>
      <c r="AD70" s="67">
        <f>Table1215[[#This Row],[Column25]]</f>
        <v>3</v>
      </c>
      <c r="AE70" s="65">
        <f>IFERROR(VLOOKUP(Table1215[[#This Row],[Column2]],Table12[[Column2]:[Column54]],30,FALSE),"0")</f>
        <v>0</v>
      </c>
      <c r="AF70" s="65">
        <f>IFERROR(VLOOKUP(Table1215[[#This Row],[Column2]],Table12[[Column2]:[Column54]],31,FALSE),"0")</f>
        <v>0</v>
      </c>
      <c r="AG70" s="65">
        <f>IFERROR(VLOOKUP(Table1215[[#This Row],[Column2]],Table12[[Column2]:[Column54]],32,FALSE),"0")</f>
        <v>0</v>
      </c>
      <c r="AH70" s="65">
        <f>IFERROR(VLOOKUP(Table1215[[#This Row],[Column2]],Table12[[Column2]:[Column54]],33,FALSE),"0")</f>
        <v>0</v>
      </c>
      <c r="AI70" s="65">
        <f>IFERROR(VLOOKUP(Table1215[[#This Row],[Column2]],Table12[[Column2]:[Column54]],34,FALSE),"0")</f>
        <v>0</v>
      </c>
      <c r="AJ70" s="67">
        <f>AVERAGE(Table1215[[#This Row],[Column31]],Table1215[[#This Row],[Column32]],Table1215[[#This Row],[Column33]])</f>
        <v>0</v>
      </c>
      <c r="AK70" s="65">
        <f>IFERROR(VLOOKUP(Table1215[[#This Row],[Column2]],Table12[[Column2]:[Column54]],36,FALSE),"0")</f>
        <v>4</v>
      </c>
      <c r="AL70" s="65">
        <f>IFERROR(VLOOKUP(Table1215[[#This Row],[Column2]],Table12[[Column2]:[Column54]],37,FALSE),"0")</f>
        <v>3</v>
      </c>
      <c r="AM70" s="65">
        <f>IFERROR(VLOOKUP(Table1215[[#This Row],[Column2]],Table12[[Column2]:[Column54]],38,FALSE),"0")</f>
        <v>0</v>
      </c>
      <c r="AN70" s="65">
        <f>IFERROR(VLOOKUP(Table1215[[#This Row],[Column2]],Table12[[Column2]:[Column54]],39,FALSE),"0")</f>
        <v>3</v>
      </c>
      <c r="AO70" s="65">
        <f>IFERROR(VLOOKUP(Table1215[[#This Row],[Column2]],Table12[[Column2]:[Column54]],40,FALSE),"0")</f>
        <v>0</v>
      </c>
      <c r="AP70" s="67">
        <f>AVERAGE(Table1215[[#This Row],[Column37]],Table1215[[#This Row],[Column38]],Table1215[[#This Row],[Column40]])</f>
        <v>3.3333333333333335</v>
      </c>
      <c r="AQ70" s="65">
        <f>IFERROR(VLOOKUP(Table1215[[#This Row],[Column2]],Table12[[Column2]:[Column54]],42,FALSE),"0")</f>
        <v>5</v>
      </c>
      <c r="AR70" s="65">
        <f>IFERROR(VLOOKUP(Table1215[[#This Row],[Column2]],Table12[[Column2]:[Column54]],43,FALSE),"0")</f>
        <v>0</v>
      </c>
      <c r="AS70" s="65">
        <f>IFERROR(VLOOKUP(Table1215[[#This Row],[Column2]],Table12[[Column2]:[Column54]],44,FALSE),"0")</f>
        <v>0</v>
      </c>
      <c r="AT70" s="65">
        <f>IFERROR(VLOOKUP(Table1215[[#This Row],[Column2]],Table12[[Column2]:[Column54]],45,FALSE),"0")</f>
        <v>0</v>
      </c>
      <c r="AU70" s="65">
        <f>IFERROR(VLOOKUP(Table1215[[#This Row],[Column2]],Table12[[Column2]:[Column54]],46,FALSE),"0")</f>
        <v>0</v>
      </c>
      <c r="AV70" s="67">
        <f>Table1215[[#This Row],[Column43]]</f>
        <v>5</v>
      </c>
      <c r="AW70" s="65">
        <f>IFERROR(VLOOKUP(Table1215[[#This Row],[Column2]],Table12[[Column2]:[Column54]],48,FALSE),"0")</f>
        <v>0</v>
      </c>
      <c r="AX70" s="65">
        <f>IFERROR(VLOOKUP(Table1215[[#This Row],[Column2]],Table12[[Column2]:[Column54]],49,FALSE),"0")</f>
        <v>0</v>
      </c>
      <c r="AY70" s="65">
        <f>IFERROR(VLOOKUP(Table1215[[#This Row],[Column2]],Table12[[Column2]:[Column54]],50,FALSE),"0")</f>
        <v>0</v>
      </c>
      <c r="AZ70" s="65">
        <f>IFERROR(VLOOKUP(Table1215[[#This Row],[Column2]],Table12[[Column2]:[Column54]],51,FALSE),"0")</f>
        <v>3</v>
      </c>
      <c r="BA70" s="65">
        <f>IFERROR(VLOOKUP(Table1215[[#This Row],[Column2]],Table12[[Column2]:[Column54]],52,FALSE),"0")</f>
        <v>3</v>
      </c>
      <c r="BB70" s="67">
        <f>AVERAGE(Table1215[[#This Row],[Column52]],Table1215[[#This Row],[Column53]])</f>
        <v>3</v>
      </c>
    </row>
    <row r="71" spans="1:54" ht="23.1" customHeight="1" x14ac:dyDescent="0.3">
      <c r="A71" s="87">
        <v>68</v>
      </c>
      <c r="B71" s="70" t="s">
        <v>164</v>
      </c>
      <c r="C71" s="71" t="s">
        <v>165</v>
      </c>
      <c r="D71" s="70" t="s">
        <v>450</v>
      </c>
      <c r="E71" s="70" t="s">
        <v>161</v>
      </c>
      <c r="F71" s="70" t="str">
        <f>REPT(CHAR(160),10)&amp;Working!$E72</f>
        <v>          B</v>
      </c>
      <c r="G71" s="61">
        <f>IFERROR(VLOOKUP(Table1215[[#This Row],[Column2]],Table12[[Column2]:[Column54]],6,FALSE),"0")</f>
        <v>0</v>
      </c>
      <c r="H71" s="61">
        <f>IFERROR(VLOOKUP(Table1215[[#This Row],[Column2]],Table12[[Column2]:[Column54]],7,FALSE),"0")</f>
        <v>0</v>
      </c>
      <c r="I71" s="61">
        <f>IFERROR(VLOOKUP(Table1215[[#This Row],[Column2]],Table12[[Column2]:[Column54]],8,FALSE),"0")</f>
        <v>4</v>
      </c>
      <c r="J71" s="61">
        <f>IFERROR(VLOOKUP(Table1215[[#This Row],[Column2]],Table12[[Column2]:[Column54]],9,FALSE),"0")</f>
        <v>0</v>
      </c>
      <c r="K71" s="61">
        <f>IFERROR(VLOOKUP(Table1215[[#This Row],[Column2]],Table12[[Column2]:[Column54]],10,FALSE),"0")</f>
        <v>0</v>
      </c>
      <c r="L71" s="67">
        <f>Table1215[[#This Row],[Column9]]</f>
        <v>4</v>
      </c>
      <c r="M71" s="61">
        <f>IFERROR(VLOOKUP(Table1215[[#This Row],[Column2]],Table12[[Column2]:[Column54]],12,FALSE),"0")</f>
        <v>0</v>
      </c>
      <c r="N71" s="61">
        <f>IFERROR(VLOOKUP(Table1215[[#This Row],[Column2]],Table12[[Column2]:[Column54]],13,FALSE),"0")</f>
        <v>4</v>
      </c>
      <c r="O71" s="61">
        <f>IFERROR(VLOOKUP(Table1215[[#This Row],[Column2]],Table12[[Column2]:[Column54]],14,FALSE),"0")</f>
        <v>4</v>
      </c>
      <c r="P71" s="61">
        <f>IFERROR(VLOOKUP(Table1215[[#This Row],[Column2]],Table12[[Column2]:[Column54]],10,FALSE),"0")</f>
        <v>0</v>
      </c>
      <c r="Q71" s="61">
        <f>IFERROR(VLOOKUP(Table1215[[#This Row],[Column2]],Table12[[Column2]:[Column54]],16,FALSE),"0")</f>
        <v>4</v>
      </c>
      <c r="R71" s="67">
        <f>AVERAGE(Table1215[[#This Row],[Column14]],Table1215[[#This Row],[Column15]],Table1215[[#This Row],[Column17]])</f>
        <v>4</v>
      </c>
      <c r="S71" s="61">
        <f>IFERROR(VLOOKUP(Table1215[[#This Row],[Column2]],Table12[[Column2]:[Column54]],18,FALSE),"0")</f>
        <v>0</v>
      </c>
      <c r="T71" s="61">
        <f>IFERROR(VLOOKUP(Table1215[[#This Row],[Column2]],Table12[[Column2]:[Column54]],19,FALSE),"0")</f>
        <v>0</v>
      </c>
      <c r="U71" s="61">
        <f>IFERROR(VLOOKUP(Table1215[[#This Row],[Column2]],Table12[[Column2]:[Column54]],20,FALSE),"0")</f>
        <v>0</v>
      </c>
      <c r="V71" s="61">
        <f>IFERROR(VLOOKUP(Table1215[[#This Row],[Column2]],Table12[[Column2]:[Column54]],21,FALSE),"0")</f>
        <v>0</v>
      </c>
      <c r="W71" s="61">
        <f>IFERROR(VLOOKUP(Table1215[[#This Row],[Column2]],Table12[[Column2]:[Column54]],22,FALSE),"0")</f>
        <v>0</v>
      </c>
      <c r="X71" s="67">
        <f>Table1215[[#This Row],[Column19]]</f>
        <v>0</v>
      </c>
      <c r="Y71" s="61">
        <f>IFERROR(VLOOKUP(Table1215[[#This Row],[Column2]],Table12[[Column2]:[Column54]],24,FALSE),"0")</f>
        <v>4</v>
      </c>
      <c r="Z71" s="61">
        <f>IFERROR(VLOOKUP(Table1215[[#This Row],[Column2]],Table12[[Column2]:[Column54]],25,FALSE),"0")</f>
        <v>0</v>
      </c>
      <c r="AA71" s="61">
        <f>IFERROR(VLOOKUP(Table1215[[#This Row],[Column2]],Table12[[Column2]:[Column54]],26,FALSE),"0")</f>
        <v>0</v>
      </c>
      <c r="AB71" s="61">
        <f>IFERROR(VLOOKUP(Table1215[[#This Row],[Column2]],Table12[[Column2]:[Column54]],27,FALSE),"0")</f>
        <v>0</v>
      </c>
      <c r="AC71" s="61">
        <f>IFERROR(VLOOKUP(Table1215[[#This Row],[Column2]],Table12[[Column2]:[Column54]],28,FALSE),"0")</f>
        <v>0</v>
      </c>
      <c r="AD71" s="67">
        <f>Table1215[[#This Row],[Column25]]</f>
        <v>4</v>
      </c>
      <c r="AE71" s="61">
        <f>IFERROR(VLOOKUP(Table1215[[#This Row],[Column2]],Table12[[Column2]:[Column54]],30,FALSE),"0")</f>
        <v>0</v>
      </c>
      <c r="AF71" s="61">
        <f>IFERROR(VLOOKUP(Table1215[[#This Row],[Column2]],Table12[[Column2]:[Column54]],31,FALSE),"0")</f>
        <v>0</v>
      </c>
      <c r="AG71" s="61">
        <f>IFERROR(VLOOKUP(Table1215[[#This Row],[Column2]],Table12[[Column2]:[Column54]],32,FALSE),"0")</f>
        <v>0</v>
      </c>
      <c r="AH71" s="61">
        <f>IFERROR(VLOOKUP(Table1215[[#This Row],[Column2]],Table12[[Column2]:[Column54]],33,FALSE),"0")</f>
        <v>0</v>
      </c>
      <c r="AI71" s="61">
        <f>IFERROR(VLOOKUP(Table1215[[#This Row],[Column2]],Table12[[Column2]:[Column54]],34,FALSE),"0")</f>
        <v>0</v>
      </c>
      <c r="AJ71" s="67">
        <f>AVERAGE(Table1215[[#This Row],[Column31]],Table1215[[#This Row],[Column32]],Table1215[[#This Row],[Column33]])</f>
        <v>0</v>
      </c>
      <c r="AK71" s="61">
        <f>IFERROR(VLOOKUP(Table1215[[#This Row],[Column2]],Table12[[Column2]:[Column54]],36,FALSE),"0")</f>
        <v>3</v>
      </c>
      <c r="AL71" s="61">
        <f>IFERROR(VLOOKUP(Table1215[[#This Row],[Column2]],Table12[[Column2]:[Column54]],37,FALSE),"0")</f>
        <v>5</v>
      </c>
      <c r="AM71" s="61">
        <f>IFERROR(VLOOKUP(Table1215[[#This Row],[Column2]],Table12[[Column2]:[Column54]],38,FALSE),"0")</f>
        <v>0</v>
      </c>
      <c r="AN71" s="61">
        <f>IFERROR(VLOOKUP(Table1215[[#This Row],[Column2]],Table12[[Column2]:[Column54]],39,FALSE),"0")</f>
        <v>5</v>
      </c>
      <c r="AO71" s="61">
        <f>IFERROR(VLOOKUP(Table1215[[#This Row],[Column2]],Table12[[Column2]:[Column54]],40,FALSE),"0")</f>
        <v>0</v>
      </c>
      <c r="AP71" s="67">
        <f>AVERAGE(Table1215[[#This Row],[Column37]],Table1215[[#This Row],[Column38]],Table1215[[#This Row],[Column40]])</f>
        <v>4.333333333333333</v>
      </c>
      <c r="AQ71" s="61">
        <f>IFERROR(VLOOKUP(Table1215[[#This Row],[Column2]],Table12[[Column2]:[Column54]],42,FALSE),"0")</f>
        <v>4</v>
      </c>
      <c r="AR71" s="61">
        <f>IFERROR(VLOOKUP(Table1215[[#This Row],[Column2]],Table12[[Column2]:[Column54]],43,FALSE),"0")</f>
        <v>0</v>
      </c>
      <c r="AS71" s="61">
        <f>IFERROR(VLOOKUP(Table1215[[#This Row],[Column2]],Table12[[Column2]:[Column54]],44,FALSE),"0")</f>
        <v>0</v>
      </c>
      <c r="AT71" s="61">
        <f>IFERROR(VLOOKUP(Table1215[[#This Row],[Column2]],Table12[[Column2]:[Column54]],45,FALSE),"0")</f>
        <v>0</v>
      </c>
      <c r="AU71" s="61">
        <f>IFERROR(VLOOKUP(Table1215[[#This Row],[Column2]],Table12[[Column2]:[Column54]],46,FALSE),"0")</f>
        <v>0</v>
      </c>
      <c r="AV71" s="67">
        <f>Table1215[[#This Row],[Column43]]</f>
        <v>4</v>
      </c>
      <c r="AW71" s="61">
        <f>IFERROR(VLOOKUP(Table1215[[#This Row],[Column2]],Table12[[Column2]:[Column54]],48,FALSE),"0")</f>
        <v>0</v>
      </c>
      <c r="AX71" s="61">
        <f>IFERROR(VLOOKUP(Table1215[[#This Row],[Column2]],Table12[[Column2]:[Column54]],49,FALSE),"0")</f>
        <v>0</v>
      </c>
      <c r="AY71" s="61">
        <f>IFERROR(VLOOKUP(Table1215[[#This Row],[Column2]],Table12[[Column2]:[Column54]],50,FALSE),"0")</f>
        <v>0</v>
      </c>
      <c r="AZ71" s="61">
        <f>IFERROR(VLOOKUP(Table1215[[#This Row],[Column2]],Table12[[Column2]:[Column54]],51,FALSE),"0")</f>
        <v>4</v>
      </c>
      <c r="BA71" s="61">
        <f>IFERROR(VLOOKUP(Table1215[[#This Row],[Column2]],Table12[[Column2]:[Column54]],52,FALSE),"0")</f>
        <v>5</v>
      </c>
      <c r="BB71" s="67">
        <f>AVERAGE(Table1215[[#This Row],[Column52]],Table1215[[#This Row],[Column53]])</f>
        <v>4.5</v>
      </c>
    </row>
    <row r="72" spans="1:54" ht="23.1" customHeight="1" x14ac:dyDescent="0.3">
      <c r="A72" s="86">
        <v>69</v>
      </c>
      <c r="B72" s="63" t="s">
        <v>130</v>
      </c>
      <c r="C72" s="64" t="s">
        <v>131</v>
      </c>
      <c r="D72" s="63" t="s">
        <v>542</v>
      </c>
      <c r="E72" s="63" t="s">
        <v>35</v>
      </c>
      <c r="F72" s="63" t="str">
        <f>REPT(CHAR(160),10)&amp;Working!$E73</f>
        <v>          A</v>
      </c>
      <c r="G72" s="65">
        <f>IFERROR(VLOOKUP(Table1215[[#This Row],[Column2]],Table12[[Column2]:[Column54]],6,FALSE),"0")</f>
        <v>0</v>
      </c>
      <c r="H72" s="65">
        <f>IFERROR(VLOOKUP(Table1215[[#This Row],[Column2]],Table12[[Column2]:[Column54]],7,FALSE),"0")</f>
        <v>0</v>
      </c>
      <c r="I72" s="65">
        <f>IFERROR(VLOOKUP(Table1215[[#This Row],[Column2]],Table12[[Column2]:[Column54]],8,FALSE),"0")</f>
        <v>2</v>
      </c>
      <c r="J72" s="65">
        <f>IFERROR(VLOOKUP(Table1215[[#This Row],[Column2]],Table12[[Column2]:[Column54]],9,FALSE),"0")</f>
        <v>0</v>
      </c>
      <c r="K72" s="65">
        <f>IFERROR(VLOOKUP(Table1215[[#This Row],[Column2]],Table12[[Column2]:[Column54]],10,FALSE),"0")</f>
        <v>0</v>
      </c>
      <c r="L72" s="67">
        <f>Table1215[[#This Row],[Column9]]</f>
        <v>2</v>
      </c>
      <c r="M72" s="65">
        <f>IFERROR(VLOOKUP(Table1215[[#This Row],[Column2]],Table12[[Column2]:[Column54]],12,FALSE),"0")</f>
        <v>0</v>
      </c>
      <c r="N72" s="65">
        <f>IFERROR(VLOOKUP(Table1215[[#This Row],[Column2]],Table12[[Column2]:[Column54]],13,FALSE),"0")</f>
        <v>2</v>
      </c>
      <c r="O72" s="65">
        <f>IFERROR(VLOOKUP(Table1215[[#This Row],[Column2]],Table12[[Column2]:[Column54]],14,FALSE),"0")</f>
        <v>2</v>
      </c>
      <c r="P72" s="65">
        <f>IFERROR(VLOOKUP(Table1215[[#This Row],[Column2]],Table12[[Column2]:[Column54]],10,FALSE),"0")</f>
        <v>0</v>
      </c>
      <c r="Q72" s="65">
        <f>IFERROR(VLOOKUP(Table1215[[#This Row],[Column2]],Table12[[Column2]:[Column54]],16,FALSE),"0")</f>
        <v>2</v>
      </c>
      <c r="R72" s="67">
        <f>AVERAGE(Table1215[[#This Row],[Column14]],Table1215[[#This Row],[Column15]],Table1215[[#This Row],[Column17]])</f>
        <v>2</v>
      </c>
      <c r="S72" s="65">
        <f>IFERROR(VLOOKUP(Table1215[[#This Row],[Column2]],Table12[[Column2]:[Column54]],18,FALSE),"0")</f>
        <v>0</v>
      </c>
      <c r="T72" s="65">
        <f>IFERROR(VLOOKUP(Table1215[[#This Row],[Column2]],Table12[[Column2]:[Column54]],19,FALSE),"0")</f>
        <v>0</v>
      </c>
      <c r="U72" s="65">
        <f>IFERROR(VLOOKUP(Table1215[[#This Row],[Column2]],Table12[[Column2]:[Column54]],20,FALSE),"0")</f>
        <v>0</v>
      </c>
      <c r="V72" s="65">
        <f>IFERROR(VLOOKUP(Table1215[[#This Row],[Column2]],Table12[[Column2]:[Column54]],21,FALSE),"0")</f>
        <v>0</v>
      </c>
      <c r="W72" s="65">
        <f>IFERROR(VLOOKUP(Table1215[[#This Row],[Column2]],Table12[[Column2]:[Column54]],22,FALSE),"0")</f>
        <v>0</v>
      </c>
      <c r="X72" s="67">
        <f>Table1215[[#This Row],[Column19]]</f>
        <v>0</v>
      </c>
      <c r="Y72" s="65">
        <f>IFERROR(VLOOKUP(Table1215[[#This Row],[Column2]],Table12[[Column2]:[Column54]],24,FALSE),"0")</f>
        <v>2</v>
      </c>
      <c r="Z72" s="65">
        <f>IFERROR(VLOOKUP(Table1215[[#This Row],[Column2]],Table12[[Column2]:[Column54]],25,FALSE),"0")</f>
        <v>0</v>
      </c>
      <c r="AA72" s="65">
        <f>IFERROR(VLOOKUP(Table1215[[#This Row],[Column2]],Table12[[Column2]:[Column54]],26,FALSE),"0")</f>
        <v>0</v>
      </c>
      <c r="AB72" s="65">
        <f>IFERROR(VLOOKUP(Table1215[[#This Row],[Column2]],Table12[[Column2]:[Column54]],27,FALSE),"0")</f>
        <v>0</v>
      </c>
      <c r="AC72" s="65">
        <f>IFERROR(VLOOKUP(Table1215[[#This Row],[Column2]],Table12[[Column2]:[Column54]],28,FALSE),"0")</f>
        <v>0</v>
      </c>
      <c r="AD72" s="67">
        <f>Table1215[[#This Row],[Column25]]</f>
        <v>2</v>
      </c>
      <c r="AE72" s="65">
        <f>IFERROR(VLOOKUP(Table1215[[#This Row],[Column2]],Table12[[Column2]:[Column54]],30,FALSE),"0")</f>
        <v>0</v>
      </c>
      <c r="AF72" s="65">
        <f>IFERROR(VLOOKUP(Table1215[[#This Row],[Column2]],Table12[[Column2]:[Column54]],31,FALSE),"0")</f>
        <v>0</v>
      </c>
      <c r="AG72" s="65">
        <f>IFERROR(VLOOKUP(Table1215[[#This Row],[Column2]],Table12[[Column2]:[Column54]],32,FALSE),"0")</f>
        <v>0</v>
      </c>
      <c r="AH72" s="65">
        <f>IFERROR(VLOOKUP(Table1215[[#This Row],[Column2]],Table12[[Column2]:[Column54]],33,FALSE),"0")</f>
        <v>0</v>
      </c>
      <c r="AI72" s="65">
        <f>IFERROR(VLOOKUP(Table1215[[#This Row],[Column2]],Table12[[Column2]:[Column54]],34,FALSE),"0")</f>
        <v>0</v>
      </c>
      <c r="AJ72" s="67">
        <f>AVERAGE(Table1215[[#This Row],[Column31]],Table1215[[#This Row],[Column32]],Table1215[[#This Row],[Column33]])</f>
        <v>0</v>
      </c>
      <c r="AK72" s="65">
        <f>IFERROR(VLOOKUP(Table1215[[#This Row],[Column2]],Table12[[Column2]:[Column54]],36,FALSE),"0")</f>
        <v>2</v>
      </c>
      <c r="AL72" s="65">
        <f>IFERROR(VLOOKUP(Table1215[[#This Row],[Column2]],Table12[[Column2]:[Column54]],37,FALSE),"0")</f>
        <v>2</v>
      </c>
      <c r="AM72" s="65">
        <f>IFERROR(VLOOKUP(Table1215[[#This Row],[Column2]],Table12[[Column2]:[Column54]],38,FALSE),"0")</f>
        <v>0</v>
      </c>
      <c r="AN72" s="65">
        <f>IFERROR(VLOOKUP(Table1215[[#This Row],[Column2]],Table12[[Column2]:[Column54]],39,FALSE),"0")</f>
        <v>2</v>
      </c>
      <c r="AO72" s="65">
        <f>IFERROR(VLOOKUP(Table1215[[#This Row],[Column2]],Table12[[Column2]:[Column54]],40,FALSE),"0")</f>
        <v>0</v>
      </c>
      <c r="AP72" s="67">
        <f>AVERAGE(Table1215[[#This Row],[Column37]],Table1215[[#This Row],[Column38]],Table1215[[#This Row],[Column40]])</f>
        <v>2</v>
      </c>
      <c r="AQ72" s="65">
        <f>IFERROR(VLOOKUP(Table1215[[#This Row],[Column2]],Table12[[Column2]:[Column54]],42,FALSE),"0")</f>
        <v>2</v>
      </c>
      <c r="AR72" s="65">
        <f>IFERROR(VLOOKUP(Table1215[[#This Row],[Column2]],Table12[[Column2]:[Column54]],43,FALSE),"0")</f>
        <v>0</v>
      </c>
      <c r="AS72" s="65">
        <f>IFERROR(VLOOKUP(Table1215[[#This Row],[Column2]],Table12[[Column2]:[Column54]],44,FALSE),"0")</f>
        <v>0</v>
      </c>
      <c r="AT72" s="65">
        <f>IFERROR(VLOOKUP(Table1215[[#This Row],[Column2]],Table12[[Column2]:[Column54]],45,FALSE),"0")</f>
        <v>0</v>
      </c>
      <c r="AU72" s="65">
        <f>IFERROR(VLOOKUP(Table1215[[#This Row],[Column2]],Table12[[Column2]:[Column54]],46,FALSE),"0")</f>
        <v>0</v>
      </c>
      <c r="AV72" s="67">
        <f>Table1215[[#This Row],[Column43]]</f>
        <v>2</v>
      </c>
      <c r="AW72" s="65">
        <f>IFERROR(VLOOKUP(Table1215[[#This Row],[Column2]],Table12[[Column2]:[Column54]],48,FALSE),"0")</f>
        <v>0</v>
      </c>
      <c r="AX72" s="65">
        <f>IFERROR(VLOOKUP(Table1215[[#This Row],[Column2]],Table12[[Column2]:[Column54]],49,FALSE),"0")</f>
        <v>0</v>
      </c>
      <c r="AY72" s="65">
        <f>IFERROR(VLOOKUP(Table1215[[#This Row],[Column2]],Table12[[Column2]:[Column54]],50,FALSE),"0")</f>
        <v>0</v>
      </c>
      <c r="AZ72" s="65">
        <f>IFERROR(VLOOKUP(Table1215[[#This Row],[Column2]],Table12[[Column2]:[Column54]],51,FALSE),"0")</f>
        <v>2</v>
      </c>
      <c r="BA72" s="65">
        <f>IFERROR(VLOOKUP(Table1215[[#This Row],[Column2]],Table12[[Column2]:[Column54]],52,FALSE),"0")</f>
        <v>2</v>
      </c>
      <c r="BB72" s="67">
        <f>AVERAGE(Table1215[[#This Row],[Column52]],Table1215[[#This Row],[Column53]])</f>
        <v>2</v>
      </c>
    </row>
    <row r="73" spans="1:54" ht="23.1" customHeight="1" x14ac:dyDescent="0.3">
      <c r="A73" s="87">
        <v>70</v>
      </c>
      <c r="B73" s="70" t="s">
        <v>320</v>
      </c>
      <c r="C73" s="71" t="s">
        <v>321</v>
      </c>
      <c r="D73" s="70" t="s">
        <v>542</v>
      </c>
      <c r="E73" s="70" t="s">
        <v>493</v>
      </c>
      <c r="F73" s="70" t="str">
        <f>REPT(CHAR(160),10)&amp;Working!$E74</f>
        <v>          C</v>
      </c>
      <c r="G73" s="61">
        <f>IFERROR(VLOOKUP(Table1215[[#This Row],[Column2]],Table12[[Column2]:[Column54]],6,FALSE),"0")</f>
        <v>0</v>
      </c>
      <c r="H73" s="61">
        <f>IFERROR(VLOOKUP(Table1215[[#This Row],[Column2]],Table12[[Column2]:[Column54]],7,FALSE),"0")</f>
        <v>0</v>
      </c>
      <c r="I73" s="61">
        <f>IFERROR(VLOOKUP(Table1215[[#This Row],[Column2]],Table12[[Column2]:[Column54]],8,FALSE),"0")</f>
        <v>2</v>
      </c>
      <c r="J73" s="61">
        <f>IFERROR(VLOOKUP(Table1215[[#This Row],[Column2]],Table12[[Column2]:[Column54]],9,FALSE),"0")</f>
        <v>0</v>
      </c>
      <c r="K73" s="61">
        <f>IFERROR(VLOOKUP(Table1215[[#This Row],[Column2]],Table12[[Column2]:[Column54]],10,FALSE),"0")</f>
        <v>0</v>
      </c>
      <c r="L73" s="67">
        <f>Table1215[[#This Row],[Column9]]</f>
        <v>2</v>
      </c>
      <c r="M73" s="61">
        <f>IFERROR(VLOOKUP(Table1215[[#This Row],[Column2]],Table12[[Column2]:[Column54]],12,FALSE),"0")</f>
        <v>0</v>
      </c>
      <c r="N73" s="61">
        <f>IFERROR(VLOOKUP(Table1215[[#This Row],[Column2]],Table12[[Column2]:[Column54]],13,FALSE),"0")</f>
        <v>2</v>
      </c>
      <c r="O73" s="61">
        <f>IFERROR(VLOOKUP(Table1215[[#This Row],[Column2]],Table12[[Column2]:[Column54]],14,FALSE),"0")</f>
        <v>2</v>
      </c>
      <c r="P73" s="61">
        <f>IFERROR(VLOOKUP(Table1215[[#This Row],[Column2]],Table12[[Column2]:[Column54]],10,FALSE),"0")</f>
        <v>0</v>
      </c>
      <c r="Q73" s="61">
        <f>IFERROR(VLOOKUP(Table1215[[#This Row],[Column2]],Table12[[Column2]:[Column54]],16,FALSE),"0")</f>
        <v>2</v>
      </c>
      <c r="R73" s="67">
        <f>AVERAGE(Table1215[[#This Row],[Column14]],Table1215[[#This Row],[Column15]],Table1215[[#This Row],[Column17]])</f>
        <v>2</v>
      </c>
      <c r="S73" s="61">
        <f>IFERROR(VLOOKUP(Table1215[[#This Row],[Column2]],Table12[[Column2]:[Column54]],18,FALSE),"0")</f>
        <v>0</v>
      </c>
      <c r="T73" s="61">
        <f>IFERROR(VLOOKUP(Table1215[[#This Row],[Column2]],Table12[[Column2]:[Column54]],19,FALSE),"0")</f>
        <v>0</v>
      </c>
      <c r="U73" s="61">
        <f>IFERROR(VLOOKUP(Table1215[[#This Row],[Column2]],Table12[[Column2]:[Column54]],20,FALSE),"0")</f>
        <v>0</v>
      </c>
      <c r="V73" s="61">
        <f>IFERROR(VLOOKUP(Table1215[[#This Row],[Column2]],Table12[[Column2]:[Column54]],21,FALSE),"0")</f>
        <v>0</v>
      </c>
      <c r="W73" s="61">
        <f>IFERROR(VLOOKUP(Table1215[[#This Row],[Column2]],Table12[[Column2]:[Column54]],22,FALSE),"0")</f>
        <v>0</v>
      </c>
      <c r="X73" s="67">
        <f>Table1215[[#This Row],[Column19]]</f>
        <v>0</v>
      </c>
      <c r="Y73" s="61">
        <f>IFERROR(VLOOKUP(Table1215[[#This Row],[Column2]],Table12[[Column2]:[Column54]],24,FALSE),"0")</f>
        <v>2</v>
      </c>
      <c r="Z73" s="61">
        <f>IFERROR(VLOOKUP(Table1215[[#This Row],[Column2]],Table12[[Column2]:[Column54]],25,FALSE),"0")</f>
        <v>0</v>
      </c>
      <c r="AA73" s="61">
        <f>IFERROR(VLOOKUP(Table1215[[#This Row],[Column2]],Table12[[Column2]:[Column54]],26,FALSE),"0")</f>
        <v>0</v>
      </c>
      <c r="AB73" s="61">
        <f>IFERROR(VLOOKUP(Table1215[[#This Row],[Column2]],Table12[[Column2]:[Column54]],27,FALSE),"0")</f>
        <v>0</v>
      </c>
      <c r="AC73" s="61">
        <f>IFERROR(VLOOKUP(Table1215[[#This Row],[Column2]],Table12[[Column2]:[Column54]],28,FALSE),"0")</f>
        <v>0</v>
      </c>
      <c r="AD73" s="67">
        <f>Table1215[[#This Row],[Column25]]</f>
        <v>2</v>
      </c>
      <c r="AE73" s="61">
        <f>IFERROR(VLOOKUP(Table1215[[#This Row],[Column2]],Table12[[Column2]:[Column54]],30,FALSE),"0")</f>
        <v>0</v>
      </c>
      <c r="AF73" s="61">
        <f>IFERROR(VLOOKUP(Table1215[[#This Row],[Column2]],Table12[[Column2]:[Column54]],31,FALSE),"0")</f>
        <v>0</v>
      </c>
      <c r="AG73" s="61">
        <f>IFERROR(VLOOKUP(Table1215[[#This Row],[Column2]],Table12[[Column2]:[Column54]],32,FALSE),"0")</f>
        <v>0</v>
      </c>
      <c r="AH73" s="61">
        <f>IFERROR(VLOOKUP(Table1215[[#This Row],[Column2]],Table12[[Column2]:[Column54]],33,FALSE),"0")</f>
        <v>0</v>
      </c>
      <c r="AI73" s="61">
        <f>IFERROR(VLOOKUP(Table1215[[#This Row],[Column2]],Table12[[Column2]:[Column54]],34,FALSE),"0")</f>
        <v>0</v>
      </c>
      <c r="AJ73" s="67">
        <f>AVERAGE(Table1215[[#This Row],[Column31]],Table1215[[#This Row],[Column32]],Table1215[[#This Row],[Column33]])</f>
        <v>0</v>
      </c>
      <c r="AK73" s="61">
        <f>IFERROR(VLOOKUP(Table1215[[#This Row],[Column2]],Table12[[Column2]:[Column54]],36,FALSE),"0")</f>
        <v>2</v>
      </c>
      <c r="AL73" s="61">
        <f>IFERROR(VLOOKUP(Table1215[[#This Row],[Column2]],Table12[[Column2]:[Column54]],37,FALSE),"0")</f>
        <v>3</v>
      </c>
      <c r="AM73" s="61">
        <f>IFERROR(VLOOKUP(Table1215[[#This Row],[Column2]],Table12[[Column2]:[Column54]],38,FALSE),"0")</f>
        <v>0</v>
      </c>
      <c r="AN73" s="61">
        <f>IFERROR(VLOOKUP(Table1215[[#This Row],[Column2]],Table12[[Column2]:[Column54]],39,FALSE),"0")</f>
        <v>3</v>
      </c>
      <c r="AO73" s="61">
        <f>IFERROR(VLOOKUP(Table1215[[#This Row],[Column2]],Table12[[Column2]:[Column54]],40,FALSE),"0")</f>
        <v>0</v>
      </c>
      <c r="AP73" s="67">
        <f>AVERAGE(Table1215[[#This Row],[Column37]],Table1215[[#This Row],[Column38]],Table1215[[#This Row],[Column40]])</f>
        <v>2.6666666666666665</v>
      </c>
      <c r="AQ73" s="61">
        <f>IFERROR(VLOOKUP(Table1215[[#This Row],[Column2]],Table12[[Column2]:[Column54]],42,FALSE),"0")</f>
        <v>3</v>
      </c>
      <c r="AR73" s="61">
        <f>IFERROR(VLOOKUP(Table1215[[#This Row],[Column2]],Table12[[Column2]:[Column54]],43,FALSE),"0")</f>
        <v>0</v>
      </c>
      <c r="AS73" s="61">
        <f>IFERROR(VLOOKUP(Table1215[[#This Row],[Column2]],Table12[[Column2]:[Column54]],44,FALSE),"0")</f>
        <v>0</v>
      </c>
      <c r="AT73" s="61">
        <f>IFERROR(VLOOKUP(Table1215[[#This Row],[Column2]],Table12[[Column2]:[Column54]],45,FALSE),"0")</f>
        <v>0</v>
      </c>
      <c r="AU73" s="61">
        <f>IFERROR(VLOOKUP(Table1215[[#This Row],[Column2]],Table12[[Column2]:[Column54]],46,FALSE),"0")</f>
        <v>0</v>
      </c>
      <c r="AV73" s="67">
        <f>Table1215[[#This Row],[Column43]]</f>
        <v>3</v>
      </c>
      <c r="AW73" s="61">
        <f>IFERROR(VLOOKUP(Table1215[[#This Row],[Column2]],Table12[[Column2]:[Column54]],48,FALSE),"0")</f>
        <v>0</v>
      </c>
      <c r="AX73" s="61">
        <f>IFERROR(VLOOKUP(Table1215[[#This Row],[Column2]],Table12[[Column2]:[Column54]],49,FALSE),"0")</f>
        <v>0</v>
      </c>
      <c r="AY73" s="61">
        <f>IFERROR(VLOOKUP(Table1215[[#This Row],[Column2]],Table12[[Column2]:[Column54]],50,FALSE),"0")</f>
        <v>0</v>
      </c>
      <c r="AZ73" s="61">
        <f>IFERROR(VLOOKUP(Table1215[[#This Row],[Column2]],Table12[[Column2]:[Column54]],51,FALSE),"0")</f>
        <v>3</v>
      </c>
      <c r="BA73" s="61">
        <f>IFERROR(VLOOKUP(Table1215[[#This Row],[Column2]],Table12[[Column2]:[Column54]],52,FALSE),"0")</f>
        <v>2</v>
      </c>
      <c r="BB73" s="67">
        <f>AVERAGE(Table1215[[#This Row],[Column52]],Table1215[[#This Row],[Column53]])</f>
        <v>2.5</v>
      </c>
    </row>
    <row r="74" spans="1:54" ht="23.1" customHeight="1" x14ac:dyDescent="0.3">
      <c r="A74" s="86">
        <v>71</v>
      </c>
      <c r="B74" s="63" t="s">
        <v>132</v>
      </c>
      <c r="C74" s="64" t="s">
        <v>133</v>
      </c>
      <c r="D74" s="63" t="s">
        <v>542</v>
      </c>
      <c r="E74" s="63" t="s">
        <v>35</v>
      </c>
      <c r="F74" s="63" t="str">
        <f>REPT(CHAR(160),10)&amp;Working!$E75</f>
        <v>          A</v>
      </c>
      <c r="G74" s="65">
        <f>IFERROR(VLOOKUP(Table1215[[#This Row],[Column2]],Table12[[Column2]:[Column54]],6,FALSE),"0")</f>
        <v>0</v>
      </c>
      <c r="H74" s="65">
        <f>IFERROR(VLOOKUP(Table1215[[#This Row],[Column2]],Table12[[Column2]:[Column54]],7,FALSE),"0")</f>
        <v>0</v>
      </c>
      <c r="I74" s="65">
        <f>IFERROR(VLOOKUP(Table1215[[#This Row],[Column2]],Table12[[Column2]:[Column54]],8,FALSE),"0")</f>
        <v>3</v>
      </c>
      <c r="J74" s="65">
        <f>IFERROR(VLOOKUP(Table1215[[#This Row],[Column2]],Table12[[Column2]:[Column54]],9,FALSE),"0")</f>
        <v>0</v>
      </c>
      <c r="K74" s="65">
        <f>IFERROR(VLOOKUP(Table1215[[#This Row],[Column2]],Table12[[Column2]:[Column54]],10,FALSE),"0")</f>
        <v>0</v>
      </c>
      <c r="L74" s="67">
        <f>Table1215[[#This Row],[Column9]]</f>
        <v>3</v>
      </c>
      <c r="M74" s="65">
        <f>IFERROR(VLOOKUP(Table1215[[#This Row],[Column2]],Table12[[Column2]:[Column54]],12,FALSE),"0")</f>
        <v>0</v>
      </c>
      <c r="N74" s="65">
        <f>IFERROR(VLOOKUP(Table1215[[#This Row],[Column2]],Table12[[Column2]:[Column54]],13,FALSE),"0")</f>
        <v>2</v>
      </c>
      <c r="O74" s="65">
        <f>IFERROR(VLOOKUP(Table1215[[#This Row],[Column2]],Table12[[Column2]:[Column54]],14,FALSE),"0")</f>
        <v>2</v>
      </c>
      <c r="P74" s="65">
        <f>IFERROR(VLOOKUP(Table1215[[#This Row],[Column2]],Table12[[Column2]:[Column54]],10,FALSE),"0")</f>
        <v>0</v>
      </c>
      <c r="Q74" s="65">
        <f>IFERROR(VLOOKUP(Table1215[[#This Row],[Column2]],Table12[[Column2]:[Column54]],16,FALSE),"0")</f>
        <v>2</v>
      </c>
      <c r="R74" s="67">
        <f>AVERAGE(Table1215[[#This Row],[Column14]],Table1215[[#This Row],[Column15]],Table1215[[#This Row],[Column17]])</f>
        <v>2</v>
      </c>
      <c r="S74" s="65">
        <f>IFERROR(VLOOKUP(Table1215[[#This Row],[Column2]],Table12[[Column2]:[Column54]],18,FALSE),"0")</f>
        <v>0</v>
      </c>
      <c r="T74" s="65">
        <f>IFERROR(VLOOKUP(Table1215[[#This Row],[Column2]],Table12[[Column2]:[Column54]],19,FALSE),"0")</f>
        <v>0</v>
      </c>
      <c r="U74" s="65">
        <f>IFERROR(VLOOKUP(Table1215[[#This Row],[Column2]],Table12[[Column2]:[Column54]],20,FALSE),"0")</f>
        <v>0</v>
      </c>
      <c r="V74" s="65">
        <f>IFERROR(VLOOKUP(Table1215[[#This Row],[Column2]],Table12[[Column2]:[Column54]],21,FALSE),"0")</f>
        <v>0</v>
      </c>
      <c r="W74" s="65">
        <f>IFERROR(VLOOKUP(Table1215[[#This Row],[Column2]],Table12[[Column2]:[Column54]],22,FALSE),"0")</f>
        <v>0</v>
      </c>
      <c r="X74" s="67">
        <f>Table1215[[#This Row],[Column19]]</f>
        <v>0</v>
      </c>
      <c r="Y74" s="65">
        <f>IFERROR(VLOOKUP(Table1215[[#This Row],[Column2]],Table12[[Column2]:[Column54]],24,FALSE),"0")</f>
        <v>2</v>
      </c>
      <c r="Z74" s="65">
        <f>IFERROR(VLOOKUP(Table1215[[#This Row],[Column2]],Table12[[Column2]:[Column54]],25,FALSE),"0")</f>
        <v>0</v>
      </c>
      <c r="AA74" s="65">
        <f>IFERROR(VLOOKUP(Table1215[[#This Row],[Column2]],Table12[[Column2]:[Column54]],26,FALSE),"0")</f>
        <v>0</v>
      </c>
      <c r="AB74" s="65">
        <f>IFERROR(VLOOKUP(Table1215[[#This Row],[Column2]],Table12[[Column2]:[Column54]],27,FALSE),"0")</f>
        <v>0</v>
      </c>
      <c r="AC74" s="65">
        <f>IFERROR(VLOOKUP(Table1215[[#This Row],[Column2]],Table12[[Column2]:[Column54]],28,FALSE),"0")</f>
        <v>0</v>
      </c>
      <c r="AD74" s="67">
        <f>Table1215[[#This Row],[Column25]]</f>
        <v>2</v>
      </c>
      <c r="AE74" s="65">
        <f>IFERROR(VLOOKUP(Table1215[[#This Row],[Column2]],Table12[[Column2]:[Column54]],30,FALSE),"0")</f>
        <v>0</v>
      </c>
      <c r="AF74" s="65">
        <f>IFERROR(VLOOKUP(Table1215[[#This Row],[Column2]],Table12[[Column2]:[Column54]],31,FALSE),"0")</f>
        <v>0</v>
      </c>
      <c r="AG74" s="65">
        <f>IFERROR(VLOOKUP(Table1215[[#This Row],[Column2]],Table12[[Column2]:[Column54]],32,FALSE),"0")</f>
        <v>0</v>
      </c>
      <c r="AH74" s="65">
        <f>IFERROR(VLOOKUP(Table1215[[#This Row],[Column2]],Table12[[Column2]:[Column54]],33,FALSE),"0")</f>
        <v>0</v>
      </c>
      <c r="AI74" s="65">
        <f>IFERROR(VLOOKUP(Table1215[[#This Row],[Column2]],Table12[[Column2]:[Column54]],34,FALSE),"0")</f>
        <v>0</v>
      </c>
      <c r="AJ74" s="67">
        <f>AVERAGE(Table1215[[#This Row],[Column31]],Table1215[[#This Row],[Column32]],Table1215[[#This Row],[Column33]])</f>
        <v>0</v>
      </c>
      <c r="AK74" s="65">
        <f>IFERROR(VLOOKUP(Table1215[[#This Row],[Column2]],Table12[[Column2]:[Column54]],36,FALSE),"0")</f>
        <v>3</v>
      </c>
      <c r="AL74" s="65">
        <f>IFERROR(VLOOKUP(Table1215[[#This Row],[Column2]],Table12[[Column2]:[Column54]],37,FALSE),"0")</f>
        <v>3</v>
      </c>
      <c r="AM74" s="65">
        <f>IFERROR(VLOOKUP(Table1215[[#This Row],[Column2]],Table12[[Column2]:[Column54]],38,FALSE),"0")</f>
        <v>0</v>
      </c>
      <c r="AN74" s="65">
        <f>IFERROR(VLOOKUP(Table1215[[#This Row],[Column2]],Table12[[Column2]:[Column54]],39,FALSE),"0")</f>
        <v>3</v>
      </c>
      <c r="AO74" s="65">
        <f>IFERROR(VLOOKUP(Table1215[[#This Row],[Column2]],Table12[[Column2]:[Column54]],40,FALSE),"0")</f>
        <v>0</v>
      </c>
      <c r="AP74" s="67">
        <f>AVERAGE(Table1215[[#This Row],[Column37]],Table1215[[#This Row],[Column38]],Table1215[[#This Row],[Column40]])</f>
        <v>3</v>
      </c>
      <c r="AQ74" s="65">
        <f>IFERROR(VLOOKUP(Table1215[[#This Row],[Column2]],Table12[[Column2]:[Column54]],42,FALSE),"0")</f>
        <v>3</v>
      </c>
      <c r="AR74" s="65">
        <f>IFERROR(VLOOKUP(Table1215[[#This Row],[Column2]],Table12[[Column2]:[Column54]],43,FALSE),"0")</f>
        <v>0</v>
      </c>
      <c r="AS74" s="65">
        <f>IFERROR(VLOOKUP(Table1215[[#This Row],[Column2]],Table12[[Column2]:[Column54]],44,FALSE),"0")</f>
        <v>0</v>
      </c>
      <c r="AT74" s="65">
        <f>IFERROR(VLOOKUP(Table1215[[#This Row],[Column2]],Table12[[Column2]:[Column54]],45,FALSE),"0")</f>
        <v>0</v>
      </c>
      <c r="AU74" s="65">
        <f>IFERROR(VLOOKUP(Table1215[[#This Row],[Column2]],Table12[[Column2]:[Column54]],46,FALSE),"0")</f>
        <v>0</v>
      </c>
      <c r="AV74" s="67">
        <f>Table1215[[#This Row],[Column43]]</f>
        <v>3</v>
      </c>
      <c r="AW74" s="65">
        <f>IFERROR(VLOOKUP(Table1215[[#This Row],[Column2]],Table12[[Column2]:[Column54]],48,FALSE),"0")</f>
        <v>0</v>
      </c>
      <c r="AX74" s="65">
        <f>IFERROR(VLOOKUP(Table1215[[#This Row],[Column2]],Table12[[Column2]:[Column54]],49,FALSE),"0")</f>
        <v>0</v>
      </c>
      <c r="AY74" s="65">
        <f>IFERROR(VLOOKUP(Table1215[[#This Row],[Column2]],Table12[[Column2]:[Column54]],50,FALSE),"0")</f>
        <v>0</v>
      </c>
      <c r="AZ74" s="65">
        <f>IFERROR(VLOOKUP(Table1215[[#This Row],[Column2]],Table12[[Column2]:[Column54]],51,FALSE),"0")</f>
        <v>3</v>
      </c>
      <c r="BA74" s="65">
        <f>IFERROR(VLOOKUP(Table1215[[#This Row],[Column2]],Table12[[Column2]:[Column54]],52,FALSE),"0")</f>
        <v>3</v>
      </c>
      <c r="BB74" s="67">
        <f>AVERAGE(Table1215[[#This Row],[Column52]],Table1215[[#This Row],[Column53]])</f>
        <v>3</v>
      </c>
    </row>
    <row r="75" spans="1:54" ht="23.1" customHeight="1" x14ac:dyDescent="0.3">
      <c r="A75" s="87">
        <v>72</v>
      </c>
      <c r="B75" s="70" t="s">
        <v>166</v>
      </c>
      <c r="C75" s="71" t="s">
        <v>167</v>
      </c>
      <c r="D75" s="70" t="s">
        <v>542</v>
      </c>
      <c r="E75" s="70" t="s">
        <v>161</v>
      </c>
      <c r="F75" s="70" t="str">
        <f>REPT(CHAR(160),10)&amp;Working!$E76</f>
        <v>          B</v>
      </c>
      <c r="G75" s="61">
        <f>IFERROR(VLOOKUP(Table1215[[#This Row],[Column2]],Table12[[Column2]:[Column54]],6,FALSE),"0")</f>
        <v>0</v>
      </c>
      <c r="H75" s="61">
        <f>IFERROR(VLOOKUP(Table1215[[#This Row],[Column2]],Table12[[Column2]:[Column54]],7,FALSE),"0")</f>
        <v>0</v>
      </c>
      <c r="I75" s="61">
        <f>IFERROR(VLOOKUP(Table1215[[#This Row],[Column2]],Table12[[Column2]:[Column54]],8,FALSE),"0")</f>
        <v>2</v>
      </c>
      <c r="J75" s="61">
        <f>IFERROR(VLOOKUP(Table1215[[#This Row],[Column2]],Table12[[Column2]:[Column54]],9,FALSE),"0")</f>
        <v>0</v>
      </c>
      <c r="K75" s="61">
        <f>IFERROR(VLOOKUP(Table1215[[#This Row],[Column2]],Table12[[Column2]:[Column54]],10,FALSE),"0")</f>
        <v>0</v>
      </c>
      <c r="L75" s="67">
        <f>Table1215[[#This Row],[Column9]]</f>
        <v>2</v>
      </c>
      <c r="M75" s="61">
        <f>IFERROR(VLOOKUP(Table1215[[#This Row],[Column2]],Table12[[Column2]:[Column54]],12,FALSE),"0")</f>
        <v>0</v>
      </c>
      <c r="N75" s="61">
        <f>IFERROR(VLOOKUP(Table1215[[#This Row],[Column2]],Table12[[Column2]:[Column54]],13,FALSE),"0")</f>
        <v>2</v>
      </c>
      <c r="O75" s="61">
        <f>IFERROR(VLOOKUP(Table1215[[#This Row],[Column2]],Table12[[Column2]:[Column54]],14,FALSE),"0")</f>
        <v>2</v>
      </c>
      <c r="P75" s="61">
        <f>IFERROR(VLOOKUP(Table1215[[#This Row],[Column2]],Table12[[Column2]:[Column54]],10,FALSE),"0")</f>
        <v>0</v>
      </c>
      <c r="Q75" s="61">
        <f>IFERROR(VLOOKUP(Table1215[[#This Row],[Column2]],Table12[[Column2]:[Column54]],16,FALSE),"0")</f>
        <v>2</v>
      </c>
      <c r="R75" s="67">
        <f>AVERAGE(Table1215[[#This Row],[Column14]],Table1215[[#This Row],[Column15]],Table1215[[#This Row],[Column17]])</f>
        <v>2</v>
      </c>
      <c r="S75" s="61">
        <f>IFERROR(VLOOKUP(Table1215[[#This Row],[Column2]],Table12[[Column2]:[Column54]],18,FALSE),"0")</f>
        <v>0</v>
      </c>
      <c r="T75" s="61">
        <f>IFERROR(VLOOKUP(Table1215[[#This Row],[Column2]],Table12[[Column2]:[Column54]],19,FALSE),"0")</f>
        <v>0</v>
      </c>
      <c r="U75" s="61">
        <f>IFERROR(VLOOKUP(Table1215[[#This Row],[Column2]],Table12[[Column2]:[Column54]],20,FALSE),"0")</f>
        <v>0</v>
      </c>
      <c r="V75" s="61">
        <f>IFERROR(VLOOKUP(Table1215[[#This Row],[Column2]],Table12[[Column2]:[Column54]],21,FALSE),"0")</f>
        <v>0</v>
      </c>
      <c r="W75" s="61">
        <f>IFERROR(VLOOKUP(Table1215[[#This Row],[Column2]],Table12[[Column2]:[Column54]],22,FALSE),"0")</f>
        <v>0</v>
      </c>
      <c r="X75" s="67">
        <f>Table1215[[#This Row],[Column19]]</f>
        <v>0</v>
      </c>
      <c r="Y75" s="61">
        <f>IFERROR(VLOOKUP(Table1215[[#This Row],[Column2]],Table12[[Column2]:[Column54]],24,FALSE),"0")</f>
        <v>2</v>
      </c>
      <c r="Z75" s="61">
        <f>IFERROR(VLOOKUP(Table1215[[#This Row],[Column2]],Table12[[Column2]:[Column54]],25,FALSE),"0")</f>
        <v>0</v>
      </c>
      <c r="AA75" s="61">
        <f>IFERROR(VLOOKUP(Table1215[[#This Row],[Column2]],Table12[[Column2]:[Column54]],26,FALSE),"0")</f>
        <v>0</v>
      </c>
      <c r="AB75" s="61">
        <f>IFERROR(VLOOKUP(Table1215[[#This Row],[Column2]],Table12[[Column2]:[Column54]],27,FALSE),"0")</f>
        <v>0</v>
      </c>
      <c r="AC75" s="61">
        <f>IFERROR(VLOOKUP(Table1215[[#This Row],[Column2]],Table12[[Column2]:[Column54]],28,FALSE),"0")</f>
        <v>0</v>
      </c>
      <c r="AD75" s="67">
        <f>Table1215[[#This Row],[Column25]]</f>
        <v>2</v>
      </c>
      <c r="AE75" s="61">
        <f>IFERROR(VLOOKUP(Table1215[[#This Row],[Column2]],Table12[[Column2]:[Column54]],30,FALSE),"0")</f>
        <v>0</v>
      </c>
      <c r="AF75" s="61">
        <f>IFERROR(VLOOKUP(Table1215[[#This Row],[Column2]],Table12[[Column2]:[Column54]],31,FALSE),"0")</f>
        <v>0</v>
      </c>
      <c r="AG75" s="61">
        <f>IFERROR(VLOOKUP(Table1215[[#This Row],[Column2]],Table12[[Column2]:[Column54]],32,FALSE),"0")</f>
        <v>0</v>
      </c>
      <c r="AH75" s="61">
        <f>IFERROR(VLOOKUP(Table1215[[#This Row],[Column2]],Table12[[Column2]:[Column54]],33,FALSE),"0")</f>
        <v>0</v>
      </c>
      <c r="AI75" s="61">
        <f>IFERROR(VLOOKUP(Table1215[[#This Row],[Column2]],Table12[[Column2]:[Column54]],34,FALSE),"0")</f>
        <v>0</v>
      </c>
      <c r="AJ75" s="67">
        <f>AVERAGE(Table1215[[#This Row],[Column31]],Table1215[[#This Row],[Column32]],Table1215[[#This Row],[Column33]])</f>
        <v>0</v>
      </c>
      <c r="AK75" s="61">
        <f>IFERROR(VLOOKUP(Table1215[[#This Row],[Column2]],Table12[[Column2]:[Column54]],36,FALSE),"0")</f>
        <v>2</v>
      </c>
      <c r="AL75" s="61">
        <f>IFERROR(VLOOKUP(Table1215[[#This Row],[Column2]],Table12[[Column2]:[Column54]],37,FALSE),"0")</f>
        <v>2</v>
      </c>
      <c r="AM75" s="61">
        <f>IFERROR(VLOOKUP(Table1215[[#This Row],[Column2]],Table12[[Column2]:[Column54]],38,FALSE),"0")</f>
        <v>0</v>
      </c>
      <c r="AN75" s="61">
        <f>IFERROR(VLOOKUP(Table1215[[#This Row],[Column2]],Table12[[Column2]:[Column54]],39,FALSE),"0")</f>
        <v>3</v>
      </c>
      <c r="AO75" s="61">
        <f>IFERROR(VLOOKUP(Table1215[[#This Row],[Column2]],Table12[[Column2]:[Column54]],40,FALSE),"0")</f>
        <v>0</v>
      </c>
      <c r="AP75" s="67">
        <f>AVERAGE(Table1215[[#This Row],[Column37]],Table1215[[#This Row],[Column38]],Table1215[[#This Row],[Column40]])</f>
        <v>2.3333333333333335</v>
      </c>
      <c r="AQ75" s="61">
        <f>IFERROR(VLOOKUP(Table1215[[#This Row],[Column2]],Table12[[Column2]:[Column54]],42,FALSE),"0")</f>
        <v>2</v>
      </c>
      <c r="AR75" s="61">
        <f>IFERROR(VLOOKUP(Table1215[[#This Row],[Column2]],Table12[[Column2]:[Column54]],43,FALSE),"0")</f>
        <v>0</v>
      </c>
      <c r="AS75" s="61">
        <f>IFERROR(VLOOKUP(Table1215[[#This Row],[Column2]],Table12[[Column2]:[Column54]],44,FALSE),"0")</f>
        <v>0</v>
      </c>
      <c r="AT75" s="61">
        <f>IFERROR(VLOOKUP(Table1215[[#This Row],[Column2]],Table12[[Column2]:[Column54]],45,FALSE),"0")</f>
        <v>0</v>
      </c>
      <c r="AU75" s="61">
        <f>IFERROR(VLOOKUP(Table1215[[#This Row],[Column2]],Table12[[Column2]:[Column54]],46,FALSE),"0")</f>
        <v>0</v>
      </c>
      <c r="AV75" s="67">
        <f>Table1215[[#This Row],[Column43]]</f>
        <v>2</v>
      </c>
      <c r="AW75" s="61">
        <f>IFERROR(VLOOKUP(Table1215[[#This Row],[Column2]],Table12[[Column2]:[Column54]],48,FALSE),"0")</f>
        <v>0</v>
      </c>
      <c r="AX75" s="61">
        <f>IFERROR(VLOOKUP(Table1215[[#This Row],[Column2]],Table12[[Column2]:[Column54]],49,FALSE),"0")</f>
        <v>0</v>
      </c>
      <c r="AY75" s="61">
        <f>IFERROR(VLOOKUP(Table1215[[#This Row],[Column2]],Table12[[Column2]:[Column54]],50,FALSE),"0")</f>
        <v>0</v>
      </c>
      <c r="AZ75" s="61">
        <f>IFERROR(VLOOKUP(Table1215[[#This Row],[Column2]],Table12[[Column2]:[Column54]],51,FALSE),"0")</f>
        <v>2</v>
      </c>
      <c r="BA75" s="61">
        <f>IFERROR(VLOOKUP(Table1215[[#This Row],[Column2]],Table12[[Column2]:[Column54]],52,FALSE),"0")</f>
        <v>3</v>
      </c>
      <c r="BB75" s="67">
        <f>AVERAGE(Table1215[[#This Row],[Column52]],Table1215[[#This Row],[Column53]])</f>
        <v>2.5</v>
      </c>
    </row>
    <row r="76" spans="1:54" ht="23.1" customHeight="1" x14ac:dyDescent="0.3">
      <c r="A76" s="86">
        <v>73</v>
      </c>
      <c r="B76" s="63" t="s">
        <v>182</v>
      </c>
      <c r="C76" s="64" t="s">
        <v>183</v>
      </c>
      <c r="D76" s="63" t="s">
        <v>450</v>
      </c>
      <c r="E76" s="63" t="s">
        <v>161</v>
      </c>
      <c r="F76" s="63" t="str">
        <f>REPT(CHAR(160),10)&amp;Working!$E77</f>
        <v>          B</v>
      </c>
      <c r="G76" s="65">
        <f>IFERROR(VLOOKUP(Table1215[[#This Row],[Column2]],Table12[[Column2]:[Column54]],6,FALSE),"0")</f>
        <v>0</v>
      </c>
      <c r="H76" s="65">
        <f>IFERROR(VLOOKUP(Table1215[[#This Row],[Column2]],Table12[[Column2]:[Column54]],7,FALSE),"0")</f>
        <v>0</v>
      </c>
      <c r="I76" s="65">
        <f>IFERROR(VLOOKUP(Table1215[[#This Row],[Column2]],Table12[[Column2]:[Column54]],8,FALSE),"0")</f>
        <v>3</v>
      </c>
      <c r="J76" s="65">
        <f>IFERROR(VLOOKUP(Table1215[[#This Row],[Column2]],Table12[[Column2]:[Column54]],9,FALSE),"0")</f>
        <v>0</v>
      </c>
      <c r="K76" s="65">
        <f>IFERROR(VLOOKUP(Table1215[[#This Row],[Column2]],Table12[[Column2]:[Column54]],10,FALSE),"0")</f>
        <v>0</v>
      </c>
      <c r="L76" s="67">
        <f>Table1215[[#This Row],[Column9]]</f>
        <v>3</v>
      </c>
      <c r="M76" s="65">
        <f>IFERROR(VLOOKUP(Table1215[[#This Row],[Column2]],Table12[[Column2]:[Column54]],12,FALSE),"0")</f>
        <v>0</v>
      </c>
      <c r="N76" s="65">
        <f>IFERROR(VLOOKUP(Table1215[[#This Row],[Column2]],Table12[[Column2]:[Column54]],13,FALSE),"0")</f>
        <v>3</v>
      </c>
      <c r="O76" s="65">
        <f>IFERROR(VLOOKUP(Table1215[[#This Row],[Column2]],Table12[[Column2]:[Column54]],14,FALSE),"0")</f>
        <v>3</v>
      </c>
      <c r="P76" s="65">
        <f>IFERROR(VLOOKUP(Table1215[[#This Row],[Column2]],Table12[[Column2]:[Column54]],10,FALSE),"0")</f>
        <v>0</v>
      </c>
      <c r="Q76" s="65">
        <f>IFERROR(VLOOKUP(Table1215[[#This Row],[Column2]],Table12[[Column2]:[Column54]],16,FALSE),"0")</f>
        <v>3</v>
      </c>
      <c r="R76" s="67">
        <f>AVERAGE(Table1215[[#This Row],[Column14]],Table1215[[#This Row],[Column15]],Table1215[[#This Row],[Column17]])</f>
        <v>3</v>
      </c>
      <c r="S76" s="65">
        <f>IFERROR(VLOOKUP(Table1215[[#This Row],[Column2]],Table12[[Column2]:[Column54]],18,FALSE),"0")</f>
        <v>0</v>
      </c>
      <c r="T76" s="65">
        <f>IFERROR(VLOOKUP(Table1215[[#This Row],[Column2]],Table12[[Column2]:[Column54]],19,FALSE),"0")</f>
        <v>0</v>
      </c>
      <c r="U76" s="65">
        <f>IFERROR(VLOOKUP(Table1215[[#This Row],[Column2]],Table12[[Column2]:[Column54]],20,FALSE),"0")</f>
        <v>0</v>
      </c>
      <c r="V76" s="65">
        <f>IFERROR(VLOOKUP(Table1215[[#This Row],[Column2]],Table12[[Column2]:[Column54]],21,FALSE),"0")</f>
        <v>0</v>
      </c>
      <c r="W76" s="65">
        <f>IFERROR(VLOOKUP(Table1215[[#This Row],[Column2]],Table12[[Column2]:[Column54]],22,FALSE),"0")</f>
        <v>0</v>
      </c>
      <c r="X76" s="67">
        <f>Table1215[[#This Row],[Column19]]</f>
        <v>0</v>
      </c>
      <c r="Y76" s="65">
        <f>IFERROR(VLOOKUP(Table1215[[#This Row],[Column2]],Table12[[Column2]:[Column54]],24,FALSE),"0")</f>
        <v>3</v>
      </c>
      <c r="Z76" s="65">
        <f>IFERROR(VLOOKUP(Table1215[[#This Row],[Column2]],Table12[[Column2]:[Column54]],25,FALSE),"0")</f>
        <v>0</v>
      </c>
      <c r="AA76" s="65">
        <f>IFERROR(VLOOKUP(Table1215[[#This Row],[Column2]],Table12[[Column2]:[Column54]],26,FALSE),"0")</f>
        <v>0</v>
      </c>
      <c r="AB76" s="65">
        <f>IFERROR(VLOOKUP(Table1215[[#This Row],[Column2]],Table12[[Column2]:[Column54]],27,FALSE),"0")</f>
        <v>0</v>
      </c>
      <c r="AC76" s="65">
        <f>IFERROR(VLOOKUP(Table1215[[#This Row],[Column2]],Table12[[Column2]:[Column54]],28,FALSE),"0")</f>
        <v>0</v>
      </c>
      <c r="AD76" s="67">
        <f>Table1215[[#This Row],[Column25]]</f>
        <v>3</v>
      </c>
      <c r="AE76" s="65">
        <f>IFERROR(VLOOKUP(Table1215[[#This Row],[Column2]],Table12[[Column2]:[Column54]],30,FALSE),"0")</f>
        <v>0</v>
      </c>
      <c r="AF76" s="65">
        <f>IFERROR(VLOOKUP(Table1215[[#This Row],[Column2]],Table12[[Column2]:[Column54]],31,FALSE),"0")</f>
        <v>0</v>
      </c>
      <c r="AG76" s="65">
        <f>IFERROR(VLOOKUP(Table1215[[#This Row],[Column2]],Table12[[Column2]:[Column54]],32,FALSE),"0")</f>
        <v>0</v>
      </c>
      <c r="AH76" s="65">
        <f>IFERROR(VLOOKUP(Table1215[[#This Row],[Column2]],Table12[[Column2]:[Column54]],33,FALSE),"0")</f>
        <v>0</v>
      </c>
      <c r="AI76" s="65">
        <f>IFERROR(VLOOKUP(Table1215[[#This Row],[Column2]],Table12[[Column2]:[Column54]],34,FALSE),"0")</f>
        <v>0</v>
      </c>
      <c r="AJ76" s="67">
        <f>AVERAGE(Table1215[[#This Row],[Column31]],Table1215[[#This Row],[Column32]],Table1215[[#This Row],[Column33]])</f>
        <v>0</v>
      </c>
      <c r="AK76" s="65">
        <f>IFERROR(VLOOKUP(Table1215[[#This Row],[Column2]],Table12[[Column2]:[Column54]],36,FALSE),"0")</f>
        <v>3</v>
      </c>
      <c r="AL76" s="65">
        <f>IFERROR(VLOOKUP(Table1215[[#This Row],[Column2]],Table12[[Column2]:[Column54]],37,FALSE),"0")</f>
        <v>4</v>
      </c>
      <c r="AM76" s="65">
        <f>IFERROR(VLOOKUP(Table1215[[#This Row],[Column2]],Table12[[Column2]:[Column54]],38,FALSE),"0")</f>
        <v>0</v>
      </c>
      <c r="AN76" s="65">
        <f>IFERROR(VLOOKUP(Table1215[[#This Row],[Column2]],Table12[[Column2]:[Column54]],39,FALSE),"0")</f>
        <v>4</v>
      </c>
      <c r="AO76" s="65">
        <f>IFERROR(VLOOKUP(Table1215[[#This Row],[Column2]],Table12[[Column2]:[Column54]],40,FALSE),"0")</f>
        <v>0</v>
      </c>
      <c r="AP76" s="67">
        <f>AVERAGE(Table1215[[#This Row],[Column37]],Table1215[[#This Row],[Column38]],Table1215[[#This Row],[Column40]])</f>
        <v>3.6666666666666665</v>
      </c>
      <c r="AQ76" s="65">
        <f>IFERROR(VLOOKUP(Table1215[[#This Row],[Column2]],Table12[[Column2]:[Column54]],42,FALSE),"0")</f>
        <v>4</v>
      </c>
      <c r="AR76" s="65">
        <f>IFERROR(VLOOKUP(Table1215[[#This Row],[Column2]],Table12[[Column2]:[Column54]],43,FALSE),"0")</f>
        <v>0</v>
      </c>
      <c r="AS76" s="65">
        <f>IFERROR(VLOOKUP(Table1215[[#This Row],[Column2]],Table12[[Column2]:[Column54]],44,FALSE),"0")</f>
        <v>0</v>
      </c>
      <c r="AT76" s="65">
        <f>IFERROR(VLOOKUP(Table1215[[#This Row],[Column2]],Table12[[Column2]:[Column54]],45,FALSE),"0")</f>
        <v>0</v>
      </c>
      <c r="AU76" s="65">
        <f>IFERROR(VLOOKUP(Table1215[[#This Row],[Column2]],Table12[[Column2]:[Column54]],46,FALSE),"0")</f>
        <v>0</v>
      </c>
      <c r="AV76" s="67">
        <f>Table1215[[#This Row],[Column43]]</f>
        <v>4</v>
      </c>
      <c r="AW76" s="65">
        <f>IFERROR(VLOOKUP(Table1215[[#This Row],[Column2]],Table12[[Column2]:[Column54]],48,FALSE),"0")</f>
        <v>0</v>
      </c>
      <c r="AX76" s="65">
        <f>IFERROR(VLOOKUP(Table1215[[#This Row],[Column2]],Table12[[Column2]:[Column54]],49,FALSE),"0")</f>
        <v>0</v>
      </c>
      <c r="AY76" s="65">
        <f>IFERROR(VLOOKUP(Table1215[[#This Row],[Column2]],Table12[[Column2]:[Column54]],50,FALSE),"0")</f>
        <v>0</v>
      </c>
      <c r="AZ76" s="65">
        <f>IFERROR(VLOOKUP(Table1215[[#This Row],[Column2]],Table12[[Column2]:[Column54]],51,FALSE),"0")</f>
        <v>3</v>
      </c>
      <c r="BA76" s="65">
        <f>IFERROR(VLOOKUP(Table1215[[#This Row],[Column2]],Table12[[Column2]:[Column54]],52,FALSE),"0")</f>
        <v>3</v>
      </c>
      <c r="BB76" s="67">
        <f>AVERAGE(Table1215[[#This Row],[Column52]],Table1215[[#This Row],[Column53]])</f>
        <v>3</v>
      </c>
    </row>
    <row r="77" spans="1:54" ht="23.1" customHeight="1" x14ac:dyDescent="0.3">
      <c r="A77" s="87">
        <v>74</v>
      </c>
      <c r="B77" s="70" t="s">
        <v>322</v>
      </c>
      <c r="C77" s="71" t="s">
        <v>323</v>
      </c>
      <c r="D77" s="70" t="s">
        <v>450</v>
      </c>
      <c r="E77" s="70" t="s">
        <v>493</v>
      </c>
      <c r="F77" s="70" t="str">
        <f>REPT(CHAR(160),10)&amp;Working!$E78</f>
        <v>          C</v>
      </c>
      <c r="G77" s="61">
        <f>IFERROR(VLOOKUP(Table1215[[#This Row],[Column2]],Table12[[Column2]:[Column54]],6,FALSE),"0")</f>
        <v>0</v>
      </c>
      <c r="H77" s="61">
        <f>IFERROR(VLOOKUP(Table1215[[#This Row],[Column2]],Table12[[Column2]:[Column54]],7,FALSE),"0")</f>
        <v>0</v>
      </c>
      <c r="I77" s="61">
        <f>IFERROR(VLOOKUP(Table1215[[#This Row],[Column2]],Table12[[Column2]:[Column54]],8,FALSE),"0")</f>
        <v>2</v>
      </c>
      <c r="J77" s="61">
        <f>IFERROR(VLOOKUP(Table1215[[#This Row],[Column2]],Table12[[Column2]:[Column54]],9,FALSE),"0")</f>
        <v>0</v>
      </c>
      <c r="K77" s="61">
        <f>IFERROR(VLOOKUP(Table1215[[#This Row],[Column2]],Table12[[Column2]:[Column54]],10,FALSE),"0")</f>
        <v>0</v>
      </c>
      <c r="L77" s="67">
        <f>Table1215[[#This Row],[Column9]]</f>
        <v>2</v>
      </c>
      <c r="M77" s="61">
        <f>IFERROR(VLOOKUP(Table1215[[#This Row],[Column2]],Table12[[Column2]:[Column54]],12,FALSE),"0")</f>
        <v>0</v>
      </c>
      <c r="N77" s="61">
        <f>IFERROR(VLOOKUP(Table1215[[#This Row],[Column2]],Table12[[Column2]:[Column54]],13,FALSE),"0")</f>
        <v>2</v>
      </c>
      <c r="O77" s="61">
        <f>IFERROR(VLOOKUP(Table1215[[#This Row],[Column2]],Table12[[Column2]:[Column54]],14,FALSE),"0")</f>
        <v>2</v>
      </c>
      <c r="P77" s="61">
        <f>IFERROR(VLOOKUP(Table1215[[#This Row],[Column2]],Table12[[Column2]:[Column54]],10,FALSE),"0")</f>
        <v>0</v>
      </c>
      <c r="Q77" s="61">
        <f>IFERROR(VLOOKUP(Table1215[[#This Row],[Column2]],Table12[[Column2]:[Column54]],16,FALSE),"0")</f>
        <v>2</v>
      </c>
      <c r="R77" s="67">
        <f>AVERAGE(Table1215[[#This Row],[Column14]],Table1215[[#This Row],[Column15]],Table1215[[#This Row],[Column17]])</f>
        <v>2</v>
      </c>
      <c r="S77" s="61">
        <f>IFERROR(VLOOKUP(Table1215[[#This Row],[Column2]],Table12[[Column2]:[Column54]],18,FALSE),"0")</f>
        <v>0</v>
      </c>
      <c r="T77" s="61">
        <f>IFERROR(VLOOKUP(Table1215[[#This Row],[Column2]],Table12[[Column2]:[Column54]],19,FALSE),"0")</f>
        <v>0</v>
      </c>
      <c r="U77" s="61">
        <f>IFERROR(VLOOKUP(Table1215[[#This Row],[Column2]],Table12[[Column2]:[Column54]],20,FALSE),"0")</f>
        <v>0</v>
      </c>
      <c r="V77" s="61">
        <f>IFERROR(VLOOKUP(Table1215[[#This Row],[Column2]],Table12[[Column2]:[Column54]],21,FALSE),"0")</f>
        <v>0</v>
      </c>
      <c r="W77" s="61">
        <f>IFERROR(VLOOKUP(Table1215[[#This Row],[Column2]],Table12[[Column2]:[Column54]],22,FALSE),"0")</f>
        <v>0</v>
      </c>
      <c r="X77" s="67">
        <f>Table1215[[#This Row],[Column19]]</f>
        <v>0</v>
      </c>
      <c r="Y77" s="61">
        <f>IFERROR(VLOOKUP(Table1215[[#This Row],[Column2]],Table12[[Column2]:[Column54]],24,FALSE),"0")</f>
        <v>2</v>
      </c>
      <c r="Z77" s="61">
        <f>IFERROR(VLOOKUP(Table1215[[#This Row],[Column2]],Table12[[Column2]:[Column54]],25,FALSE),"0")</f>
        <v>0</v>
      </c>
      <c r="AA77" s="61">
        <f>IFERROR(VLOOKUP(Table1215[[#This Row],[Column2]],Table12[[Column2]:[Column54]],26,FALSE),"0")</f>
        <v>0</v>
      </c>
      <c r="AB77" s="61">
        <f>IFERROR(VLOOKUP(Table1215[[#This Row],[Column2]],Table12[[Column2]:[Column54]],27,FALSE),"0")</f>
        <v>0</v>
      </c>
      <c r="AC77" s="61">
        <f>IFERROR(VLOOKUP(Table1215[[#This Row],[Column2]],Table12[[Column2]:[Column54]],28,FALSE),"0")</f>
        <v>0</v>
      </c>
      <c r="AD77" s="67">
        <f>Table1215[[#This Row],[Column25]]</f>
        <v>2</v>
      </c>
      <c r="AE77" s="61">
        <f>IFERROR(VLOOKUP(Table1215[[#This Row],[Column2]],Table12[[Column2]:[Column54]],30,FALSE),"0")</f>
        <v>0</v>
      </c>
      <c r="AF77" s="61">
        <f>IFERROR(VLOOKUP(Table1215[[#This Row],[Column2]],Table12[[Column2]:[Column54]],31,FALSE),"0")</f>
        <v>0</v>
      </c>
      <c r="AG77" s="61">
        <f>IFERROR(VLOOKUP(Table1215[[#This Row],[Column2]],Table12[[Column2]:[Column54]],32,FALSE),"0")</f>
        <v>0</v>
      </c>
      <c r="AH77" s="61">
        <f>IFERROR(VLOOKUP(Table1215[[#This Row],[Column2]],Table12[[Column2]:[Column54]],33,FALSE),"0")</f>
        <v>0</v>
      </c>
      <c r="AI77" s="61">
        <f>IFERROR(VLOOKUP(Table1215[[#This Row],[Column2]],Table12[[Column2]:[Column54]],34,FALSE),"0")</f>
        <v>0</v>
      </c>
      <c r="AJ77" s="67">
        <f>AVERAGE(Table1215[[#This Row],[Column31]],Table1215[[#This Row],[Column32]],Table1215[[#This Row],[Column33]])</f>
        <v>0</v>
      </c>
      <c r="AK77" s="61">
        <f>IFERROR(VLOOKUP(Table1215[[#This Row],[Column2]],Table12[[Column2]:[Column54]],36,FALSE),"0")</f>
        <v>3</v>
      </c>
      <c r="AL77" s="61">
        <f>IFERROR(VLOOKUP(Table1215[[#This Row],[Column2]],Table12[[Column2]:[Column54]],37,FALSE),"0")</f>
        <v>3</v>
      </c>
      <c r="AM77" s="61">
        <f>IFERROR(VLOOKUP(Table1215[[#This Row],[Column2]],Table12[[Column2]:[Column54]],38,FALSE),"0")</f>
        <v>0</v>
      </c>
      <c r="AN77" s="61">
        <f>IFERROR(VLOOKUP(Table1215[[#This Row],[Column2]],Table12[[Column2]:[Column54]],39,FALSE),"0")</f>
        <v>3</v>
      </c>
      <c r="AO77" s="61">
        <f>IFERROR(VLOOKUP(Table1215[[#This Row],[Column2]],Table12[[Column2]:[Column54]],40,FALSE),"0")</f>
        <v>0</v>
      </c>
      <c r="AP77" s="67">
        <f>AVERAGE(Table1215[[#This Row],[Column37]],Table1215[[#This Row],[Column38]],Table1215[[#This Row],[Column40]])</f>
        <v>3</v>
      </c>
      <c r="AQ77" s="61">
        <f>IFERROR(VLOOKUP(Table1215[[#This Row],[Column2]],Table12[[Column2]:[Column54]],42,FALSE),"0")</f>
        <v>4</v>
      </c>
      <c r="AR77" s="61">
        <f>IFERROR(VLOOKUP(Table1215[[#This Row],[Column2]],Table12[[Column2]:[Column54]],43,FALSE),"0")</f>
        <v>0</v>
      </c>
      <c r="AS77" s="61">
        <f>IFERROR(VLOOKUP(Table1215[[#This Row],[Column2]],Table12[[Column2]:[Column54]],44,FALSE),"0")</f>
        <v>0</v>
      </c>
      <c r="AT77" s="61">
        <f>IFERROR(VLOOKUP(Table1215[[#This Row],[Column2]],Table12[[Column2]:[Column54]],45,FALSE),"0")</f>
        <v>0</v>
      </c>
      <c r="AU77" s="61">
        <f>IFERROR(VLOOKUP(Table1215[[#This Row],[Column2]],Table12[[Column2]:[Column54]],46,FALSE),"0")</f>
        <v>0</v>
      </c>
      <c r="AV77" s="67">
        <f>Table1215[[#This Row],[Column43]]</f>
        <v>4</v>
      </c>
      <c r="AW77" s="61">
        <f>IFERROR(VLOOKUP(Table1215[[#This Row],[Column2]],Table12[[Column2]:[Column54]],48,FALSE),"0")</f>
        <v>0</v>
      </c>
      <c r="AX77" s="61">
        <f>IFERROR(VLOOKUP(Table1215[[#This Row],[Column2]],Table12[[Column2]:[Column54]],49,FALSE),"0")</f>
        <v>0</v>
      </c>
      <c r="AY77" s="61">
        <f>IFERROR(VLOOKUP(Table1215[[#This Row],[Column2]],Table12[[Column2]:[Column54]],50,FALSE),"0")</f>
        <v>0</v>
      </c>
      <c r="AZ77" s="61">
        <f>IFERROR(VLOOKUP(Table1215[[#This Row],[Column2]],Table12[[Column2]:[Column54]],51,FALSE),"0")</f>
        <v>3</v>
      </c>
      <c r="BA77" s="61">
        <f>IFERROR(VLOOKUP(Table1215[[#This Row],[Column2]],Table12[[Column2]:[Column54]],52,FALSE),"0")</f>
        <v>3</v>
      </c>
      <c r="BB77" s="67">
        <f>AVERAGE(Table1215[[#This Row],[Column52]],Table1215[[#This Row],[Column53]])</f>
        <v>3</v>
      </c>
    </row>
    <row r="78" spans="1:54" ht="23.1" customHeight="1" x14ac:dyDescent="0.3">
      <c r="A78" s="86">
        <v>75</v>
      </c>
      <c r="B78" s="63" t="s">
        <v>324</v>
      </c>
      <c r="C78" s="64" t="s">
        <v>325</v>
      </c>
      <c r="D78" s="63" t="s">
        <v>450</v>
      </c>
      <c r="E78" s="63" t="s">
        <v>493</v>
      </c>
      <c r="F78" s="63" t="str">
        <f>REPT(CHAR(160),10)&amp;Working!$E79</f>
        <v>          C</v>
      </c>
      <c r="G78" s="65">
        <f>IFERROR(VLOOKUP(Table1215[[#This Row],[Column2]],Table12[[Column2]:[Column54]],6,FALSE),"0")</f>
        <v>0</v>
      </c>
      <c r="H78" s="65">
        <f>IFERROR(VLOOKUP(Table1215[[#This Row],[Column2]],Table12[[Column2]:[Column54]],7,FALSE),"0")</f>
        <v>0</v>
      </c>
      <c r="I78" s="65">
        <f>IFERROR(VLOOKUP(Table1215[[#This Row],[Column2]],Table12[[Column2]:[Column54]],8,FALSE),"0")</f>
        <v>2</v>
      </c>
      <c r="J78" s="65">
        <f>IFERROR(VLOOKUP(Table1215[[#This Row],[Column2]],Table12[[Column2]:[Column54]],9,FALSE),"0")</f>
        <v>0</v>
      </c>
      <c r="K78" s="65">
        <f>IFERROR(VLOOKUP(Table1215[[#This Row],[Column2]],Table12[[Column2]:[Column54]],10,FALSE),"0")</f>
        <v>0</v>
      </c>
      <c r="L78" s="67">
        <f>Table1215[[#This Row],[Column9]]</f>
        <v>2</v>
      </c>
      <c r="M78" s="65">
        <f>IFERROR(VLOOKUP(Table1215[[#This Row],[Column2]],Table12[[Column2]:[Column54]],12,FALSE),"0")</f>
        <v>0</v>
      </c>
      <c r="N78" s="65">
        <f>IFERROR(VLOOKUP(Table1215[[#This Row],[Column2]],Table12[[Column2]:[Column54]],13,FALSE),"0")</f>
        <v>2</v>
      </c>
      <c r="O78" s="65">
        <f>IFERROR(VLOOKUP(Table1215[[#This Row],[Column2]],Table12[[Column2]:[Column54]],14,FALSE),"0")</f>
        <v>2</v>
      </c>
      <c r="P78" s="65">
        <f>IFERROR(VLOOKUP(Table1215[[#This Row],[Column2]],Table12[[Column2]:[Column54]],10,FALSE),"0")</f>
        <v>0</v>
      </c>
      <c r="Q78" s="65">
        <f>IFERROR(VLOOKUP(Table1215[[#This Row],[Column2]],Table12[[Column2]:[Column54]],16,FALSE),"0")</f>
        <v>2</v>
      </c>
      <c r="R78" s="67">
        <f>AVERAGE(Table1215[[#This Row],[Column14]],Table1215[[#This Row],[Column15]],Table1215[[#This Row],[Column17]])</f>
        <v>2</v>
      </c>
      <c r="S78" s="65">
        <f>IFERROR(VLOOKUP(Table1215[[#This Row],[Column2]],Table12[[Column2]:[Column54]],18,FALSE),"0")</f>
        <v>0</v>
      </c>
      <c r="T78" s="65">
        <f>IFERROR(VLOOKUP(Table1215[[#This Row],[Column2]],Table12[[Column2]:[Column54]],19,FALSE),"0")</f>
        <v>0</v>
      </c>
      <c r="U78" s="65">
        <f>IFERROR(VLOOKUP(Table1215[[#This Row],[Column2]],Table12[[Column2]:[Column54]],20,FALSE),"0")</f>
        <v>0</v>
      </c>
      <c r="V78" s="65">
        <f>IFERROR(VLOOKUP(Table1215[[#This Row],[Column2]],Table12[[Column2]:[Column54]],21,FALSE),"0")</f>
        <v>0</v>
      </c>
      <c r="W78" s="65">
        <f>IFERROR(VLOOKUP(Table1215[[#This Row],[Column2]],Table12[[Column2]:[Column54]],22,FALSE),"0")</f>
        <v>0</v>
      </c>
      <c r="X78" s="67">
        <f>Table1215[[#This Row],[Column19]]</f>
        <v>0</v>
      </c>
      <c r="Y78" s="65">
        <f>IFERROR(VLOOKUP(Table1215[[#This Row],[Column2]],Table12[[Column2]:[Column54]],24,FALSE),"0")</f>
        <v>2</v>
      </c>
      <c r="Z78" s="65">
        <f>IFERROR(VLOOKUP(Table1215[[#This Row],[Column2]],Table12[[Column2]:[Column54]],25,FALSE),"0")</f>
        <v>0</v>
      </c>
      <c r="AA78" s="65">
        <f>IFERROR(VLOOKUP(Table1215[[#This Row],[Column2]],Table12[[Column2]:[Column54]],26,FALSE),"0")</f>
        <v>0</v>
      </c>
      <c r="AB78" s="65">
        <f>IFERROR(VLOOKUP(Table1215[[#This Row],[Column2]],Table12[[Column2]:[Column54]],27,FALSE),"0")</f>
        <v>0</v>
      </c>
      <c r="AC78" s="65">
        <f>IFERROR(VLOOKUP(Table1215[[#This Row],[Column2]],Table12[[Column2]:[Column54]],28,FALSE),"0")</f>
        <v>0</v>
      </c>
      <c r="AD78" s="67">
        <f>Table1215[[#This Row],[Column25]]</f>
        <v>2</v>
      </c>
      <c r="AE78" s="65">
        <f>IFERROR(VLOOKUP(Table1215[[#This Row],[Column2]],Table12[[Column2]:[Column54]],30,FALSE),"0")</f>
        <v>0</v>
      </c>
      <c r="AF78" s="65">
        <f>IFERROR(VLOOKUP(Table1215[[#This Row],[Column2]],Table12[[Column2]:[Column54]],31,FALSE),"0")</f>
        <v>0</v>
      </c>
      <c r="AG78" s="65">
        <f>IFERROR(VLOOKUP(Table1215[[#This Row],[Column2]],Table12[[Column2]:[Column54]],32,FALSE),"0")</f>
        <v>0</v>
      </c>
      <c r="AH78" s="65">
        <f>IFERROR(VLOOKUP(Table1215[[#This Row],[Column2]],Table12[[Column2]:[Column54]],33,FALSE),"0")</f>
        <v>0</v>
      </c>
      <c r="AI78" s="65">
        <f>IFERROR(VLOOKUP(Table1215[[#This Row],[Column2]],Table12[[Column2]:[Column54]],34,FALSE),"0")</f>
        <v>0</v>
      </c>
      <c r="AJ78" s="67">
        <f>AVERAGE(Table1215[[#This Row],[Column31]],Table1215[[#This Row],[Column32]],Table1215[[#This Row],[Column33]])</f>
        <v>0</v>
      </c>
      <c r="AK78" s="65">
        <f>IFERROR(VLOOKUP(Table1215[[#This Row],[Column2]],Table12[[Column2]:[Column54]],36,FALSE),"0")</f>
        <v>2</v>
      </c>
      <c r="AL78" s="65">
        <f>IFERROR(VLOOKUP(Table1215[[#This Row],[Column2]],Table12[[Column2]:[Column54]],37,FALSE),"0")</f>
        <v>2</v>
      </c>
      <c r="AM78" s="65">
        <f>IFERROR(VLOOKUP(Table1215[[#This Row],[Column2]],Table12[[Column2]:[Column54]],38,FALSE),"0")</f>
        <v>0</v>
      </c>
      <c r="AN78" s="65">
        <f>IFERROR(VLOOKUP(Table1215[[#This Row],[Column2]],Table12[[Column2]:[Column54]],39,FALSE),"0")</f>
        <v>2</v>
      </c>
      <c r="AO78" s="65">
        <f>IFERROR(VLOOKUP(Table1215[[#This Row],[Column2]],Table12[[Column2]:[Column54]],40,FALSE),"0")</f>
        <v>0</v>
      </c>
      <c r="AP78" s="67">
        <f>AVERAGE(Table1215[[#This Row],[Column37]],Table1215[[#This Row],[Column38]],Table1215[[#This Row],[Column40]])</f>
        <v>2</v>
      </c>
      <c r="AQ78" s="65">
        <f>IFERROR(VLOOKUP(Table1215[[#This Row],[Column2]],Table12[[Column2]:[Column54]],42,FALSE),"0")</f>
        <v>2</v>
      </c>
      <c r="AR78" s="65">
        <f>IFERROR(VLOOKUP(Table1215[[#This Row],[Column2]],Table12[[Column2]:[Column54]],43,FALSE),"0")</f>
        <v>0</v>
      </c>
      <c r="AS78" s="65">
        <f>IFERROR(VLOOKUP(Table1215[[#This Row],[Column2]],Table12[[Column2]:[Column54]],44,FALSE),"0")</f>
        <v>0</v>
      </c>
      <c r="AT78" s="65">
        <f>IFERROR(VLOOKUP(Table1215[[#This Row],[Column2]],Table12[[Column2]:[Column54]],45,FALSE),"0")</f>
        <v>0</v>
      </c>
      <c r="AU78" s="65">
        <f>IFERROR(VLOOKUP(Table1215[[#This Row],[Column2]],Table12[[Column2]:[Column54]],46,FALSE),"0")</f>
        <v>0</v>
      </c>
      <c r="AV78" s="67">
        <f>Table1215[[#This Row],[Column43]]</f>
        <v>2</v>
      </c>
      <c r="AW78" s="65">
        <f>IFERROR(VLOOKUP(Table1215[[#This Row],[Column2]],Table12[[Column2]:[Column54]],48,FALSE),"0")</f>
        <v>0</v>
      </c>
      <c r="AX78" s="65">
        <f>IFERROR(VLOOKUP(Table1215[[#This Row],[Column2]],Table12[[Column2]:[Column54]],49,FALSE),"0")</f>
        <v>0</v>
      </c>
      <c r="AY78" s="65">
        <f>IFERROR(VLOOKUP(Table1215[[#This Row],[Column2]],Table12[[Column2]:[Column54]],50,FALSE),"0")</f>
        <v>0</v>
      </c>
      <c r="AZ78" s="65">
        <f>IFERROR(VLOOKUP(Table1215[[#This Row],[Column2]],Table12[[Column2]:[Column54]],51,FALSE),"0")</f>
        <v>3</v>
      </c>
      <c r="BA78" s="65">
        <f>IFERROR(VLOOKUP(Table1215[[#This Row],[Column2]],Table12[[Column2]:[Column54]],52,FALSE),"0")</f>
        <v>2</v>
      </c>
      <c r="BB78" s="67">
        <f>AVERAGE(Table1215[[#This Row],[Column52]],Table1215[[#This Row],[Column53]])</f>
        <v>2.5</v>
      </c>
    </row>
    <row r="79" spans="1:54" ht="23.1" customHeight="1" x14ac:dyDescent="0.3">
      <c r="A79" s="87">
        <v>76</v>
      </c>
      <c r="B79" s="70" t="s">
        <v>326</v>
      </c>
      <c r="C79" s="71" t="s">
        <v>327</v>
      </c>
      <c r="D79" s="70" t="s">
        <v>450</v>
      </c>
      <c r="E79" s="70" t="s">
        <v>493</v>
      </c>
      <c r="F79" s="70" t="str">
        <f>REPT(CHAR(160),10)&amp;Working!$E80</f>
        <v>          C</v>
      </c>
      <c r="G79" s="61">
        <f>IFERROR(VLOOKUP(Table1215[[#This Row],[Column2]],Table12[[Column2]:[Column54]],6,FALSE),"0")</f>
        <v>0</v>
      </c>
      <c r="H79" s="61">
        <f>IFERROR(VLOOKUP(Table1215[[#This Row],[Column2]],Table12[[Column2]:[Column54]],7,FALSE),"0")</f>
        <v>0</v>
      </c>
      <c r="I79" s="61">
        <f>IFERROR(VLOOKUP(Table1215[[#This Row],[Column2]],Table12[[Column2]:[Column54]],8,FALSE),"0")</f>
        <v>5</v>
      </c>
      <c r="J79" s="61">
        <f>IFERROR(VLOOKUP(Table1215[[#This Row],[Column2]],Table12[[Column2]:[Column54]],9,FALSE),"0")</f>
        <v>0</v>
      </c>
      <c r="K79" s="61">
        <f>IFERROR(VLOOKUP(Table1215[[#This Row],[Column2]],Table12[[Column2]:[Column54]],10,FALSE),"0")</f>
        <v>0</v>
      </c>
      <c r="L79" s="67">
        <f>Table1215[[#This Row],[Column9]]</f>
        <v>5</v>
      </c>
      <c r="M79" s="61">
        <f>IFERROR(VLOOKUP(Table1215[[#This Row],[Column2]],Table12[[Column2]:[Column54]],12,FALSE),"0")</f>
        <v>0</v>
      </c>
      <c r="N79" s="61">
        <f>IFERROR(VLOOKUP(Table1215[[#This Row],[Column2]],Table12[[Column2]:[Column54]],13,FALSE),"0")</f>
        <v>5</v>
      </c>
      <c r="O79" s="61">
        <f>IFERROR(VLOOKUP(Table1215[[#This Row],[Column2]],Table12[[Column2]:[Column54]],14,FALSE),"0")</f>
        <v>4</v>
      </c>
      <c r="P79" s="61">
        <f>IFERROR(VLOOKUP(Table1215[[#This Row],[Column2]],Table12[[Column2]:[Column54]],10,FALSE),"0")</f>
        <v>0</v>
      </c>
      <c r="Q79" s="61">
        <f>IFERROR(VLOOKUP(Table1215[[#This Row],[Column2]],Table12[[Column2]:[Column54]],16,FALSE),"0")</f>
        <v>4</v>
      </c>
      <c r="R79" s="67">
        <f>AVERAGE(Table1215[[#This Row],[Column14]],Table1215[[#This Row],[Column15]],Table1215[[#This Row],[Column17]])</f>
        <v>4.333333333333333</v>
      </c>
      <c r="S79" s="61">
        <f>IFERROR(VLOOKUP(Table1215[[#This Row],[Column2]],Table12[[Column2]:[Column54]],18,FALSE),"0")</f>
        <v>0</v>
      </c>
      <c r="T79" s="61">
        <f>IFERROR(VLOOKUP(Table1215[[#This Row],[Column2]],Table12[[Column2]:[Column54]],19,FALSE),"0")</f>
        <v>0</v>
      </c>
      <c r="U79" s="61">
        <f>IFERROR(VLOOKUP(Table1215[[#This Row],[Column2]],Table12[[Column2]:[Column54]],20,FALSE),"0")</f>
        <v>0</v>
      </c>
      <c r="V79" s="61">
        <f>IFERROR(VLOOKUP(Table1215[[#This Row],[Column2]],Table12[[Column2]:[Column54]],21,FALSE),"0")</f>
        <v>0</v>
      </c>
      <c r="W79" s="61">
        <f>IFERROR(VLOOKUP(Table1215[[#This Row],[Column2]],Table12[[Column2]:[Column54]],22,FALSE),"0")</f>
        <v>0</v>
      </c>
      <c r="X79" s="67">
        <f>Table1215[[#This Row],[Column19]]</f>
        <v>0</v>
      </c>
      <c r="Y79" s="61">
        <f>IFERROR(VLOOKUP(Table1215[[#This Row],[Column2]],Table12[[Column2]:[Column54]],24,FALSE),"0")</f>
        <v>5</v>
      </c>
      <c r="Z79" s="61">
        <f>IFERROR(VLOOKUP(Table1215[[#This Row],[Column2]],Table12[[Column2]:[Column54]],25,FALSE),"0")</f>
        <v>0</v>
      </c>
      <c r="AA79" s="61">
        <f>IFERROR(VLOOKUP(Table1215[[#This Row],[Column2]],Table12[[Column2]:[Column54]],26,FALSE),"0")</f>
        <v>0</v>
      </c>
      <c r="AB79" s="61">
        <f>IFERROR(VLOOKUP(Table1215[[#This Row],[Column2]],Table12[[Column2]:[Column54]],27,FALSE),"0")</f>
        <v>0</v>
      </c>
      <c r="AC79" s="61">
        <f>IFERROR(VLOOKUP(Table1215[[#This Row],[Column2]],Table12[[Column2]:[Column54]],28,FALSE),"0")</f>
        <v>0</v>
      </c>
      <c r="AD79" s="67">
        <f>Table1215[[#This Row],[Column25]]</f>
        <v>5</v>
      </c>
      <c r="AE79" s="61">
        <f>IFERROR(VLOOKUP(Table1215[[#This Row],[Column2]],Table12[[Column2]:[Column54]],30,FALSE),"0")</f>
        <v>0</v>
      </c>
      <c r="AF79" s="61">
        <f>IFERROR(VLOOKUP(Table1215[[#This Row],[Column2]],Table12[[Column2]:[Column54]],31,FALSE),"0")</f>
        <v>0</v>
      </c>
      <c r="AG79" s="61">
        <f>IFERROR(VLOOKUP(Table1215[[#This Row],[Column2]],Table12[[Column2]:[Column54]],32,FALSE),"0")</f>
        <v>0</v>
      </c>
      <c r="AH79" s="61">
        <f>IFERROR(VLOOKUP(Table1215[[#This Row],[Column2]],Table12[[Column2]:[Column54]],33,FALSE),"0")</f>
        <v>0</v>
      </c>
      <c r="AI79" s="61">
        <f>IFERROR(VLOOKUP(Table1215[[#This Row],[Column2]],Table12[[Column2]:[Column54]],34,FALSE),"0")</f>
        <v>0</v>
      </c>
      <c r="AJ79" s="67">
        <f>AVERAGE(Table1215[[#This Row],[Column31]],Table1215[[#This Row],[Column32]],Table1215[[#This Row],[Column33]])</f>
        <v>0</v>
      </c>
      <c r="AK79" s="61">
        <f>IFERROR(VLOOKUP(Table1215[[#This Row],[Column2]],Table12[[Column2]:[Column54]],36,FALSE),"0")</f>
        <v>5</v>
      </c>
      <c r="AL79" s="61">
        <f>IFERROR(VLOOKUP(Table1215[[#This Row],[Column2]],Table12[[Column2]:[Column54]],37,FALSE),"0")</f>
        <v>5</v>
      </c>
      <c r="AM79" s="61">
        <f>IFERROR(VLOOKUP(Table1215[[#This Row],[Column2]],Table12[[Column2]:[Column54]],38,FALSE),"0")</f>
        <v>0</v>
      </c>
      <c r="AN79" s="61">
        <f>IFERROR(VLOOKUP(Table1215[[#This Row],[Column2]],Table12[[Column2]:[Column54]],39,FALSE),"0")</f>
        <v>5</v>
      </c>
      <c r="AO79" s="61">
        <f>IFERROR(VLOOKUP(Table1215[[#This Row],[Column2]],Table12[[Column2]:[Column54]],40,FALSE),"0")</f>
        <v>0</v>
      </c>
      <c r="AP79" s="67">
        <f>AVERAGE(Table1215[[#This Row],[Column37]],Table1215[[#This Row],[Column38]],Table1215[[#This Row],[Column40]])</f>
        <v>5</v>
      </c>
      <c r="AQ79" s="61">
        <f>IFERROR(VLOOKUP(Table1215[[#This Row],[Column2]],Table12[[Column2]:[Column54]],42,FALSE),"0")</f>
        <v>5</v>
      </c>
      <c r="AR79" s="61">
        <f>IFERROR(VLOOKUP(Table1215[[#This Row],[Column2]],Table12[[Column2]:[Column54]],43,FALSE),"0")</f>
        <v>0</v>
      </c>
      <c r="AS79" s="61">
        <f>IFERROR(VLOOKUP(Table1215[[#This Row],[Column2]],Table12[[Column2]:[Column54]],44,FALSE),"0")</f>
        <v>0</v>
      </c>
      <c r="AT79" s="61">
        <f>IFERROR(VLOOKUP(Table1215[[#This Row],[Column2]],Table12[[Column2]:[Column54]],45,FALSE),"0")</f>
        <v>0</v>
      </c>
      <c r="AU79" s="61">
        <f>IFERROR(VLOOKUP(Table1215[[#This Row],[Column2]],Table12[[Column2]:[Column54]],46,FALSE),"0")</f>
        <v>0</v>
      </c>
      <c r="AV79" s="67">
        <f>Table1215[[#This Row],[Column43]]</f>
        <v>5</v>
      </c>
      <c r="AW79" s="61">
        <f>IFERROR(VLOOKUP(Table1215[[#This Row],[Column2]],Table12[[Column2]:[Column54]],48,FALSE),"0")</f>
        <v>0</v>
      </c>
      <c r="AX79" s="61">
        <f>IFERROR(VLOOKUP(Table1215[[#This Row],[Column2]],Table12[[Column2]:[Column54]],49,FALSE),"0")</f>
        <v>0</v>
      </c>
      <c r="AY79" s="61">
        <f>IFERROR(VLOOKUP(Table1215[[#This Row],[Column2]],Table12[[Column2]:[Column54]],50,FALSE),"0")</f>
        <v>0</v>
      </c>
      <c r="AZ79" s="61">
        <f>IFERROR(VLOOKUP(Table1215[[#This Row],[Column2]],Table12[[Column2]:[Column54]],51,FALSE),"0")</f>
        <v>4</v>
      </c>
      <c r="BA79" s="61">
        <f>IFERROR(VLOOKUP(Table1215[[#This Row],[Column2]],Table12[[Column2]:[Column54]],52,FALSE),"0")</f>
        <v>5</v>
      </c>
      <c r="BB79" s="67">
        <f>AVERAGE(Table1215[[#This Row],[Column52]],Table1215[[#This Row],[Column53]])</f>
        <v>4.5</v>
      </c>
    </row>
    <row r="80" spans="1:54" ht="23.1" customHeight="1" x14ac:dyDescent="0.3">
      <c r="A80" s="86">
        <v>77</v>
      </c>
      <c r="B80" s="63" t="s">
        <v>328</v>
      </c>
      <c r="C80" s="64" t="s">
        <v>329</v>
      </c>
      <c r="D80" s="63" t="s">
        <v>450</v>
      </c>
      <c r="E80" s="63" t="s">
        <v>493</v>
      </c>
      <c r="F80" s="63" t="str">
        <f>REPT(CHAR(160),10)&amp;Working!$E81</f>
        <v>          C</v>
      </c>
      <c r="G80" s="65">
        <f>IFERROR(VLOOKUP(Table1215[[#This Row],[Column2]],Table12[[Column2]:[Column54]],6,FALSE),"0")</f>
        <v>0</v>
      </c>
      <c r="H80" s="65">
        <f>IFERROR(VLOOKUP(Table1215[[#This Row],[Column2]],Table12[[Column2]:[Column54]],7,FALSE),"0")</f>
        <v>0</v>
      </c>
      <c r="I80" s="65">
        <f>IFERROR(VLOOKUP(Table1215[[#This Row],[Column2]],Table12[[Column2]:[Column54]],8,FALSE),"0")</f>
        <v>3</v>
      </c>
      <c r="J80" s="65">
        <f>IFERROR(VLOOKUP(Table1215[[#This Row],[Column2]],Table12[[Column2]:[Column54]],9,FALSE),"0")</f>
        <v>0</v>
      </c>
      <c r="K80" s="65">
        <f>IFERROR(VLOOKUP(Table1215[[#This Row],[Column2]],Table12[[Column2]:[Column54]],10,FALSE),"0")</f>
        <v>0</v>
      </c>
      <c r="L80" s="67">
        <f>Table1215[[#This Row],[Column9]]</f>
        <v>3</v>
      </c>
      <c r="M80" s="65">
        <f>IFERROR(VLOOKUP(Table1215[[#This Row],[Column2]],Table12[[Column2]:[Column54]],12,FALSE),"0")</f>
        <v>0</v>
      </c>
      <c r="N80" s="65">
        <f>IFERROR(VLOOKUP(Table1215[[#This Row],[Column2]],Table12[[Column2]:[Column54]],13,FALSE),"0")</f>
        <v>2</v>
      </c>
      <c r="O80" s="65">
        <f>IFERROR(VLOOKUP(Table1215[[#This Row],[Column2]],Table12[[Column2]:[Column54]],14,FALSE),"0")</f>
        <v>3</v>
      </c>
      <c r="P80" s="65">
        <f>IFERROR(VLOOKUP(Table1215[[#This Row],[Column2]],Table12[[Column2]:[Column54]],10,FALSE),"0")</f>
        <v>0</v>
      </c>
      <c r="Q80" s="65">
        <f>IFERROR(VLOOKUP(Table1215[[#This Row],[Column2]],Table12[[Column2]:[Column54]],16,FALSE),"0")</f>
        <v>3</v>
      </c>
      <c r="R80" s="67">
        <f>AVERAGE(Table1215[[#This Row],[Column14]],Table1215[[#This Row],[Column15]],Table1215[[#This Row],[Column17]])</f>
        <v>2.6666666666666665</v>
      </c>
      <c r="S80" s="65">
        <f>IFERROR(VLOOKUP(Table1215[[#This Row],[Column2]],Table12[[Column2]:[Column54]],18,FALSE),"0")</f>
        <v>0</v>
      </c>
      <c r="T80" s="65">
        <f>IFERROR(VLOOKUP(Table1215[[#This Row],[Column2]],Table12[[Column2]:[Column54]],19,FALSE),"0")</f>
        <v>0</v>
      </c>
      <c r="U80" s="65">
        <f>IFERROR(VLOOKUP(Table1215[[#This Row],[Column2]],Table12[[Column2]:[Column54]],20,FALSE),"0")</f>
        <v>0</v>
      </c>
      <c r="V80" s="65">
        <f>IFERROR(VLOOKUP(Table1215[[#This Row],[Column2]],Table12[[Column2]:[Column54]],21,FALSE),"0")</f>
        <v>0</v>
      </c>
      <c r="W80" s="65">
        <f>IFERROR(VLOOKUP(Table1215[[#This Row],[Column2]],Table12[[Column2]:[Column54]],22,FALSE),"0")</f>
        <v>0</v>
      </c>
      <c r="X80" s="67">
        <f>Table1215[[#This Row],[Column19]]</f>
        <v>0</v>
      </c>
      <c r="Y80" s="65">
        <f>IFERROR(VLOOKUP(Table1215[[#This Row],[Column2]],Table12[[Column2]:[Column54]],24,FALSE),"0")</f>
        <v>3</v>
      </c>
      <c r="Z80" s="65">
        <f>IFERROR(VLOOKUP(Table1215[[#This Row],[Column2]],Table12[[Column2]:[Column54]],25,FALSE),"0")</f>
        <v>0</v>
      </c>
      <c r="AA80" s="65">
        <f>IFERROR(VLOOKUP(Table1215[[#This Row],[Column2]],Table12[[Column2]:[Column54]],26,FALSE),"0")</f>
        <v>0</v>
      </c>
      <c r="AB80" s="65">
        <f>IFERROR(VLOOKUP(Table1215[[#This Row],[Column2]],Table12[[Column2]:[Column54]],27,FALSE),"0")</f>
        <v>0</v>
      </c>
      <c r="AC80" s="65">
        <f>IFERROR(VLOOKUP(Table1215[[#This Row],[Column2]],Table12[[Column2]:[Column54]],28,FALSE),"0")</f>
        <v>0</v>
      </c>
      <c r="AD80" s="67">
        <f>Table1215[[#This Row],[Column25]]</f>
        <v>3</v>
      </c>
      <c r="AE80" s="65">
        <f>IFERROR(VLOOKUP(Table1215[[#This Row],[Column2]],Table12[[Column2]:[Column54]],30,FALSE),"0")</f>
        <v>0</v>
      </c>
      <c r="AF80" s="65">
        <f>IFERROR(VLOOKUP(Table1215[[#This Row],[Column2]],Table12[[Column2]:[Column54]],31,FALSE),"0")</f>
        <v>0</v>
      </c>
      <c r="AG80" s="65">
        <f>IFERROR(VLOOKUP(Table1215[[#This Row],[Column2]],Table12[[Column2]:[Column54]],32,FALSE),"0")</f>
        <v>0</v>
      </c>
      <c r="AH80" s="65">
        <f>IFERROR(VLOOKUP(Table1215[[#This Row],[Column2]],Table12[[Column2]:[Column54]],33,FALSE),"0")</f>
        <v>0</v>
      </c>
      <c r="AI80" s="65">
        <f>IFERROR(VLOOKUP(Table1215[[#This Row],[Column2]],Table12[[Column2]:[Column54]],34,FALSE),"0")</f>
        <v>0</v>
      </c>
      <c r="AJ80" s="67">
        <f>AVERAGE(Table1215[[#This Row],[Column31]],Table1215[[#This Row],[Column32]],Table1215[[#This Row],[Column33]])</f>
        <v>0</v>
      </c>
      <c r="AK80" s="65">
        <f>IFERROR(VLOOKUP(Table1215[[#This Row],[Column2]],Table12[[Column2]:[Column54]],36,FALSE),"0")</f>
        <v>2</v>
      </c>
      <c r="AL80" s="65">
        <f>IFERROR(VLOOKUP(Table1215[[#This Row],[Column2]],Table12[[Column2]:[Column54]],37,FALSE),"0")</f>
        <v>3</v>
      </c>
      <c r="AM80" s="65">
        <f>IFERROR(VLOOKUP(Table1215[[#This Row],[Column2]],Table12[[Column2]:[Column54]],38,FALSE),"0")</f>
        <v>0</v>
      </c>
      <c r="AN80" s="65">
        <f>IFERROR(VLOOKUP(Table1215[[#This Row],[Column2]],Table12[[Column2]:[Column54]],39,FALSE),"0")</f>
        <v>3</v>
      </c>
      <c r="AO80" s="65">
        <f>IFERROR(VLOOKUP(Table1215[[#This Row],[Column2]],Table12[[Column2]:[Column54]],40,FALSE),"0")</f>
        <v>0</v>
      </c>
      <c r="AP80" s="67">
        <f>AVERAGE(Table1215[[#This Row],[Column37]],Table1215[[#This Row],[Column38]],Table1215[[#This Row],[Column40]])</f>
        <v>2.6666666666666665</v>
      </c>
      <c r="AQ80" s="65">
        <f>IFERROR(VLOOKUP(Table1215[[#This Row],[Column2]],Table12[[Column2]:[Column54]],42,FALSE),"0")</f>
        <v>3</v>
      </c>
      <c r="AR80" s="65">
        <f>IFERROR(VLOOKUP(Table1215[[#This Row],[Column2]],Table12[[Column2]:[Column54]],43,FALSE),"0")</f>
        <v>0</v>
      </c>
      <c r="AS80" s="65">
        <f>IFERROR(VLOOKUP(Table1215[[#This Row],[Column2]],Table12[[Column2]:[Column54]],44,FALSE),"0")</f>
        <v>0</v>
      </c>
      <c r="AT80" s="65">
        <f>IFERROR(VLOOKUP(Table1215[[#This Row],[Column2]],Table12[[Column2]:[Column54]],45,FALSE),"0")</f>
        <v>0</v>
      </c>
      <c r="AU80" s="65">
        <f>IFERROR(VLOOKUP(Table1215[[#This Row],[Column2]],Table12[[Column2]:[Column54]],46,FALSE),"0")</f>
        <v>0</v>
      </c>
      <c r="AV80" s="67">
        <f>Table1215[[#This Row],[Column43]]</f>
        <v>3</v>
      </c>
      <c r="AW80" s="65">
        <f>IFERROR(VLOOKUP(Table1215[[#This Row],[Column2]],Table12[[Column2]:[Column54]],48,FALSE),"0")</f>
        <v>0</v>
      </c>
      <c r="AX80" s="65">
        <f>IFERROR(VLOOKUP(Table1215[[#This Row],[Column2]],Table12[[Column2]:[Column54]],49,FALSE),"0")</f>
        <v>0</v>
      </c>
      <c r="AY80" s="65">
        <f>IFERROR(VLOOKUP(Table1215[[#This Row],[Column2]],Table12[[Column2]:[Column54]],50,FALSE),"0")</f>
        <v>0</v>
      </c>
      <c r="AZ80" s="65">
        <f>IFERROR(VLOOKUP(Table1215[[#This Row],[Column2]],Table12[[Column2]:[Column54]],51,FALSE),"0")</f>
        <v>3</v>
      </c>
      <c r="BA80" s="65">
        <f>IFERROR(VLOOKUP(Table1215[[#This Row],[Column2]],Table12[[Column2]:[Column54]],52,FALSE),"0")</f>
        <v>3</v>
      </c>
      <c r="BB80" s="67">
        <f>AVERAGE(Table1215[[#This Row],[Column52]],Table1215[[#This Row],[Column53]])</f>
        <v>3</v>
      </c>
    </row>
    <row r="81" spans="1:54" ht="23.1" customHeight="1" x14ac:dyDescent="0.3">
      <c r="A81" s="87">
        <v>78</v>
      </c>
      <c r="B81" s="70" t="s">
        <v>330</v>
      </c>
      <c r="C81" s="71" t="s">
        <v>331</v>
      </c>
      <c r="D81" s="70" t="s">
        <v>450</v>
      </c>
      <c r="E81" s="70" t="s">
        <v>493</v>
      </c>
      <c r="F81" s="70" t="str">
        <f>REPT(CHAR(160),10)&amp;Working!$E82</f>
        <v>          C</v>
      </c>
      <c r="G81" s="61">
        <f>IFERROR(VLOOKUP(Table1215[[#This Row],[Column2]],Table12[[Column2]:[Column54]],6,FALSE),"0")</f>
        <v>0</v>
      </c>
      <c r="H81" s="61">
        <f>IFERROR(VLOOKUP(Table1215[[#This Row],[Column2]],Table12[[Column2]:[Column54]],7,FALSE),"0")</f>
        <v>0</v>
      </c>
      <c r="I81" s="61">
        <f>IFERROR(VLOOKUP(Table1215[[#This Row],[Column2]],Table12[[Column2]:[Column54]],8,FALSE),"0")</f>
        <v>2</v>
      </c>
      <c r="J81" s="61">
        <f>IFERROR(VLOOKUP(Table1215[[#This Row],[Column2]],Table12[[Column2]:[Column54]],9,FALSE),"0")</f>
        <v>0</v>
      </c>
      <c r="K81" s="61">
        <f>IFERROR(VLOOKUP(Table1215[[#This Row],[Column2]],Table12[[Column2]:[Column54]],10,FALSE),"0")</f>
        <v>0</v>
      </c>
      <c r="L81" s="67">
        <f>Table1215[[#This Row],[Column9]]</f>
        <v>2</v>
      </c>
      <c r="M81" s="61">
        <f>IFERROR(VLOOKUP(Table1215[[#This Row],[Column2]],Table12[[Column2]:[Column54]],12,FALSE),"0")</f>
        <v>0</v>
      </c>
      <c r="N81" s="61">
        <f>IFERROR(VLOOKUP(Table1215[[#This Row],[Column2]],Table12[[Column2]:[Column54]],13,FALSE),"0")</f>
        <v>2</v>
      </c>
      <c r="O81" s="61">
        <f>IFERROR(VLOOKUP(Table1215[[#This Row],[Column2]],Table12[[Column2]:[Column54]],14,FALSE),"0")</f>
        <v>2</v>
      </c>
      <c r="P81" s="61">
        <f>IFERROR(VLOOKUP(Table1215[[#This Row],[Column2]],Table12[[Column2]:[Column54]],10,FALSE),"0")</f>
        <v>0</v>
      </c>
      <c r="Q81" s="61">
        <f>IFERROR(VLOOKUP(Table1215[[#This Row],[Column2]],Table12[[Column2]:[Column54]],16,FALSE),"0")</f>
        <v>2</v>
      </c>
      <c r="R81" s="67">
        <f>AVERAGE(Table1215[[#This Row],[Column14]],Table1215[[#This Row],[Column15]],Table1215[[#This Row],[Column17]])</f>
        <v>2</v>
      </c>
      <c r="S81" s="61">
        <f>IFERROR(VLOOKUP(Table1215[[#This Row],[Column2]],Table12[[Column2]:[Column54]],18,FALSE),"0")</f>
        <v>0</v>
      </c>
      <c r="T81" s="61">
        <f>IFERROR(VLOOKUP(Table1215[[#This Row],[Column2]],Table12[[Column2]:[Column54]],19,FALSE),"0")</f>
        <v>0</v>
      </c>
      <c r="U81" s="61">
        <f>IFERROR(VLOOKUP(Table1215[[#This Row],[Column2]],Table12[[Column2]:[Column54]],20,FALSE),"0")</f>
        <v>0</v>
      </c>
      <c r="V81" s="61">
        <f>IFERROR(VLOOKUP(Table1215[[#This Row],[Column2]],Table12[[Column2]:[Column54]],21,FALSE),"0")</f>
        <v>0</v>
      </c>
      <c r="W81" s="61">
        <f>IFERROR(VLOOKUP(Table1215[[#This Row],[Column2]],Table12[[Column2]:[Column54]],22,FALSE),"0")</f>
        <v>0</v>
      </c>
      <c r="X81" s="67">
        <f>Table1215[[#This Row],[Column19]]</f>
        <v>0</v>
      </c>
      <c r="Y81" s="61">
        <f>IFERROR(VLOOKUP(Table1215[[#This Row],[Column2]],Table12[[Column2]:[Column54]],24,FALSE),"0")</f>
        <v>2</v>
      </c>
      <c r="Z81" s="61">
        <f>IFERROR(VLOOKUP(Table1215[[#This Row],[Column2]],Table12[[Column2]:[Column54]],25,FALSE),"0")</f>
        <v>0</v>
      </c>
      <c r="AA81" s="61">
        <f>IFERROR(VLOOKUP(Table1215[[#This Row],[Column2]],Table12[[Column2]:[Column54]],26,FALSE),"0")</f>
        <v>0</v>
      </c>
      <c r="AB81" s="61">
        <f>IFERROR(VLOOKUP(Table1215[[#This Row],[Column2]],Table12[[Column2]:[Column54]],27,FALSE),"0")</f>
        <v>0</v>
      </c>
      <c r="AC81" s="61">
        <f>IFERROR(VLOOKUP(Table1215[[#This Row],[Column2]],Table12[[Column2]:[Column54]],28,FALSE),"0")</f>
        <v>0</v>
      </c>
      <c r="AD81" s="67">
        <f>Table1215[[#This Row],[Column25]]</f>
        <v>2</v>
      </c>
      <c r="AE81" s="61">
        <f>IFERROR(VLOOKUP(Table1215[[#This Row],[Column2]],Table12[[Column2]:[Column54]],30,FALSE),"0")</f>
        <v>0</v>
      </c>
      <c r="AF81" s="61">
        <f>IFERROR(VLOOKUP(Table1215[[#This Row],[Column2]],Table12[[Column2]:[Column54]],31,FALSE),"0")</f>
        <v>0</v>
      </c>
      <c r="AG81" s="61">
        <f>IFERROR(VLOOKUP(Table1215[[#This Row],[Column2]],Table12[[Column2]:[Column54]],32,FALSE),"0")</f>
        <v>0</v>
      </c>
      <c r="AH81" s="61">
        <f>IFERROR(VLOOKUP(Table1215[[#This Row],[Column2]],Table12[[Column2]:[Column54]],33,FALSE),"0")</f>
        <v>0</v>
      </c>
      <c r="AI81" s="61">
        <f>IFERROR(VLOOKUP(Table1215[[#This Row],[Column2]],Table12[[Column2]:[Column54]],34,FALSE),"0")</f>
        <v>0</v>
      </c>
      <c r="AJ81" s="67">
        <f>AVERAGE(Table1215[[#This Row],[Column31]],Table1215[[#This Row],[Column32]],Table1215[[#This Row],[Column33]])</f>
        <v>0</v>
      </c>
      <c r="AK81" s="61">
        <f>IFERROR(VLOOKUP(Table1215[[#This Row],[Column2]],Table12[[Column2]:[Column54]],36,FALSE),"0")</f>
        <v>2</v>
      </c>
      <c r="AL81" s="61">
        <f>IFERROR(VLOOKUP(Table1215[[#This Row],[Column2]],Table12[[Column2]:[Column54]],37,FALSE),"0")</f>
        <v>3</v>
      </c>
      <c r="AM81" s="61">
        <f>IFERROR(VLOOKUP(Table1215[[#This Row],[Column2]],Table12[[Column2]:[Column54]],38,FALSE),"0")</f>
        <v>0</v>
      </c>
      <c r="AN81" s="61">
        <f>IFERROR(VLOOKUP(Table1215[[#This Row],[Column2]],Table12[[Column2]:[Column54]],39,FALSE),"0")</f>
        <v>3</v>
      </c>
      <c r="AO81" s="61">
        <f>IFERROR(VLOOKUP(Table1215[[#This Row],[Column2]],Table12[[Column2]:[Column54]],40,FALSE),"0")</f>
        <v>0</v>
      </c>
      <c r="AP81" s="67">
        <f>AVERAGE(Table1215[[#This Row],[Column37]],Table1215[[#This Row],[Column38]],Table1215[[#This Row],[Column40]])</f>
        <v>2.6666666666666665</v>
      </c>
      <c r="AQ81" s="61">
        <f>IFERROR(VLOOKUP(Table1215[[#This Row],[Column2]],Table12[[Column2]:[Column54]],42,FALSE),"0")</f>
        <v>3</v>
      </c>
      <c r="AR81" s="61">
        <f>IFERROR(VLOOKUP(Table1215[[#This Row],[Column2]],Table12[[Column2]:[Column54]],43,FALSE),"0")</f>
        <v>0</v>
      </c>
      <c r="AS81" s="61">
        <f>IFERROR(VLOOKUP(Table1215[[#This Row],[Column2]],Table12[[Column2]:[Column54]],44,FALSE),"0")</f>
        <v>0</v>
      </c>
      <c r="AT81" s="61">
        <f>IFERROR(VLOOKUP(Table1215[[#This Row],[Column2]],Table12[[Column2]:[Column54]],45,FALSE),"0")</f>
        <v>0</v>
      </c>
      <c r="AU81" s="61">
        <f>IFERROR(VLOOKUP(Table1215[[#This Row],[Column2]],Table12[[Column2]:[Column54]],46,FALSE),"0")</f>
        <v>0</v>
      </c>
      <c r="AV81" s="67">
        <f>Table1215[[#This Row],[Column43]]</f>
        <v>3</v>
      </c>
      <c r="AW81" s="61">
        <f>IFERROR(VLOOKUP(Table1215[[#This Row],[Column2]],Table12[[Column2]:[Column54]],48,FALSE),"0")</f>
        <v>0</v>
      </c>
      <c r="AX81" s="61">
        <f>IFERROR(VLOOKUP(Table1215[[#This Row],[Column2]],Table12[[Column2]:[Column54]],49,FALSE),"0")</f>
        <v>0</v>
      </c>
      <c r="AY81" s="61">
        <f>IFERROR(VLOOKUP(Table1215[[#This Row],[Column2]],Table12[[Column2]:[Column54]],50,FALSE),"0")</f>
        <v>0</v>
      </c>
      <c r="AZ81" s="61">
        <f>IFERROR(VLOOKUP(Table1215[[#This Row],[Column2]],Table12[[Column2]:[Column54]],51,FALSE),"0")</f>
        <v>3</v>
      </c>
      <c r="BA81" s="61">
        <f>IFERROR(VLOOKUP(Table1215[[#This Row],[Column2]],Table12[[Column2]:[Column54]],52,FALSE),"0")</f>
        <v>2</v>
      </c>
      <c r="BB81" s="67">
        <f>AVERAGE(Table1215[[#This Row],[Column52]],Table1215[[#This Row],[Column53]])</f>
        <v>2.5</v>
      </c>
    </row>
    <row r="82" spans="1:54" ht="23.1" customHeight="1" x14ac:dyDescent="0.3">
      <c r="A82" s="86">
        <v>79</v>
      </c>
      <c r="B82" s="63" t="s">
        <v>199</v>
      </c>
      <c r="C82" s="64" t="s">
        <v>200</v>
      </c>
      <c r="D82" s="63" t="s">
        <v>450</v>
      </c>
      <c r="E82" s="63" t="s">
        <v>161</v>
      </c>
      <c r="F82" s="63" t="str">
        <f>REPT(CHAR(160),10)&amp;Working!$E83</f>
        <v>          B</v>
      </c>
      <c r="G82" s="65">
        <f>IFERROR(VLOOKUP(Table1215[[#This Row],[Column2]],Table12[[Column2]:[Column54]],6,FALSE),"0")</f>
        <v>0</v>
      </c>
      <c r="H82" s="65">
        <f>IFERROR(VLOOKUP(Table1215[[#This Row],[Column2]],Table12[[Column2]:[Column54]],7,FALSE),"0")</f>
        <v>0</v>
      </c>
      <c r="I82" s="65">
        <f>IFERROR(VLOOKUP(Table1215[[#This Row],[Column2]],Table12[[Column2]:[Column54]],8,FALSE),"0")</f>
        <v>3</v>
      </c>
      <c r="J82" s="65">
        <f>IFERROR(VLOOKUP(Table1215[[#This Row],[Column2]],Table12[[Column2]:[Column54]],9,FALSE),"0")</f>
        <v>0</v>
      </c>
      <c r="K82" s="65">
        <f>IFERROR(VLOOKUP(Table1215[[#This Row],[Column2]],Table12[[Column2]:[Column54]],10,FALSE),"0")</f>
        <v>0</v>
      </c>
      <c r="L82" s="67">
        <f>Table1215[[#This Row],[Column9]]</f>
        <v>3</v>
      </c>
      <c r="M82" s="65">
        <f>IFERROR(VLOOKUP(Table1215[[#This Row],[Column2]],Table12[[Column2]:[Column54]],12,FALSE),"0")</f>
        <v>0</v>
      </c>
      <c r="N82" s="65">
        <f>IFERROR(VLOOKUP(Table1215[[#This Row],[Column2]],Table12[[Column2]:[Column54]],13,FALSE),"0")</f>
        <v>2</v>
      </c>
      <c r="O82" s="65">
        <f>IFERROR(VLOOKUP(Table1215[[#This Row],[Column2]],Table12[[Column2]:[Column54]],14,FALSE),"0")</f>
        <v>2</v>
      </c>
      <c r="P82" s="65">
        <f>IFERROR(VLOOKUP(Table1215[[#This Row],[Column2]],Table12[[Column2]:[Column54]],10,FALSE),"0")</f>
        <v>0</v>
      </c>
      <c r="Q82" s="65">
        <f>IFERROR(VLOOKUP(Table1215[[#This Row],[Column2]],Table12[[Column2]:[Column54]],16,FALSE),"0")</f>
        <v>2</v>
      </c>
      <c r="R82" s="67">
        <f>AVERAGE(Table1215[[#This Row],[Column14]],Table1215[[#This Row],[Column15]],Table1215[[#This Row],[Column17]])</f>
        <v>2</v>
      </c>
      <c r="S82" s="65">
        <f>IFERROR(VLOOKUP(Table1215[[#This Row],[Column2]],Table12[[Column2]:[Column54]],18,FALSE),"0")</f>
        <v>0</v>
      </c>
      <c r="T82" s="65">
        <f>IFERROR(VLOOKUP(Table1215[[#This Row],[Column2]],Table12[[Column2]:[Column54]],19,FALSE),"0")</f>
        <v>0</v>
      </c>
      <c r="U82" s="65">
        <f>IFERROR(VLOOKUP(Table1215[[#This Row],[Column2]],Table12[[Column2]:[Column54]],20,FALSE),"0")</f>
        <v>0</v>
      </c>
      <c r="V82" s="65">
        <f>IFERROR(VLOOKUP(Table1215[[#This Row],[Column2]],Table12[[Column2]:[Column54]],21,FALSE),"0")</f>
        <v>0</v>
      </c>
      <c r="W82" s="65">
        <f>IFERROR(VLOOKUP(Table1215[[#This Row],[Column2]],Table12[[Column2]:[Column54]],22,FALSE),"0")</f>
        <v>0</v>
      </c>
      <c r="X82" s="67">
        <f>Table1215[[#This Row],[Column19]]</f>
        <v>0</v>
      </c>
      <c r="Y82" s="65">
        <f>IFERROR(VLOOKUP(Table1215[[#This Row],[Column2]],Table12[[Column2]:[Column54]],24,FALSE),"0")</f>
        <v>3</v>
      </c>
      <c r="Z82" s="65">
        <f>IFERROR(VLOOKUP(Table1215[[#This Row],[Column2]],Table12[[Column2]:[Column54]],25,FALSE),"0")</f>
        <v>0</v>
      </c>
      <c r="AA82" s="65">
        <f>IFERROR(VLOOKUP(Table1215[[#This Row],[Column2]],Table12[[Column2]:[Column54]],26,FALSE),"0")</f>
        <v>0</v>
      </c>
      <c r="AB82" s="65">
        <f>IFERROR(VLOOKUP(Table1215[[#This Row],[Column2]],Table12[[Column2]:[Column54]],27,FALSE),"0")</f>
        <v>0</v>
      </c>
      <c r="AC82" s="65">
        <f>IFERROR(VLOOKUP(Table1215[[#This Row],[Column2]],Table12[[Column2]:[Column54]],28,FALSE),"0")</f>
        <v>0</v>
      </c>
      <c r="AD82" s="67">
        <f>Table1215[[#This Row],[Column25]]</f>
        <v>3</v>
      </c>
      <c r="AE82" s="65">
        <f>IFERROR(VLOOKUP(Table1215[[#This Row],[Column2]],Table12[[Column2]:[Column54]],30,FALSE),"0")</f>
        <v>0</v>
      </c>
      <c r="AF82" s="65">
        <f>IFERROR(VLOOKUP(Table1215[[#This Row],[Column2]],Table12[[Column2]:[Column54]],31,FALSE),"0")</f>
        <v>0</v>
      </c>
      <c r="AG82" s="65">
        <f>IFERROR(VLOOKUP(Table1215[[#This Row],[Column2]],Table12[[Column2]:[Column54]],32,FALSE),"0")</f>
        <v>0</v>
      </c>
      <c r="AH82" s="65">
        <f>IFERROR(VLOOKUP(Table1215[[#This Row],[Column2]],Table12[[Column2]:[Column54]],33,FALSE),"0")</f>
        <v>0</v>
      </c>
      <c r="AI82" s="65">
        <f>IFERROR(VLOOKUP(Table1215[[#This Row],[Column2]],Table12[[Column2]:[Column54]],34,FALSE),"0")</f>
        <v>0</v>
      </c>
      <c r="AJ82" s="67">
        <f>AVERAGE(Table1215[[#This Row],[Column31]],Table1215[[#This Row],[Column32]],Table1215[[#This Row],[Column33]])</f>
        <v>0</v>
      </c>
      <c r="AK82" s="65">
        <f>IFERROR(VLOOKUP(Table1215[[#This Row],[Column2]],Table12[[Column2]:[Column54]],36,FALSE),"0")</f>
        <v>3</v>
      </c>
      <c r="AL82" s="65">
        <f>IFERROR(VLOOKUP(Table1215[[#This Row],[Column2]],Table12[[Column2]:[Column54]],37,FALSE),"0")</f>
        <v>3</v>
      </c>
      <c r="AM82" s="65">
        <f>IFERROR(VLOOKUP(Table1215[[#This Row],[Column2]],Table12[[Column2]:[Column54]],38,FALSE),"0")</f>
        <v>0</v>
      </c>
      <c r="AN82" s="65">
        <f>IFERROR(VLOOKUP(Table1215[[#This Row],[Column2]],Table12[[Column2]:[Column54]],39,FALSE),"0")</f>
        <v>3</v>
      </c>
      <c r="AO82" s="65">
        <f>IFERROR(VLOOKUP(Table1215[[#This Row],[Column2]],Table12[[Column2]:[Column54]],40,FALSE),"0")</f>
        <v>0</v>
      </c>
      <c r="AP82" s="67">
        <f>AVERAGE(Table1215[[#This Row],[Column37]],Table1215[[#This Row],[Column38]],Table1215[[#This Row],[Column40]])</f>
        <v>3</v>
      </c>
      <c r="AQ82" s="65">
        <f>IFERROR(VLOOKUP(Table1215[[#This Row],[Column2]],Table12[[Column2]:[Column54]],42,FALSE),"0")</f>
        <v>3</v>
      </c>
      <c r="AR82" s="65">
        <f>IFERROR(VLOOKUP(Table1215[[#This Row],[Column2]],Table12[[Column2]:[Column54]],43,FALSE),"0")</f>
        <v>0</v>
      </c>
      <c r="AS82" s="65">
        <f>IFERROR(VLOOKUP(Table1215[[#This Row],[Column2]],Table12[[Column2]:[Column54]],44,FALSE),"0")</f>
        <v>0</v>
      </c>
      <c r="AT82" s="65">
        <f>IFERROR(VLOOKUP(Table1215[[#This Row],[Column2]],Table12[[Column2]:[Column54]],45,FALSE),"0")</f>
        <v>0</v>
      </c>
      <c r="AU82" s="65">
        <f>IFERROR(VLOOKUP(Table1215[[#This Row],[Column2]],Table12[[Column2]:[Column54]],46,FALSE),"0")</f>
        <v>0</v>
      </c>
      <c r="AV82" s="67">
        <f>Table1215[[#This Row],[Column43]]</f>
        <v>3</v>
      </c>
      <c r="AW82" s="65">
        <f>IFERROR(VLOOKUP(Table1215[[#This Row],[Column2]],Table12[[Column2]:[Column54]],48,FALSE),"0")</f>
        <v>0</v>
      </c>
      <c r="AX82" s="65">
        <f>IFERROR(VLOOKUP(Table1215[[#This Row],[Column2]],Table12[[Column2]:[Column54]],49,FALSE),"0")</f>
        <v>0</v>
      </c>
      <c r="AY82" s="65">
        <f>IFERROR(VLOOKUP(Table1215[[#This Row],[Column2]],Table12[[Column2]:[Column54]],50,FALSE),"0")</f>
        <v>0</v>
      </c>
      <c r="AZ82" s="65">
        <f>IFERROR(VLOOKUP(Table1215[[#This Row],[Column2]],Table12[[Column2]:[Column54]],51,FALSE),"0")</f>
        <v>3</v>
      </c>
      <c r="BA82" s="65">
        <f>IFERROR(VLOOKUP(Table1215[[#This Row],[Column2]],Table12[[Column2]:[Column54]],52,FALSE),"0")</f>
        <v>3</v>
      </c>
      <c r="BB82" s="67">
        <f>AVERAGE(Table1215[[#This Row],[Column52]],Table1215[[#This Row],[Column53]])</f>
        <v>3</v>
      </c>
    </row>
    <row r="83" spans="1:54" ht="23.1" customHeight="1" x14ac:dyDescent="0.3">
      <c r="A83" s="87">
        <v>80</v>
      </c>
      <c r="B83" s="70" t="s">
        <v>332</v>
      </c>
      <c r="C83" s="71" t="s">
        <v>333</v>
      </c>
      <c r="D83" s="70" t="s">
        <v>450</v>
      </c>
      <c r="E83" s="70" t="s">
        <v>493</v>
      </c>
      <c r="F83" s="70" t="str">
        <f>REPT(CHAR(160),10)&amp;Working!$E84</f>
        <v>          C</v>
      </c>
      <c r="G83" s="61">
        <f>IFERROR(VLOOKUP(Table1215[[#This Row],[Column2]],Table12[[Column2]:[Column54]],6,FALSE),"0")</f>
        <v>0</v>
      </c>
      <c r="H83" s="61">
        <f>IFERROR(VLOOKUP(Table1215[[#This Row],[Column2]],Table12[[Column2]:[Column54]],7,FALSE),"0")</f>
        <v>0</v>
      </c>
      <c r="I83" s="61">
        <f>IFERROR(VLOOKUP(Table1215[[#This Row],[Column2]],Table12[[Column2]:[Column54]],8,FALSE),"0")</f>
        <v>2</v>
      </c>
      <c r="J83" s="61">
        <f>IFERROR(VLOOKUP(Table1215[[#This Row],[Column2]],Table12[[Column2]:[Column54]],9,FALSE),"0")</f>
        <v>0</v>
      </c>
      <c r="K83" s="61">
        <f>IFERROR(VLOOKUP(Table1215[[#This Row],[Column2]],Table12[[Column2]:[Column54]],10,FALSE),"0")</f>
        <v>0</v>
      </c>
      <c r="L83" s="67">
        <f>Table1215[[#This Row],[Column9]]</f>
        <v>2</v>
      </c>
      <c r="M83" s="61">
        <f>IFERROR(VLOOKUP(Table1215[[#This Row],[Column2]],Table12[[Column2]:[Column54]],12,FALSE),"0")</f>
        <v>0</v>
      </c>
      <c r="N83" s="61">
        <f>IFERROR(VLOOKUP(Table1215[[#This Row],[Column2]],Table12[[Column2]:[Column54]],13,FALSE),"0")</f>
        <v>2</v>
      </c>
      <c r="O83" s="61">
        <f>IFERROR(VLOOKUP(Table1215[[#This Row],[Column2]],Table12[[Column2]:[Column54]],14,FALSE),"0")</f>
        <v>2</v>
      </c>
      <c r="P83" s="61">
        <f>IFERROR(VLOOKUP(Table1215[[#This Row],[Column2]],Table12[[Column2]:[Column54]],10,FALSE),"0")</f>
        <v>0</v>
      </c>
      <c r="Q83" s="61">
        <f>IFERROR(VLOOKUP(Table1215[[#This Row],[Column2]],Table12[[Column2]:[Column54]],16,FALSE),"0")</f>
        <v>2</v>
      </c>
      <c r="R83" s="67">
        <f>AVERAGE(Table1215[[#This Row],[Column14]],Table1215[[#This Row],[Column15]],Table1215[[#This Row],[Column17]])</f>
        <v>2</v>
      </c>
      <c r="S83" s="61">
        <f>IFERROR(VLOOKUP(Table1215[[#This Row],[Column2]],Table12[[Column2]:[Column54]],18,FALSE),"0")</f>
        <v>0</v>
      </c>
      <c r="T83" s="61">
        <f>IFERROR(VLOOKUP(Table1215[[#This Row],[Column2]],Table12[[Column2]:[Column54]],19,FALSE),"0")</f>
        <v>0</v>
      </c>
      <c r="U83" s="61">
        <f>IFERROR(VLOOKUP(Table1215[[#This Row],[Column2]],Table12[[Column2]:[Column54]],20,FALSE),"0")</f>
        <v>0</v>
      </c>
      <c r="V83" s="61">
        <f>IFERROR(VLOOKUP(Table1215[[#This Row],[Column2]],Table12[[Column2]:[Column54]],21,FALSE),"0")</f>
        <v>0</v>
      </c>
      <c r="W83" s="61">
        <f>IFERROR(VLOOKUP(Table1215[[#This Row],[Column2]],Table12[[Column2]:[Column54]],22,FALSE),"0")</f>
        <v>0</v>
      </c>
      <c r="X83" s="67">
        <f>Table1215[[#This Row],[Column19]]</f>
        <v>0</v>
      </c>
      <c r="Y83" s="61">
        <f>IFERROR(VLOOKUP(Table1215[[#This Row],[Column2]],Table12[[Column2]:[Column54]],24,FALSE),"0")</f>
        <v>2</v>
      </c>
      <c r="Z83" s="61">
        <f>IFERROR(VLOOKUP(Table1215[[#This Row],[Column2]],Table12[[Column2]:[Column54]],25,FALSE),"0")</f>
        <v>0</v>
      </c>
      <c r="AA83" s="61">
        <f>IFERROR(VLOOKUP(Table1215[[#This Row],[Column2]],Table12[[Column2]:[Column54]],26,FALSE),"0")</f>
        <v>0</v>
      </c>
      <c r="AB83" s="61">
        <f>IFERROR(VLOOKUP(Table1215[[#This Row],[Column2]],Table12[[Column2]:[Column54]],27,FALSE),"0")</f>
        <v>0</v>
      </c>
      <c r="AC83" s="61">
        <f>IFERROR(VLOOKUP(Table1215[[#This Row],[Column2]],Table12[[Column2]:[Column54]],28,FALSE),"0")</f>
        <v>0</v>
      </c>
      <c r="AD83" s="67">
        <f>Table1215[[#This Row],[Column25]]</f>
        <v>2</v>
      </c>
      <c r="AE83" s="61">
        <f>IFERROR(VLOOKUP(Table1215[[#This Row],[Column2]],Table12[[Column2]:[Column54]],30,FALSE),"0")</f>
        <v>0</v>
      </c>
      <c r="AF83" s="61">
        <f>IFERROR(VLOOKUP(Table1215[[#This Row],[Column2]],Table12[[Column2]:[Column54]],31,FALSE),"0")</f>
        <v>0</v>
      </c>
      <c r="AG83" s="61">
        <f>IFERROR(VLOOKUP(Table1215[[#This Row],[Column2]],Table12[[Column2]:[Column54]],32,FALSE),"0")</f>
        <v>0</v>
      </c>
      <c r="AH83" s="61">
        <f>IFERROR(VLOOKUP(Table1215[[#This Row],[Column2]],Table12[[Column2]:[Column54]],33,FALSE),"0")</f>
        <v>0</v>
      </c>
      <c r="AI83" s="61">
        <f>IFERROR(VLOOKUP(Table1215[[#This Row],[Column2]],Table12[[Column2]:[Column54]],34,FALSE),"0")</f>
        <v>0</v>
      </c>
      <c r="AJ83" s="67">
        <f>AVERAGE(Table1215[[#This Row],[Column31]],Table1215[[#This Row],[Column32]],Table1215[[#This Row],[Column33]])</f>
        <v>0</v>
      </c>
      <c r="AK83" s="61">
        <f>IFERROR(VLOOKUP(Table1215[[#This Row],[Column2]],Table12[[Column2]:[Column54]],36,FALSE),"0")</f>
        <v>2</v>
      </c>
      <c r="AL83" s="61">
        <f>IFERROR(VLOOKUP(Table1215[[#This Row],[Column2]],Table12[[Column2]:[Column54]],37,FALSE),"0")</f>
        <v>3</v>
      </c>
      <c r="AM83" s="61">
        <f>IFERROR(VLOOKUP(Table1215[[#This Row],[Column2]],Table12[[Column2]:[Column54]],38,FALSE),"0")</f>
        <v>0</v>
      </c>
      <c r="AN83" s="61">
        <f>IFERROR(VLOOKUP(Table1215[[#This Row],[Column2]],Table12[[Column2]:[Column54]],39,FALSE),"0")</f>
        <v>3</v>
      </c>
      <c r="AO83" s="61">
        <f>IFERROR(VLOOKUP(Table1215[[#This Row],[Column2]],Table12[[Column2]:[Column54]],40,FALSE),"0")</f>
        <v>0</v>
      </c>
      <c r="AP83" s="67">
        <f>AVERAGE(Table1215[[#This Row],[Column37]],Table1215[[#This Row],[Column38]],Table1215[[#This Row],[Column40]])</f>
        <v>2.6666666666666665</v>
      </c>
      <c r="AQ83" s="61">
        <f>IFERROR(VLOOKUP(Table1215[[#This Row],[Column2]],Table12[[Column2]:[Column54]],42,FALSE),"0")</f>
        <v>3</v>
      </c>
      <c r="AR83" s="61">
        <f>IFERROR(VLOOKUP(Table1215[[#This Row],[Column2]],Table12[[Column2]:[Column54]],43,FALSE),"0")</f>
        <v>0</v>
      </c>
      <c r="AS83" s="61">
        <f>IFERROR(VLOOKUP(Table1215[[#This Row],[Column2]],Table12[[Column2]:[Column54]],44,FALSE),"0")</f>
        <v>0</v>
      </c>
      <c r="AT83" s="61">
        <f>IFERROR(VLOOKUP(Table1215[[#This Row],[Column2]],Table12[[Column2]:[Column54]],45,FALSE),"0")</f>
        <v>0</v>
      </c>
      <c r="AU83" s="61">
        <f>IFERROR(VLOOKUP(Table1215[[#This Row],[Column2]],Table12[[Column2]:[Column54]],46,FALSE),"0")</f>
        <v>0</v>
      </c>
      <c r="AV83" s="67">
        <f>Table1215[[#This Row],[Column43]]</f>
        <v>3</v>
      </c>
      <c r="AW83" s="61">
        <f>IFERROR(VLOOKUP(Table1215[[#This Row],[Column2]],Table12[[Column2]:[Column54]],48,FALSE),"0")</f>
        <v>0</v>
      </c>
      <c r="AX83" s="61">
        <f>IFERROR(VLOOKUP(Table1215[[#This Row],[Column2]],Table12[[Column2]:[Column54]],49,FALSE),"0")</f>
        <v>0</v>
      </c>
      <c r="AY83" s="61">
        <f>IFERROR(VLOOKUP(Table1215[[#This Row],[Column2]],Table12[[Column2]:[Column54]],50,FALSE),"0")</f>
        <v>0</v>
      </c>
      <c r="AZ83" s="61">
        <f>IFERROR(VLOOKUP(Table1215[[#This Row],[Column2]],Table12[[Column2]:[Column54]],51,FALSE),"0")</f>
        <v>3</v>
      </c>
      <c r="BA83" s="61">
        <f>IFERROR(VLOOKUP(Table1215[[#This Row],[Column2]],Table12[[Column2]:[Column54]],52,FALSE),"0")</f>
        <v>3</v>
      </c>
      <c r="BB83" s="67">
        <f>AVERAGE(Table1215[[#This Row],[Column52]],Table1215[[#This Row],[Column53]])</f>
        <v>3</v>
      </c>
    </row>
    <row r="84" spans="1:54" ht="23.1" customHeight="1" x14ac:dyDescent="0.3">
      <c r="A84" s="86">
        <v>81</v>
      </c>
      <c r="B84" s="63" t="s">
        <v>334</v>
      </c>
      <c r="C84" s="64" t="s">
        <v>335</v>
      </c>
      <c r="D84" s="63" t="s">
        <v>542</v>
      </c>
      <c r="E84" s="63" t="s">
        <v>493</v>
      </c>
      <c r="F84" s="63" t="str">
        <f>REPT(CHAR(160),10)&amp;Working!$E85</f>
        <v>          C</v>
      </c>
      <c r="G84" s="65">
        <f>IFERROR(VLOOKUP(Table1215[[#This Row],[Column2]],Table12[[Column2]:[Column54]],6,FALSE),"0")</f>
        <v>0</v>
      </c>
      <c r="H84" s="65">
        <f>IFERROR(VLOOKUP(Table1215[[#This Row],[Column2]],Table12[[Column2]:[Column54]],7,FALSE),"0")</f>
        <v>0</v>
      </c>
      <c r="I84" s="65">
        <f>IFERROR(VLOOKUP(Table1215[[#This Row],[Column2]],Table12[[Column2]:[Column54]],8,FALSE),"0")</f>
        <v>3</v>
      </c>
      <c r="J84" s="65">
        <f>IFERROR(VLOOKUP(Table1215[[#This Row],[Column2]],Table12[[Column2]:[Column54]],9,FALSE),"0")</f>
        <v>0</v>
      </c>
      <c r="K84" s="65">
        <f>IFERROR(VLOOKUP(Table1215[[#This Row],[Column2]],Table12[[Column2]:[Column54]],10,FALSE),"0")</f>
        <v>0</v>
      </c>
      <c r="L84" s="67">
        <f>Table1215[[#This Row],[Column9]]</f>
        <v>3</v>
      </c>
      <c r="M84" s="65">
        <f>IFERROR(VLOOKUP(Table1215[[#This Row],[Column2]],Table12[[Column2]:[Column54]],12,FALSE),"0")</f>
        <v>0</v>
      </c>
      <c r="N84" s="65">
        <f>IFERROR(VLOOKUP(Table1215[[#This Row],[Column2]],Table12[[Column2]:[Column54]],13,FALSE),"0")</f>
        <v>3</v>
      </c>
      <c r="O84" s="65">
        <f>IFERROR(VLOOKUP(Table1215[[#This Row],[Column2]],Table12[[Column2]:[Column54]],14,FALSE),"0")</f>
        <v>2</v>
      </c>
      <c r="P84" s="65">
        <f>IFERROR(VLOOKUP(Table1215[[#This Row],[Column2]],Table12[[Column2]:[Column54]],10,FALSE),"0")</f>
        <v>0</v>
      </c>
      <c r="Q84" s="65">
        <f>IFERROR(VLOOKUP(Table1215[[#This Row],[Column2]],Table12[[Column2]:[Column54]],16,FALSE),"0")</f>
        <v>2</v>
      </c>
      <c r="R84" s="67">
        <f>AVERAGE(Table1215[[#This Row],[Column14]],Table1215[[#This Row],[Column15]],Table1215[[#This Row],[Column17]])</f>
        <v>2.3333333333333335</v>
      </c>
      <c r="S84" s="65">
        <f>IFERROR(VLOOKUP(Table1215[[#This Row],[Column2]],Table12[[Column2]:[Column54]],18,FALSE),"0")</f>
        <v>0</v>
      </c>
      <c r="T84" s="65">
        <f>IFERROR(VLOOKUP(Table1215[[#This Row],[Column2]],Table12[[Column2]:[Column54]],19,FALSE),"0")</f>
        <v>0</v>
      </c>
      <c r="U84" s="65">
        <f>IFERROR(VLOOKUP(Table1215[[#This Row],[Column2]],Table12[[Column2]:[Column54]],20,FALSE),"0")</f>
        <v>0</v>
      </c>
      <c r="V84" s="65">
        <f>IFERROR(VLOOKUP(Table1215[[#This Row],[Column2]],Table12[[Column2]:[Column54]],21,FALSE),"0")</f>
        <v>0</v>
      </c>
      <c r="W84" s="65">
        <f>IFERROR(VLOOKUP(Table1215[[#This Row],[Column2]],Table12[[Column2]:[Column54]],22,FALSE),"0")</f>
        <v>0</v>
      </c>
      <c r="X84" s="67">
        <f>Table1215[[#This Row],[Column19]]</f>
        <v>0</v>
      </c>
      <c r="Y84" s="65">
        <f>IFERROR(VLOOKUP(Table1215[[#This Row],[Column2]],Table12[[Column2]:[Column54]],24,FALSE),"0")</f>
        <v>2</v>
      </c>
      <c r="Z84" s="65">
        <f>IFERROR(VLOOKUP(Table1215[[#This Row],[Column2]],Table12[[Column2]:[Column54]],25,FALSE),"0")</f>
        <v>0</v>
      </c>
      <c r="AA84" s="65">
        <f>IFERROR(VLOOKUP(Table1215[[#This Row],[Column2]],Table12[[Column2]:[Column54]],26,FALSE),"0")</f>
        <v>0</v>
      </c>
      <c r="AB84" s="65">
        <f>IFERROR(VLOOKUP(Table1215[[#This Row],[Column2]],Table12[[Column2]:[Column54]],27,FALSE),"0")</f>
        <v>0</v>
      </c>
      <c r="AC84" s="65">
        <f>IFERROR(VLOOKUP(Table1215[[#This Row],[Column2]],Table12[[Column2]:[Column54]],28,FALSE),"0")</f>
        <v>0</v>
      </c>
      <c r="AD84" s="67">
        <f>Table1215[[#This Row],[Column25]]</f>
        <v>2</v>
      </c>
      <c r="AE84" s="65">
        <f>IFERROR(VLOOKUP(Table1215[[#This Row],[Column2]],Table12[[Column2]:[Column54]],30,FALSE),"0")</f>
        <v>0</v>
      </c>
      <c r="AF84" s="65">
        <f>IFERROR(VLOOKUP(Table1215[[#This Row],[Column2]],Table12[[Column2]:[Column54]],31,FALSE),"0")</f>
        <v>0</v>
      </c>
      <c r="AG84" s="65">
        <f>IFERROR(VLOOKUP(Table1215[[#This Row],[Column2]],Table12[[Column2]:[Column54]],32,FALSE),"0")</f>
        <v>0</v>
      </c>
      <c r="AH84" s="65">
        <f>IFERROR(VLOOKUP(Table1215[[#This Row],[Column2]],Table12[[Column2]:[Column54]],33,FALSE),"0")</f>
        <v>0</v>
      </c>
      <c r="AI84" s="65">
        <f>IFERROR(VLOOKUP(Table1215[[#This Row],[Column2]],Table12[[Column2]:[Column54]],34,FALSE),"0")</f>
        <v>0</v>
      </c>
      <c r="AJ84" s="67">
        <f>AVERAGE(Table1215[[#This Row],[Column31]],Table1215[[#This Row],[Column32]],Table1215[[#This Row],[Column33]])</f>
        <v>0</v>
      </c>
      <c r="AK84" s="65">
        <f>IFERROR(VLOOKUP(Table1215[[#This Row],[Column2]],Table12[[Column2]:[Column54]],36,FALSE),"0")</f>
        <v>2</v>
      </c>
      <c r="AL84" s="65">
        <f>IFERROR(VLOOKUP(Table1215[[#This Row],[Column2]],Table12[[Column2]:[Column54]],37,FALSE),"0")</f>
        <v>3</v>
      </c>
      <c r="AM84" s="65">
        <f>IFERROR(VLOOKUP(Table1215[[#This Row],[Column2]],Table12[[Column2]:[Column54]],38,FALSE),"0")</f>
        <v>0</v>
      </c>
      <c r="AN84" s="65">
        <f>IFERROR(VLOOKUP(Table1215[[#This Row],[Column2]],Table12[[Column2]:[Column54]],39,FALSE),"0")</f>
        <v>3</v>
      </c>
      <c r="AO84" s="65">
        <f>IFERROR(VLOOKUP(Table1215[[#This Row],[Column2]],Table12[[Column2]:[Column54]],40,FALSE),"0")</f>
        <v>0</v>
      </c>
      <c r="AP84" s="67">
        <f>AVERAGE(Table1215[[#This Row],[Column37]],Table1215[[#This Row],[Column38]],Table1215[[#This Row],[Column40]])</f>
        <v>2.6666666666666665</v>
      </c>
      <c r="AQ84" s="65">
        <f>IFERROR(VLOOKUP(Table1215[[#This Row],[Column2]],Table12[[Column2]:[Column54]],42,FALSE),"0")</f>
        <v>3</v>
      </c>
      <c r="AR84" s="65">
        <f>IFERROR(VLOOKUP(Table1215[[#This Row],[Column2]],Table12[[Column2]:[Column54]],43,FALSE),"0")</f>
        <v>0</v>
      </c>
      <c r="AS84" s="65">
        <f>IFERROR(VLOOKUP(Table1215[[#This Row],[Column2]],Table12[[Column2]:[Column54]],44,FALSE),"0")</f>
        <v>0</v>
      </c>
      <c r="AT84" s="65">
        <f>IFERROR(VLOOKUP(Table1215[[#This Row],[Column2]],Table12[[Column2]:[Column54]],45,FALSE),"0")</f>
        <v>0</v>
      </c>
      <c r="AU84" s="65">
        <f>IFERROR(VLOOKUP(Table1215[[#This Row],[Column2]],Table12[[Column2]:[Column54]],46,FALSE),"0")</f>
        <v>0</v>
      </c>
      <c r="AV84" s="67">
        <f>Table1215[[#This Row],[Column43]]</f>
        <v>3</v>
      </c>
      <c r="AW84" s="65">
        <f>IFERROR(VLOOKUP(Table1215[[#This Row],[Column2]],Table12[[Column2]:[Column54]],48,FALSE),"0")</f>
        <v>0</v>
      </c>
      <c r="AX84" s="65">
        <f>IFERROR(VLOOKUP(Table1215[[#This Row],[Column2]],Table12[[Column2]:[Column54]],49,FALSE),"0")</f>
        <v>0</v>
      </c>
      <c r="AY84" s="65">
        <f>IFERROR(VLOOKUP(Table1215[[#This Row],[Column2]],Table12[[Column2]:[Column54]],50,FALSE),"0")</f>
        <v>0</v>
      </c>
      <c r="AZ84" s="65">
        <f>IFERROR(VLOOKUP(Table1215[[#This Row],[Column2]],Table12[[Column2]:[Column54]],51,FALSE),"0")</f>
        <v>3</v>
      </c>
      <c r="BA84" s="65">
        <f>IFERROR(VLOOKUP(Table1215[[#This Row],[Column2]],Table12[[Column2]:[Column54]],52,FALSE),"0")</f>
        <v>3</v>
      </c>
      <c r="BB84" s="67">
        <f>AVERAGE(Table1215[[#This Row],[Column52]],Table1215[[#This Row],[Column53]])</f>
        <v>3</v>
      </c>
    </row>
    <row r="85" spans="1:54" ht="23.1" customHeight="1" x14ac:dyDescent="0.3">
      <c r="A85" s="87">
        <v>82</v>
      </c>
      <c r="B85" s="70" t="s">
        <v>81</v>
      </c>
      <c r="C85" s="71" t="s">
        <v>82</v>
      </c>
      <c r="D85" s="70" t="s">
        <v>542</v>
      </c>
      <c r="E85" s="70" t="s">
        <v>35</v>
      </c>
      <c r="F85" s="70" t="str">
        <f>REPT(CHAR(160),10)&amp;Working!$E86</f>
        <v>          A</v>
      </c>
      <c r="G85" s="61">
        <f>IFERROR(VLOOKUP(Table1215[[#This Row],[Column2]],Table12[[Column2]:[Column54]],6,FALSE),"0")</f>
        <v>0</v>
      </c>
      <c r="H85" s="61">
        <f>IFERROR(VLOOKUP(Table1215[[#This Row],[Column2]],Table12[[Column2]:[Column54]],7,FALSE),"0")</f>
        <v>0</v>
      </c>
      <c r="I85" s="61">
        <f>IFERROR(VLOOKUP(Table1215[[#This Row],[Column2]],Table12[[Column2]:[Column54]],8,FALSE),"0")</f>
        <v>4</v>
      </c>
      <c r="J85" s="61">
        <f>IFERROR(VLOOKUP(Table1215[[#This Row],[Column2]],Table12[[Column2]:[Column54]],9,FALSE),"0")</f>
        <v>0</v>
      </c>
      <c r="K85" s="61">
        <f>IFERROR(VLOOKUP(Table1215[[#This Row],[Column2]],Table12[[Column2]:[Column54]],10,FALSE),"0")</f>
        <v>0</v>
      </c>
      <c r="L85" s="67">
        <f>Table1215[[#This Row],[Column9]]</f>
        <v>4</v>
      </c>
      <c r="M85" s="61">
        <f>IFERROR(VLOOKUP(Table1215[[#This Row],[Column2]],Table12[[Column2]:[Column54]],12,FALSE),"0")</f>
        <v>0</v>
      </c>
      <c r="N85" s="61">
        <f>IFERROR(VLOOKUP(Table1215[[#This Row],[Column2]],Table12[[Column2]:[Column54]],13,FALSE),"0")</f>
        <v>4</v>
      </c>
      <c r="O85" s="61">
        <f>IFERROR(VLOOKUP(Table1215[[#This Row],[Column2]],Table12[[Column2]:[Column54]],14,FALSE),"0")</f>
        <v>4</v>
      </c>
      <c r="P85" s="61">
        <f>IFERROR(VLOOKUP(Table1215[[#This Row],[Column2]],Table12[[Column2]:[Column54]],10,FALSE),"0")</f>
        <v>0</v>
      </c>
      <c r="Q85" s="61">
        <f>IFERROR(VLOOKUP(Table1215[[#This Row],[Column2]],Table12[[Column2]:[Column54]],16,FALSE),"0")</f>
        <v>4</v>
      </c>
      <c r="R85" s="67">
        <f>AVERAGE(Table1215[[#This Row],[Column14]],Table1215[[#This Row],[Column15]],Table1215[[#This Row],[Column17]])</f>
        <v>4</v>
      </c>
      <c r="S85" s="61">
        <f>IFERROR(VLOOKUP(Table1215[[#This Row],[Column2]],Table12[[Column2]:[Column54]],18,FALSE),"0")</f>
        <v>0</v>
      </c>
      <c r="T85" s="61">
        <f>IFERROR(VLOOKUP(Table1215[[#This Row],[Column2]],Table12[[Column2]:[Column54]],19,FALSE),"0")</f>
        <v>0</v>
      </c>
      <c r="U85" s="61">
        <f>IFERROR(VLOOKUP(Table1215[[#This Row],[Column2]],Table12[[Column2]:[Column54]],20,FALSE),"0")</f>
        <v>0</v>
      </c>
      <c r="V85" s="61">
        <f>IFERROR(VLOOKUP(Table1215[[#This Row],[Column2]],Table12[[Column2]:[Column54]],21,FALSE),"0")</f>
        <v>0</v>
      </c>
      <c r="W85" s="61">
        <f>IFERROR(VLOOKUP(Table1215[[#This Row],[Column2]],Table12[[Column2]:[Column54]],22,FALSE),"0")</f>
        <v>0</v>
      </c>
      <c r="X85" s="67">
        <f>Table1215[[#This Row],[Column19]]</f>
        <v>0</v>
      </c>
      <c r="Y85" s="61">
        <f>IFERROR(VLOOKUP(Table1215[[#This Row],[Column2]],Table12[[Column2]:[Column54]],24,FALSE),"0")</f>
        <v>4</v>
      </c>
      <c r="Z85" s="61">
        <f>IFERROR(VLOOKUP(Table1215[[#This Row],[Column2]],Table12[[Column2]:[Column54]],25,FALSE),"0")</f>
        <v>0</v>
      </c>
      <c r="AA85" s="61">
        <f>IFERROR(VLOOKUP(Table1215[[#This Row],[Column2]],Table12[[Column2]:[Column54]],26,FALSE),"0")</f>
        <v>0</v>
      </c>
      <c r="AB85" s="61">
        <f>IFERROR(VLOOKUP(Table1215[[#This Row],[Column2]],Table12[[Column2]:[Column54]],27,FALSE),"0")</f>
        <v>0</v>
      </c>
      <c r="AC85" s="61">
        <f>IFERROR(VLOOKUP(Table1215[[#This Row],[Column2]],Table12[[Column2]:[Column54]],28,FALSE),"0")</f>
        <v>0</v>
      </c>
      <c r="AD85" s="67">
        <f>Table1215[[#This Row],[Column25]]</f>
        <v>4</v>
      </c>
      <c r="AE85" s="61">
        <f>IFERROR(VLOOKUP(Table1215[[#This Row],[Column2]],Table12[[Column2]:[Column54]],30,FALSE),"0")</f>
        <v>0</v>
      </c>
      <c r="AF85" s="61">
        <f>IFERROR(VLOOKUP(Table1215[[#This Row],[Column2]],Table12[[Column2]:[Column54]],31,FALSE),"0")</f>
        <v>0</v>
      </c>
      <c r="AG85" s="61">
        <f>IFERROR(VLOOKUP(Table1215[[#This Row],[Column2]],Table12[[Column2]:[Column54]],32,FALSE),"0")</f>
        <v>0</v>
      </c>
      <c r="AH85" s="61">
        <f>IFERROR(VLOOKUP(Table1215[[#This Row],[Column2]],Table12[[Column2]:[Column54]],33,FALSE),"0")</f>
        <v>0</v>
      </c>
      <c r="AI85" s="61">
        <f>IFERROR(VLOOKUP(Table1215[[#This Row],[Column2]],Table12[[Column2]:[Column54]],34,FALSE),"0")</f>
        <v>0</v>
      </c>
      <c r="AJ85" s="67">
        <f>AVERAGE(Table1215[[#This Row],[Column31]],Table1215[[#This Row],[Column32]],Table1215[[#This Row],[Column33]])</f>
        <v>0</v>
      </c>
      <c r="AK85" s="61">
        <f>IFERROR(VLOOKUP(Table1215[[#This Row],[Column2]],Table12[[Column2]:[Column54]],36,FALSE),"0")</f>
        <v>4</v>
      </c>
      <c r="AL85" s="61">
        <f>IFERROR(VLOOKUP(Table1215[[#This Row],[Column2]],Table12[[Column2]:[Column54]],37,FALSE),"0")</f>
        <v>5</v>
      </c>
      <c r="AM85" s="61">
        <f>IFERROR(VLOOKUP(Table1215[[#This Row],[Column2]],Table12[[Column2]:[Column54]],38,FALSE),"0")</f>
        <v>0</v>
      </c>
      <c r="AN85" s="61">
        <f>IFERROR(VLOOKUP(Table1215[[#This Row],[Column2]],Table12[[Column2]:[Column54]],39,FALSE),"0")</f>
        <v>5</v>
      </c>
      <c r="AO85" s="61">
        <f>IFERROR(VLOOKUP(Table1215[[#This Row],[Column2]],Table12[[Column2]:[Column54]],40,FALSE),"0")</f>
        <v>0</v>
      </c>
      <c r="AP85" s="67">
        <f>AVERAGE(Table1215[[#This Row],[Column37]],Table1215[[#This Row],[Column38]],Table1215[[#This Row],[Column40]])</f>
        <v>4.666666666666667</v>
      </c>
      <c r="AQ85" s="61">
        <f>IFERROR(VLOOKUP(Table1215[[#This Row],[Column2]],Table12[[Column2]:[Column54]],42,FALSE),"0")</f>
        <v>5</v>
      </c>
      <c r="AR85" s="61">
        <f>IFERROR(VLOOKUP(Table1215[[#This Row],[Column2]],Table12[[Column2]:[Column54]],43,FALSE),"0")</f>
        <v>0</v>
      </c>
      <c r="AS85" s="61">
        <f>IFERROR(VLOOKUP(Table1215[[#This Row],[Column2]],Table12[[Column2]:[Column54]],44,FALSE),"0")</f>
        <v>0</v>
      </c>
      <c r="AT85" s="61">
        <f>IFERROR(VLOOKUP(Table1215[[#This Row],[Column2]],Table12[[Column2]:[Column54]],45,FALSE),"0")</f>
        <v>0</v>
      </c>
      <c r="AU85" s="61">
        <f>IFERROR(VLOOKUP(Table1215[[#This Row],[Column2]],Table12[[Column2]:[Column54]],46,FALSE),"0")</f>
        <v>0</v>
      </c>
      <c r="AV85" s="67">
        <f>Table1215[[#This Row],[Column43]]</f>
        <v>5</v>
      </c>
      <c r="AW85" s="61">
        <f>IFERROR(VLOOKUP(Table1215[[#This Row],[Column2]],Table12[[Column2]:[Column54]],48,FALSE),"0")</f>
        <v>0</v>
      </c>
      <c r="AX85" s="61">
        <f>IFERROR(VLOOKUP(Table1215[[#This Row],[Column2]],Table12[[Column2]:[Column54]],49,FALSE),"0")</f>
        <v>0</v>
      </c>
      <c r="AY85" s="61">
        <f>IFERROR(VLOOKUP(Table1215[[#This Row],[Column2]],Table12[[Column2]:[Column54]],50,FALSE),"0")</f>
        <v>0</v>
      </c>
      <c r="AZ85" s="61">
        <f>IFERROR(VLOOKUP(Table1215[[#This Row],[Column2]],Table12[[Column2]:[Column54]],51,FALSE),"0")</f>
        <v>3</v>
      </c>
      <c r="BA85" s="61">
        <f>IFERROR(VLOOKUP(Table1215[[#This Row],[Column2]],Table12[[Column2]:[Column54]],52,FALSE),"0")</f>
        <v>4</v>
      </c>
      <c r="BB85" s="67">
        <f>AVERAGE(Table1215[[#This Row],[Column52]],Table1215[[#This Row],[Column53]])</f>
        <v>3.5</v>
      </c>
    </row>
    <row r="86" spans="1:54" ht="23.1" customHeight="1" x14ac:dyDescent="0.3">
      <c r="A86" s="86">
        <v>83</v>
      </c>
      <c r="B86" s="63" t="s">
        <v>70</v>
      </c>
      <c r="C86" s="64" t="s">
        <v>71</v>
      </c>
      <c r="D86" s="63" t="s">
        <v>450</v>
      </c>
      <c r="E86" s="63" t="s">
        <v>35</v>
      </c>
      <c r="F86" s="63" t="str">
        <f>REPT(CHAR(160),10)&amp;Working!$E87</f>
        <v>          A</v>
      </c>
      <c r="G86" s="65">
        <f>IFERROR(VLOOKUP(Table1215[[#This Row],[Column2]],Table12[[Column2]:[Column54]],6,FALSE),"0")</f>
        <v>0</v>
      </c>
      <c r="H86" s="65">
        <f>IFERROR(VLOOKUP(Table1215[[#This Row],[Column2]],Table12[[Column2]:[Column54]],7,FALSE),"0")</f>
        <v>0</v>
      </c>
      <c r="I86" s="65">
        <f>IFERROR(VLOOKUP(Table1215[[#This Row],[Column2]],Table12[[Column2]:[Column54]],8,FALSE),"0")</f>
        <v>3</v>
      </c>
      <c r="J86" s="65">
        <f>IFERROR(VLOOKUP(Table1215[[#This Row],[Column2]],Table12[[Column2]:[Column54]],9,FALSE),"0")</f>
        <v>0</v>
      </c>
      <c r="K86" s="65">
        <f>IFERROR(VLOOKUP(Table1215[[#This Row],[Column2]],Table12[[Column2]:[Column54]],10,FALSE),"0")</f>
        <v>0</v>
      </c>
      <c r="L86" s="67">
        <f>Table1215[[#This Row],[Column9]]</f>
        <v>3</v>
      </c>
      <c r="M86" s="65">
        <f>IFERROR(VLOOKUP(Table1215[[#This Row],[Column2]],Table12[[Column2]:[Column54]],12,FALSE),"0")</f>
        <v>0</v>
      </c>
      <c r="N86" s="65">
        <f>IFERROR(VLOOKUP(Table1215[[#This Row],[Column2]],Table12[[Column2]:[Column54]],13,FALSE),"0")</f>
        <v>4</v>
      </c>
      <c r="O86" s="65">
        <f>IFERROR(VLOOKUP(Table1215[[#This Row],[Column2]],Table12[[Column2]:[Column54]],14,FALSE),"0")</f>
        <v>3</v>
      </c>
      <c r="P86" s="65">
        <f>IFERROR(VLOOKUP(Table1215[[#This Row],[Column2]],Table12[[Column2]:[Column54]],10,FALSE),"0")</f>
        <v>0</v>
      </c>
      <c r="Q86" s="65">
        <f>IFERROR(VLOOKUP(Table1215[[#This Row],[Column2]],Table12[[Column2]:[Column54]],16,FALSE),"0")</f>
        <v>3</v>
      </c>
      <c r="R86" s="67">
        <f>AVERAGE(Table1215[[#This Row],[Column14]],Table1215[[#This Row],[Column15]],Table1215[[#This Row],[Column17]])</f>
        <v>3.3333333333333335</v>
      </c>
      <c r="S86" s="65">
        <f>IFERROR(VLOOKUP(Table1215[[#This Row],[Column2]],Table12[[Column2]:[Column54]],18,FALSE),"0")</f>
        <v>0</v>
      </c>
      <c r="T86" s="65">
        <f>IFERROR(VLOOKUP(Table1215[[#This Row],[Column2]],Table12[[Column2]:[Column54]],19,FALSE),"0")</f>
        <v>0</v>
      </c>
      <c r="U86" s="65">
        <f>IFERROR(VLOOKUP(Table1215[[#This Row],[Column2]],Table12[[Column2]:[Column54]],20,FALSE),"0")</f>
        <v>0</v>
      </c>
      <c r="V86" s="65">
        <f>IFERROR(VLOOKUP(Table1215[[#This Row],[Column2]],Table12[[Column2]:[Column54]],21,FALSE),"0")</f>
        <v>0</v>
      </c>
      <c r="W86" s="65">
        <f>IFERROR(VLOOKUP(Table1215[[#This Row],[Column2]],Table12[[Column2]:[Column54]],22,FALSE),"0")</f>
        <v>0</v>
      </c>
      <c r="X86" s="67">
        <f>Table1215[[#This Row],[Column19]]</f>
        <v>0</v>
      </c>
      <c r="Y86" s="65">
        <f>IFERROR(VLOOKUP(Table1215[[#This Row],[Column2]],Table12[[Column2]:[Column54]],24,FALSE),"0")</f>
        <v>4</v>
      </c>
      <c r="Z86" s="65">
        <f>IFERROR(VLOOKUP(Table1215[[#This Row],[Column2]],Table12[[Column2]:[Column54]],25,FALSE),"0")</f>
        <v>0</v>
      </c>
      <c r="AA86" s="65">
        <f>IFERROR(VLOOKUP(Table1215[[#This Row],[Column2]],Table12[[Column2]:[Column54]],26,FALSE),"0")</f>
        <v>0</v>
      </c>
      <c r="AB86" s="65">
        <f>IFERROR(VLOOKUP(Table1215[[#This Row],[Column2]],Table12[[Column2]:[Column54]],27,FALSE),"0")</f>
        <v>0</v>
      </c>
      <c r="AC86" s="65">
        <f>IFERROR(VLOOKUP(Table1215[[#This Row],[Column2]],Table12[[Column2]:[Column54]],28,FALSE),"0")</f>
        <v>0</v>
      </c>
      <c r="AD86" s="67">
        <f>Table1215[[#This Row],[Column25]]</f>
        <v>4</v>
      </c>
      <c r="AE86" s="65">
        <f>IFERROR(VLOOKUP(Table1215[[#This Row],[Column2]],Table12[[Column2]:[Column54]],30,FALSE),"0")</f>
        <v>0</v>
      </c>
      <c r="AF86" s="65">
        <f>IFERROR(VLOOKUP(Table1215[[#This Row],[Column2]],Table12[[Column2]:[Column54]],31,FALSE),"0")</f>
        <v>0</v>
      </c>
      <c r="AG86" s="65">
        <f>IFERROR(VLOOKUP(Table1215[[#This Row],[Column2]],Table12[[Column2]:[Column54]],32,FALSE),"0")</f>
        <v>0</v>
      </c>
      <c r="AH86" s="65">
        <f>IFERROR(VLOOKUP(Table1215[[#This Row],[Column2]],Table12[[Column2]:[Column54]],33,FALSE),"0")</f>
        <v>0</v>
      </c>
      <c r="AI86" s="65">
        <f>IFERROR(VLOOKUP(Table1215[[#This Row],[Column2]],Table12[[Column2]:[Column54]],34,FALSE),"0")</f>
        <v>0</v>
      </c>
      <c r="AJ86" s="67">
        <f>AVERAGE(Table1215[[#This Row],[Column31]],Table1215[[#This Row],[Column32]],Table1215[[#This Row],[Column33]])</f>
        <v>0</v>
      </c>
      <c r="AK86" s="65">
        <f>IFERROR(VLOOKUP(Table1215[[#This Row],[Column2]],Table12[[Column2]:[Column54]],36,FALSE),"0")</f>
        <v>2</v>
      </c>
      <c r="AL86" s="65">
        <f>IFERROR(VLOOKUP(Table1215[[#This Row],[Column2]],Table12[[Column2]:[Column54]],37,FALSE),"0")</f>
        <v>3</v>
      </c>
      <c r="AM86" s="65">
        <f>IFERROR(VLOOKUP(Table1215[[#This Row],[Column2]],Table12[[Column2]:[Column54]],38,FALSE),"0")</f>
        <v>0</v>
      </c>
      <c r="AN86" s="65">
        <f>IFERROR(VLOOKUP(Table1215[[#This Row],[Column2]],Table12[[Column2]:[Column54]],39,FALSE),"0")</f>
        <v>3</v>
      </c>
      <c r="AO86" s="65">
        <f>IFERROR(VLOOKUP(Table1215[[#This Row],[Column2]],Table12[[Column2]:[Column54]],40,FALSE),"0")</f>
        <v>0</v>
      </c>
      <c r="AP86" s="67">
        <f>AVERAGE(Table1215[[#This Row],[Column37]],Table1215[[#This Row],[Column38]],Table1215[[#This Row],[Column40]])</f>
        <v>2.6666666666666665</v>
      </c>
      <c r="AQ86" s="65">
        <f>IFERROR(VLOOKUP(Table1215[[#This Row],[Column2]],Table12[[Column2]:[Column54]],42,FALSE),"0")</f>
        <v>3</v>
      </c>
      <c r="AR86" s="65">
        <f>IFERROR(VLOOKUP(Table1215[[#This Row],[Column2]],Table12[[Column2]:[Column54]],43,FALSE),"0")</f>
        <v>0</v>
      </c>
      <c r="AS86" s="65">
        <f>IFERROR(VLOOKUP(Table1215[[#This Row],[Column2]],Table12[[Column2]:[Column54]],44,FALSE),"0")</f>
        <v>0</v>
      </c>
      <c r="AT86" s="65">
        <f>IFERROR(VLOOKUP(Table1215[[#This Row],[Column2]],Table12[[Column2]:[Column54]],45,FALSE),"0")</f>
        <v>0</v>
      </c>
      <c r="AU86" s="65">
        <f>IFERROR(VLOOKUP(Table1215[[#This Row],[Column2]],Table12[[Column2]:[Column54]],46,FALSE),"0")</f>
        <v>0</v>
      </c>
      <c r="AV86" s="67">
        <f>Table1215[[#This Row],[Column43]]</f>
        <v>3</v>
      </c>
      <c r="AW86" s="65">
        <f>IFERROR(VLOOKUP(Table1215[[#This Row],[Column2]],Table12[[Column2]:[Column54]],48,FALSE),"0")</f>
        <v>0</v>
      </c>
      <c r="AX86" s="65">
        <f>IFERROR(VLOOKUP(Table1215[[#This Row],[Column2]],Table12[[Column2]:[Column54]],49,FALSE),"0")</f>
        <v>0</v>
      </c>
      <c r="AY86" s="65">
        <f>IFERROR(VLOOKUP(Table1215[[#This Row],[Column2]],Table12[[Column2]:[Column54]],50,FALSE),"0")</f>
        <v>0</v>
      </c>
      <c r="AZ86" s="65">
        <f>IFERROR(VLOOKUP(Table1215[[#This Row],[Column2]],Table12[[Column2]:[Column54]],51,FALSE),"0")</f>
        <v>2</v>
      </c>
      <c r="BA86" s="65">
        <f>IFERROR(VLOOKUP(Table1215[[#This Row],[Column2]],Table12[[Column2]:[Column54]],52,FALSE),"0")</f>
        <v>4</v>
      </c>
      <c r="BB86" s="67">
        <f>AVERAGE(Table1215[[#This Row],[Column52]],Table1215[[#This Row],[Column53]])</f>
        <v>3</v>
      </c>
    </row>
    <row r="87" spans="1:54" ht="23.1" customHeight="1" x14ac:dyDescent="0.3">
      <c r="A87" s="87">
        <v>84</v>
      </c>
      <c r="B87" s="70" t="s">
        <v>336</v>
      </c>
      <c r="C87" s="71" t="s">
        <v>337</v>
      </c>
      <c r="D87" s="70" t="s">
        <v>450</v>
      </c>
      <c r="E87" s="70" t="s">
        <v>493</v>
      </c>
      <c r="F87" s="70" t="str">
        <f>REPT(CHAR(160),10)&amp;Working!$E88</f>
        <v>          C</v>
      </c>
      <c r="G87" s="61">
        <f>IFERROR(VLOOKUP(Table1215[[#This Row],[Column2]],Table12[[Column2]:[Column54]],6,FALSE),"0")</f>
        <v>0</v>
      </c>
      <c r="H87" s="61">
        <f>IFERROR(VLOOKUP(Table1215[[#This Row],[Column2]],Table12[[Column2]:[Column54]],7,FALSE),"0")</f>
        <v>0</v>
      </c>
      <c r="I87" s="61">
        <f>IFERROR(VLOOKUP(Table1215[[#This Row],[Column2]],Table12[[Column2]:[Column54]],8,FALSE),"0")</f>
        <v>4</v>
      </c>
      <c r="J87" s="61">
        <f>IFERROR(VLOOKUP(Table1215[[#This Row],[Column2]],Table12[[Column2]:[Column54]],9,FALSE),"0")</f>
        <v>0</v>
      </c>
      <c r="K87" s="61">
        <f>IFERROR(VLOOKUP(Table1215[[#This Row],[Column2]],Table12[[Column2]:[Column54]],10,FALSE),"0")</f>
        <v>0</v>
      </c>
      <c r="L87" s="67">
        <f>Table1215[[#This Row],[Column9]]</f>
        <v>4</v>
      </c>
      <c r="M87" s="61">
        <f>IFERROR(VLOOKUP(Table1215[[#This Row],[Column2]],Table12[[Column2]:[Column54]],12,FALSE),"0")</f>
        <v>0</v>
      </c>
      <c r="N87" s="61">
        <f>IFERROR(VLOOKUP(Table1215[[#This Row],[Column2]],Table12[[Column2]:[Column54]],13,FALSE),"0")</f>
        <v>3</v>
      </c>
      <c r="O87" s="61">
        <f>IFERROR(VLOOKUP(Table1215[[#This Row],[Column2]],Table12[[Column2]:[Column54]],14,FALSE),"0")</f>
        <v>3</v>
      </c>
      <c r="P87" s="61">
        <f>IFERROR(VLOOKUP(Table1215[[#This Row],[Column2]],Table12[[Column2]:[Column54]],10,FALSE),"0")</f>
        <v>0</v>
      </c>
      <c r="Q87" s="61">
        <f>IFERROR(VLOOKUP(Table1215[[#This Row],[Column2]],Table12[[Column2]:[Column54]],16,FALSE),"0")</f>
        <v>3</v>
      </c>
      <c r="R87" s="67">
        <f>AVERAGE(Table1215[[#This Row],[Column14]],Table1215[[#This Row],[Column15]],Table1215[[#This Row],[Column17]])</f>
        <v>3</v>
      </c>
      <c r="S87" s="61">
        <f>IFERROR(VLOOKUP(Table1215[[#This Row],[Column2]],Table12[[Column2]:[Column54]],18,FALSE),"0")</f>
        <v>0</v>
      </c>
      <c r="T87" s="61">
        <f>IFERROR(VLOOKUP(Table1215[[#This Row],[Column2]],Table12[[Column2]:[Column54]],19,FALSE),"0")</f>
        <v>0</v>
      </c>
      <c r="U87" s="61">
        <f>IFERROR(VLOOKUP(Table1215[[#This Row],[Column2]],Table12[[Column2]:[Column54]],20,FALSE),"0")</f>
        <v>0</v>
      </c>
      <c r="V87" s="61">
        <f>IFERROR(VLOOKUP(Table1215[[#This Row],[Column2]],Table12[[Column2]:[Column54]],21,FALSE),"0")</f>
        <v>0</v>
      </c>
      <c r="W87" s="61">
        <f>IFERROR(VLOOKUP(Table1215[[#This Row],[Column2]],Table12[[Column2]:[Column54]],22,FALSE),"0")</f>
        <v>0</v>
      </c>
      <c r="X87" s="67">
        <f>Table1215[[#This Row],[Column19]]</f>
        <v>0</v>
      </c>
      <c r="Y87" s="61">
        <f>IFERROR(VLOOKUP(Table1215[[#This Row],[Column2]],Table12[[Column2]:[Column54]],24,FALSE),"0")</f>
        <v>4</v>
      </c>
      <c r="Z87" s="61">
        <f>IFERROR(VLOOKUP(Table1215[[#This Row],[Column2]],Table12[[Column2]:[Column54]],25,FALSE),"0")</f>
        <v>0</v>
      </c>
      <c r="AA87" s="61">
        <f>IFERROR(VLOOKUP(Table1215[[#This Row],[Column2]],Table12[[Column2]:[Column54]],26,FALSE),"0")</f>
        <v>0</v>
      </c>
      <c r="AB87" s="61">
        <f>IFERROR(VLOOKUP(Table1215[[#This Row],[Column2]],Table12[[Column2]:[Column54]],27,FALSE),"0")</f>
        <v>0</v>
      </c>
      <c r="AC87" s="61">
        <f>IFERROR(VLOOKUP(Table1215[[#This Row],[Column2]],Table12[[Column2]:[Column54]],28,FALSE),"0")</f>
        <v>0</v>
      </c>
      <c r="AD87" s="67">
        <f>Table1215[[#This Row],[Column25]]</f>
        <v>4</v>
      </c>
      <c r="AE87" s="61">
        <f>IFERROR(VLOOKUP(Table1215[[#This Row],[Column2]],Table12[[Column2]:[Column54]],30,FALSE),"0")</f>
        <v>0</v>
      </c>
      <c r="AF87" s="61">
        <f>IFERROR(VLOOKUP(Table1215[[#This Row],[Column2]],Table12[[Column2]:[Column54]],31,FALSE),"0")</f>
        <v>0</v>
      </c>
      <c r="AG87" s="61">
        <f>IFERROR(VLOOKUP(Table1215[[#This Row],[Column2]],Table12[[Column2]:[Column54]],32,FALSE),"0")</f>
        <v>0</v>
      </c>
      <c r="AH87" s="61">
        <f>IFERROR(VLOOKUP(Table1215[[#This Row],[Column2]],Table12[[Column2]:[Column54]],33,FALSE),"0")</f>
        <v>0</v>
      </c>
      <c r="AI87" s="61">
        <f>IFERROR(VLOOKUP(Table1215[[#This Row],[Column2]],Table12[[Column2]:[Column54]],34,FALSE),"0")</f>
        <v>0</v>
      </c>
      <c r="AJ87" s="67">
        <f>AVERAGE(Table1215[[#This Row],[Column31]],Table1215[[#This Row],[Column32]],Table1215[[#This Row],[Column33]])</f>
        <v>0</v>
      </c>
      <c r="AK87" s="61">
        <f>IFERROR(VLOOKUP(Table1215[[#This Row],[Column2]],Table12[[Column2]:[Column54]],36,FALSE),"0")</f>
        <v>3</v>
      </c>
      <c r="AL87" s="61">
        <f>IFERROR(VLOOKUP(Table1215[[#This Row],[Column2]],Table12[[Column2]:[Column54]],37,FALSE),"0")</f>
        <v>4</v>
      </c>
      <c r="AM87" s="61">
        <f>IFERROR(VLOOKUP(Table1215[[#This Row],[Column2]],Table12[[Column2]:[Column54]],38,FALSE),"0")</f>
        <v>0</v>
      </c>
      <c r="AN87" s="61">
        <f>IFERROR(VLOOKUP(Table1215[[#This Row],[Column2]],Table12[[Column2]:[Column54]],39,FALSE),"0")</f>
        <v>4</v>
      </c>
      <c r="AO87" s="61">
        <f>IFERROR(VLOOKUP(Table1215[[#This Row],[Column2]],Table12[[Column2]:[Column54]],40,FALSE),"0")</f>
        <v>0</v>
      </c>
      <c r="AP87" s="67">
        <f>AVERAGE(Table1215[[#This Row],[Column37]],Table1215[[#This Row],[Column38]],Table1215[[#This Row],[Column40]])</f>
        <v>3.6666666666666665</v>
      </c>
      <c r="AQ87" s="61">
        <f>IFERROR(VLOOKUP(Table1215[[#This Row],[Column2]],Table12[[Column2]:[Column54]],42,FALSE),"0")</f>
        <v>3</v>
      </c>
      <c r="AR87" s="61">
        <f>IFERROR(VLOOKUP(Table1215[[#This Row],[Column2]],Table12[[Column2]:[Column54]],43,FALSE),"0")</f>
        <v>0</v>
      </c>
      <c r="AS87" s="61">
        <f>IFERROR(VLOOKUP(Table1215[[#This Row],[Column2]],Table12[[Column2]:[Column54]],44,FALSE),"0")</f>
        <v>0</v>
      </c>
      <c r="AT87" s="61">
        <f>IFERROR(VLOOKUP(Table1215[[#This Row],[Column2]],Table12[[Column2]:[Column54]],45,FALSE),"0")</f>
        <v>0</v>
      </c>
      <c r="AU87" s="61">
        <f>IFERROR(VLOOKUP(Table1215[[#This Row],[Column2]],Table12[[Column2]:[Column54]],46,FALSE),"0")</f>
        <v>0</v>
      </c>
      <c r="AV87" s="67">
        <f>Table1215[[#This Row],[Column43]]</f>
        <v>3</v>
      </c>
      <c r="AW87" s="61">
        <f>IFERROR(VLOOKUP(Table1215[[#This Row],[Column2]],Table12[[Column2]:[Column54]],48,FALSE),"0")</f>
        <v>0</v>
      </c>
      <c r="AX87" s="61">
        <f>IFERROR(VLOOKUP(Table1215[[#This Row],[Column2]],Table12[[Column2]:[Column54]],49,FALSE),"0")</f>
        <v>0</v>
      </c>
      <c r="AY87" s="61">
        <f>IFERROR(VLOOKUP(Table1215[[#This Row],[Column2]],Table12[[Column2]:[Column54]],50,FALSE),"0")</f>
        <v>0</v>
      </c>
      <c r="AZ87" s="61">
        <f>IFERROR(VLOOKUP(Table1215[[#This Row],[Column2]],Table12[[Column2]:[Column54]],51,FALSE),"0")</f>
        <v>3</v>
      </c>
      <c r="BA87" s="61">
        <f>IFERROR(VLOOKUP(Table1215[[#This Row],[Column2]],Table12[[Column2]:[Column54]],52,FALSE),"0")</f>
        <v>4</v>
      </c>
      <c r="BB87" s="67">
        <f>AVERAGE(Table1215[[#This Row],[Column52]],Table1215[[#This Row],[Column53]])</f>
        <v>3.5</v>
      </c>
    </row>
    <row r="88" spans="1:54" ht="23.1" customHeight="1" x14ac:dyDescent="0.3">
      <c r="A88" s="86">
        <v>85</v>
      </c>
      <c r="B88" s="63" t="s">
        <v>134</v>
      </c>
      <c r="C88" s="64" t="s">
        <v>135</v>
      </c>
      <c r="D88" s="63" t="s">
        <v>450</v>
      </c>
      <c r="E88" s="63" t="s">
        <v>35</v>
      </c>
      <c r="F88" s="63" t="str">
        <f>REPT(CHAR(160),10)&amp;Working!$E89</f>
        <v>          A</v>
      </c>
      <c r="G88" s="65">
        <f>IFERROR(VLOOKUP(Table1215[[#This Row],[Column2]],Table12[[Column2]:[Column54]],6,FALSE),"0")</f>
        <v>0</v>
      </c>
      <c r="H88" s="65">
        <f>IFERROR(VLOOKUP(Table1215[[#This Row],[Column2]],Table12[[Column2]:[Column54]],7,FALSE),"0")</f>
        <v>0</v>
      </c>
      <c r="I88" s="65">
        <f>IFERROR(VLOOKUP(Table1215[[#This Row],[Column2]],Table12[[Column2]:[Column54]],8,FALSE),"0")</f>
        <v>3</v>
      </c>
      <c r="J88" s="65">
        <f>IFERROR(VLOOKUP(Table1215[[#This Row],[Column2]],Table12[[Column2]:[Column54]],9,FALSE),"0")</f>
        <v>0</v>
      </c>
      <c r="K88" s="65">
        <f>IFERROR(VLOOKUP(Table1215[[#This Row],[Column2]],Table12[[Column2]:[Column54]],10,FALSE),"0")</f>
        <v>0</v>
      </c>
      <c r="L88" s="67">
        <f>Table1215[[#This Row],[Column9]]</f>
        <v>3</v>
      </c>
      <c r="M88" s="65">
        <f>IFERROR(VLOOKUP(Table1215[[#This Row],[Column2]],Table12[[Column2]:[Column54]],12,FALSE),"0")</f>
        <v>0</v>
      </c>
      <c r="N88" s="65">
        <f>IFERROR(VLOOKUP(Table1215[[#This Row],[Column2]],Table12[[Column2]:[Column54]],13,FALSE),"0")</f>
        <v>3</v>
      </c>
      <c r="O88" s="65">
        <f>IFERROR(VLOOKUP(Table1215[[#This Row],[Column2]],Table12[[Column2]:[Column54]],14,FALSE),"0")</f>
        <v>3</v>
      </c>
      <c r="P88" s="65">
        <f>IFERROR(VLOOKUP(Table1215[[#This Row],[Column2]],Table12[[Column2]:[Column54]],10,FALSE),"0")</f>
        <v>0</v>
      </c>
      <c r="Q88" s="65">
        <f>IFERROR(VLOOKUP(Table1215[[#This Row],[Column2]],Table12[[Column2]:[Column54]],16,FALSE),"0")</f>
        <v>3</v>
      </c>
      <c r="R88" s="67">
        <f>AVERAGE(Table1215[[#This Row],[Column14]],Table1215[[#This Row],[Column15]],Table1215[[#This Row],[Column17]])</f>
        <v>3</v>
      </c>
      <c r="S88" s="65">
        <f>IFERROR(VLOOKUP(Table1215[[#This Row],[Column2]],Table12[[Column2]:[Column54]],18,FALSE),"0")</f>
        <v>0</v>
      </c>
      <c r="T88" s="65">
        <f>IFERROR(VLOOKUP(Table1215[[#This Row],[Column2]],Table12[[Column2]:[Column54]],19,FALSE),"0")</f>
        <v>0</v>
      </c>
      <c r="U88" s="65">
        <f>IFERROR(VLOOKUP(Table1215[[#This Row],[Column2]],Table12[[Column2]:[Column54]],20,FALSE),"0")</f>
        <v>0</v>
      </c>
      <c r="V88" s="65">
        <f>IFERROR(VLOOKUP(Table1215[[#This Row],[Column2]],Table12[[Column2]:[Column54]],21,FALSE),"0")</f>
        <v>0</v>
      </c>
      <c r="W88" s="65">
        <f>IFERROR(VLOOKUP(Table1215[[#This Row],[Column2]],Table12[[Column2]:[Column54]],22,FALSE),"0")</f>
        <v>0</v>
      </c>
      <c r="X88" s="67">
        <f>Table1215[[#This Row],[Column19]]</f>
        <v>0</v>
      </c>
      <c r="Y88" s="65">
        <f>IFERROR(VLOOKUP(Table1215[[#This Row],[Column2]],Table12[[Column2]:[Column54]],24,FALSE),"0")</f>
        <v>3</v>
      </c>
      <c r="Z88" s="65">
        <f>IFERROR(VLOOKUP(Table1215[[#This Row],[Column2]],Table12[[Column2]:[Column54]],25,FALSE),"0")</f>
        <v>0</v>
      </c>
      <c r="AA88" s="65">
        <f>IFERROR(VLOOKUP(Table1215[[#This Row],[Column2]],Table12[[Column2]:[Column54]],26,FALSE),"0")</f>
        <v>0</v>
      </c>
      <c r="AB88" s="65">
        <f>IFERROR(VLOOKUP(Table1215[[#This Row],[Column2]],Table12[[Column2]:[Column54]],27,FALSE),"0")</f>
        <v>0</v>
      </c>
      <c r="AC88" s="65">
        <f>IFERROR(VLOOKUP(Table1215[[#This Row],[Column2]],Table12[[Column2]:[Column54]],28,FALSE),"0")</f>
        <v>0</v>
      </c>
      <c r="AD88" s="67">
        <f>Table1215[[#This Row],[Column25]]</f>
        <v>3</v>
      </c>
      <c r="AE88" s="65">
        <f>IFERROR(VLOOKUP(Table1215[[#This Row],[Column2]],Table12[[Column2]:[Column54]],30,FALSE),"0")</f>
        <v>0</v>
      </c>
      <c r="AF88" s="65">
        <f>IFERROR(VLOOKUP(Table1215[[#This Row],[Column2]],Table12[[Column2]:[Column54]],31,FALSE),"0")</f>
        <v>0</v>
      </c>
      <c r="AG88" s="65">
        <f>IFERROR(VLOOKUP(Table1215[[#This Row],[Column2]],Table12[[Column2]:[Column54]],32,FALSE),"0")</f>
        <v>0</v>
      </c>
      <c r="AH88" s="65">
        <f>IFERROR(VLOOKUP(Table1215[[#This Row],[Column2]],Table12[[Column2]:[Column54]],33,FALSE),"0")</f>
        <v>0</v>
      </c>
      <c r="AI88" s="65">
        <f>IFERROR(VLOOKUP(Table1215[[#This Row],[Column2]],Table12[[Column2]:[Column54]],34,FALSE),"0")</f>
        <v>0</v>
      </c>
      <c r="AJ88" s="67">
        <f>AVERAGE(Table1215[[#This Row],[Column31]],Table1215[[#This Row],[Column32]],Table1215[[#This Row],[Column33]])</f>
        <v>0</v>
      </c>
      <c r="AK88" s="65">
        <f>IFERROR(VLOOKUP(Table1215[[#This Row],[Column2]],Table12[[Column2]:[Column54]],36,FALSE),"0")</f>
        <v>3</v>
      </c>
      <c r="AL88" s="65">
        <f>IFERROR(VLOOKUP(Table1215[[#This Row],[Column2]],Table12[[Column2]:[Column54]],37,FALSE),"0")</f>
        <v>4</v>
      </c>
      <c r="AM88" s="65">
        <f>IFERROR(VLOOKUP(Table1215[[#This Row],[Column2]],Table12[[Column2]:[Column54]],38,FALSE),"0")</f>
        <v>0</v>
      </c>
      <c r="AN88" s="65">
        <f>IFERROR(VLOOKUP(Table1215[[#This Row],[Column2]],Table12[[Column2]:[Column54]],39,FALSE),"0")</f>
        <v>4</v>
      </c>
      <c r="AO88" s="65">
        <f>IFERROR(VLOOKUP(Table1215[[#This Row],[Column2]],Table12[[Column2]:[Column54]],40,FALSE),"0")</f>
        <v>0</v>
      </c>
      <c r="AP88" s="67">
        <f>AVERAGE(Table1215[[#This Row],[Column37]],Table1215[[#This Row],[Column38]],Table1215[[#This Row],[Column40]])</f>
        <v>3.6666666666666665</v>
      </c>
      <c r="AQ88" s="65">
        <f>IFERROR(VLOOKUP(Table1215[[#This Row],[Column2]],Table12[[Column2]:[Column54]],42,FALSE),"0")</f>
        <v>4</v>
      </c>
      <c r="AR88" s="65">
        <f>IFERROR(VLOOKUP(Table1215[[#This Row],[Column2]],Table12[[Column2]:[Column54]],43,FALSE),"0")</f>
        <v>0</v>
      </c>
      <c r="AS88" s="65">
        <f>IFERROR(VLOOKUP(Table1215[[#This Row],[Column2]],Table12[[Column2]:[Column54]],44,FALSE),"0")</f>
        <v>0</v>
      </c>
      <c r="AT88" s="65">
        <f>IFERROR(VLOOKUP(Table1215[[#This Row],[Column2]],Table12[[Column2]:[Column54]],45,FALSE),"0")</f>
        <v>0</v>
      </c>
      <c r="AU88" s="65">
        <f>IFERROR(VLOOKUP(Table1215[[#This Row],[Column2]],Table12[[Column2]:[Column54]],46,FALSE),"0")</f>
        <v>0</v>
      </c>
      <c r="AV88" s="67">
        <f>Table1215[[#This Row],[Column43]]</f>
        <v>4</v>
      </c>
      <c r="AW88" s="65">
        <f>IFERROR(VLOOKUP(Table1215[[#This Row],[Column2]],Table12[[Column2]:[Column54]],48,FALSE),"0")</f>
        <v>0</v>
      </c>
      <c r="AX88" s="65">
        <f>IFERROR(VLOOKUP(Table1215[[#This Row],[Column2]],Table12[[Column2]:[Column54]],49,FALSE),"0")</f>
        <v>0</v>
      </c>
      <c r="AY88" s="65">
        <f>IFERROR(VLOOKUP(Table1215[[#This Row],[Column2]],Table12[[Column2]:[Column54]],50,FALSE),"0")</f>
        <v>0</v>
      </c>
      <c r="AZ88" s="65">
        <f>IFERROR(VLOOKUP(Table1215[[#This Row],[Column2]],Table12[[Column2]:[Column54]],51,FALSE),"0")</f>
        <v>3</v>
      </c>
      <c r="BA88" s="65">
        <f>IFERROR(VLOOKUP(Table1215[[#This Row],[Column2]],Table12[[Column2]:[Column54]],52,FALSE),"0")</f>
        <v>4</v>
      </c>
      <c r="BB88" s="67">
        <f>AVERAGE(Table1215[[#This Row],[Column52]],Table1215[[#This Row],[Column53]])</f>
        <v>3.5</v>
      </c>
    </row>
    <row r="89" spans="1:54" ht="23.1" customHeight="1" x14ac:dyDescent="0.3">
      <c r="A89" s="87">
        <v>86</v>
      </c>
      <c r="B89" s="70" t="s">
        <v>215</v>
      </c>
      <c r="C89" s="71" t="s">
        <v>216</v>
      </c>
      <c r="D89" s="70" t="s">
        <v>450</v>
      </c>
      <c r="E89" s="70" t="s">
        <v>161</v>
      </c>
      <c r="F89" s="70" t="str">
        <f>REPT(CHAR(160),10)&amp;Working!$E90</f>
        <v>          B</v>
      </c>
      <c r="G89" s="61">
        <f>IFERROR(VLOOKUP(Table1215[[#This Row],[Column2]],Table12[[Column2]:[Column54]],6,FALSE),"0")</f>
        <v>0</v>
      </c>
      <c r="H89" s="61">
        <f>IFERROR(VLOOKUP(Table1215[[#This Row],[Column2]],Table12[[Column2]:[Column54]],7,FALSE),"0")</f>
        <v>0</v>
      </c>
      <c r="I89" s="61">
        <f>IFERROR(VLOOKUP(Table1215[[#This Row],[Column2]],Table12[[Column2]:[Column54]],8,FALSE),"0")</f>
        <v>2</v>
      </c>
      <c r="J89" s="61">
        <f>IFERROR(VLOOKUP(Table1215[[#This Row],[Column2]],Table12[[Column2]:[Column54]],9,FALSE),"0")</f>
        <v>0</v>
      </c>
      <c r="K89" s="61">
        <f>IFERROR(VLOOKUP(Table1215[[#This Row],[Column2]],Table12[[Column2]:[Column54]],10,FALSE),"0")</f>
        <v>0</v>
      </c>
      <c r="L89" s="67">
        <f>Table1215[[#This Row],[Column9]]</f>
        <v>2</v>
      </c>
      <c r="M89" s="61">
        <f>IFERROR(VLOOKUP(Table1215[[#This Row],[Column2]],Table12[[Column2]:[Column54]],12,FALSE),"0")</f>
        <v>0</v>
      </c>
      <c r="N89" s="61">
        <f>IFERROR(VLOOKUP(Table1215[[#This Row],[Column2]],Table12[[Column2]:[Column54]],13,FALSE),"0")</f>
        <v>2</v>
      </c>
      <c r="O89" s="61">
        <f>IFERROR(VLOOKUP(Table1215[[#This Row],[Column2]],Table12[[Column2]:[Column54]],14,FALSE),"0")</f>
        <v>2</v>
      </c>
      <c r="P89" s="61">
        <f>IFERROR(VLOOKUP(Table1215[[#This Row],[Column2]],Table12[[Column2]:[Column54]],10,FALSE),"0")</f>
        <v>0</v>
      </c>
      <c r="Q89" s="61">
        <f>IFERROR(VLOOKUP(Table1215[[#This Row],[Column2]],Table12[[Column2]:[Column54]],16,FALSE),"0")</f>
        <v>2</v>
      </c>
      <c r="R89" s="67">
        <f>AVERAGE(Table1215[[#This Row],[Column14]],Table1215[[#This Row],[Column15]],Table1215[[#This Row],[Column17]])</f>
        <v>2</v>
      </c>
      <c r="S89" s="61">
        <f>IFERROR(VLOOKUP(Table1215[[#This Row],[Column2]],Table12[[Column2]:[Column54]],18,FALSE),"0")</f>
        <v>0</v>
      </c>
      <c r="T89" s="61">
        <f>IFERROR(VLOOKUP(Table1215[[#This Row],[Column2]],Table12[[Column2]:[Column54]],19,FALSE),"0")</f>
        <v>0</v>
      </c>
      <c r="U89" s="61">
        <f>IFERROR(VLOOKUP(Table1215[[#This Row],[Column2]],Table12[[Column2]:[Column54]],20,FALSE),"0")</f>
        <v>0</v>
      </c>
      <c r="V89" s="61">
        <f>IFERROR(VLOOKUP(Table1215[[#This Row],[Column2]],Table12[[Column2]:[Column54]],21,FALSE),"0")</f>
        <v>0</v>
      </c>
      <c r="W89" s="61">
        <f>IFERROR(VLOOKUP(Table1215[[#This Row],[Column2]],Table12[[Column2]:[Column54]],22,FALSE),"0")</f>
        <v>0</v>
      </c>
      <c r="X89" s="67">
        <f>Table1215[[#This Row],[Column19]]</f>
        <v>0</v>
      </c>
      <c r="Y89" s="61">
        <f>IFERROR(VLOOKUP(Table1215[[#This Row],[Column2]],Table12[[Column2]:[Column54]],24,FALSE),"0")</f>
        <v>2</v>
      </c>
      <c r="Z89" s="61">
        <f>IFERROR(VLOOKUP(Table1215[[#This Row],[Column2]],Table12[[Column2]:[Column54]],25,FALSE),"0")</f>
        <v>0</v>
      </c>
      <c r="AA89" s="61">
        <f>IFERROR(VLOOKUP(Table1215[[#This Row],[Column2]],Table12[[Column2]:[Column54]],26,FALSE),"0")</f>
        <v>0</v>
      </c>
      <c r="AB89" s="61">
        <f>IFERROR(VLOOKUP(Table1215[[#This Row],[Column2]],Table12[[Column2]:[Column54]],27,FALSE),"0")</f>
        <v>0</v>
      </c>
      <c r="AC89" s="61">
        <f>IFERROR(VLOOKUP(Table1215[[#This Row],[Column2]],Table12[[Column2]:[Column54]],28,FALSE),"0")</f>
        <v>0</v>
      </c>
      <c r="AD89" s="67">
        <f>Table1215[[#This Row],[Column25]]</f>
        <v>2</v>
      </c>
      <c r="AE89" s="61">
        <f>IFERROR(VLOOKUP(Table1215[[#This Row],[Column2]],Table12[[Column2]:[Column54]],30,FALSE),"0")</f>
        <v>0</v>
      </c>
      <c r="AF89" s="61">
        <f>IFERROR(VLOOKUP(Table1215[[#This Row],[Column2]],Table12[[Column2]:[Column54]],31,FALSE),"0")</f>
        <v>0</v>
      </c>
      <c r="AG89" s="61">
        <f>IFERROR(VLOOKUP(Table1215[[#This Row],[Column2]],Table12[[Column2]:[Column54]],32,FALSE),"0")</f>
        <v>0</v>
      </c>
      <c r="AH89" s="61">
        <f>IFERROR(VLOOKUP(Table1215[[#This Row],[Column2]],Table12[[Column2]:[Column54]],33,FALSE),"0")</f>
        <v>0</v>
      </c>
      <c r="AI89" s="61">
        <f>IFERROR(VLOOKUP(Table1215[[#This Row],[Column2]],Table12[[Column2]:[Column54]],34,FALSE),"0")</f>
        <v>0</v>
      </c>
      <c r="AJ89" s="67">
        <f>AVERAGE(Table1215[[#This Row],[Column31]],Table1215[[#This Row],[Column32]],Table1215[[#This Row],[Column33]])</f>
        <v>0</v>
      </c>
      <c r="AK89" s="61">
        <f>IFERROR(VLOOKUP(Table1215[[#This Row],[Column2]],Table12[[Column2]:[Column54]],36,FALSE),"0")</f>
        <v>2</v>
      </c>
      <c r="AL89" s="61">
        <f>IFERROR(VLOOKUP(Table1215[[#This Row],[Column2]],Table12[[Column2]:[Column54]],37,FALSE),"0")</f>
        <v>3</v>
      </c>
      <c r="AM89" s="61">
        <f>IFERROR(VLOOKUP(Table1215[[#This Row],[Column2]],Table12[[Column2]:[Column54]],38,FALSE),"0")</f>
        <v>0</v>
      </c>
      <c r="AN89" s="61">
        <f>IFERROR(VLOOKUP(Table1215[[#This Row],[Column2]],Table12[[Column2]:[Column54]],39,FALSE),"0")</f>
        <v>3</v>
      </c>
      <c r="AO89" s="61">
        <f>IFERROR(VLOOKUP(Table1215[[#This Row],[Column2]],Table12[[Column2]:[Column54]],40,FALSE),"0")</f>
        <v>0</v>
      </c>
      <c r="AP89" s="67">
        <f>AVERAGE(Table1215[[#This Row],[Column37]],Table1215[[#This Row],[Column38]],Table1215[[#This Row],[Column40]])</f>
        <v>2.6666666666666665</v>
      </c>
      <c r="AQ89" s="61">
        <f>IFERROR(VLOOKUP(Table1215[[#This Row],[Column2]],Table12[[Column2]:[Column54]],42,FALSE),"0")</f>
        <v>3</v>
      </c>
      <c r="AR89" s="61">
        <f>IFERROR(VLOOKUP(Table1215[[#This Row],[Column2]],Table12[[Column2]:[Column54]],43,FALSE),"0")</f>
        <v>0</v>
      </c>
      <c r="AS89" s="61">
        <f>IFERROR(VLOOKUP(Table1215[[#This Row],[Column2]],Table12[[Column2]:[Column54]],44,FALSE),"0")</f>
        <v>0</v>
      </c>
      <c r="AT89" s="61">
        <f>IFERROR(VLOOKUP(Table1215[[#This Row],[Column2]],Table12[[Column2]:[Column54]],45,FALSE),"0")</f>
        <v>0</v>
      </c>
      <c r="AU89" s="61">
        <f>IFERROR(VLOOKUP(Table1215[[#This Row],[Column2]],Table12[[Column2]:[Column54]],46,FALSE),"0")</f>
        <v>0</v>
      </c>
      <c r="AV89" s="67">
        <f>Table1215[[#This Row],[Column43]]</f>
        <v>3</v>
      </c>
      <c r="AW89" s="61">
        <f>IFERROR(VLOOKUP(Table1215[[#This Row],[Column2]],Table12[[Column2]:[Column54]],48,FALSE),"0")</f>
        <v>0</v>
      </c>
      <c r="AX89" s="61">
        <f>IFERROR(VLOOKUP(Table1215[[#This Row],[Column2]],Table12[[Column2]:[Column54]],49,FALSE),"0")</f>
        <v>0</v>
      </c>
      <c r="AY89" s="61">
        <f>IFERROR(VLOOKUP(Table1215[[#This Row],[Column2]],Table12[[Column2]:[Column54]],50,FALSE),"0")</f>
        <v>0</v>
      </c>
      <c r="AZ89" s="61">
        <f>IFERROR(VLOOKUP(Table1215[[#This Row],[Column2]],Table12[[Column2]:[Column54]],51,FALSE),"0")</f>
        <v>3</v>
      </c>
      <c r="BA89" s="61">
        <f>IFERROR(VLOOKUP(Table1215[[#This Row],[Column2]],Table12[[Column2]:[Column54]],52,FALSE),"0")</f>
        <v>2</v>
      </c>
      <c r="BB89" s="67">
        <f>AVERAGE(Table1215[[#This Row],[Column52]],Table1215[[#This Row],[Column53]])</f>
        <v>2.5</v>
      </c>
    </row>
    <row r="90" spans="1:54" ht="23.1" customHeight="1" x14ac:dyDescent="0.3">
      <c r="A90" s="86">
        <v>87</v>
      </c>
      <c r="B90" s="63" t="s">
        <v>338</v>
      </c>
      <c r="C90" s="64" t="s">
        <v>339</v>
      </c>
      <c r="D90" s="63" t="s">
        <v>542</v>
      </c>
      <c r="E90" s="63" t="s">
        <v>493</v>
      </c>
      <c r="F90" s="63" t="str">
        <f>REPT(CHAR(160),10)&amp;Working!$E91</f>
        <v>          C</v>
      </c>
      <c r="G90" s="65">
        <f>IFERROR(VLOOKUP(Table1215[[#This Row],[Column2]],Table12[[Column2]:[Column54]],6,FALSE),"0")</f>
        <v>0</v>
      </c>
      <c r="H90" s="65">
        <f>IFERROR(VLOOKUP(Table1215[[#This Row],[Column2]],Table12[[Column2]:[Column54]],7,FALSE),"0")</f>
        <v>0</v>
      </c>
      <c r="I90" s="65">
        <f>IFERROR(VLOOKUP(Table1215[[#This Row],[Column2]],Table12[[Column2]:[Column54]],8,FALSE),"0")</f>
        <v>3</v>
      </c>
      <c r="J90" s="65">
        <f>IFERROR(VLOOKUP(Table1215[[#This Row],[Column2]],Table12[[Column2]:[Column54]],9,FALSE),"0")</f>
        <v>0</v>
      </c>
      <c r="K90" s="65">
        <f>IFERROR(VLOOKUP(Table1215[[#This Row],[Column2]],Table12[[Column2]:[Column54]],10,FALSE),"0")</f>
        <v>0</v>
      </c>
      <c r="L90" s="67">
        <f>Table1215[[#This Row],[Column9]]</f>
        <v>3</v>
      </c>
      <c r="M90" s="65">
        <f>IFERROR(VLOOKUP(Table1215[[#This Row],[Column2]],Table12[[Column2]:[Column54]],12,FALSE),"0")</f>
        <v>0</v>
      </c>
      <c r="N90" s="65">
        <f>IFERROR(VLOOKUP(Table1215[[#This Row],[Column2]],Table12[[Column2]:[Column54]],13,FALSE),"0")</f>
        <v>3</v>
      </c>
      <c r="O90" s="65">
        <f>IFERROR(VLOOKUP(Table1215[[#This Row],[Column2]],Table12[[Column2]:[Column54]],14,FALSE),"0")</f>
        <v>3</v>
      </c>
      <c r="P90" s="65">
        <f>IFERROR(VLOOKUP(Table1215[[#This Row],[Column2]],Table12[[Column2]:[Column54]],10,FALSE),"0")</f>
        <v>0</v>
      </c>
      <c r="Q90" s="65">
        <f>IFERROR(VLOOKUP(Table1215[[#This Row],[Column2]],Table12[[Column2]:[Column54]],16,FALSE),"0")</f>
        <v>3</v>
      </c>
      <c r="R90" s="67">
        <f>AVERAGE(Table1215[[#This Row],[Column14]],Table1215[[#This Row],[Column15]],Table1215[[#This Row],[Column17]])</f>
        <v>3</v>
      </c>
      <c r="S90" s="65">
        <f>IFERROR(VLOOKUP(Table1215[[#This Row],[Column2]],Table12[[Column2]:[Column54]],18,FALSE),"0")</f>
        <v>0</v>
      </c>
      <c r="T90" s="65">
        <f>IFERROR(VLOOKUP(Table1215[[#This Row],[Column2]],Table12[[Column2]:[Column54]],19,FALSE),"0")</f>
        <v>0</v>
      </c>
      <c r="U90" s="65">
        <f>IFERROR(VLOOKUP(Table1215[[#This Row],[Column2]],Table12[[Column2]:[Column54]],20,FALSE),"0")</f>
        <v>0</v>
      </c>
      <c r="V90" s="65">
        <f>IFERROR(VLOOKUP(Table1215[[#This Row],[Column2]],Table12[[Column2]:[Column54]],21,FALSE),"0")</f>
        <v>0</v>
      </c>
      <c r="W90" s="65">
        <f>IFERROR(VLOOKUP(Table1215[[#This Row],[Column2]],Table12[[Column2]:[Column54]],22,FALSE),"0")</f>
        <v>0</v>
      </c>
      <c r="X90" s="67">
        <f>Table1215[[#This Row],[Column19]]</f>
        <v>0</v>
      </c>
      <c r="Y90" s="65">
        <f>IFERROR(VLOOKUP(Table1215[[#This Row],[Column2]],Table12[[Column2]:[Column54]],24,FALSE),"0")</f>
        <v>3</v>
      </c>
      <c r="Z90" s="65">
        <f>IFERROR(VLOOKUP(Table1215[[#This Row],[Column2]],Table12[[Column2]:[Column54]],25,FALSE),"0")</f>
        <v>0</v>
      </c>
      <c r="AA90" s="65">
        <f>IFERROR(VLOOKUP(Table1215[[#This Row],[Column2]],Table12[[Column2]:[Column54]],26,FALSE),"0")</f>
        <v>0</v>
      </c>
      <c r="AB90" s="65">
        <f>IFERROR(VLOOKUP(Table1215[[#This Row],[Column2]],Table12[[Column2]:[Column54]],27,FALSE),"0")</f>
        <v>0</v>
      </c>
      <c r="AC90" s="65">
        <f>IFERROR(VLOOKUP(Table1215[[#This Row],[Column2]],Table12[[Column2]:[Column54]],28,FALSE),"0")</f>
        <v>0</v>
      </c>
      <c r="AD90" s="67">
        <f>Table1215[[#This Row],[Column25]]</f>
        <v>3</v>
      </c>
      <c r="AE90" s="65">
        <f>IFERROR(VLOOKUP(Table1215[[#This Row],[Column2]],Table12[[Column2]:[Column54]],30,FALSE),"0")</f>
        <v>0</v>
      </c>
      <c r="AF90" s="65">
        <f>IFERROR(VLOOKUP(Table1215[[#This Row],[Column2]],Table12[[Column2]:[Column54]],31,FALSE),"0")</f>
        <v>0</v>
      </c>
      <c r="AG90" s="65">
        <f>IFERROR(VLOOKUP(Table1215[[#This Row],[Column2]],Table12[[Column2]:[Column54]],32,FALSE),"0")</f>
        <v>0</v>
      </c>
      <c r="AH90" s="65">
        <f>IFERROR(VLOOKUP(Table1215[[#This Row],[Column2]],Table12[[Column2]:[Column54]],33,FALSE),"0")</f>
        <v>0</v>
      </c>
      <c r="AI90" s="65">
        <f>IFERROR(VLOOKUP(Table1215[[#This Row],[Column2]],Table12[[Column2]:[Column54]],34,FALSE),"0")</f>
        <v>0</v>
      </c>
      <c r="AJ90" s="67">
        <f>AVERAGE(Table1215[[#This Row],[Column31]],Table1215[[#This Row],[Column32]],Table1215[[#This Row],[Column33]])</f>
        <v>0</v>
      </c>
      <c r="AK90" s="65">
        <f>IFERROR(VLOOKUP(Table1215[[#This Row],[Column2]],Table12[[Column2]:[Column54]],36,FALSE),"0")</f>
        <v>4</v>
      </c>
      <c r="AL90" s="65">
        <f>IFERROR(VLOOKUP(Table1215[[#This Row],[Column2]],Table12[[Column2]:[Column54]],37,FALSE),"0")</f>
        <v>3</v>
      </c>
      <c r="AM90" s="65">
        <f>IFERROR(VLOOKUP(Table1215[[#This Row],[Column2]],Table12[[Column2]:[Column54]],38,FALSE),"0")</f>
        <v>0</v>
      </c>
      <c r="AN90" s="65">
        <f>IFERROR(VLOOKUP(Table1215[[#This Row],[Column2]],Table12[[Column2]:[Column54]],39,FALSE),"0")</f>
        <v>4</v>
      </c>
      <c r="AO90" s="65">
        <f>IFERROR(VLOOKUP(Table1215[[#This Row],[Column2]],Table12[[Column2]:[Column54]],40,FALSE),"0")</f>
        <v>0</v>
      </c>
      <c r="AP90" s="67">
        <f>AVERAGE(Table1215[[#This Row],[Column37]],Table1215[[#This Row],[Column38]],Table1215[[#This Row],[Column40]])</f>
        <v>3.6666666666666665</v>
      </c>
      <c r="AQ90" s="65">
        <f>IFERROR(VLOOKUP(Table1215[[#This Row],[Column2]],Table12[[Column2]:[Column54]],42,FALSE),"0")</f>
        <v>3</v>
      </c>
      <c r="AR90" s="65">
        <f>IFERROR(VLOOKUP(Table1215[[#This Row],[Column2]],Table12[[Column2]:[Column54]],43,FALSE),"0")</f>
        <v>0</v>
      </c>
      <c r="AS90" s="65">
        <f>IFERROR(VLOOKUP(Table1215[[#This Row],[Column2]],Table12[[Column2]:[Column54]],44,FALSE),"0")</f>
        <v>0</v>
      </c>
      <c r="AT90" s="65">
        <f>IFERROR(VLOOKUP(Table1215[[#This Row],[Column2]],Table12[[Column2]:[Column54]],45,FALSE),"0")</f>
        <v>0</v>
      </c>
      <c r="AU90" s="65">
        <f>IFERROR(VLOOKUP(Table1215[[#This Row],[Column2]],Table12[[Column2]:[Column54]],46,FALSE),"0")</f>
        <v>0</v>
      </c>
      <c r="AV90" s="67">
        <f>Table1215[[#This Row],[Column43]]</f>
        <v>3</v>
      </c>
      <c r="AW90" s="65">
        <f>IFERROR(VLOOKUP(Table1215[[#This Row],[Column2]],Table12[[Column2]:[Column54]],48,FALSE),"0")</f>
        <v>0</v>
      </c>
      <c r="AX90" s="65">
        <f>IFERROR(VLOOKUP(Table1215[[#This Row],[Column2]],Table12[[Column2]:[Column54]],49,FALSE),"0")</f>
        <v>0</v>
      </c>
      <c r="AY90" s="65">
        <f>IFERROR(VLOOKUP(Table1215[[#This Row],[Column2]],Table12[[Column2]:[Column54]],50,FALSE),"0")</f>
        <v>0</v>
      </c>
      <c r="AZ90" s="65">
        <f>IFERROR(VLOOKUP(Table1215[[#This Row],[Column2]],Table12[[Column2]:[Column54]],51,FALSE),"0")</f>
        <v>2</v>
      </c>
      <c r="BA90" s="65">
        <f>IFERROR(VLOOKUP(Table1215[[#This Row],[Column2]],Table12[[Column2]:[Column54]],52,FALSE),"0")</f>
        <v>4</v>
      </c>
      <c r="BB90" s="67">
        <f>AVERAGE(Table1215[[#This Row],[Column52]],Table1215[[#This Row],[Column53]])</f>
        <v>3</v>
      </c>
    </row>
    <row r="91" spans="1:54" ht="23.1" customHeight="1" x14ac:dyDescent="0.3">
      <c r="A91" s="87">
        <v>88</v>
      </c>
      <c r="B91" s="70" t="s">
        <v>136</v>
      </c>
      <c r="C91" s="71" t="s">
        <v>137</v>
      </c>
      <c r="D91" s="70" t="s">
        <v>542</v>
      </c>
      <c r="E91" s="70" t="s">
        <v>35</v>
      </c>
      <c r="F91" s="70" t="str">
        <f>REPT(CHAR(160),10)&amp;Working!$E92</f>
        <v>          A</v>
      </c>
      <c r="G91" s="61">
        <f>IFERROR(VLOOKUP(Table1215[[#This Row],[Column2]],Table12[[Column2]:[Column54]],6,FALSE),"0")</f>
        <v>0</v>
      </c>
      <c r="H91" s="61">
        <f>IFERROR(VLOOKUP(Table1215[[#This Row],[Column2]],Table12[[Column2]:[Column54]],7,FALSE),"0")</f>
        <v>0</v>
      </c>
      <c r="I91" s="61">
        <f>IFERROR(VLOOKUP(Table1215[[#This Row],[Column2]],Table12[[Column2]:[Column54]],8,FALSE),"0")</f>
        <v>3</v>
      </c>
      <c r="J91" s="61">
        <f>IFERROR(VLOOKUP(Table1215[[#This Row],[Column2]],Table12[[Column2]:[Column54]],9,FALSE),"0")</f>
        <v>0</v>
      </c>
      <c r="K91" s="61">
        <f>IFERROR(VLOOKUP(Table1215[[#This Row],[Column2]],Table12[[Column2]:[Column54]],10,FALSE),"0")</f>
        <v>0</v>
      </c>
      <c r="L91" s="67">
        <f>Table1215[[#This Row],[Column9]]</f>
        <v>3</v>
      </c>
      <c r="M91" s="61">
        <f>IFERROR(VLOOKUP(Table1215[[#This Row],[Column2]],Table12[[Column2]:[Column54]],12,FALSE),"0")</f>
        <v>0</v>
      </c>
      <c r="N91" s="61">
        <f>IFERROR(VLOOKUP(Table1215[[#This Row],[Column2]],Table12[[Column2]:[Column54]],13,FALSE),"0")</f>
        <v>3</v>
      </c>
      <c r="O91" s="61">
        <f>IFERROR(VLOOKUP(Table1215[[#This Row],[Column2]],Table12[[Column2]:[Column54]],14,FALSE),"0")</f>
        <v>3</v>
      </c>
      <c r="P91" s="61">
        <f>IFERROR(VLOOKUP(Table1215[[#This Row],[Column2]],Table12[[Column2]:[Column54]],10,FALSE),"0")</f>
        <v>0</v>
      </c>
      <c r="Q91" s="61">
        <f>IFERROR(VLOOKUP(Table1215[[#This Row],[Column2]],Table12[[Column2]:[Column54]],16,FALSE),"0")</f>
        <v>3</v>
      </c>
      <c r="R91" s="67">
        <f>AVERAGE(Table1215[[#This Row],[Column14]],Table1215[[#This Row],[Column15]],Table1215[[#This Row],[Column17]])</f>
        <v>3</v>
      </c>
      <c r="S91" s="61">
        <f>IFERROR(VLOOKUP(Table1215[[#This Row],[Column2]],Table12[[Column2]:[Column54]],18,FALSE),"0")</f>
        <v>0</v>
      </c>
      <c r="T91" s="61">
        <f>IFERROR(VLOOKUP(Table1215[[#This Row],[Column2]],Table12[[Column2]:[Column54]],19,FALSE),"0")</f>
        <v>0</v>
      </c>
      <c r="U91" s="61">
        <f>IFERROR(VLOOKUP(Table1215[[#This Row],[Column2]],Table12[[Column2]:[Column54]],20,FALSE),"0")</f>
        <v>0</v>
      </c>
      <c r="V91" s="61">
        <f>IFERROR(VLOOKUP(Table1215[[#This Row],[Column2]],Table12[[Column2]:[Column54]],21,FALSE),"0")</f>
        <v>0</v>
      </c>
      <c r="W91" s="61">
        <f>IFERROR(VLOOKUP(Table1215[[#This Row],[Column2]],Table12[[Column2]:[Column54]],22,FALSE),"0")</f>
        <v>0</v>
      </c>
      <c r="X91" s="67">
        <f>Table1215[[#This Row],[Column19]]</f>
        <v>0</v>
      </c>
      <c r="Y91" s="61">
        <f>IFERROR(VLOOKUP(Table1215[[#This Row],[Column2]],Table12[[Column2]:[Column54]],24,FALSE),"0")</f>
        <v>3</v>
      </c>
      <c r="Z91" s="61">
        <f>IFERROR(VLOOKUP(Table1215[[#This Row],[Column2]],Table12[[Column2]:[Column54]],25,FALSE),"0")</f>
        <v>0</v>
      </c>
      <c r="AA91" s="61">
        <f>IFERROR(VLOOKUP(Table1215[[#This Row],[Column2]],Table12[[Column2]:[Column54]],26,FALSE),"0")</f>
        <v>0</v>
      </c>
      <c r="AB91" s="61">
        <f>IFERROR(VLOOKUP(Table1215[[#This Row],[Column2]],Table12[[Column2]:[Column54]],27,FALSE),"0")</f>
        <v>0</v>
      </c>
      <c r="AC91" s="61">
        <f>IFERROR(VLOOKUP(Table1215[[#This Row],[Column2]],Table12[[Column2]:[Column54]],28,FALSE),"0")</f>
        <v>0</v>
      </c>
      <c r="AD91" s="67">
        <f>Table1215[[#This Row],[Column25]]</f>
        <v>3</v>
      </c>
      <c r="AE91" s="61">
        <f>IFERROR(VLOOKUP(Table1215[[#This Row],[Column2]],Table12[[Column2]:[Column54]],30,FALSE),"0")</f>
        <v>0</v>
      </c>
      <c r="AF91" s="61">
        <f>IFERROR(VLOOKUP(Table1215[[#This Row],[Column2]],Table12[[Column2]:[Column54]],31,FALSE),"0")</f>
        <v>0</v>
      </c>
      <c r="AG91" s="61">
        <f>IFERROR(VLOOKUP(Table1215[[#This Row],[Column2]],Table12[[Column2]:[Column54]],32,FALSE),"0")</f>
        <v>0</v>
      </c>
      <c r="AH91" s="61">
        <f>IFERROR(VLOOKUP(Table1215[[#This Row],[Column2]],Table12[[Column2]:[Column54]],33,FALSE),"0")</f>
        <v>0</v>
      </c>
      <c r="AI91" s="61">
        <f>IFERROR(VLOOKUP(Table1215[[#This Row],[Column2]],Table12[[Column2]:[Column54]],34,FALSE),"0")</f>
        <v>0</v>
      </c>
      <c r="AJ91" s="67">
        <f>AVERAGE(Table1215[[#This Row],[Column31]],Table1215[[#This Row],[Column32]],Table1215[[#This Row],[Column33]])</f>
        <v>0</v>
      </c>
      <c r="AK91" s="61">
        <f>IFERROR(VLOOKUP(Table1215[[#This Row],[Column2]],Table12[[Column2]:[Column54]],36,FALSE),"0")</f>
        <v>3</v>
      </c>
      <c r="AL91" s="61">
        <f>IFERROR(VLOOKUP(Table1215[[#This Row],[Column2]],Table12[[Column2]:[Column54]],37,FALSE),"0")</f>
        <v>4</v>
      </c>
      <c r="AM91" s="61">
        <f>IFERROR(VLOOKUP(Table1215[[#This Row],[Column2]],Table12[[Column2]:[Column54]],38,FALSE),"0")</f>
        <v>0</v>
      </c>
      <c r="AN91" s="61">
        <f>IFERROR(VLOOKUP(Table1215[[#This Row],[Column2]],Table12[[Column2]:[Column54]],39,FALSE),"0")</f>
        <v>4</v>
      </c>
      <c r="AO91" s="61">
        <f>IFERROR(VLOOKUP(Table1215[[#This Row],[Column2]],Table12[[Column2]:[Column54]],40,FALSE),"0")</f>
        <v>0</v>
      </c>
      <c r="AP91" s="67">
        <f>AVERAGE(Table1215[[#This Row],[Column37]],Table1215[[#This Row],[Column38]],Table1215[[#This Row],[Column40]])</f>
        <v>3.6666666666666665</v>
      </c>
      <c r="AQ91" s="61">
        <f>IFERROR(VLOOKUP(Table1215[[#This Row],[Column2]],Table12[[Column2]:[Column54]],42,FALSE),"0")</f>
        <v>3</v>
      </c>
      <c r="AR91" s="61">
        <f>IFERROR(VLOOKUP(Table1215[[#This Row],[Column2]],Table12[[Column2]:[Column54]],43,FALSE),"0")</f>
        <v>0</v>
      </c>
      <c r="AS91" s="61">
        <f>IFERROR(VLOOKUP(Table1215[[#This Row],[Column2]],Table12[[Column2]:[Column54]],44,FALSE),"0")</f>
        <v>0</v>
      </c>
      <c r="AT91" s="61">
        <f>IFERROR(VLOOKUP(Table1215[[#This Row],[Column2]],Table12[[Column2]:[Column54]],45,FALSE),"0")</f>
        <v>0</v>
      </c>
      <c r="AU91" s="61">
        <f>IFERROR(VLOOKUP(Table1215[[#This Row],[Column2]],Table12[[Column2]:[Column54]],46,FALSE),"0")</f>
        <v>0</v>
      </c>
      <c r="AV91" s="67">
        <f>Table1215[[#This Row],[Column43]]</f>
        <v>3</v>
      </c>
      <c r="AW91" s="61">
        <f>IFERROR(VLOOKUP(Table1215[[#This Row],[Column2]],Table12[[Column2]:[Column54]],48,FALSE),"0")</f>
        <v>0</v>
      </c>
      <c r="AX91" s="61">
        <f>IFERROR(VLOOKUP(Table1215[[#This Row],[Column2]],Table12[[Column2]:[Column54]],49,FALSE),"0")</f>
        <v>0</v>
      </c>
      <c r="AY91" s="61">
        <f>IFERROR(VLOOKUP(Table1215[[#This Row],[Column2]],Table12[[Column2]:[Column54]],50,FALSE),"0")</f>
        <v>0</v>
      </c>
      <c r="AZ91" s="61">
        <f>IFERROR(VLOOKUP(Table1215[[#This Row],[Column2]],Table12[[Column2]:[Column54]],51,FALSE),"0")</f>
        <v>4</v>
      </c>
      <c r="BA91" s="61">
        <f>IFERROR(VLOOKUP(Table1215[[#This Row],[Column2]],Table12[[Column2]:[Column54]],52,FALSE),"0")</f>
        <v>3</v>
      </c>
      <c r="BB91" s="67">
        <f>AVERAGE(Table1215[[#This Row],[Column52]],Table1215[[#This Row],[Column53]])</f>
        <v>3.5</v>
      </c>
    </row>
    <row r="92" spans="1:54" ht="23.1" customHeight="1" x14ac:dyDescent="0.3">
      <c r="A92" s="86">
        <v>89</v>
      </c>
      <c r="B92" s="63" t="s">
        <v>62</v>
      </c>
      <c r="C92" s="64" t="s">
        <v>63</v>
      </c>
      <c r="D92" s="63" t="s">
        <v>542</v>
      </c>
      <c r="E92" s="63" t="s">
        <v>35</v>
      </c>
      <c r="F92" s="63" t="str">
        <f>REPT(CHAR(160),10)&amp;Working!$E93</f>
        <v>          A</v>
      </c>
      <c r="G92" s="65">
        <f>IFERROR(VLOOKUP(Table1215[[#This Row],[Column2]],Table12[[Column2]:[Column54]],6,FALSE),"0")</f>
        <v>0</v>
      </c>
      <c r="H92" s="65">
        <f>IFERROR(VLOOKUP(Table1215[[#This Row],[Column2]],Table12[[Column2]:[Column54]],7,FALSE),"0")</f>
        <v>0</v>
      </c>
      <c r="I92" s="65">
        <f>IFERROR(VLOOKUP(Table1215[[#This Row],[Column2]],Table12[[Column2]:[Column54]],8,FALSE),"0")</f>
        <v>3</v>
      </c>
      <c r="J92" s="65">
        <f>IFERROR(VLOOKUP(Table1215[[#This Row],[Column2]],Table12[[Column2]:[Column54]],9,FALSE),"0")</f>
        <v>0</v>
      </c>
      <c r="K92" s="65">
        <f>IFERROR(VLOOKUP(Table1215[[#This Row],[Column2]],Table12[[Column2]:[Column54]],10,FALSE),"0")</f>
        <v>0</v>
      </c>
      <c r="L92" s="67">
        <f>Table1215[[#This Row],[Column9]]</f>
        <v>3</v>
      </c>
      <c r="M92" s="65">
        <f>IFERROR(VLOOKUP(Table1215[[#This Row],[Column2]],Table12[[Column2]:[Column54]],12,FALSE),"0")</f>
        <v>0</v>
      </c>
      <c r="N92" s="65">
        <f>IFERROR(VLOOKUP(Table1215[[#This Row],[Column2]],Table12[[Column2]:[Column54]],13,FALSE),"0")</f>
        <v>3</v>
      </c>
      <c r="O92" s="65">
        <f>IFERROR(VLOOKUP(Table1215[[#This Row],[Column2]],Table12[[Column2]:[Column54]],14,FALSE),"0")</f>
        <v>2</v>
      </c>
      <c r="P92" s="65">
        <f>IFERROR(VLOOKUP(Table1215[[#This Row],[Column2]],Table12[[Column2]:[Column54]],10,FALSE),"0")</f>
        <v>0</v>
      </c>
      <c r="Q92" s="65">
        <f>IFERROR(VLOOKUP(Table1215[[#This Row],[Column2]],Table12[[Column2]:[Column54]],16,FALSE),"0")</f>
        <v>2</v>
      </c>
      <c r="R92" s="67">
        <f>AVERAGE(Table1215[[#This Row],[Column14]],Table1215[[#This Row],[Column15]],Table1215[[#This Row],[Column17]])</f>
        <v>2.3333333333333335</v>
      </c>
      <c r="S92" s="65">
        <f>IFERROR(VLOOKUP(Table1215[[#This Row],[Column2]],Table12[[Column2]:[Column54]],18,FALSE),"0")</f>
        <v>0</v>
      </c>
      <c r="T92" s="65">
        <f>IFERROR(VLOOKUP(Table1215[[#This Row],[Column2]],Table12[[Column2]:[Column54]],19,FALSE),"0")</f>
        <v>0</v>
      </c>
      <c r="U92" s="65">
        <f>IFERROR(VLOOKUP(Table1215[[#This Row],[Column2]],Table12[[Column2]:[Column54]],20,FALSE),"0")</f>
        <v>0</v>
      </c>
      <c r="V92" s="65">
        <f>IFERROR(VLOOKUP(Table1215[[#This Row],[Column2]],Table12[[Column2]:[Column54]],21,FALSE),"0")</f>
        <v>0</v>
      </c>
      <c r="W92" s="65">
        <f>IFERROR(VLOOKUP(Table1215[[#This Row],[Column2]],Table12[[Column2]:[Column54]],22,FALSE),"0")</f>
        <v>0</v>
      </c>
      <c r="X92" s="67">
        <f>Table1215[[#This Row],[Column19]]</f>
        <v>0</v>
      </c>
      <c r="Y92" s="65">
        <f>IFERROR(VLOOKUP(Table1215[[#This Row],[Column2]],Table12[[Column2]:[Column54]],24,FALSE),"0")</f>
        <v>3</v>
      </c>
      <c r="Z92" s="65">
        <f>IFERROR(VLOOKUP(Table1215[[#This Row],[Column2]],Table12[[Column2]:[Column54]],25,FALSE),"0")</f>
        <v>0</v>
      </c>
      <c r="AA92" s="65">
        <f>IFERROR(VLOOKUP(Table1215[[#This Row],[Column2]],Table12[[Column2]:[Column54]],26,FALSE),"0")</f>
        <v>0</v>
      </c>
      <c r="AB92" s="65">
        <f>IFERROR(VLOOKUP(Table1215[[#This Row],[Column2]],Table12[[Column2]:[Column54]],27,FALSE),"0")</f>
        <v>0</v>
      </c>
      <c r="AC92" s="65">
        <f>IFERROR(VLOOKUP(Table1215[[#This Row],[Column2]],Table12[[Column2]:[Column54]],28,FALSE),"0")</f>
        <v>0</v>
      </c>
      <c r="AD92" s="67">
        <f>Table1215[[#This Row],[Column25]]</f>
        <v>3</v>
      </c>
      <c r="AE92" s="65">
        <f>IFERROR(VLOOKUP(Table1215[[#This Row],[Column2]],Table12[[Column2]:[Column54]],30,FALSE),"0")</f>
        <v>0</v>
      </c>
      <c r="AF92" s="65">
        <f>IFERROR(VLOOKUP(Table1215[[#This Row],[Column2]],Table12[[Column2]:[Column54]],31,FALSE),"0")</f>
        <v>0</v>
      </c>
      <c r="AG92" s="65">
        <f>IFERROR(VLOOKUP(Table1215[[#This Row],[Column2]],Table12[[Column2]:[Column54]],32,FALSE),"0")</f>
        <v>0</v>
      </c>
      <c r="AH92" s="65">
        <f>IFERROR(VLOOKUP(Table1215[[#This Row],[Column2]],Table12[[Column2]:[Column54]],33,FALSE),"0")</f>
        <v>0</v>
      </c>
      <c r="AI92" s="65">
        <f>IFERROR(VLOOKUP(Table1215[[#This Row],[Column2]],Table12[[Column2]:[Column54]],34,FALSE),"0")</f>
        <v>0</v>
      </c>
      <c r="AJ92" s="67">
        <f>AVERAGE(Table1215[[#This Row],[Column31]],Table1215[[#This Row],[Column32]],Table1215[[#This Row],[Column33]])</f>
        <v>0</v>
      </c>
      <c r="AK92" s="65">
        <f>IFERROR(VLOOKUP(Table1215[[#This Row],[Column2]],Table12[[Column2]:[Column54]],36,FALSE),"0")</f>
        <v>2</v>
      </c>
      <c r="AL92" s="65">
        <f>IFERROR(VLOOKUP(Table1215[[#This Row],[Column2]],Table12[[Column2]:[Column54]],37,FALSE),"0")</f>
        <v>3</v>
      </c>
      <c r="AM92" s="65">
        <f>IFERROR(VLOOKUP(Table1215[[#This Row],[Column2]],Table12[[Column2]:[Column54]],38,FALSE),"0")</f>
        <v>0</v>
      </c>
      <c r="AN92" s="65">
        <f>IFERROR(VLOOKUP(Table1215[[#This Row],[Column2]],Table12[[Column2]:[Column54]],39,FALSE),"0")</f>
        <v>3</v>
      </c>
      <c r="AO92" s="65">
        <f>IFERROR(VLOOKUP(Table1215[[#This Row],[Column2]],Table12[[Column2]:[Column54]],40,FALSE),"0")</f>
        <v>0</v>
      </c>
      <c r="AP92" s="67">
        <f>AVERAGE(Table1215[[#This Row],[Column37]],Table1215[[#This Row],[Column38]],Table1215[[#This Row],[Column40]])</f>
        <v>2.6666666666666665</v>
      </c>
      <c r="AQ92" s="65">
        <f>IFERROR(VLOOKUP(Table1215[[#This Row],[Column2]],Table12[[Column2]:[Column54]],42,FALSE),"0")</f>
        <v>3</v>
      </c>
      <c r="AR92" s="65">
        <f>IFERROR(VLOOKUP(Table1215[[#This Row],[Column2]],Table12[[Column2]:[Column54]],43,FALSE),"0")</f>
        <v>0</v>
      </c>
      <c r="AS92" s="65">
        <f>IFERROR(VLOOKUP(Table1215[[#This Row],[Column2]],Table12[[Column2]:[Column54]],44,FALSE),"0")</f>
        <v>0</v>
      </c>
      <c r="AT92" s="65">
        <f>IFERROR(VLOOKUP(Table1215[[#This Row],[Column2]],Table12[[Column2]:[Column54]],45,FALSE),"0")</f>
        <v>0</v>
      </c>
      <c r="AU92" s="65">
        <f>IFERROR(VLOOKUP(Table1215[[#This Row],[Column2]],Table12[[Column2]:[Column54]],46,FALSE),"0")</f>
        <v>0</v>
      </c>
      <c r="AV92" s="67">
        <f>Table1215[[#This Row],[Column43]]</f>
        <v>3</v>
      </c>
      <c r="AW92" s="65">
        <f>IFERROR(VLOOKUP(Table1215[[#This Row],[Column2]],Table12[[Column2]:[Column54]],48,FALSE),"0")</f>
        <v>0</v>
      </c>
      <c r="AX92" s="65">
        <f>IFERROR(VLOOKUP(Table1215[[#This Row],[Column2]],Table12[[Column2]:[Column54]],49,FALSE),"0")</f>
        <v>0</v>
      </c>
      <c r="AY92" s="65">
        <f>IFERROR(VLOOKUP(Table1215[[#This Row],[Column2]],Table12[[Column2]:[Column54]],50,FALSE),"0")</f>
        <v>0</v>
      </c>
      <c r="AZ92" s="65">
        <f>IFERROR(VLOOKUP(Table1215[[#This Row],[Column2]],Table12[[Column2]:[Column54]],51,FALSE),"0")</f>
        <v>2</v>
      </c>
      <c r="BA92" s="65">
        <f>IFERROR(VLOOKUP(Table1215[[#This Row],[Column2]],Table12[[Column2]:[Column54]],52,FALSE),"0")</f>
        <v>2</v>
      </c>
      <c r="BB92" s="67">
        <f>AVERAGE(Table1215[[#This Row],[Column52]],Table1215[[#This Row],[Column53]])</f>
        <v>2</v>
      </c>
    </row>
    <row r="93" spans="1:54" ht="23.1" customHeight="1" x14ac:dyDescent="0.3">
      <c r="A93" s="87">
        <v>90</v>
      </c>
      <c r="B93" s="70" t="s">
        <v>38</v>
      </c>
      <c r="C93" s="71" t="s">
        <v>39</v>
      </c>
      <c r="D93" s="70" t="s">
        <v>544</v>
      </c>
      <c r="E93" s="70" t="s">
        <v>35</v>
      </c>
      <c r="F93" s="70" t="str">
        <f>REPT(CHAR(160),10)&amp;Working!$E94</f>
        <v>          A</v>
      </c>
      <c r="G93" s="61">
        <f>IFERROR(VLOOKUP(Table1215[[#This Row],[Column2]],Table12[[Column2]:[Column54]],6,FALSE),"0")</f>
        <v>0</v>
      </c>
      <c r="H93" s="61">
        <f>IFERROR(VLOOKUP(Table1215[[#This Row],[Column2]],Table12[[Column2]:[Column54]],7,FALSE),"0")</f>
        <v>0</v>
      </c>
      <c r="I93" s="61">
        <f>IFERROR(VLOOKUP(Table1215[[#This Row],[Column2]],Table12[[Column2]:[Column54]],8,FALSE),"0")</f>
        <v>3</v>
      </c>
      <c r="J93" s="61">
        <f>IFERROR(VLOOKUP(Table1215[[#This Row],[Column2]],Table12[[Column2]:[Column54]],9,FALSE),"0")</f>
        <v>0</v>
      </c>
      <c r="K93" s="61">
        <f>IFERROR(VLOOKUP(Table1215[[#This Row],[Column2]],Table12[[Column2]:[Column54]],10,FALSE),"0")</f>
        <v>0</v>
      </c>
      <c r="L93" s="67">
        <f>Table1215[[#This Row],[Column9]]</f>
        <v>3</v>
      </c>
      <c r="M93" s="61">
        <f>IFERROR(VLOOKUP(Table1215[[#This Row],[Column2]],Table12[[Column2]:[Column54]],12,FALSE),"0")</f>
        <v>0</v>
      </c>
      <c r="N93" s="61">
        <f>IFERROR(VLOOKUP(Table1215[[#This Row],[Column2]],Table12[[Column2]:[Column54]],13,FALSE),"0")</f>
        <v>4</v>
      </c>
      <c r="O93" s="61">
        <f>IFERROR(VLOOKUP(Table1215[[#This Row],[Column2]],Table12[[Column2]:[Column54]],14,FALSE),"0")</f>
        <v>3</v>
      </c>
      <c r="P93" s="61">
        <f>IFERROR(VLOOKUP(Table1215[[#This Row],[Column2]],Table12[[Column2]:[Column54]],10,FALSE),"0")</f>
        <v>0</v>
      </c>
      <c r="Q93" s="61">
        <f>IFERROR(VLOOKUP(Table1215[[#This Row],[Column2]],Table12[[Column2]:[Column54]],16,FALSE),"0")</f>
        <v>3</v>
      </c>
      <c r="R93" s="67">
        <f>AVERAGE(Table1215[[#This Row],[Column14]],Table1215[[#This Row],[Column15]],Table1215[[#This Row],[Column17]])</f>
        <v>3.3333333333333335</v>
      </c>
      <c r="S93" s="61">
        <f>IFERROR(VLOOKUP(Table1215[[#This Row],[Column2]],Table12[[Column2]:[Column54]],18,FALSE),"0")</f>
        <v>0</v>
      </c>
      <c r="T93" s="61">
        <f>IFERROR(VLOOKUP(Table1215[[#This Row],[Column2]],Table12[[Column2]:[Column54]],19,FALSE),"0")</f>
        <v>0</v>
      </c>
      <c r="U93" s="61">
        <f>IFERROR(VLOOKUP(Table1215[[#This Row],[Column2]],Table12[[Column2]:[Column54]],20,FALSE),"0")</f>
        <v>0</v>
      </c>
      <c r="V93" s="61">
        <f>IFERROR(VLOOKUP(Table1215[[#This Row],[Column2]],Table12[[Column2]:[Column54]],21,FALSE),"0")</f>
        <v>0</v>
      </c>
      <c r="W93" s="61">
        <f>IFERROR(VLOOKUP(Table1215[[#This Row],[Column2]],Table12[[Column2]:[Column54]],22,FALSE),"0")</f>
        <v>0</v>
      </c>
      <c r="X93" s="67">
        <f>Table1215[[#This Row],[Column19]]</f>
        <v>0</v>
      </c>
      <c r="Y93" s="61">
        <f>IFERROR(VLOOKUP(Table1215[[#This Row],[Column2]],Table12[[Column2]:[Column54]],24,FALSE),"0")</f>
        <v>4</v>
      </c>
      <c r="Z93" s="61">
        <f>IFERROR(VLOOKUP(Table1215[[#This Row],[Column2]],Table12[[Column2]:[Column54]],25,FALSE),"0")</f>
        <v>0</v>
      </c>
      <c r="AA93" s="61">
        <f>IFERROR(VLOOKUP(Table1215[[#This Row],[Column2]],Table12[[Column2]:[Column54]],26,FALSE),"0")</f>
        <v>0</v>
      </c>
      <c r="AB93" s="61">
        <f>IFERROR(VLOOKUP(Table1215[[#This Row],[Column2]],Table12[[Column2]:[Column54]],27,FALSE),"0")</f>
        <v>0</v>
      </c>
      <c r="AC93" s="61">
        <f>IFERROR(VLOOKUP(Table1215[[#This Row],[Column2]],Table12[[Column2]:[Column54]],28,FALSE),"0")</f>
        <v>0</v>
      </c>
      <c r="AD93" s="67">
        <f>Table1215[[#This Row],[Column25]]</f>
        <v>4</v>
      </c>
      <c r="AE93" s="61">
        <f>IFERROR(VLOOKUP(Table1215[[#This Row],[Column2]],Table12[[Column2]:[Column54]],30,FALSE),"0")</f>
        <v>0</v>
      </c>
      <c r="AF93" s="61">
        <f>IFERROR(VLOOKUP(Table1215[[#This Row],[Column2]],Table12[[Column2]:[Column54]],31,FALSE),"0")</f>
        <v>0</v>
      </c>
      <c r="AG93" s="61">
        <f>IFERROR(VLOOKUP(Table1215[[#This Row],[Column2]],Table12[[Column2]:[Column54]],32,FALSE),"0")</f>
        <v>0</v>
      </c>
      <c r="AH93" s="61">
        <f>IFERROR(VLOOKUP(Table1215[[#This Row],[Column2]],Table12[[Column2]:[Column54]],33,FALSE),"0")</f>
        <v>0</v>
      </c>
      <c r="AI93" s="61">
        <f>IFERROR(VLOOKUP(Table1215[[#This Row],[Column2]],Table12[[Column2]:[Column54]],34,FALSE),"0")</f>
        <v>0</v>
      </c>
      <c r="AJ93" s="67">
        <f>AVERAGE(Table1215[[#This Row],[Column31]],Table1215[[#This Row],[Column32]],Table1215[[#This Row],[Column33]])</f>
        <v>0</v>
      </c>
      <c r="AK93" s="61">
        <f>IFERROR(VLOOKUP(Table1215[[#This Row],[Column2]],Table12[[Column2]:[Column54]],36,FALSE),"0")</f>
        <v>4</v>
      </c>
      <c r="AL93" s="61">
        <f>IFERROR(VLOOKUP(Table1215[[#This Row],[Column2]],Table12[[Column2]:[Column54]],37,FALSE),"0")</f>
        <v>3</v>
      </c>
      <c r="AM93" s="61">
        <f>IFERROR(VLOOKUP(Table1215[[#This Row],[Column2]],Table12[[Column2]:[Column54]],38,FALSE),"0")</f>
        <v>0</v>
      </c>
      <c r="AN93" s="61">
        <f>IFERROR(VLOOKUP(Table1215[[#This Row],[Column2]],Table12[[Column2]:[Column54]],39,FALSE),"0")</f>
        <v>3</v>
      </c>
      <c r="AO93" s="61">
        <f>IFERROR(VLOOKUP(Table1215[[#This Row],[Column2]],Table12[[Column2]:[Column54]],40,FALSE),"0")</f>
        <v>0</v>
      </c>
      <c r="AP93" s="67">
        <f>AVERAGE(Table1215[[#This Row],[Column37]],Table1215[[#This Row],[Column38]],Table1215[[#This Row],[Column40]])</f>
        <v>3.3333333333333335</v>
      </c>
      <c r="AQ93" s="61">
        <f>IFERROR(VLOOKUP(Table1215[[#This Row],[Column2]],Table12[[Column2]:[Column54]],42,FALSE),"0")</f>
        <v>3</v>
      </c>
      <c r="AR93" s="61">
        <f>IFERROR(VLOOKUP(Table1215[[#This Row],[Column2]],Table12[[Column2]:[Column54]],43,FALSE),"0")</f>
        <v>0</v>
      </c>
      <c r="AS93" s="61">
        <f>IFERROR(VLOOKUP(Table1215[[#This Row],[Column2]],Table12[[Column2]:[Column54]],44,FALSE),"0")</f>
        <v>0</v>
      </c>
      <c r="AT93" s="61">
        <f>IFERROR(VLOOKUP(Table1215[[#This Row],[Column2]],Table12[[Column2]:[Column54]],45,FALSE),"0")</f>
        <v>0</v>
      </c>
      <c r="AU93" s="61">
        <f>IFERROR(VLOOKUP(Table1215[[#This Row],[Column2]],Table12[[Column2]:[Column54]],46,FALSE),"0")</f>
        <v>0</v>
      </c>
      <c r="AV93" s="67">
        <f>Table1215[[#This Row],[Column43]]</f>
        <v>3</v>
      </c>
      <c r="AW93" s="61">
        <f>IFERROR(VLOOKUP(Table1215[[#This Row],[Column2]],Table12[[Column2]:[Column54]],48,FALSE),"0")</f>
        <v>0</v>
      </c>
      <c r="AX93" s="61">
        <f>IFERROR(VLOOKUP(Table1215[[#This Row],[Column2]],Table12[[Column2]:[Column54]],49,FALSE),"0")</f>
        <v>0</v>
      </c>
      <c r="AY93" s="61">
        <f>IFERROR(VLOOKUP(Table1215[[#This Row],[Column2]],Table12[[Column2]:[Column54]],50,FALSE),"0")</f>
        <v>0</v>
      </c>
      <c r="AZ93" s="61">
        <f>IFERROR(VLOOKUP(Table1215[[#This Row],[Column2]],Table12[[Column2]:[Column54]],51,FALSE),"0")</f>
        <v>2</v>
      </c>
      <c r="BA93" s="61">
        <f>IFERROR(VLOOKUP(Table1215[[#This Row],[Column2]],Table12[[Column2]:[Column54]],52,FALSE),"0")</f>
        <v>4</v>
      </c>
      <c r="BB93" s="67">
        <f>AVERAGE(Table1215[[#This Row],[Column52]],Table1215[[#This Row],[Column53]])</f>
        <v>3</v>
      </c>
    </row>
    <row r="94" spans="1:54" ht="23.1" customHeight="1" x14ac:dyDescent="0.3">
      <c r="A94" s="86">
        <v>91</v>
      </c>
      <c r="B94" s="63" t="s">
        <v>138</v>
      </c>
      <c r="C94" s="64" t="s">
        <v>139</v>
      </c>
      <c r="D94" s="63" t="s">
        <v>450</v>
      </c>
      <c r="E94" s="63" t="s">
        <v>35</v>
      </c>
      <c r="F94" s="63" t="str">
        <f>REPT(CHAR(160),10)&amp;Working!$E95</f>
        <v>          A</v>
      </c>
      <c r="G94" s="65">
        <f>IFERROR(VLOOKUP(Table1215[[#This Row],[Column2]],Table12[[Column2]:[Column54]],6,FALSE),"0")</f>
        <v>0</v>
      </c>
      <c r="H94" s="65">
        <f>IFERROR(VLOOKUP(Table1215[[#This Row],[Column2]],Table12[[Column2]:[Column54]],7,FALSE),"0")</f>
        <v>0</v>
      </c>
      <c r="I94" s="65">
        <f>IFERROR(VLOOKUP(Table1215[[#This Row],[Column2]],Table12[[Column2]:[Column54]],8,FALSE),"0")</f>
        <v>2</v>
      </c>
      <c r="J94" s="65">
        <f>IFERROR(VLOOKUP(Table1215[[#This Row],[Column2]],Table12[[Column2]:[Column54]],9,FALSE),"0")</f>
        <v>0</v>
      </c>
      <c r="K94" s="65">
        <f>IFERROR(VLOOKUP(Table1215[[#This Row],[Column2]],Table12[[Column2]:[Column54]],10,FALSE),"0")</f>
        <v>0</v>
      </c>
      <c r="L94" s="67">
        <f>Table1215[[#This Row],[Column9]]</f>
        <v>2</v>
      </c>
      <c r="M94" s="65">
        <f>IFERROR(VLOOKUP(Table1215[[#This Row],[Column2]],Table12[[Column2]:[Column54]],12,FALSE),"0")</f>
        <v>0</v>
      </c>
      <c r="N94" s="65">
        <f>IFERROR(VLOOKUP(Table1215[[#This Row],[Column2]],Table12[[Column2]:[Column54]],13,FALSE),"0")</f>
        <v>2</v>
      </c>
      <c r="O94" s="65">
        <f>IFERROR(VLOOKUP(Table1215[[#This Row],[Column2]],Table12[[Column2]:[Column54]],14,FALSE),"0")</f>
        <v>2</v>
      </c>
      <c r="P94" s="65">
        <f>IFERROR(VLOOKUP(Table1215[[#This Row],[Column2]],Table12[[Column2]:[Column54]],10,FALSE),"0")</f>
        <v>0</v>
      </c>
      <c r="Q94" s="65">
        <f>IFERROR(VLOOKUP(Table1215[[#This Row],[Column2]],Table12[[Column2]:[Column54]],16,FALSE),"0")</f>
        <v>2</v>
      </c>
      <c r="R94" s="67">
        <f>AVERAGE(Table1215[[#This Row],[Column14]],Table1215[[#This Row],[Column15]],Table1215[[#This Row],[Column17]])</f>
        <v>2</v>
      </c>
      <c r="S94" s="65">
        <f>IFERROR(VLOOKUP(Table1215[[#This Row],[Column2]],Table12[[Column2]:[Column54]],18,FALSE),"0")</f>
        <v>0</v>
      </c>
      <c r="T94" s="65">
        <f>IFERROR(VLOOKUP(Table1215[[#This Row],[Column2]],Table12[[Column2]:[Column54]],19,FALSE),"0")</f>
        <v>0</v>
      </c>
      <c r="U94" s="65">
        <f>IFERROR(VLOOKUP(Table1215[[#This Row],[Column2]],Table12[[Column2]:[Column54]],20,FALSE),"0")</f>
        <v>0</v>
      </c>
      <c r="V94" s="65">
        <f>IFERROR(VLOOKUP(Table1215[[#This Row],[Column2]],Table12[[Column2]:[Column54]],21,FALSE),"0")</f>
        <v>0</v>
      </c>
      <c r="W94" s="65">
        <f>IFERROR(VLOOKUP(Table1215[[#This Row],[Column2]],Table12[[Column2]:[Column54]],22,FALSE),"0")</f>
        <v>0</v>
      </c>
      <c r="X94" s="67">
        <f>Table1215[[#This Row],[Column19]]</f>
        <v>0</v>
      </c>
      <c r="Y94" s="65">
        <f>IFERROR(VLOOKUP(Table1215[[#This Row],[Column2]],Table12[[Column2]:[Column54]],24,FALSE),"0")</f>
        <v>2</v>
      </c>
      <c r="Z94" s="65">
        <f>IFERROR(VLOOKUP(Table1215[[#This Row],[Column2]],Table12[[Column2]:[Column54]],25,FALSE),"0")</f>
        <v>0</v>
      </c>
      <c r="AA94" s="65">
        <f>IFERROR(VLOOKUP(Table1215[[#This Row],[Column2]],Table12[[Column2]:[Column54]],26,FALSE),"0")</f>
        <v>0</v>
      </c>
      <c r="AB94" s="65">
        <f>IFERROR(VLOOKUP(Table1215[[#This Row],[Column2]],Table12[[Column2]:[Column54]],27,FALSE),"0")</f>
        <v>0</v>
      </c>
      <c r="AC94" s="65">
        <f>IFERROR(VLOOKUP(Table1215[[#This Row],[Column2]],Table12[[Column2]:[Column54]],28,FALSE),"0")</f>
        <v>0</v>
      </c>
      <c r="AD94" s="67">
        <f>Table1215[[#This Row],[Column25]]</f>
        <v>2</v>
      </c>
      <c r="AE94" s="65">
        <f>IFERROR(VLOOKUP(Table1215[[#This Row],[Column2]],Table12[[Column2]:[Column54]],30,FALSE),"0")</f>
        <v>0</v>
      </c>
      <c r="AF94" s="65">
        <f>IFERROR(VLOOKUP(Table1215[[#This Row],[Column2]],Table12[[Column2]:[Column54]],31,FALSE),"0")</f>
        <v>0</v>
      </c>
      <c r="AG94" s="65">
        <f>IFERROR(VLOOKUP(Table1215[[#This Row],[Column2]],Table12[[Column2]:[Column54]],32,FALSE),"0")</f>
        <v>0</v>
      </c>
      <c r="AH94" s="65">
        <f>IFERROR(VLOOKUP(Table1215[[#This Row],[Column2]],Table12[[Column2]:[Column54]],33,FALSE),"0")</f>
        <v>0</v>
      </c>
      <c r="AI94" s="65">
        <f>IFERROR(VLOOKUP(Table1215[[#This Row],[Column2]],Table12[[Column2]:[Column54]],34,FALSE),"0")</f>
        <v>0</v>
      </c>
      <c r="AJ94" s="67">
        <f>AVERAGE(Table1215[[#This Row],[Column31]],Table1215[[#This Row],[Column32]],Table1215[[#This Row],[Column33]])</f>
        <v>0</v>
      </c>
      <c r="AK94" s="65">
        <f>IFERROR(VLOOKUP(Table1215[[#This Row],[Column2]],Table12[[Column2]:[Column54]],36,FALSE),"0")</f>
        <v>2</v>
      </c>
      <c r="AL94" s="65">
        <f>IFERROR(VLOOKUP(Table1215[[#This Row],[Column2]],Table12[[Column2]:[Column54]],37,FALSE),"0")</f>
        <v>2</v>
      </c>
      <c r="AM94" s="65">
        <f>IFERROR(VLOOKUP(Table1215[[#This Row],[Column2]],Table12[[Column2]:[Column54]],38,FALSE),"0")</f>
        <v>0</v>
      </c>
      <c r="AN94" s="65">
        <f>IFERROR(VLOOKUP(Table1215[[#This Row],[Column2]],Table12[[Column2]:[Column54]],39,FALSE),"0")</f>
        <v>2</v>
      </c>
      <c r="AO94" s="65">
        <f>IFERROR(VLOOKUP(Table1215[[#This Row],[Column2]],Table12[[Column2]:[Column54]],40,FALSE),"0")</f>
        <v>0</v>
      </c>
      <c r="AP94" s="67">
        <f>AVERAGE(Table1215[[#This Row],[Column37]],Table1215[[#This Row],[Column38]],Table1215[[#This Row],[Column40]])</f>
        <v>2</v>
      </c>
      <c r="AQ94" s="65">
        <f>IFERROR(VLOOKUP(Table1215[[#This Row],[Column2]],Table12[[Column2]:[Column54]],42,FALSE),"0")</f>
        <v>3</v>
      </c>
      <c r="AR94" s="65">
        <f>IFERROR(VLOOKUP(Table1215[[#This Row],[Column2]],Table12[[Column2]:[Column54]],43,FALSE),"0")</f>
        <v>0</v>
      </c>
      <c r="AS94" s="65">
        <f>IFERROR(VLOOKUP(Table1215[[#This Row],[Column2]],Table12[[Column2]:[Column54]],44,FALSE),"0")</f>
        <v>0</v>
      </c>
      <c r="AT94" s="65">
        <f>IFERROR(VLOOKUP(Table1215[[#This Row],[Column2]],Table12[[Column2]:[Column54]],45,FALSE),"0")</f>
        <v>0</v>
      </c>
      <c r="AU94" s="65">
        <f>IFERROR(VLOOKUP(Table1215[[#This Row],[Column2]],Table12[[Column2]:[Column54]],46,FALSE),"0")</f>
        <v>0</v>
      </c>
      <c r="AV94" s="67">
        <f>Table1215[[#This Row],[Column43]]</f>
        <v>3</v>
      </c>
      <c r="AW94" s="65">
        <f>IFERROR(VLOOKUP(Table1215[[#This Row],[Column2]],Table12[[Column2]:[Column54]],48,FALSE),"0")</f>
        <v>0</v>
      </c>
      <c r="AX94" s="65">
        <f>IFERROR(VLOOKUP(Table1215[[#This Row],[Column2]],Table12[[Column2]:[Column54]],49,FALSE),"0")</f>
        <v>0</v>
      </c>
      <c r="AY94" s="65">
        <f>IFERROR(VLOOKUP(Table1215[[#This Row],[Column2]],Table12[[Column2]:[Column54]],50,FALSE),"0")</f>
        <v>0</v>
      </c>
      <c r="AZ94" s="65">
        <f>IFERROR(VLOOKUP(Table1215[[#This Row],[Column2]],Table12[[Column2]:[Column54]],51,FALSE),"0")</f>
        <v>3</v>
      </c>
      <c r="BA94" s="65">
        <f>IFERROR(VLOOKUP(Table1215[[#This Row],[Column2]],Table12[[Column2]:[Column54]],52,FALSE),"0")</f>
        <v>2</v>
      </c>
      <c r="BB94" s="67">
        <f>AVERAGE(Table1215[[#This Row],[Column52]],Table1215[[#This Row],[Column53]])</f>
        <v>2.5</v>
      </c>
    </row>
    <row r="95" spans="1:54" ht="23.1" customHeight="1" x14ac:dyDescent="0.3">
      <c r="A95" s="87">
        <v>92</v>
      </c>
      <c r="B95" s="70" t="s">
        <v>231</v>
      </c>
      <c r="C95" s="71" t="s">
        <v>232</v>
      </c>
      <c r="D95" s="70" t="s">
        <v>450</v>
      </c>
      <c r="E95" s="70" t="s">
        <v>161</v>
      </c>
      <c r="F95" s="70" t="str">
        <f>REPT(CHAR(160),10)&amp;Working!$E96</f>
        <v>          B</v>
      </c>
      <c r="G95" s="61">
        <f>IFERROR(VLOOKUP(Table1215[[#This Row],[Column2]],Table12[[Column2]:[Column54]],6,FALSE),"0")</f>
        <v>0</v>
      </c>
      <c r="H95" s="61">
        <f>IFERROR(VLOOKUP(Table1215[[#This Row],[Column2]],Table12[[Column2]:[Column54]],7,FALSE),"0")</f>
        <v>0</v>
      </c>
      <c r="I95" s="61">
        <f>IFERROR(VLOOKUP(Table1215[[#This Row],[Column2]],Table12[[Column2]:[Column54]],8,FALSE),"0")</f>
        <v>4</v>
      </c>
      <c r="J95" s="61">
        <f>IFERROR(VLOOKUP(Table1215[[#This Row],[Column2]],Table12[[Column2]:[Column54]],9,FALSE),"0")</f>
        <v>0</v>
      </c>
      <c r="K95" s="61">
        <f>IFERROR(VLOOKUP(Table1215[[#This Row],[Column2]],Table12[[Column2]:[Column54]],10,FALSE),"0")</f>
        <v>0</v>
      </c>
      <c r="L95" s="67">
        <f>Table1215[[#This Row],[Column9]]</f>
        <v>4</v>
      </c>
      <c r="M95" s="61">
        <f>IFERROR(VLOOKUP(Table1215[[#This Row],[Column2]],Table12[[Column2]:[Column54]],12,FALSE),"0")</f>
        <v>0</v>
      </c>
      <c r="N95" s="61">
        <f>IFERROR(VLOOKUP(Table1215[[#This Row],[Column2]],Table12[[Column2]:[Column54]],13,FALSE),"0")</f>
        <v>3</v>
      </c>
      <c r="O95" s="61">
        <f>IFERROR(VLOOKUP(Table1215[[#This Row],[Column2]],Table12[[Column2]:[Column54]],14,FALSE),"0")</f>
        <v>4</v>
      </c>
      <c r="P95" s="61">
        <f>IFERROR(VLOOKUP(Table1215[[#This Row],[Column2]],Table12[[Column2]:[Column54]],10,FALSE),"0")</f>
        <v>0</v>
      </c>
      <c r="Q95" s="61">
        <f>IFERROR(VLOOKUP(Table1215[[#This Row],[Column2]],Table12[[Column2]:[Column54]],16,FALSE),"0")</f>
        <v>4</v>
      </c>
      <c r="R95" s="67">
        <f>AVERAGE(Table1215[[#This Row],[Column14]],Table1215[[#This Row],[Column15]],Table1215[[#This Row],[Column17]])</f>
        <v>3.6666666666666665</v>
      </c>
      <c r="S95" s="61">
        <f>IFERROR(VLOOKUP(Table1215[[#This Row],[Column2]],Table12[[Column2]:[Column54]],18,FALSE),"0")</f>
        <v>0</v>
      </c>
      <c r="T95" s="61">
        <f>IFERROR(VLOOKUP(Table1215[[#This Row],[Column2]],Table12[[Column2]:[Column54]],19,FALSE),"0")</f>
        <v>0</v>
      </c>
      <c r="U95" s="61">
        <f>IFERROR(VLOOKUP(Table1215[[#This Row],[Column2]],Table12[[Column2]:[Column54]],20,FALSE),"0")</f>
        <v>0</v>
      </c>
      <c r="V95" s="61">
        <f>IFERROR(VLOOKUP(Table1215[[#This Row],[Column2]],Table12[[Column2]:[Column54]],21,FALSE),"0")</f>
        <v>0</v>
      </c>
      <c r="W95" s="61">
        <f>IFERROR(VLOOKUP(Table1215[[#This Row],[Column2]],Table12[[Column2]:[Column54]],22,FALSE),"0")</f>
        <v>0</v>
      </c>
      <c r="X95" s="67">
        <f>Table1215[[#This Row],[Column19]]</f>
        <v>0</v>
      </c>
      <c r="Y95" s="61">
        <f>IFERROR(VLOOKUP(Table1215[[#This Row],[Column2]],Table12[[Column2]:[Column54]],24,FALSE),"0")</f>
        <v>3</v>
      </c>
      <c r="Z95" s="61">
        <f>IFERROR(VLOOKUP(Table1215[[#This Row],[Column2]],Table12[[Column2]:[Column54]],25,FALSE),"0")</f>
        <v>0</v>
      </c>
      <c r="AA95" s="61">
        <f>IFERROR(VLOOKUP(Table1215[[#This Row],[Column2]],Table12[[Column2]:[Column54]],26,FALSE),"0")</f>
        <v>0</v>
      </c>
      <c r="AB95" s="61">
        <f>IFERROR(VLOOKUP(Table1215[[#This Row],[Column2]],Table12[[Column2]:[Column54]],27,FALSE),"0")</f>
        <v>0</v>
      </c>
      <c r="AC95" s="61">
        <f>IFERROR(VLOOKUP(Table1215[[#This Row],[Column2]],Table12[[Column2]:[Column54]],28,FALSE),"0")</f>
        <v>0</v>
      </c>
      <c r="AD95" s="67">
        <f>Table1215[[#This Row],[Column25]]</f>
        <v>3</v>
      </c>
      <c r="AE95" s="61">
        <f>IFERROR(VLOOKUP(Table1215[[#This Row],[Column2]],Table12[[Column2]:[Column54]],30,FALSE),"0")</f>
        <v>0</v>
      </c>
      <c r="AF95" s="61">
        <f>IFERROR(VLOOKUP(Table1215[[#This Row],[Column2]],Table12[[Column2]:[Column54]],31,FALSE),"0")</f>
        <v>0</v>
      </c>
      <c r="AG95" s="61">
        <f>IFERROR(VLOOKUP(Table1215[[#This Row],[Column2]],Table12[[Column2]:[Column54]],32,FALSE),"0")</f>
        <v>0</v>
      </c>
      <c r="AH95" s="61">
        <f>IFERROR(VLOOKUP(Table1215[[#This Row],[Column2]],Table12[[Column2]:[Column54]],33,FALSE),"0")</f>
        <v>0</v>
      </c>
      <c r="AI95" s="61">
        <f>IFERROR(VLOOKUP(Table1215[[#This Row],[Column2]],Table12[[Column2]:[Column54]],34,FALSE),"0")</f>
        <v>0</v>
      </c>
      <c r="AJ95" s="67">
        <f>AVERAGE(Table1215[[#This Row],[Column31]],Table1215[[#This Row],[Column32]],Table1215[[#This Row],[Column33]])</f>
        <v>0</v>
      </c>
      <c r="AK95" s="61">
        <f>IFERROR(VLOOKUP(Table1215[[#This Row],[Column2]],Table12[[Column2]:[Column54]],36,FALSE),"0")</f>
        <v>3</v>
      </c>
      <c r="AL95" s="61">
        <f>IFERROR(VLOOKUP(Table1215[[#This Row],[Column2]],Table12[[Column2]:[Column54]],37,FALSE),"0")</f>
        <v>3</v>
      </c>
      <c r="AM95" s="61">
        <f>IFERROR(VLOOKUP(Table1215[[#This Row],[Column2]],Table12[[Column2]:[Column54]],38,FALSE),"0")</f>
        <v>0</v>
      </c>
      <c r="AN95" s="61">
        <f>IFERROR(VLOOKUP(Table1215[[#This Row],[Column2]],Table12[[Column2]:[Column54]],39,FALSE),"0")</f>
        <v>4</v>
      </c>
      <c r="AO95" s="61">
        <f>IFERROR(VLOOKUP(Table1215[[#This Row],[Column2]],Table12[[Column2]:[Column54]],40,FALSE),"0")</f>
        <v>0</v>
      </c>
      <c r="AP95" s="67">
        <f>AVERAGE(Table1215[[#This Row],[Column37]],Table1215[[#This Row],[Column38]],Table1215[[#This Row],[Column40]])</f>
        <v>3.3333333333333335</v>
      </c>
      <c r="AQ95" s="61">
        <f>IFERROR(VLOOKUP(Table1215[[#This Row],[Column2]],Table12[[Column2]:[Column54]],42,FALSE),"0")</f>
        <v>4</v>
      </c>
      <c r="AR95" s="61">
        <f>IFERROR(VLOOKUP(Table1215[[#This Row],[Column2]],Table12[[Column2]:[Column54]],43,FALSE),"0")</f>
        <v>0</v>
      </c>
      <c r="AS95" s="61">
        <f>IFERROR(VLOOKUP(Table1215[[#This Row],[Column2]],Table12[[Column2]:[Column54]],44,FALSE),"0")</f>
        <v>0</v>
      </c>
      <c r="AT95" s="61">
        <f>IFERROR(VLOOKUP(Table1215[[#This Row],[Column2]],Table12[[Column2]:[Column54]],45,FALSE),"0")</f>
        <v>0</v>
      </c>
      <c r="AU95" s="61">
        <f>IFERROR(VLOOKUP(Table1215[[#This Row],[Column2]],Table12[[Column2]:[Column54]],46,FALSE),"0")</f>
        <v>0</v>
      </c>
      <c r="AV95" s="67">
        <f>Table1215[[#This Row],[Column43]]</f>
        <v>4</v>
      </c>
      <c r="AW95" s="61">
        <f>IFERROR(VLOOKUP(Table1215[[#This Row],[Column2]],Table12[[Column2]:[Column54]],48,FALSE),"0")</f>
        <v>0</v>
      </c>
      <c r="AX95" s="61">
        <f>IFERROR(VLOOKUP(Table1215[[#This Row],[Column2]],Table12[[Column2]:[Column54]],49,FALSE),"0")</f>
        <v>0</v>
      </c>
      <c r="AY95" s="61">
        <f>IFERROR(VLOOKUP(Table1215[[#This Row],[Column2]],Table12[[Column2]:[Column54]],50,FALSE),"0")</f>
        <v>0</v>
      </c>
      <c r="AZ95" s="61">
        <f>IFERROR(VLOOKUP(Table1215[[#This Row],[Column2]],Table12[[Column2]:[Column54]],51,FALSE),"0")</f>
        <v>2</v>
      </c>
      <c r="BA95" s="61">
        <f>IFERROR(VLOOKUP(Table1215[[#This Row],[Column2]],Table12[[Column2]:[Column54]],52,FALSE),"0")</f>
        <v>4</v>
      </c>
      <c r="BB95" s="67">
        <f>AVERAGE(Table1215[[#This Row],[Column52]],Table1215[[#This Row],[Column53]])</f>
        <v>3</v>
      </c>
    </row>
    <row r="96" spans="1:54" ht="23.1" customHeight="1" x14ac:dyDescent="0.3">
      <c r="A96" s="86">
        <v>93</v>
      </c>
      <c r="B96" s="63" t="s">
        <v>340</v>
      </c>
      <c r="C96" s="64" t="s">
        <v>341</v>
      </c>
      <c r="D96" s="63" t="s">
        <v>542</v>
      </c>
      <c r="E96" s="63" t="s">
        <v>493</v>
      </c>
      <c r="F96" s="63" t="str">
        <f>REPT(CHAR(160),10)&amp;Working!$E97</f>
        <v>          C</v>
      </c>
      <c r="G96" s="65">
        <f>IFERROR(VLOOKUP(Table1215[[#This Row],[Column2]],Table12[[Column2]:[Column54]],6,FALSE),"0")</f>
        <v>0</v>
      </c>
      <c r="H96" s="65">
        <f>IFERROR(VLOOKUP(Table1215[[#This Row],[Column2]],Table12[[Column2]:[Column54]],7,FALSE),"0")</f>
        <v>0</v>
      </c>
      <c r="I96" s="65">
        <f>IFERROR(VLOOKUP(Table1215[[#This Row],[Column2]],Table12[[Column2]:[Column54]],8,FALSE),"0")</f>
        <v>2</v>
      </c>
      <c r="J96" s="65">
        <f>IFERROR(VLOOKUP(Table1215[[#This Row],[Column2]],Table12[[Column2]:[Column54]],9,FALSE),"0")</f>
        <v>0</v>
      </c>
      <c r="K96" s="65">
        <f>IFERROR(VLOOKUP(Table1215[[#This Row],[Column2]],Table12[[Column2]:[Column54]],10,FALSE),"0")</f>
        <v>0</v>
      </c>
      <c r="L96" s="67">
        <f>Table1215[[#This Row],[Column9]]</f>
        <v>2</v>
      </c>
      <c r="M96" s="65">
        <f>IFERROR(VLOOKUP(Table1215[[#This Row],[Column2]],Table12[[Column2]:[Column54]],12,FALSE),"0")</f>
        <v>0</v>
      </c>
      <c r="N96" s="65">
        <f>IFERROR(VLOOKUP(Table1215[[#This Row],[Column2]],Table12[[Column2]:[Column54]],13,FALSE),"0")</f>
        <v>2</v>
      </c>
      <c r="O96" s="65">
        <f>IFERROR(VLOOKUP(Table1215[[#This Row],[Column2]],Table12[[Column2]:[Column54]],14,FALSE),"0")</f>
        <v>2</v>
      </c>
      <c r="P96" s="65">
        <f>IFERROR(VLOOKUP(Table1215[[#This Row],[Column2]],Table12[[Column2]:[Column54]],10,FALSE),"0")</f>
        <v>0</v>
      </c>
      <c r="Q96" s="65">
        <f>IFERROR(VLOOKUP(Table1215[[#This Row],[Column2]],Table12[[Column2]:[Column54]],16,FALSE),"0")</f>
        <v>2</v>
      </c>
      <c r="R96" s="67">
        <f>AVERAGE(Table1215[[#This Row],[Column14]],Table1215[[#This Row],[Column15]],Table1215[[#This Row],[Column17]])</f>
        <v>2</v>
      </c>
      <c r="S96" s="65">
        <f>IFERROR(VLOOKUP(Table1215[[#This Row],[Column2]],Table12[[Column2]:[Column54]],18,FALSE),"0")</f>
        <v>0</v>
      </c>
      <c r="T96" s="65">
        <f>IFERROR(VLOOKUP(Table1215[[#This Row],[Column2]],Table12[[Column2]:[Column54]],19,FALSE),"0")</f>
        <v>0</v>
      </c>
      <c r="U96" s="65">
        <f>IFERROR(VLOOKUP(Table1215[[#This Row],[Column2]],Table12[[Column2]:[Column54]],20,FALSE),"0")</f>
        <v>0</v>
      </c>
      <c r="V96" s="65">
        <f>IFERROR(VLOOKUP(Table1215[[#This Row],[Column2]],Table12[[Column2]:[Column54]],21,FALSE),"0")</f>
        <v>0</v>
      </c>
      <c r="W96" s="65">
        <f>IFERROR(VLOOKUP(Table1215[[#This Row],[Column2]],Table12[[Column2]:[Column54]],22,FALSE),"0")</f>
        <v>0</v>
      </c>
      <c r="X96" s="67">
        <f>Table1215[[#This Row],[Column19]]</f>
        <v>0</v>
      </c>
      <c r="Y96" s="65">
        <f>IFERROR(VLOOKUP(Table1215[[#This Row],[Column2]],Table12[[Column2]:[Column54]],24,FALSE),"0")</f>
        <v>2</v>
      </c>
      <c r="Z96" s="65">
        <f>IFERROR(VLOOKUP(Table1215[[#This Row],[Column2]],Table12[[Column2]:[Column54]],25,FALSE),"0")</f>
        <v>0</v>
      </c>
      <c r="AA96" s="65">
        <f>IFERROR(VLOOKUP(Table1215[[#This Row],[Column2]],Table12[[Column2]:[Column54]],26,FALSE),"0")</f>
        <v>0</v>
      </c>
      <c r="AB96" s="65">
        <f>IFERROR(VLOOKUP(Table1215[[#This Row],[Column2]],Table12[[Column2]:[Column54]],27,FALSE),"0")</f>
        <v>0</v>
      </c>
      <c r="AC96" s="65">
        <f>IFERROR(VLOOKUP(Table1215[[#This Row],[Column2]],Table12[[Column2]:[Column54]],28,FALSE),"0")</f>
        <v>0</v>
      </c>
      <c r="AD96" s="67">
        <f>Table1215[[#This Row],[Column25]]</f>
        <v>2</v>
      </c>
      <c r="AE96" s="65">
        <f>IFERROR(VLOOKUP(Table1215[[#This Row],[Column2]],Table12[[Column2]:[Column54]],30,FALSE),"0")</f>
        <v>0</v>
      </c>
      <c r="AF96" s="65">
        <f>IFERROR(VLOOKUP(Table1215[[#This Row],[Column2]],Table12[[Column2]:[Column54]],31,FALSE),"0")</f>
        <v>0</v>
      </c>
      <c r="AG96" s="65">
        <f>IFERROR(VLOOKUP(Table1215[[#This Row],[Column2]],Table12[[Column2]:[Column54]],32,FALSE),"0")</f>
        <v>0</v>
      </c>
      <c r="AH96" s="65">
        <f>IFERROR(VLOOKUP(Table1215[[#This Row],[Column2]],Table12[[Column2]:[Column54]],33,FALSE),"0")</f>
        <v>0</v>
      </c>
      <c r="AI96" s="65">
        <f>IFERROR(VLOOKUP(Table1215[[#This Row],[Column2]],Table12[[Column2]:[Column54]],34,FALSE),"0")</f>
        <v>0</v>
      </c>
      <c r="AJ96" s="67">
        <f>AVERAGE(Table1215[[#This Row],[Column31]],Table1215[[#This Row],[Column32]],Table1215[[#This Row],[Column33]])</f>
        <v>0</v>
      </c>
      <c r="AK96" s="65">
        <f>IFERROR(VLOOKUP(Table1215[[#This Row],[Column2]],Table12[[Column2]:[Column54]],36,FALSE),"0")</f>
        <v>2</v>
      </c>
      <c r="AL96" s="65">
        <f>IFERROR(VLOOKUP(Table1215[[#This Row],[Column2]],Table12[[Column2]:[Column54]],37,FALSE),"0")</f>
        <v>2</v>
      </c>
      <c r="AM96" s="65">
        <f>IFERROR(VLOOKUP(Table1215[[#This Row],[Column2]],Table12[[Column2]:[Column54]],38,FALSE),"0")</f>
        <v>0</v>
      </c>
      <c r="AN96" s="65">
        <f>IFERROR(VLOOKUP(Table1215[[#This Row],[Column2]],Table12[[Column2]:[Column54]],39,FALSE),"0")</f>
        <v>2</v>
      </c>
      <c r="AO96" s="65">
        <f>IFERROR(VLOOKUP(Table1215[[#This Row],[Column2]],Table12[[Column2]:[Column54]],40,FALSE),"0")</f>
        <v>0</v>
      </c>
      <c r="AP96" s="67">
        <f>AVERAGE(Table1215[[#This Row],[Column37]],Table1215[[#This Row],[Column38]],Table1215[[#This Row],[Column40]])</f>
        <v>2</v>
      </c>
      <c r="AQ96" s="65">
        <f>IFERROR(VLOOKUP(Table1215[[#This Row],[Column2]],Table12[[Column2]:[Column54]],42,FALSE),"0")</f>
        <v>2</v>
      </c>
      <c r="AR96" s="65">
        <f>IFERROR(VLOOKUP(Table1215[[#This Row],[Column2]],Table12[[Column2]:[Column54]],43,FALSE),"0")</f>
        <v>0</v>
      </c>
      <c r="AS96" s="65">
        <f>IFERROR(VLOOKUP(Table1215[[#This Row],[Column2]],Table12[[Column2]:[Column54]],44,FALSE),"0")</f>
        <v>0</v>
      </c>
      <c r="AT96" s="65">
        <f>IFERROR(VLOOKUP(Table1215[[#This Row],[Column2]],Table12[[Column2]:[Column54]],45,FALSE),"0")</f>
        <v>0</v>
      </c>
      <c r="AU96" s="65">
        <f>IFERROR(VLOOKUP(Table1215[[#This Row],[Column2]],Table12[[Column2]:[Column54]],46,FALSE),"0")</f>
        <v>0</v>
      </c>
      <c r="AV96" s="67">
        <f>Table1215[[#This Row],[Column43]]</f>
        <v>2</v>
      </c>
      <c r="AW96" s="65">
        <f>IFERROR(VLOOKUP(Table1215[[#This Row],[Column2]],Table12[[Column2]:[Column54]],48,FALSE),"0")</f>
        <v>0</v>
      </c>
      <c r="AX96" s="65">
        <f>IFERROR(VLOOKUP(Table1215[[#This Row],[Column2]],Table12[[Column2]:[Column54]],49,FALSE),"0")</f>
        <v>0</v>
      </c>
      <c r="AY96" s="65">
        <f>IFERROR(VLOOKUP(Table1215[[#This Row],[Column2]],Table12[[Column2]:[Column54]],50,FALSE),"0")</f>
        <v>0</v>
      </c>
      <c r="AZ96" s="65">
        <f>IFERROR(VLOOKUP(Table1215[[#This Row],[Column2]],Table12[[Column2]:[Column54]],51,FALSE),"0")</f>
        <v>3</v>
      </c>
      <c r="BA96" s="65">
        <f>IFERROR(VLOOKUP(Table1215[[#This Row],[Column2]],Table12[[Column2]:[Column54]],52,FALSE),"0")</f>
        <v>3</v>
      </c>
      <c r="BB96" s="67">
        <f>AVERAGE(Table1215[[#This Row],[Column52]],Table1215[[#This Row],[Column53]])</f>
        <v>3</v>
      </c>
    </row>
    <row r="97" spans="1:54" ht="23.1" customHeight="1" x14ac:dyDescent="0.3">
      <c r="A97" s="87">
        <v>94</v>
      </c>
      <c r="B97" s="70" t="s">
        <v>97</v>
      </c>
      <c r="C97" s="71" t="s">
        <v>98</v>
      </c>
      <c r="D97" s="70" t="s">
        <v>450</v>
      </c>
      <c r="E97" s="70" t="s">
        <v>35</v>
      </c>
      <c r="F97" s="70" t="str">
        <f>REPT(CHAR(160),10)&amp;Working!$E98</f>
        <v>          A</v>
      </c>
      <c r="G97" s="61">
        <f>IFERROR(VLOOKUP(Table1215[[#This Row],[Column2]],Table12[[Column2]:[Column54]],6,FALSE),"0")</f>
        <v>0</v>
      </c>
      <c r="H97" s="61">
        <f>IFERROR(VLOOKUP(Table1215[[#This Row],[Column2]],Table12[[Column2]:[Column54]],7,FALSE),"0")</f>
        <v>0</v>
      </c>
      <c r="I97" s="61">
        <f>IFERROR(VLOOKUP(Table1215[[#This Row],[Column2]],Table12[[Column2]:[Column54]],8,FALSE),"0")</f>
        <v>2</v>
      </c>
      <c r="J97" s="61">
        <f>IFERROR(VLOOKUP(Table1215[[#This Row],[Column2]],Table12[[Column2]:[Column54]],9,FALSE),"0")</f>
        <v>0</v>
      </c>
      <c r="K97" s="61">
        <f>IFERROR(VLOOKUP(Table1215[[#This Row],[Column2]],Table12[[Column2]:[Column54]],10,FALSE),"0")</f>
        <v>0</v>
      </c>
      <c r="L97" s="67">
        <f>Table1215[[#This Row],[Column9]]</f>
        <v>2</v>
      </c>
      <c r="M97" s="61">
        <f>IFERROR(VLOOKUP(Table1215[[#This Row],[Column2]],Table12[[Column2]:[Column54]],12,FALSE),"0")</f>
        <v>0</v>
      </c>
      <c r="N97" s="61">
        <f>IFERROR(VLOOKUP(Table1215[[#This Row],[Column2]],Table12[[Column2]:[Column54]],13,FALSE),"0")</f>
        <v>2</v>
      </c>
      <c r="O97" s="61">
        <f>IFERROR(VLOOKUP(Table1215[[#This Row],[Column2]],Table12[[Column2]:[Column54]],14,FALSE),"0")</f>
        <v>2</v>
      </c>
      <c r="P97" s="61">
        <f>IFERROR(VLOOKUP(Table1215[[#This Row],[Column2]],Table12[[Column2]:[Column54]],10,FALSE),"0")</f>
        <v>0</v>
      </c>
      <c r="Q97" s="61">
        <f>IFERROR(VLOOKUP(Table1215[[#This Row],[Column2]],Table12[[Column2]:[Column54]],16,FALSE),"0")</f>
        <v>2</v>
      </c>
      <c r="R97" s="67">
        <f>AVERAGE(Table1215[[#This Row],[Column14]],Table1215[[#This Row],[Column15]],Table1215[[#This Row],[Column17]])</f>
        <v>2</v>
      </c>
      <c r="S97" s="61">
        <f>IFERROR(VLOOKUP(Table1215[[#This Row],[Column2]],Table12[[Column2]:[Column54]],18,FALSE),"0")</f>
        <v>0</v>
      </c>
      <c r="T97" s="61">
        <f>IFERROR(VLOOKUP(Table1215[[#This Row],[Column2]],Table12[[Column2]:[Column54]],19,FALSE),"0")</f>
        <v>0</v>
      </c>
      <c r="U97" s="61">
        <f>IFERROR(VLOOKUP(Table1215[[#This Row],[Column2]],Table12[[Column2]:[Column54]],20,FALSE),"0")</f>
        <v>0</v>
      </c>
      <c r="V97" s="61">
        <f>IFERROR(VLOOKUP(Table1215[[#This Row],[Column2]],Table12[[Column2]:[Column54]],21,FALSE),"0")</f>
        <v>0</v>
      </c>
      <c r="W97" s="61">
        <f>IFERROR(VLOOKUP(Table1215[[#This Row],[Column2]],Table12[[Column2]:[Column54]],22,FALSE),"0")</f>
        <v>0</v>
      </c>
      <c r="X97" s="67">
        <f>Table1215[[#This Row],[Column19]]</f>
        <v>0</v>
      </c>
      <c r="Y97" s="61">
        <f>IFERROR(VLOOKUP(Table1215[[#This Row],[Column2]],Table12[[Column2]:[Column54]],24,FALSE),"0")</f>
        <v>2</v>
      </c>
      <c r="Z97" s="61">
        <f>IFERROR(VLOOKUP(Table1215[[#This Row],[Column2]],Table12[[Column2]:[Column54]],25,FALSE),"0")</f>
        <v>0</v>
      </c>
      <c r="AA97" s="61">
        <f>IFERROR(VLOOKUP(Table1215[[#This Row],[Column2]],Table12[[Column2]:[Column54]],26,FALSE),"0")</f>
        <v>0</v>
      </c>
      <c r="AB97" s="61">
        <f>IFERROR(VLOOKUP(Table1215[[#This Row],[Column2]],Table12[[Column2]:[Column54]],27,FALSE),"0")</f>
        <v>0</v>
      </c>
      <c r="AC97" s="61">
        <f>IFERROR(VLOOKUP(Table1215[[#This Row],[Column2]],Table12[[Column2]:[Column54]],28,FALSE),"0")</f>
        <v>0</v>
      </c>
      <c r="AD97" s="67">
        <f>Table1215[[#This Row],[Column25]]</f>
        <v>2</v>
      </c>
      <c r="AE97" s="61">
        <f>IFERROR(VLOOKUP(Table1215[[#This Row],[Column2]],Table12[[Column2]:[Column54]],30,FALSE),"0")</f>
        <v>0</v>
      </c>
      <c r="AF97" s="61">
        <f>IFERROR(VLOOKUP(Table1215[[#This Row],[Column2]],Table12[[Column2]:[Column54]],31,FALSE),"0")</f>
        <v>0</v>
      </c>
      <c r="AG97" s="61">
        <f>IFERROR(VLOOKUP(Table1215[[#This Row],[Column2]],Table12[[Column2]:[Column54]],32,FALSE),"0")</f>
        <v>0</v>
      </c>
      <c r="AH97" s="61">
        <f>IFERROR(VLOOKUP(Table1215[[#This Row],[Column2]],Table12[[Column2]:[Column54]],33,FALSE),"0")</f>
        <v>0</v>
      </c>
      <c r="AI97" s="61">
        <f>IFERROR(VLOOKUP(Table1215[[#This Row],[Column2]],Table12[[Column2]:[Column54]],34,FALSE),"0")</f>
        <v>0</v>
      </c>
      <c r="AJ97" s="67">
        <f>AVERAGE(Table1215[[#This Row],[Column31]],Table1215[[#This Row],[Column32]],Table1215[[#This Row],[Column33]])</f>
        <v>0</v>
      </c>
      <c r="AK97" s="61">
        <f>IFERROR(VLOOKUP(Table1215[[#This Row],[Column2]],Table12[[Column2]:[Column54]],36,FALSE),"0")</f>
        <v>2</v>
      </c>
      <c r="AL97" s="61">
        <f>IFERROR(VLOOKUP(Table1215[[#This Row],[Column2]],Table12[[Column2]:[Column54]],37,FALSE),"0")</f>
        <v>2</v>
      </c>
      <c r="AM97" s="61">
        <f>IFERROR(VLOOKUP(Table1215[[#This Row],[Column2]],Table12[[Column2]:[Column54]],38,FALSE),"0")</f>
        <v>0</v>
      </c>
      <c r="AN97" s="61">
        <f>IFERROR(VLOOKUP(Table1215[[#This Row],[Column2]],Table12[[Column2]:[Column54]],39,FALSE),"0")</f>
        <v>2</v>
      </c>
      <c r="AO97" s="61">
        <f>IFERROR(VLOOKUP(Table1215[[#This Row],[Column2]],Table12[[Column2]:[Column54]],40,FALSE),"0")</f>
        <v>0</v>
      </c>
      <c r="AP97" s="67">
        <f>AVERAGE(Table1215[[#This Row],[Column37]],Table1215[[#This Row],[Column38]],Table1215[[#This Row],[Column40]])</f>
        <v>2</v>
      </c>
      <c r="AQ97" s="61">
        <f>IFERROR(VLOOKUP(Table1215[[#This Row],[Column2]],Table12[[Column2]:[Column54]],42,FALSE),"0")</f>
        <v>2</v>
      </c>
      <c r="AR97" s="61">
        <f>IFERROR(VLOOKUP(Table1215[[#This Row],[Column2]],Table12[[Column2]:[Column54]],43,FALSE),"0")</f>
        <v>0</v>
      </c>
      <c r="AS97" s="61">
        <f>IFERROR(VLOOKUP(Table1215[[#This Row],[Column2]],Table12[[Column2]:[Column54]],44,FALSE),"0")</f>
        <v>0</v>
      </c>
      <c r="AT97" s="61">
        <f>IFERROR(VLOOKUP(Table1215[[#This Row],[Column2]],Table12[[Column2]:[Column54]],45,FALSE),"0")</f>
        <v>0</v>
      </c>
      <c r="AU97" s="61">
        <f>IFERROR(VLOOKUP(Table1215[[#This Row],[Column2]],Table12[[Column2]:[Column54]],46,FALSE),"0")</f>
        <v>0</v>
      </c>
      <c r="AV97" s="67">
        <f>Table1215[[#This Row],[Column43]]</f>
        <v>2</v>
      </c>
      <c r="AW97" s="61">
        <f>IFERROR(VLOOKUP(Table1215[[#This Row],[Column2]],Table12[[Column2]:[Column54]],48,FALSE),"0")</f>
        <v>0</v>
      </c>
      <c r="AX97" s="61">
        <f>IFERROR(VLOOKUP(Table1215[[#This Row],[Column2]],Table12[[Column2]:[Column54]],49,FALSE),"0")</f>
        <v>0</v>
      </c>
      <c r="AY97" s="61">
        <f>IFERROR(VLOOKUP(Table1215[[#This Row],[Column2]],Table12[[Column2]:[Column54]],50,FALSE),"0")</f>
        <v>0</v>
      </c>
      <c r="AZ97" s="61">
        <f>IFERROR(VLOOKUP(Table1215[[#This Row],[Column2]],Table12[[Column2]:[Column54]],51,FALSE),"0")</f>
        <v>3</v>
      </c>
      <c r="BA97" s="61">
        <f>IFERROR(VLOOKUP(Table1215[[#This Row],[Column2]],Table12[[Column2]:[Column54]],52,FALSE),"0")</f>
        <v>2</v>
      </c>
      <c r="BB97" s="67">
        <f>AVERAGE(Table1215[[#This Row],[Column52]],Table1215[[#This Row],[Column53]])</f>
        <v>2.5</v>
      </c>
    </row>
    <row r="98" spans="1:54" ht="23.1" customHeight="1" x14ac:dyDescent="0.3">
      <c r="A98" s="86">
        <v>95</v>
      </c>
      <c r="B98" s="63" t="s">
        <v>249</v>
      </c>
      <c r="C98" s="64" t="s">
        <v>250</v>
      </c>
      <c r="D98" s="63" t="s">
        <v>450</v>
      </c>
      <c r="E98" s="63" t="s">
        <v>161</v>
      </c>
      <c r="F98" s="63" t="str">
        <f>REPT(CHAR(160),10)&amp;Working!$E99</f>
        <v>          B</v>
      </c>
      <c r="G98" s="65">
        <f>IFERROR(VLOOKUP(Table1215[[#This Row],[Column2]],Table12[[Column2]:[Column54]],6,FALSE),"0")</f>
        <v>0</v>
      </c>
      <c r="H98" s="65">
        <f>IFERROR(VLOOKUP(Table1215[[#This Row],[Column2]],Table12[[Column2]:[Column54]],7,FALSE),"0")</f>
        <v>0</v>
      </c>
      <c r="I98" s="65">
        <f>IFERROR(VLOOKUP(Table1215[[#This Row],[Column2]],Table12[[Column2]:[Column54]],8,FALSE),"0")</f>
        <v>3</v>
      </c>
      <c r="J98" s="65">
        <f>IFERROR(VLOOKUP(Table1215[[#This Row],[Column2]],Table12[[Column2]:[Column54]],9,FALSE),"0")</f>
        <v>0</v>
      </c>
      <c r="K98" s="65">
        <f>IFERROR(VLOOKUP(Table1215[[#This Row],[Column2]],Table12[[Column2]:[Column54]],10,FALSE),"0")</f>
        <v>0</v>
      </c>
      <c r="L98" s="67">
        <f>Table1215[[#This Row],[Column9]]</f>
        <v>3</v>
      </c>
      <c r="M98" s="65">
        <f>IFERROR(VLOOKUP(Table1215[[#This Row],[Column2]],Table12[[Column2]:[Column54]],12,FALSE),"0")</f>
        <v>0</v>
      </c>
      <c r="N98" s="65">
        <f>IFERROR(VLOOKUP(Table1215[[#This Row],[Column2]],Table12[[Column2]:[Column54]],13,FALSE),"0")</f>
        <v>3</v>
      </c>
      <c r="O98" s="65">
        <f>IFERROR(VLOOKUP(Table1215[[#This Row],[Column2]],Table12[[Column2]:[Column54]],14,FALSE),"0")</f>
        <v>4</v>
      </c>
      <c r="P98" s="65">
        <f>IFERROR(VLOOKUP(Table1215[[#This Row],[Column2]],Table12[[Column2]:[Column54]],10,FALSE),"0")</f>
        <v>0</v>
      </c>
      <c r="Q98" s="65">
        <f>IFERROR(VLOOKUP(Table1215[[#This Row],[Column2]],Table12[[Column2]:[Column54]],16,FALSE),"0")</f>
        <v>4</v>
      </c>
      <c r="R98" s="67">
        <f>AVERAGE(Table1215[[#This Row],[Column14]],Table1215[[#This Row],[Column15]],Table1215[[#This Row],[Column17]])</f>
        <v>3.6666666666666665</v>
      </c>
      <c r="S98" s="65">
        <f>IFERROR(VLOOKUP(Table1215[[#This Row],[Column2]],Table12[[Column2]:[Column54]],18,FALSE),"0")</f>
        <v>0</v>
      </c>
      <c r="T98" s="65">
        <f>IFERROR(VLOOKUP(Table1215[[#This Row],[Column2]],Table12[[Column2]:[Column54]],19,FALSE),"0")</f>
        <v>0</v>
      </c>
      <c r="U98" s="65">
        <f>IFERROR(VLOOKUP(Table1215[[#This Row],[Column2]],Table12[[Column2]:[Column54]],20,FALSE),"0")</f>
        <v>0</v>
      </c>
      <c r="V98" s="65">
        <f>IFERROR(VLOOKUP(Table1215[[#This Row],[Column2]],Table12[[Column2]:[Column54]],21,FALSE),"0")</f>
        <v>0</v>
      </c>
      <c r="W98" s="65">
        <f>IFERROR(VLOOKUP(Table1215[[#This Row],[Column2]],Table12[[Column2]:[Column54]],22,FALSE),"0")</f>
        <v>0</v>
      </c>
      <c r="X98" s="67">
        <f>Table1215[[#This Row],[Column19]]</f>
        <v>0</v>
      </c>
      <c r="Y98" s="65">
        <f>IFERROR(VLOOKUP(Table1215[[#This Row],[Column2]],Table12[[Column2]:[Column54]],24,FALSE),"0")</f>
        <v>2</v>
      </c>
      <c r="Z98" s="65">
        <f>IFERROR(VLOOKUP(Table1215[[#This Row],[Column2]],Table12[[Column2]:[Column54]],25,FALSE),"0")</f>
        <v>0</v>
      </c>
      <c r="AA98" s="65">
        <f>IFERROR(VLOOKUP(Table1215[[#This Row],[Column2]],Table12[[Column2]:[Column54]],26,FALSE),"0")</f>
        <v>0</v>
      </c>
      <c r="AB98" s="65">
        <f>IFERROR(VLOOKUP(Table1215[[#This Row],[Column2]],Table12[[Column2]:[Column54]],27,FALSE),"0")</f>
        <v>0</v>
      </c>
      <c r="AC98" s="65">
        <f>IFERROR(VLOOKUP(Table1215[[#This Row],[Column2]],Table12[[Column2]:[Column54]],28,FALSE),"0")</f>
        <v>0</v>
      </c>
      <c r="AD98" s="67">
        <f>Table1215[[#This Row],[Column25]]</f>
        <v>2</v>
      </c>
      <c r="AE98" s="65">
        <f>IFERROR(VLOOKUP(Table1215[[#This Row],[Column2]],Table12[[Column2]:[Column54]],30,FALSE),"0")</f>
        <v>0</v>
      </c>
      <c r="AF98" s="65">
        <f>IFERROR(VLOOKUP(Table1215[[#This Row],[Column2]],Table12[[Column2]:[Column54]],31,FALSE),"0")</f>
        <v>0</v>
      </c>
      <c r="AG98" s="65">
        <f>IFERROR(VLOOKUP(Table1215[[#This Row],[Column2]],Table12[[Column2]:[Column54]],32,FALSE),"0")</f>
        <v>0</v>
      </c>
      <c r="AH98" s="65">
        <f>IFERROR(VLOOKUP(Table1215[[#This Row],[Column2]],Table12[[Column2]:[Column54]],33,FALSE),"0")</f>
        <v>0</v>
      </c>
      <c r="AI98" s="65">
        <f>IFERROR(VLOOKUP(Table1215[[#This Row],[Column2]],Table12[[Column2]:[Column54]],34,FALSE),"0")</f>
        <v>0</v>
      </c>
      <c r="AJ98" s="67">
        <f>AVERAGE(Table1215[[#This Row],[Column31]],Table1215[[#This Row],[Column32]],Table1215[[#This Row],[Column33]])</f>
        <v>0</v>
      </c>
      <c r="AK98" s="65">
        <f>IFERROR(VLOOKUP(Table1215[[#This Row],[Column2]],Table12[[Column2]:[Column54]],36,FALSE),"0")</f>
        <v>2</v>
      </c>
      <c r="AL98" s="65">
        <f>IFERROR(VLOOKUP(Table1215[[#This Row],[Column2]],Table12[[Column2]:[Column54]],37,FALSE),"0")</f>
        <v>2</v>
      </c>
      <c r="AM98" s="65">
        <f>IFERROR(VLOOKUP(Table1215[[#This Row],[Column2]],Table12[[Column2]:[Column54]],38,FALSE),"0")</f>
        <v>0</v>
      </c>
      <c r="AN98" s="65">
        <f>IFERROR(VLOOKUP(Table1215[[#This Row],[Column2]],Table12[[Column2]:[Column54]],39,FALSE),"0")</f>
        <v>3</v>
      </c>
      <c r="AO98" s="65">
        <f>IFERROR(VLOOKUP(Table1215[[#This Row],[Column2]],Table12[[Column2]:[Column54]],40,FALSE),"0")</f>
        <v>0</v>
      </c>
      <c r="AP98" s="67">
        <f>AVERAGE(Table1215[[#This Row],[Column37]],Table1215[[#This Row],[Column38]],Table1215[[#This Row],[Column40]])</f>
        <v>2.3333333333333335</v>
      </c>
      <c r="AQ98" s="65">
        <f>IFERROR(VLOOKUP(Table1215[[#This Row],[Column2]],Table12[[Column2]:[Column54]],42,FALSE),"0")</f>
        <v>3</v>
      </c>
      <c r="AR98" s="65">
        <f>IFERROR(VLOOKUP(Table1215[[#This Row],[Column2]],Table12[[Column2]:[Column54]],43,FALSE),"0")</f>
        <v>0</v>
      </c>
      <c r="AS98" s="65">
        <f>IFERROR(VLOOKUP(Table1215[[#This Row],[Column2]],Table12[[Column2]:[Column54]],44,FALSE),"0")</f>
        <v>0</v>
      </c>
      <c r="AT98" s="65">
        <f>IFERROR(VLOOKUP(Table1215[[#This Row],[Column2]],Table12[[Column2]:[Column54]],45,FALSE),"0")</f>
        <v>0</v>
      </c>
      <c r="AU98" s="65">
        <f>IFERROR(VLOOKUP(Table1215[[#This Row],[Column2]],Table12[[Column2]:[Column54]],46,FALSE),"0")</f>
        <v>0</v>
      </c>
      <c r="AV98" s="67">
        <f>Table1215[[#This Row],[Column43]]</f>
        <v>3</v>
      </c>
      <c r="AW98" s="65">
        <f>IFERROR(VLOOKUP(Table1215[[#This Row],[Column2]],Table12[[Column2]:[Column54]],48,FALSE),"0")</f>
        <v>0</v>
      </c>
      <c r="AX98" s="65">
        <f>IFERROR(VLOOKUP(Table1215[[#This Row],[Column2]],Table12[[Column2]:[Column54]],49,FALSE),"0")</f>
        <v>0</v>
      </c>
      <c r="AY98" s="65">
        <f>IFERROR(VLOOKUP(Table1215[[#This Row],[Column2]],Table12[[Column2]:[Column54]],50,FALSE),"0")</f>
        <v>0</v>
      </c>
      <c r="AZ98" s="65">
        <f>IFERROR(VLOOKUP(Table1215[[#This Row],[Column2]],Table12[[Column2]:[Column54]],51,FALSE),"0")</f>
        <v>2</v>
      </c>
      <c r="BA98" s="65">
        <f>IFERROR(VLOOKUP(Table1215[[#This Row],[Column2]],Table12[[Column2]:[Column54]],52,FALSE),"0")</f>
        <v>4</v>
      </c>
      <c r="BB98" s="67">
        <f>AVERAGE(Table1215[[#This Row],[Column52]],Table1215[[#This Row],[Column53]])</f>
        <v>3</v>
      </c>
    </row>
    <row r="99" spans="1:54" ht="23.1" customHeight="1" x14ac:dyDescent="0.3">
      <c r="A99" s="87">
        <v>96</v>
      </c>
      <c r="B99" s="70" t="s">
        <v>342</v>
      </c>
      <c r="C99" s="71" t="s">
        <v>343</v>
      </c>
      <c r="D99" s="70" t="s">
        <v>450</v>
      </c>
      <c r="E99" s="70" t="s">
        <v>493</v>
      </c>
      <c r="F99" s="70" t="str">
        <f>REPT(CHAR(160),10)&amp;Working!$E100</f>
        <v>          C</v>
      </c>
      <c r="G99" s="61">
        <f>IFERROR(VLOOKUP(Table1215[[#This Row],[Column2]],Table12[[Column2]:[Column54]],6,FALSE),"0")</f>
        <v>0</v>
      </c>
      <c r="H99" s="61">
        <f>IFERROR(VLOOKUP(Table1215[[#This Row],[Column2]],Table12[[Column2]:[Column54]],7,FALSE),"0")</f>
        <v>0</v>
      </c>
      <c r="I99" s="61">
        <f>IFERROR(VLOOKUP(Table1215[[#This Row],[Column2]],Table12[[Column2]:[Column54]],8,FALSE),"0")</f>
        <v>2</v>
      </c>
      <c r="J99" s="61">
        <f>IFERROR(VLOOKUP(Table1215[[#This Row],[Column2]],Table12[[Column2]:[Column54]],9,FALSE),"0")</f>
        <v>0</v>
      </c>
      <c r="K99" s="61">
        <f>IFERROR(VLOOKUP(Table1215[[#This Row],[Column2]],Table12[[Column2]:[Column54]],10,FALSE),"0")</f>
        <v>0</v>
      </c>
      <c r="L99" s="67">
        <f>Table1215[[#This Row],[Column9]]</f>
        <v>2</v>
      </c>
      <c r="M99" s="61">
        <f>IFERROR(VLOOKUP(Table1215[[#This Row],[Column2]],Table12[[Column2]:[Column54]],12,FALSE),"0")</f>
        <v>0</v>
      </c>
      <c r="N99" s="61">
        <f>IFERROR(VLOOKUP(Table1215[[#This Row],[Column2]],Table12[[Column2]:[Column54]],13,FALSE),"0")</f>
        <v>2</v>
      </c>
      <c r="O99" s="61">
        <f>IFERROR(VLOOKUP(Table1215[[#This Row],[Column2]],Table12[[Column2]:[Column54]],14,FALSE),"0")</f>
        <v>2</v>
      </c>
      <c r="P99" s="61">
        <f>IFERROR(VLOOKUP(Table1215[[#This Row],[Column2]],Table12[[Column2]:[Column54]],10,FALSE),"0")</f>
        <v>0</v>
      </c>
      <c r="Q99" s="61">
        <f>IFERROR(VLOOKUP(Table1215[[#This Row],[Column2]],Table12[[Column2]:[Column54]],16,FALSE),"0")</f>
        <v>2</v>
      </c>
      <c r="R99" s="67">
        <f>AVERAGE(Table1215[[#This Row],[Column14]],Table1215[[#This Row],[Column15]],Table1215[[#This Row],[Column17]])</f>
        <v>2</v>
      </c>
      <c r="S99" s="61">
        <f>IFERROR(VLOOKUP(Table1215[[#This Row],[Column2]],Table12[[Column2]:[Column54]],18,FALSE),"0")</f>
        <v>0</v>
      </c>
      <c r="T99" s="61">
        <f>IFERROR(VLOOKUP(Table1215[[#This Row],[Column2]],Table12[[Column2]:[Column54]],19,FALSE),"0")</f>
        <v>0</v>
      </c>
      <c r="U99" s="61">
        <f>IFERROR(VLOOKUP(Table1215[[#This Row],[Column2]],Table12[[Column2]:[Column54]],20,FALSE),"0")</f>
        <v>0</v>
      </c>
      <c r="V99" s="61">
        <f>IFERROR(VLOOKUP(Table1215[[#This Row],[Column2]],Table12[[Column2]:[Column54]],21,FALSE),"0")</f>
        <v>0</v>
      </c>
      <c r="W99" s="61">
        <f>IFERROR(VLOOKUP(Table1215[[#This Row],[Column2]],Table12[[Column2]:[Column54]],22,FALSE),"0")</f>
        <v>0</v>
      </c>
      <c r="X99" s="67">
        <f>Table1215[[#This Row],[Column19]]</f>
        <v>0</v>
      </c>
      <c r="Y99" s="61">
        <f>IFERROR(VLOOKUP(Table1215[[#This Row],[Column2]],Table12[[Column2]:[Column54]],24,FALSE),"0")</f>
        <v>2</v>
      </c>
      <c r="Z99" s="61">
        <f>IFERROR(VLOOKUP(Table1215[[#This Row],[Column2]],Table12[[Column2]:[Column54]],25,FALSE),"0")</f>
        <v>0</v>
      </c>
      <c r="AA99" s="61">
        <f>IFERROR(VLOOKUP(Table1215[[#This Row],[Column2]],Table12[[Column2]:[Column54]],26,FALSE),"0")</f>
        <v>0</v>
      </c>
      <c r="AB99" s="61">
        <f>IFERROR(VLOOKUP(Table1215[[#This Row],[Column2]],Table12[[Column2]:[Column54]],27,FALSE),"0")</f>
        <v>0</v>
      </c>
      <c r="AC99" s="61">
        <f>IFERROR(VLOOKUP(Table1215[[#This Row],[Column2]],Table12[[Column2]:[Column54]],28,FALSE),"0")</f>
        <v>0</v>
      </c>
      <c r="AD99" s="67">
        <f>Table1215[[#This Row],[Column25]]</f>
        <v>2</v>
      </c>
      <c r="AE99" s="61">
        <f>IFERROR(VLOOKUP(Table1215[[#This Row],[Column2]],Table12[[Column2]:[Column54]],30,FALSE),"0")</f>
        <v>0</v>
      </c>
      <c r="AF99" s="61">
        <f>IFERROR(VLOOKUP(Table1215[[#This Row],[Column2]],Table12[[Column2]:[Column54]],31,FALSE),"0")</f>
        <v>0</v>
      </c>
      <c r="AG99" s="61">
        <f>IFERROR(VLOOKUP(Table1215[[#This Row],[Column2]],Table12[[Column2]:[Column54]],32,FALSE),"0")</f>
        <v>0</v>
      </c>
      <c r="AH99" s="61">
        <f>IFERROR(VLOOKUP(Table1215[[#This Row],[Column2]],Table12[[Column2]:[Column54]],33,FALSE),"0")</f>
        <v>0</v>
      </c>
      <c r="AI99" s="61">
        <f>IFERROR(VLOOKUP(Table1215[[#This Row],[Column2]],Table12[[Column2]:[Column54]],34,FALSE),"0")</f>
        <v>0</v>
      </c>
      <c r="AJ99" s="67">
        <f>AVERAGE(Table1215[[#This Row],[Column31]],Table1215[[#This Row],[Column32]],Table1215[[#This Row],[Column33]])</f>
        <v>0</v>
      </c>
      <c r="AK99" s="61">
        <f>IFERROR(VLOOKUP(Table1215[[#This Row],[Column2]],Table12[[Column2]:[Column54]],36,FALSE),"0")</f>
        <v>2</v>
      </c>
      <c r="AL99" s="61">
        <f>IFERROR(VLOOKUP(Table1215[[#This Row],[Column2]],Table12[[Column2]:[Column54]],37,FALSE),"0")</f>
        <v>3</v>
      </c>
      <c r="AM99" s="61">
        <f>IFERROR(VLOOKUP(Table1215[[#This Row],[Column2]],Table12[[Column2]:[Column54]],38,FALSE),"0")</f>
        <v>0</v>
      </c>
      <c r="AN99" s="61">
        <f>IFERROR(VLOOKUP(Table1215[[#This Row],[Column2]],Table12[[Column2]:[Column54]],39,FALSE),"0")</f>
        <v>3</v>
      </c>
      <c r="AO99" s="61">
        <f>IFERROR(VLOOKUP(Table1215[[#This Row],[Column2]],Table12[[Column2]:[Column54]],40,FALSE),"0")</f>
        <v>0</v>
      </c>
      <c r="AP99" s="67">
        <f>AVERAGE(Table1215[[#This Row],[Column37]],Table1215[[#This Row],[Column38]],Table1215[[#This Row],[Column40]])</f>
        <v>2.6666666666666665</v>
      </c>
      <c r="AQ99" s="61">
        <f>IFERROR(VLOOKUP(Table1215[[#This Row],[Column2]],Table12[[Column2]:[Column54]],42,FALSE),"0")</f>
        <v>3</v>
      </c>
      <c r="AR99" s="61">
        <f>IFERROR(VLOOKUP(Table1215[[#This Row],[Column2]],Table12[[Column2]:[Column54]],43,FALSE),"0")</f>
        <v>0</v>
      </c>
      <c r="AS99" s="61">
        <f>IFERROR(VLOOKUP(Table1215[[#This Row],[Column2]],Table12[[Column2]:[Column54]],44,FALSE),"0")</f>
        <v>0</v>
      </c>
      <c r="AT99" s="61">
        <f>IFERROR(VLOOKUP(Table1215[[#This Row],[Column2]],Table12[[Column2]:[Column54]],45,FALSE),"0")</f>
        <v>0</v>
      </c>
      <c r="AU99" s="61">
        <f>IFERROR(VLOOKUP(Table1215[[#This Row],[Column2]],Table12[[Column2]:[Column54]],46,FALSE),"0")</f>
        <v>0</v>
      </c>
      <c r="AV99" s="67">
        <f>Table1215[[#This Row],[Column43]]</f>
        <v>3</v>
      </c>
      <c r="AW99" s="61">
        <f>IFERROR(VLOOKUP(Table1215[[#This Row],[Column2]],Table12[[Column2]:[Column54]],48,FALSE),"0")</f>
        <v>0</v>
      </c>
      <c r="AX99" s="61">
        <f>IFERROR(VLOOKUP(Table1215[[#This Row],[Column2]],Table12[[Column2]:[Column54]],49,FALSE),"0")</f>
        <v>0</v>
      </c>
      <c r="AY99" s="61">
        <f>IFERROR(VLOOKUP(Table1215[[#This Row],[Column2]],Table12[[Column2]:[Column54]],50,FALSE),"0")</f>
        <v>0</v>
      </c>
      <c r="AZ99" s="61">
        <f>IFERROR(VLOOKUP(Table1215[[#This Row],[Column2]],Table12[[Column2]:[Column54]],51,FALSE),"0")</f>
        <v>3</v>
      </c>
      <c r="BA99" s="61">
        <f>IFERROR(VLOOKUP(Table1215[[#This Row],[Column2]],Table12[[Column2]:[Column54]],52,FALSE),"0")</f>
        <v>3</v>
      </c>
      <c r="BB99" s="67">
        <f>AVERAGE(Table1215[[#This Row],[Column52]],Table1215[[#This Row],[Column53]])</f>
        <v>3</v>
      </c>
    </row>
    <row r="100" spans="1:54" ht="23.1" customHeight="1" x14ac:dyDescent="0.3">
      <c r="A100" s="86">
        <v>97</v>
      </c>
      <c r="B100" s="63" t="s">
        <v>184</v>
      </c>
      <c r="C100" s="64" t="s">
        <v>185</v>
      </c>
      <c r="D100" s="63" t="s">
        <v>542</v>
      </c>
      <c r="E100" s="63" t="s">
        <v>161</v>
      </c>
      <c r="F100" s="63" t="str">
        <f>REPT(CHAR(160),10)&amp;Working!$E101</f>
        <v>          B</v>
      </c>
      <c r="G100" s="65">
        <f>IFERROR(VLOOKUP(Table1215[[#This Row],[Column2]],Table12[[Column2]:[Column54]],6,FALSE),"0")</f>
        <v>0</v>
      </c>
      <c r="H100" s="65">
        <f>IFERROR(VLOOKUP(Table1215[[#This Row],[Column2]],Table12[[Column2]:[Column54]],7,FALSE),"0")</f>
        <v>0</v>
      </c>
      <c r="I100" s="65">
        <f>IFERROR(VLOOKUP(Table1215[[#This Row],[Column2]],Table12[[Column2]:[Column54]],8,FALSE),"0")</f>
        <v>2</v>
      </c>
      <c r="J100" s="65">
        <f>IFERROR(VLOOKUP(Table1215[[#This Row],[Column2]],Table12[[Column2]:[Column54]],9,FALSE),"0")</f>
        <v>0</v>
      </c>
      <c r="K100" s="65">
        <f>IFERROR(VLOOKUP(Table1215[[#This Row],[Column2]],Table12[[Column2]:[Column54]],10,FALSE),"0")</f>
        <v>0</v>
      </c>
      <c r="L100" s="67">
        <f>Table1215[[#This Row],[Column9]]</f>
        <v>2</v>
      </c>
      <c r="M100" s="65">
        <f>IFERROR(VLOOKUP(Table1215[[#This Row],[Column2]],Table12[[Column2]:[Column54]],12,FALSE),"0")</f>
        <v>0</v>
      </c>
      <c r="N100" s="65">
        <f>IFERROR(VLOOKUP(Table1215[[#This Row],[Column2]],Table12[[Column2]:[Column54]],13,FALSE),"0")</f>
        <v>2</v>
      </c>
      <c r="O100" s="65">
        <f>IFERROR(VLOOKUP(Table1215[[#This Row],[Column2]],Table12[[Column2]:[Column54]],14,FALSE),"0")</f>
        <v>3</v>
      </c>
      <c r="P100" s="65">
        <f>IFERROR(VLOOKUP(Table1215[[#This Row],[Column2]],Table12[[Column2]:[Column54]],10,FALSE),"0")</f>
        <v>0</v>
      </c>
      <c r="Q100" s="65">
        <f>IFERROR(VLOOKUP(Table1215[[#This Row],[Column2]],Table12[[Column2]:[Column54]],16,FALSE),"0")</f>
        <v>3</v>
      </c>
      <c r="R100" s="67">
        <f>AVERAGE(Table1215[[#This Row],[Column14]],Table1215[[#This Row],[Column15]],Table1215[[#This Row],[Column17]])</f>
        <v>2.6666666666666665</v>
      </c>
      <c r="S100" s="65">
        <f>IFERROR(VLOOKUP(Table1215[[#This Row],[Column2]],Table12[[Column2]:[Column54]],18,FALSE),"0")</f>
        <v>0</v>
      </c>
      <c r="T100" s="65">
        <f>IFERROR(VLOOKUP(Table1215[[#This Row],[Column2]],Table12[[Column2]:[Column54]],19,FALSE),"0")</f>
        <v>0</v>
      </c>
      <c r="U100" s="65">
        <f>IFERROR(VLOOKUP(Table1215[[#This Row],[Column2]],Table12[[Column2]:[Column54]],20,FALSE),"0")</f>
        <v>0</v>
      </c>
      <c r="V100" s="65">
        <f>IFERROR(VLOOKUP(Table1215[[#This Row],[Column2]],Table12[[Column2]:[Column54]],21,FALSE),"0")</f>
        <v>0</v>
      </c>
      <c r="W100" s="65">
        <f>IFERROR(VLOOKUP(Table1215[[#This Row],[Column2]],Table12[[Column2]:[Column54]],22,FALSE),"0")</f>
        <v>0</v>
      </c>
      <c r="X100" s="67">
        <f>Table1215[[#This Row],[Column19]]</f>
        <v>0</v>
      </c>
      <c r="Y100" s="65">
        <f>IFERROR(VLOOKUP(Table1215[[#This Row],[Column2]],Table12[[Column2]:[Column54]],24,FALSE),"0")</f>
        <v>2</v>
      </c>
      <c r="Z100" s="65">
        <f>IFERROR(VLOOKUP(Table1215[[#This Row],[Column2]],Table12[[Column2]:[Column54]],25,FALSE),"0")</f>
        <v>0</v>
      </c>
      <c r="AA100" s="65">
        <f>IFERROR(VLOOKUP(Table1215[[#This Row],[Column2]],Table12[[Column2]:[Column54]],26,FALSE),"0")</f>
        <v>0</v>
      </c>
      <c r="AB100" s="65">
        <f>IFERROR(VLOOKUP(Table1215[[#This Row],[Column2]],Table12[[Column2]:[Column54]],27,FALSE),"0")</f>
        <v>0</v>
      </c>
      <c r="AC100" s="65">
        <f>IFERROR(VLOOKUP(Table1215[[#This Row],[Column2]],Table12[[Column2]:[Column54]],28,FALSE),"0")</f>
        <v>0</v>
      </c>
      <c r="AD100" s="67">
        <f>Table1215[[#This Row],[Column25]]</f>
        <v>2</v>
      </c>
      <c r="AE100" s="65">
        <f>IFERROR(VLOOKUP(Table1215[[#This Row],[Column2]],Table12[[Column2]:[Column54]],30,FALSE),"0")</f>
        <v>0</v>
      </c>
      <c r="AF100" s="65">
        <f>IFERROR(VLOOKUP(Table1215[[#This Row],[Column2]],Table12[[Column2]:[Column54]],31,FALSE),"0")</f>
        <v>0</v>
      </c>
      <c r="AG100" s="65">
        <f>IFERROR(VLOOKUP(Table1215[[#This Row],[Column2]],Table12[[Column2]:[Column54]],32,FALSE),"0")</f>
        <v>0</v>
      </c>
      <c r="AH100" s="65">
        <f>IFERROR(VLOOKUP(Table1215[[#This Row],[Column2]],Table12[[Column2]:[Column54]],33,FALSE),"0")</f>
        <v>0</v>
      </c>
      <c r="AI100" s="65">
        <f>IFERROR(VLOOKUP(Table1215[[#This Row],[Column2]],Table12[[Column2]:[Column54]],34,FALSE),"0")</f>
        <v>0</v>
      </c>
      <c r="AJ100" s="67">
        <f>AVERAGE(Table1215[[#This Row],[Column31]],Table1215[[#This Row],[Column32]],Table1215[[#This Row],[Column33]])</f>
        <v>0</v>
      </c>
      <c r="AK100" s="65">
        <f>IFERROR(VLOOKUP(Table1215[[#This Row],[Column2]],Table12[[Column2]:[Column54]],36,FALSE),"0")</f>
        <v>3</v>
      </c>
      <c r="AL100" s="65">
        <f>IFERROR(VLOOKUP(Table1215[[#This Row],[Column2]],Table12[[Column2]:[Column54]],37,FALSE),"0")</f>
        <v>4</v>
      </c>
      <c r="AM100" s="65">
        <f>IFERROR(VLOOKUP(Table1215[[#This Row],[Column2]],Table12[[Column2]:[Column54]],38,FALSE),"0")</f>
        <v>0</v>
      </c>
      <c r="AN100" s="65">
        <f>IFERROR(VLOOKUP(Table1215[[#This Row],[Column2]],Table12[[Column2]:[Column54]],39,FALSE),"0")</f>
        <v>4</v>
      </c>
      <c r="AO100" s="65">
        <f>IFERROR(VLOOKUP(Table1215[[#This Row],[Column2]],Table12[[Column2]:[Column54]],40,FALSE),"0")</f>
        <v>0</v>
      </c>
      <c r="AP100" s="67">
        <f>AVERAGE(Table1215[[#This Row],[Column37]],Table1215[[#This Row],[Column38]],Table1215[[#This Row],[Column40]])</f>
        <v>3.6666666666666665</v>
      </c>
      <c r="AQ100" s="65">
        <f>IFERROR(VLOOKUP(Table1215[[#This Row],[Column2]],Table12[[Column2]:[Column54]],42,FALSE),"0")</f>
        <v>3</v>
      </c>
      <c r="AR100" s="65">
        <f>IFERROR(VLOOKUP(Table1215[[#This Row],[Column2]],Table12[[Column2]:[Column54]],43,FALSE),"0")</f>
        <v>0</v>
      </c>
      <c r="AS100" s="65">
        <f>IFERROR(VLOOKUP(Table1215[[#This Row],[Column2]],Table12[[Column2]:[Column54]],44,FALSE),"0")</f>
        <v>0</v>
      </c>
      <c r="AT100" s="65">
        <f>IFERROR(VLOOKUP(Table1215[[#This Row],[Column2]],Table12[[Column2]:[Column54]],45,FALSE),"0")</f>
        <v>0</v>
      </c>
      <c r="AU100" s="65">
        <f>IFERROR(VLOOKUP(Table1215[[#This Row],[Column2]],Table12[[Column2]:[Column54]],46,FALSE),"0")</f>
        <v>0</v>
      </c>
      <c r="AV100" s="67">
        <f>Table1215[[#This Row],[Column43]]</f>
        <v>3</v>
      </c>
      <c r="AW100" s="65">
        <f>IFERROR(VLOOKUP(Table1215[[#This Row],[Column2]],Table12[[Column2]:[Column54]],48,FALSE),"0")</f>
        <v>0</v>
      </c>
      <c r="AX100" s="65">
        <f>IFERROR(VLOOKUP(Table1215[[#This Row],[Column2]],Table12[[Column2]:[Column54]],49,FALSE),"0")</f>
        <v>0</v>
      </c>
      <c r="AY100" s="65">
        <f>IFERROR(VLOOKUP(Table1215[[#This Row],[Column2]],Table12[[Column2]:[Column54]],50,FALSE),"0")</f>
        <v>0</v>
      </c>
      <c r="AZ100" s="65">
        <f>IFERROR(VLOOKUP(Table1215[[#This Row],[Column2]],Table12[[Column2]:[Column54]],51,FALSE),"0")</f>
        <v>3</v>
      </c>
      <c r="BA100" s="65">
        <f>IFERROR(VLOOKUP(Table1215[[#This Row],[Column2]],Table12[[Column2]:[Column54]],52,FALSE),"0")</f>
        <v>3</v>
      </c>
      <c r="BB100" s="67">
        <f>AVERAGE(Table1215[[#This Row],[Column52]],Table1215[[#This Row],[Column53]])</f>
        <v>3</v>
      </c>
    </row>
    <row r="101" spans="1:54" ht="23.1" customHeight="1" x14ac:dyDescent="0.3">
      <c r="A101" s="87">
        <v>98</v>
      </c>
      <c r="B101" s="70" t="s">
        <v>344</v>
      </c>
      <c r="C101" s="71" t="s">
        <v>345</v>
      </c>
      <c r="D101" s="70" t="s">
        <v>542</v>
      </c>
      <c r="E101" s="70" t="s">
        <v>493</v>
      </c>
      <c r="F101" s="70" t="str">
        <f>REPT(CHAR(160),10)&amp;Working!$E102</f>
        <v>          C</v>
      </c>
      <c r="G101" s="61">
        <f>IFERROR(VLOOKUP(Table1215[[#This Row],[Column2]],Table12[[Column2]:[Column54]],6,FALSE),"0")</f>
        <v>0</v>
      </c>
      <c r="H101" s="61">
        <f>IFERROR(VLOOKUP(Table1215[[#This Row],[Column2]],Table12[[Column2]:[Column54]],7,FALSE),"0")</f>
        <v>0</v>
      </c>
      <c r="I101" s="61">
        <f>IFERROR(VLOOKUP(Table1215[[#This Row],[Column2]],Table12[[Column2]:[Column54]],8,FALSE),"0")</f>
        <v>3</v>
      </c>
      <c r="J101" s="61">
        <f>IFERROR(VLOOKUP(Table1215[[#This Row],[Column2]],Table12[[Column2]:[Column54]],9,FALSE),"0")</f>
        <v>0</v>
      </c>
      <c r="K101" s="61">
        <f>IFERROR(VLOOKUP(Table1215[[#This Row],[Column2]],Table12[[Column2]:[Column54]],10,FALSE),"0")</f>
        <v>0</v>
      </c>
      <c r="L101" s="67">
        <f>Table1215[[#This Row],[Column9]]</f>
        <v>3</v>
      </c>
      <c r="M101" s="61">
        <f>IFERROR(VLOOKUP(Table1215[[#This Row],[Column2]],Table12[[Column2]:[Column54]],12,FALSE),"0")</f>
        <v>0</v>
      </c>
      <c r="N101" s="61">
        <f>IFERROR(VLOOKUP(Table1215[[#This Row],[Column2]],Table12[[Column2]:[Column54]],13,FALSE),"0")</f>
        <v>3</v>
      </c>
      <c r="O101" s="61">
        <f>IFERROR(VLOOKUP(Table1215[[#This Row],[Column2]],Table12[[Column2]:[Column54]],14,FALSE),"0")</f>
        <v>3</v>
      </c>
      <c r="P101" s="61">
        <f>IFERROR(VLOOKUP(Table1215[[#This Row],[Column2]],Table12[[Column2]:[Column54]],10,FALSE),"0")</f>
        <v>0</v>
      </c>
      <c r="Q101" s="61">
        <f>IFERROR(VLOOKUP(Table1215[[#This Row],[Column2]],Table12[[Column2]:[Column54]],16,FALSE),"0")</f>
        <v>3</v>
      </c>
      <c r="R101" s="67">
        <f>AVERAGE(Table1215[[#This Row],[Column14]],Table1215[[#This Row],[Column15]],Table1215[[#This Row],[Column17]])</f>
        <v>3</v>
      </c>
      <c r="S101" s="61">
        <f>IFERROR(VLOOKUP(Table1215[[#This Row],[Column2]],Table12[[Column2]:[Column54]],18,FALSE),"0")</f>
        <v>0</v>
      </c>
      <c r="T101" s="61">
        <f>IFERROR(VLOOKUP(Table1215[[#This Row],[Column2]],Table12[[Column2]:[Column54]],19,FALSE),"0")</f>
        <v>0</v>
      </c>
      <c r="U101" s="61">
        <f>IFERROR(VLOOKUP(Table1215[[#This Row],[Column2]],Table12[[Column2]:[Column54]],20,FALSE),"0")</f>
        <v>0</v>
      </c>
      <c r="V101" s="61">
        <f>IFERROR(VLOOKUP(Table1215[[#This Row],[Column2]],Table12[[Column2]:[Column54]],21,FALSE),"0")</f>
        <v>0</v>
      </c>
      <c r="W101" s="61">
        <f>IFERROR(VLOOKUP(Table1215[[#This Row],[Column2]],Table12[[Column2]:[Column54]],22,FALSE),"0")</f>
        <v>0</v>
      </c>
      <c r="X101" s="67">
        <f>Table1215[[#This Row],[Column19]]</f>
        <v>0</v>
      </c>
      <c r="Y101" s="61">
        <f>IFERROR(VLOOKUP(Table1215[[#This Row],[Column2]],Table12[[Column2]:[Column54]],24,FALSE),"0")</f>
        <v>3</v>
      </c>
      <c r="Z101" s="61">
        <f>IFERROR(VLOOKUP(Table1215[[#This Row],[Column2]],Table12[[Column2]:[Column54]],25,FALSE),"0")</f>
        <v>0</v>
      </c>
      <c r="AA101" s="61">
        <f>IFERROR(VLOOKUP(Table1215[[#This Row],[Column2]],Table12[[Column2]:[Column54]],26,FALSE),"0")</f>
        <v>0</v>
      </c>
      <c r="AB101" s="61">
        <f>IFERROR(VLOOKUP(Table1215[[#This Row],[Column2]],Table12[[Column2]:[Column54]],27,FALSE),"0")</f>
        <v>0</v>
      </c>
      <c r="AC101" s="61">
        <f>IFERROR(VLOOKUP(Table1215[[#This Row],[Column2]],Table12[[Column2]:[Column54]],28,FALSE),"0")</f>
        <v>0</v>
      </c>
      <c r="AD101" s="67">
        <f>Table1215[[#This Row],[Column25]]</f>
        <v>3</v>
      </c>
      <c r="AE101" s="61">
        <f>IFERROR(VLOOKUP(Table1215[[#This Row],[Column2]],Table12[[Column2]:[Column54]],30,FALSE),"0")</f>
        <v>0</v>
      </c>
      <c r="AF101" s="61">
        <f>IFERROR(VLOOKUP(Table1215[[#This Row],[Column2]],Table12[[Column2]:[Column54]],31,FALSE),"0")</f>
        <v>0</v>
      </c>
      <c r="AG101" s="61">
        <f>IFERROR(VLOOKUP(Table1215[[#This Row],[Column2]],Table12[[Column2]:[Column54]],32,FALSE),"0")</f>
        <v>0</v>
      </c>
      <c r="AH101" s="61">
        <f>IFERROR(VLOOKUP(Table1215[[#This Row],[Column2]],Table12[[Column2]:[Column54]],33,FALSE),"0")</f>
        <v>0</v>
      </c>
      <c r="AI101" s="61">
        <f>IFERROR(VLOOKUP(Table1215[[#This Row],[Column2]],Table12[[Column2]:[Column54]],34,FALSE),"0")</f>
        <v>0</v>
      </c>
      <c r="AJ101" s="67">
        <f>AVERAGE(Table1215[[#This Row],[Column31]],Table1215[[#This Row],[Column32]],Table1215[[#This Row],[Column33]])</f>
        <v>0</v>
      </c>
      <c r="AK101" s="61">
        <f>IFERROR(VLOOKUP(Table1215[[#This Row],[Column2]],Table12[[Column2]:[Column54]],36,FALSE),"0")</f>
        <v>3</v>
      </c>
      <c r="AL101" s="61">
        <f>IFERROR(VLOOKUP(Table1215[[#This Row],[Column2]],Table12[[Column2]:[Column54]],37,FALSE),"0")</f>
        <v>3</v>
      </c>
      <c r="AM101" s="61">
        <f>IFERROR(VLOOKUP(Table1215[[#This Row],[Column2]],Table12[[Column2]:[Column54]],38,FALSE),"0")</f>
        <v>0</v>
      </c>
      <c r="AN101" s="61">
        <f>IFERROR(VLOOKUP(Table1215[[#This Row],[Column2]],Table12[[Column2]:[Column54]],39,FALSE),"0")</f>
        <v>3</v>
      </c>
      <c r="AO101" s="61">
        <f>IFERROR(VLOOKUP(Table1215[[#This Row],[Column2]],Table12[[Column2]:[Column54]],40,FALSE),"0")</f>
        <v>0</v>
      </c>
      <c r="AP101" s="67">
        <f>AVERAGE(Table1215[[#This Row],[Column37]],Table1215[[#This Row],[Column38]],Table1215[[#This Row],[Column40]])</f>
        <v>3</v>
      </c>
      <c r="AQ101" s="61">
        <f>IFERROR(VLOOKUP(Table1215[[#This Row],[Column2]],Table12[[Column2]:[Column54]],42,FALSE),"0")</f>
        <v>3</v>
      </c>
      <c r="AR101" s="61">
        <f>IFERROR(VLOOKUP(Table1215[[#This Row],[Column2]],Table12[[Column2]:[Column54]],43,FALSE),"0")</f>
        <v>0</v>
      </c>
      <c r="AS101" s="61">
        <f>IFERROR(VLOOKUP(Table1215[[#This Row],[Column2]],Table12[[Column2]:[Column54]],44,FALSE),"0")</f>
        <v>0</v>
      </c>
      <c r="AT101" s="61">
        <f>IFERROR(VLOOKUP(Table1215[[#This Row],[Column2]],Table12[[Column2]:[Column54]],45,FALSE),"0")</f>
        <v>0</v>
      </c>
      <c r="AU101" s="61">
        <f>IFERROR(VLOOKUP(Table1215[[#This Row],[Column2]],Table12[[Column2]:[Column54]],46,FALSE),"0")</f>
        <v>0</v>
      </c>
      <c r="AV101" s="67">
        <f>Table1215[[#This Row],[Column43]]</f>
        <v>3</v>
      </c>
      <c r="AW101" s="61">
        <f>IFERROR(VLOOKUP(Table1215[[#This Row],[Column2]],Table12[[Column2]:[Column54]],48,FALSE),"0")</f>
        <v>0</v>
      </c>
      <c r="AX101" s="61">
        <f>IFERROR(VLOOKUP(Table1215[[#This Row],[Column2]],Table12[[Column2]:[Column54]],49,FALSE),"0")</f>
        <v>0</v>
      </c>
      <c r="AY101" s="61">
        <f>IFERROR(VLOOKUP(Table1215[[#This Row],[Column2]],Table12[[Column2]:[Column54]],50,FALSE),"0")</f>
        <v>0</v>
      </c>
      <c r="AZ101" s="61">
        <f>IFERROR(VLOOKUP(Table1215[[#This Row],[Column2]],Table12[[Column2]:[Column54]],51,FALSE),"0")</f>
        <v>3</v>
      </c>
      <c r="BA101" s="61">
        <f>IFERROR(VLOOKUP(Table1215[[#This Row],[Column2]],Table12[[Column2]:[Column54]],52,FALSE),"0")</f>
        <v>3</v>
      </c>
      <c r="BB101" s="67">
        <f>AVERAGE(Table1215[[#This Row],[Column52]],Table1215[[#This Row],[Column53]])</f>
        <v>3</v>
      </c>
    </row>
    <row r="102" spans="1:54" ht="23.1" customHeight="1" x14ac:dyDescent="0.3">
      <c r="A102" s="86">
        <v>99</v>
      </c>
      <c r="B102" s="63" t="s">
        <v>263</v>
      </c>
      <c r="C102" s="64" t="s">
        <v>264</v>
      </c>
      <c r="D102" s="63" t="s">
        <v>450</v>
      </c>
      <c r="E102" s="63" t="s">
        <v>161</v>
      </c>
      <c r="F102" s="63" t="str">
        <f>REPT(CHAR(160),10)&amp;Working!$E103</f>
        <v>          B</v>
      </c>
      <c r="G102" s="65">
        <f>IFERROR(VLOOKUP(Table1215[[#This Row],[Column2]],Table12[[Column2]:[Column54]],6,FALSE),"0")</f>
        <v>0</v>
      </c>
      <c r="H102" s="65">
        <f>IFERROR(VLOOKUP(Table1215[[#This Row],[Column2]],Table12[[Column2]:[Column54]],7,FALSE),"0")</f>
        <v>0</v>
      </c>
      <c r="I102" s="65">
        <f>IFERROR(VLOOKUP(Table1215[[#This Row],[Column2]],Table12[[Column2]:[Column54]],8,FALSE),"0")</f>
        <v>2</v>
      </c>
      <c r="J102" s="65">
        <f>IFERROR(VLOOKUP(Table1215[[#This Row],[Column2]],Table12[[Column2]:[Column54]],9,FALSE),"0")</f>
        <v>0</v>
      </c>
      <c r="K102" s="65">
        <f>IFERROR(VLOOKUP(Table1215[[#This Row],[Column2]],Table12[[Column2]:[Column54]],10,FALSE),"0")</f>
        <v>0</v>
      </c>
      <c r="L102" s="67">
        <f>Table1215[[#This Row],[Column9]]</f>
        <v>2</v>
      </c>
      <c r="M102" s="65">
        <f>IFERROR(VLOOKUP(Table1215[[#This Row],[Column2]],Table12[[Column2]:[Column54]],12,FALSE),"0")</f>
        <v>0</v>
      </c>
      <c r="N102" s="65">
        <f>IFERROR(VLOOKUP(Table1215[[#This Row],[Column2]],Table12[[Column2]:[Column54]],13,FALSE),"0")</f>
        <v>3</v>
      </c>
      <c r="O102" s="65">
        <f>IFERROR(VLOOKUP(Table1215[[#This Row],[Column2]],Table12[[Column2]:[Column54]],14,FALSE),"0")</f>
        <v>2</v>
      </c>
      <c r="P102" s="65">
        <f>IFERROR(VLOOKUP(Table1215[[#This Row],[Column2]],Table12[[Column2]:[Column54]],10,FALSE),"0")</f>
        <v>0</v>
      </c>
      <c r="Q102" s="65">
        <f>IFERROR(VLOOKUP(Table1215[[#This Row],[Column2]],Table12[[Column2]:[Column54]],16,FALSE),"0")</f>
        <v>2</v>
      </c>
      <c r="R102" s="67">
        <f>AVERAGE(Table1215[[#This Row],[Column14]],Table1215[[#This Row],[Column15]],Table1215[[#This Row],[Column17]])</f>
        <v>2.3333333333333335</v>
      </c>
      <c r="S102" s="65">
        <f>IFERROR(VLOOKUP(Table1215[[#This Row],[Column2]],Table12[[Column2]:[Column54]],18,FALSE),"0")</f>
        <v>0</v>
      </c>
      <c r="T102" s="65">
        <f>IFERROR(VLOOKUP(Table1215[[#This Row],[Column2]],Table12[[Column2]:[Column54]],19,FALSE),"0")</f>
        <v>0</v>
      </c>
      <c r="U102" s="65">
        <f>IFERROR(VLOOKUP(Table1215[[#This Row],[Column2]],Table12[[Column2]:[Column54]],20,FALSE),"0")</f>
        <v>0</v>
      </c>
      <c r="V102" s="65">
        <f>IFERROR(VLOOKUP(Table1215[[#This Row],[Column2]],Table12[[Column2]:[Column54]],21,FALSE),"0")</f>
        <v>0</v>
      </c>
      <c r="W102" s="65">
        <f>IFERROR(VLOOKUP(Table1215[[#This Row],[Column2]],Table12[[Column2]:[Column54]],22,FALSE),"0")</f>
        <v>0</v>
      </c>
      <c r="X102" s="67">
        <f>Table1215[[#This Row],[Column19]]</f>
        <v>0</v>
      </c>
      <c r="Y102" s="65">
        <f>IFERROR(VLOOKUP(Table1215[[#This Row],[Column2]],Table12[[Column2]:[Column54]],24,FALSE),"0")</f>
        <v>2</v>
      </c>
      <c r="Z102" s="65">
        <f>IFERROR(VLOOKUP(Table1215[[#This Row],[Column2]],Table12[[Column2]:[Column54]],25,FALSE),"0")</f>
        <v>0</v>
      </c>
      <c r="AA102" s="65">
        <f>IFERROR(VLOOKUP(Table1215[[#This Row],[Column2]],Table12[[Column2]:[Column54]],26,FALSE),"0")</f>
        <v>0</v>
      </c>
      <c r="AB102" s="65">
        <f>IFERROR(VLOOKUP(Table1215[[#This Row],[Column2]],Table12[[Column2]:[Column54]],27,FALSE),"0")</f>
        <v>0</v>
      </c>
      <c r="AC102" s="65">
        <f>IFERROR(VLOOKUP(Table1215[[#This Row],[Column2]],Table12[[Column2]:[Column54]],28,FALSE),"0")</f>
        <v>0</v>
      </c>
      <c r="AD102" s="67">
        <f>Table1215[[#This Row],[Column25]]</f>
        <v>2</v>
      </c>
      <c r="AE102" s="65">
        <f>IFERROR(VLOOKUP(Table1215[[#This Row],[Column2]],Table12[[Column2]:[Column54]],30,FALSE),"0")</f>
        <v>0</v>
      </c>
      <c r="AF102" s="65">
        <f>IFERROR(VLOOKUP(Table1215[[#This Row],[Column2]],Table12[[Column2]:[Column54]],31,FALSE),"0")</f>
        <v>0</v>
      </c>
      <c r="AG102" s="65">
        <f>IFERROR(VLOOKUP(Table1215[[#This Row],[Column2]],Table12[[Column2]:[Column54]],32,FALSE),"0")</f>
        <v>0</v>
      </c>
      <c r="AH102" s="65">
        <f>IFERROR(VLOOKUP(Table1215[[#This Row],[Column2]],Table12[[Column2]:[Column54]],33,FALSE),"0")</f>
        <v>0</v>
      </c>
      <c r="AI102" s="65">
        <f>IFERROR(VLOOKUP(Table1215[[#This Row],[Column2]],Table12[[Column2]:[Column54]],34,FALSE),"0")</f>
        <v>0</v>
      </c>
      <c r="AJ102" s="67">
        <f>AVERAGE(Table1215[[#This Row],[Column31]],Table1215[[#This Row],[Column32]],Table1215[[#This Row],[Column33]])</f>
        <v>0</v>
      </c>
      <c r="AK102" s="65">
        <f>IFERROR(VLOOKUP(Table1215[[#This Row],[Column2]],Table12[[Column2]:[Column54]],36,FALSE),"0")</f>
        <v>2</v>
      </c>
      <c r="AL102" s="65">
        <f>IFERROR(VLOOKUP(Table1215[[#This Row],[Column2]],Table12[[Column2]:[Column54]],37,FALSE),"0")</f>
        <v>3</v>
      </c>
      <c r="AM102" s="65">
        <f>IFERROR(VLOOKUP(Table1215[[#This Row],[Column2]],Table12[[Column2]:[Column54]],38,FALSE),"0")</f>
        <v>0</v>
      </c>
      <c r="AN102" s="65">
        <f>IFERROR(VLOOKUP(Table1215[[#This Row],[Column2]],Table12[[Column2]:[Column54]],39,FALSE),"0")</f>
        <v>3</v>
      </c>
      <c r="AO102" s="65">
        <f>IFERROR(VLOOKUP(Table1215[[#This Row],[Column2]],Table12[[Column2]:[Column54]],40,FALSE),"0")</f>
        <v>0</v>
      </c>
      <c r="AP102" s="67">
        <f>AVERAGE(Table1215[[#This Row],[Column37]],Table1215[[#This Row],[Column38]],Table1215[[#This Row],[Column40]])</f>
        <v>2.6666666666666665</v>
      </c>
      <c r="AQ102" s="65">
        <f>IFERROR(VLOOKUP(Table1215[[#This Row],[Column2]],Table12[[Column2]:[Column54]],42,FALSE),"0")</f>
        <v>2</v>
      </c>
      <c r="AR102" s="65">
        <f>IFERROR(VLOOKUP(Table1215[[#This Row],[Column2]],Table12[[Column2]:[Column54]],43,FALSE),"0")</f>
        <v>0</v>
      </c>
      <c r="AS102" s="65">
        <f>IFERROR(VLOOKUP(Table1215[[#This Row],[Column2]],Table12[[Column2]:[Column54]],44,FALSE),"0")</f>
        <v>0</v>
      </c>
      <c r="AT102" s="65">
        <f>IFERROR(VLOOKUP(Table1215[[#This Row],[Column2]],Table12[[Column2]:[Column54]],45,FALSE),"0")</f>
        <v>0</v>
      </c>
      <c r="AU102" s="65">
        <f>IFERROR(VLOOKUP(Table1215[[#This Row],[Column2]],Table12[[Column2]:[Column54]],46,FALSE),"0")</f>
        <v>0</v>
      </c>
      <c r="AV102" s="67">
        <f>Table1215[[#This Row],[Column43]]</f>
        <v>2</v>
      </c>
      <c r="AW102" s="65">
        <f>IFERROR(VLOOKUP(Table1215[[#This Row],[Column2]],Table12[[Column2]:[Column54]],48,FALSE),"0")</f>
        <v>0</v>
      </c>
      <c r="AX102" s="65">
        <f>IFERROR(VLOOKUP(Table1215[[#This Row],[Column2]],Table12[[Column2]:[Column54]],49,FALSE),"0")</f>
        <v>0</v>
      </c>
      <c r="AY102" s="65">
        <f>IFERROR(VLOOKUP(Table1215[[#This Row],[Column2]],Table12[[Column2]:[Column54]],50,FALSE),"0")</f>
        <v>0</v>
      </c>
      <c r="AZ102" s="65">
        <f>IFERROR(VLOOKUP(Table1215[[#This Row],[Column2]],Table12[[Column2]:[Column54]],51,FALSE),"0")</f>
        <v>1</v>
      </c>
      <c r="BA102" s="65">
        <f>IFERROR(VLOOKUP(Table1215[[#This Row],[Column2]],Table12[[Column2]:[Column54]],52,FALSE),"0")</f>
        <v>3</v>
      </c>
      <c r="BB102" s="67">
        <f>AVERAGE(Table1215[[#This Row],[Column52]],Table1215[[#This Row],[Column53]])</f>
        <v>2</v>
      </c>
    </row>
    <row r="103" spans="1:54" ht="23.1" customHeight="1" x14ac:dyDescent="0.3">
      <c r="A103" s="87">
        <v>100</v>
      </c>
      <c r="B103" s="70" t="s">
        <v>140</v>
      </c>
      <c r="C103" s="71" t="s">
        <v>141</v>
      </c>
      <c r="D103" s="70" t="s">
        <v>450</v>
      </c>
      <c r="E103" s="70" t="s">
        <v>35</v>
      </c>
      <c r="F103" s="70" t="str">
        <f>REPT(CHAR(160),10)&amp;Working!$E104</f>
        <v>          A</v>
      </c>
      <c r="G103" s="61">
        <f>IFERROR(VLOOKUP(Table1215[[#This Row],[Column2]],Table12[[Column2]:[Column54]],6,FALSE),"0")</f>
        <v>0</v>
      </c>
      <c r="H103" s="61">
        <f>IFERROR(VLOOKUP(Table1215[[#This Row],[Column2]],Table12[[Column2]:[Column54]],7,FALSE),"0")</f>
        <v>0</v>
      </c>
      <c r="I103" s="61">
        <f>IFERROR(VLOOKUP(Table1215[[#This Row],[Column2]],Table12[[Column2]:[Column54]],8,FALSE),"0")</f>
        <v>2</v>
      </c>
      <c r="J103" s="61">
        <f>IFERROR(VLOOKUP(Table1215[[#This Row],[Column2]],Table12[[Column2]:[Column54]],9,FALSE),"0")</f>
        <v>0</v>
      </c>
      <c r="K103" s="61">
        <f>IFERROR(VLOOKUP(Table1215[[#This Row],[Column2]],Table12[[Column2]:[Column54]],10,FALSE),"0")</f>
        <v>0</v>
      </c>
      <c r="L103" s="67">
        <f>Table1215[[#This Row],[Column9]]</f>
        <v>2</v>
      </c>
      <c r="M103" s="61">
        <f>IFERROR(VLOOKUP(Table1215[[#This Row],[Column2]],Table12[[Column2]:[Column54]],12,FALSE),"0")</f>
        <v>0</v>
      </c>
      <c r="N103" s="61">
        <f>IFERROR(VLOOKUP(Table1215[[#This Row],[Column2]],Table12[[Column2]:[Column54]],13,FALSE),"0")</f>
        <v>2</v>
      </c>
      <c r="O103" s="61">
        <f>IFERROR(VLOOKUP(Table1215[[#This Row],[Column2]],Table12[[Column2]:[Column54]],14,FALSE),"0")</f>
        <v>2</v>
      </c>
      <c r="P103" s="61">
        <f>IFERROR(VLOOKUP(Table1215[[#This Row],[Column2]],Table12[[Column2]:[Column54]],10,FALSE),"0")</f>
        <v>0</v>
      </c>
      <c r="Q103" s="61">
        <f>IFERROR(VLOOKUP(Table1215[[#This Row],[Column2]],Table12[[Column2]:[Column54]],16,FALSE),"0")</f>
        <v>2</v>
      </c>
      <c r="R103" s="67">
        <f>AVERAGE(Table1215[[#This Row],[Column14]],Table1215[[#This Row],[Column15]],Table1215[[#This Row],[Column17]])</f>
        <v>2</v>
      </c>
      <c r="S103" s="61">
        <f>IFERROR(VLOOKUP(Table1215[[#This Row],[Column2]],Table12[[Column2]:[Column54]],18,FALSE),"0")</f>
        <v>0</v>
      </c>
      <c r="T103" s="61">
        <f>IFERROR(VLOOKUP(Table1215[[#This Row],[Column2]],Table12[[Column2]:[Column54]],19,FALSE),"0")</f>
        <v>0</v>
      </c>
      <c r="U103" s="61">
        <f>IFERROR(VLOOKUP(Table1215[[#This Row],[Column2]],Table12[[Column2]:[Column54]],20,FALSE),"0")</f>
        <v>0</v>
      </c>
      <c r="V103" s="61">
        <f>IFERROR(VLOOKUP(Table1215[[#This Row],[Column2]],Table12[[Column2]:[Column54]],21,FALSE),"0")</f>
        <v>0</v>
      </c>
      <c r="W103" s="61">
        <f>IFERROR(VLOOKUP(Table1215[[#This Row],[Column2]],Table12[[Column2]:[Column54]],22,FALSE),"0")</f>
        <v>0</v>
      </c>
      <c r="X103" s="67">
        <f>Table1215[[#This Row],[Column19]]</f>
        <v>0</v>
      </c>
      <c r="Y103" s="61">
        <f>IFERROR(VLOOKUP(Table1215[[#This Row],[Column2]],Table12[[Column2]:[Column54]],24,FALSE),"0")</f>
        <v>2</v>
      </c>
      <c r="Z103" s="61">
        <f>IFERROR(VLOOKUP(Table1215[[#This Row],[Column2]],Table12[[Column2]:[Column54]],25,FALSE),"0")</f>
        <v>0</v>
      </c>
      <c r="AA103" s="61">
        <f>IFERROR(VLOOKUP(Table1215[[#This Row],[Column2]],Table12[[Column2]:[Column54]],26,FALSE),"0")</f>
        <v>0</v>
      </c>
      <c r="AB103" s="61">
        <f>IFERROR(VLOOKUP(Table1215[[#This Row],[Column2]],Table12[[Column2]:[Column54]],27,FALSE),"0")</f>
        <v>0</v>
      </c>
      <c r="AC103" s="61">
        <f>IFERROR(VLOOKUP(Table1215[[#This Row],[Column2]],Table12[[Column2]:[Column54]],28,FALSE),"0")</f>
        <v>0</v>
      </c>
      <c r="AD103" s="67">
        <f>Table1215[[#This Row],[Column25]]</f>
        <v>2</v>
      </c>
      <c r="AE103" s="61">
        <f>IFERROR(VLOOKUP(Table1215[[#This Row],[Column2]],Table12[[Column2]:[Column54]],30,FALSE),"0")</f>
        <v>0</v>
      </c>
      <c r="AF103" s="61">
        <f>IFERROR(VLOOKUP(Table1215[[#This Row],[Column2]],Table12[[Column2]:[Column54]],31,FALSE),"0")</f>
        <v>0</v>
      </c>
      <c r="AG103" s="61">
        <f>IFERROR(VLOOKUP(Table1215[[#This Row],[Column2]],Table12[[Column2]:[Column54]],32,FALSE),"0")</f>
        <v>0</v>
      </c>
      <c r="AH103" s="61">
        <f>IFERROR(VLOOKUP(Table1215[[#This Row],[Column2]],Table12[[Column2]:[Column54]],33,FALSE),"0")</f>
        <v>0</v>
      </c>
      <c r="AI103" s="61">
        <f>IFERROR(VLOOKUP(Table1215[[#This Row],[Column2]],Table12[[Column2]:[Column54]],34,FALSE),"0")</f>
        <v>0</v>
      </c>
      <c r="AJ103" s="67">
        <f>AVERAGE(Table1215[[#This Row],[Column31]],Table1215[[#This Row],[Column32]],Table1215[[#This Row],[Column33]])</f>
        <v>0</v>
      </c>
      <c r="AK103" s="61">
        <f>IFERROR(VLOOKUP(Table1215[[#This Row],[Column2]],Table12[[Column2]:[Column54]],36,FALSE),"0")</f>
        <v>3</v>
      </c>
      <c r="AL103" s="61">
        <f>IFERROR(VLOOKUP(Table1215[[#This Row],[Column2]],Table12[[Column2]:[Column54]],37,FALSE),"0")</f>
        <v>2</v>
      </c>
      <c r="AM103" s="61">
        <f>IFERROR(VLOOKUP(Table1215[[#This Row],[Column2]],Table12[[Column2]:[Column54]],38,FALSE),"0")</f>
        <v>0</v>
      </c>
      <c r="AN103" s="61">
        <f>IFERROR(VLOOKUP(Table1215[[#This Row],[Column2]],Table12[[Column2]:[Column54]],39,FALSE),"0")</f>
        <v>2</v>
      </c>
      <c r="AO103" s="61">
        <f>IFERROR(VLOOKUP(Table1215[[#This Row],[Column2]],Table12[[Column2]:[Column54]],40,FALSE),"0")</f>
        <v>0</v>
      </c>
      <c r="AP103" s="67">
        <f>AVERAGE(Table1215[[#This Row],[Column37]],Table1215[[#This Row],[Column38]],Table1215[[#This Row],[Column40]])</f>
        <v>2.3333333333333335</v>
      </c>
      <c r="AQ103" s="61">
        <f>IFERROR(VLOOKUP(Table1215[[#This Row],[Column2]],Table12[[Column2]:[Column54]],42,FALSE),"0")</f>
        <v>3</v>
      </c>
      <c r="AR103" s="61">
        <f>IFERROR(VLOOKUP(Table1215[[#This Row],[Column2]],Table12[[Column2]:[Column54]],43,FALSE),"0")</f>
        <v>0</v>
      </c>
      <c r="AS103" s="61">
        <f>IFERROR(VLOOKUP(Table1215[[#This Row],[Column2]],Table12[[Column2]:[Column54]],44,FALSE),"0")</f>
        <v>0</v>
      </c>
      <c r="AT103" s="61">
        <f>IFERROR(VLOOKUP(Table1215[[#This Row],[Column2]],Table12[[Column2]:[Column54]],45,FALSE),"0")</f>
        <v>0</v>
      </c>
      <c r="AU103" s="61">
        <f>IFERROR(VLOOKUP(Table1215[[#This Row],[Column2]],Table12[[Column2]:[Column54]],46,FALSE),"0")</f>
        <v>0</v>
      </c>
      <c r="AV103" s="67">
        <f>Table1215[[#This Row],[Column43]]</f>
        <v>3</v>
      </c>
      <c r="AW103" s="61">
        <f>IFERROR(VLOOKUP(Table1215[[#This Row],[Column2]],Table12[[Column2]:[Column54]],48,FALSE),"0")</f>
        <v>0</v>
      </c>
      <c r="AX103" s="61">
        <f>IFERROR(VLOOKUP(Table1215[[#This Row],[Column2]],Table12[[Column2]:[Column54]],49,FALSE),"0")</f>
        <v>0</v>
      </c>
      <c r="AY103" s="61">
        <f>IFERROR(VLOOKUP(Table1215[[#This Row],[Column2]],Table12[[Column2]:[Column54]],50,FALSE),"0")</f>
        <v>0</v>
      </c>
      <c r="AZ103" s="61">
        <f>IFERROR(VLOOKUP(Table1215[[#This Row],[Column2]],Table12[[Column2]:[Column54]],51,FALSE),"0")</f>
        <v>2</v>
      </c>
      <c r="BA103" s="61">
        <f>IFERROR(VLOOKUP(Table1215[[#This Row],[Column2]],Table12[[Column2]:[Column54]],52,FALSE),"0")</f>
        <v>3</v>
      </c>
      <c r="BB103" s="67">
        <f>AVERAGE(Table1215[[#This Row],[Column52]],Table1215[[#This Row],[Column53]])</f>
        <v>2.5</v>
      </c>
    </row>
    <row r="104" spans="1:54" ht="23.1" customHeight="1" x14ac:dyDescent="0.3">
      <c r="A104" s="86">
        <v>101</v>
      </c>
      <c r="B104" s="63" t="s">
        <v>346</v>
      </c>
      <c r="C104" s="64" t="s">
        <v>347</v>
      </c>
      <c r="D104" s="63" t="s">
        <v>450</v>
      </c>
      <c r="E104" s="63" t="s">
        <v>493</v>
      </c>
      <c r="F104" s="63" t="str">
        <f>REPT(CHAR(160),10)&amp;Working!$E105</f>
        <v>          C</v>
      </c>
      <c r="G104" s="65">
        <f>IFERROR(VLOOKUP(Table1215[[#This Row],[Column2]],Table12[[Column2]:[Column54]],6,FALSE),"0")</f>
        <v>0</v>
      </c>
      <c r="H104" s="65">
        <f>IFERROR(VLOOKUP(Table1215[[#This Row],[Column2]],Table12[[Column2]:[Column54]],7,FALSE),"0")</f>
        <v>0</v>
      </c>
      <c r="I104" s="65">
        <f>IFERROR(VLOOKUP(Table1215[[#This Row],[Column2]],Table12[[Column2]:[Column54]],8,FALSE),"0")</f>
        <v>3</v>
      </c>
      <c r="J104" s="65">
        <f>IFERROR(VLOOKUP(Table1215[[#This Row],[Column2]],Table12[[Column2]:[Column54]],9,FALSE),"0")</f>
        <v>0</v>
      </c>
      <c r="K104" s="65">
        <f>IFERROR(VLOOKUP(Table1215[[#This Row],[Column2]],Table12[[Column2]:[Column54]],10,FALSE),"0")</f>
        <v>0</v>
      </c>
      <c r="L104" s="67">
        <f>Table1215[[#This Row],[Column9]]</f>
        <v>3</v>
      </c>
      <c r="M104" s="65">
        <f>IFERROR(VLOOKUP(Table1215[[#This Row],[Column2]],Table12[[Column2]:[Column54]],12,FALSE),"0")</f>
        <v>0</v>
      </c>
      <c r="N104" s="65">
        <f>IFERROR(VLOOKUP(Table1215[[#This Row],[Column2]],Table12[[Column2]:[Column54]],13,FALSE),"0")</f>
        <v>3</v>
      </c>
      <c r="O104" s="65">
        <f>IFERROR(VLOOKUP(Table1215[[#This Row],[Column2]],Table12[[Column2]:[Column54]],14,FALSE),"0")</f>
        <v>4</v>
      </c>
      <c r="P104" s="65">
        <f>IFERROR(VLOOKUP(Table1215[[#This Row],[Column2]],Table12[[Column2]:[Column54]],10,FALSE),"0")</f>
        <v>0</v>
      </c>
      <c r="Q104" s="65">
        <f>IFERROR(VLOOKUP(Table1215[[#This Row],[Column2]],Table12[[Column2]:[Column54]],16,FALSE),"0")</f>
        <v>4</v>
      </c>
      <c r="R104" s="67">
        <f>AVERAGE(Table1215[[#This Row],[Column14]],Table1215[[#This Row],[Column15]],Table1215[[#This Row],[Column17]])</f>
        <v>3.6666666666666665</v>
      </c>
      <c r="S104" s="65">
        <f>IFERROR(VLOOKUP(Table1215[[#This Row],[Column2]],Table12[[Column2]:[Column54]],18,FALSE),"0")</f>
        <v>0</v>
      </c>
      <c r="T104" s="65">
        <f>IFERROR(VLOOKUP(Table1215[[#This Row],[Column2]],Table12[[Column2]:[Column54]],19,FALSE),"0")</f>
        <v>0</v>
      </c>
      <c r="U104" s="65">
        <f>IFERROR(VLOOKUP(Table1215[[#This Row],[Column2]],Table12[[Column2]:[Column54]],20,FALSE),"0")</f>
        <v>0</v>
      </c>
      <c r="V104" s="65">
        <f>IFERROR(VLOOKUP(Table1215[[#This Row],[Column2]],Table12[[Column2]:[Column54]],21,FALSE),"0")</f>
        <v>0</v>
      </c>
      <c r="W104" s="65">
        <f>IFERROR(VLOOKUP(Table1215[[#This Row],[Column2]],Table12[[Column2]:[Column54]],22,FALSE),"0")</f>
        <v>0</v>
      </c>
      <c r="X104" s="67">
        <f>Table1215[[#This Row],[Column19]]</f>
        <v>0</v>
      </c>
      <c r="Y104" s="65">
        <f>IFERROR(VLOOKUP(Table1215[[#This Row],[Column2]],Table12[[Column2]:[Column54]],24,FALSE),"0")</f>
        <v>3</v>
      </c>
      <c r="Z104" s="65">
        <f>IFERROR(VLOOKUP(Table1215[[#This Row],[Column2]],Table12[[Column2]:[Column54]],25,FALSE),"0")</f>
        <v>0</v>
      </c>
      <c r="AA104" s="65">
        <f>IFERROR(VLOOKUP(Table1215[[#This Row],[Column2]],Table12[[Column2]:[Column54]],26,FALSE),"0")</f>
        <v>0</v>
      </c>
      <c r="AB104" s="65">
        <f>IFERROR(VLOOKUP(Table1215[[#This Row],[Column2]],Table12[[Column2]:[Column54]],27,FALSE),"0")</f>
        <v>0</v>
      </c>
      <c r="AC104" s="65">
        <f>IFERROR(VLOOKUP(Table1215[[#This Row],[Column2]],Table12[[Column2]:[Column54]],28,FALSE),"0")</f>
        <v>0</v>
      </c>
      <c r="AD104" s="67">
        <f>Table1215[[#This Row],[Column25]]</f>
        <v>3</v>
      </c>
      <c r="AE104" s="65">
        <f>IFERROR(VLOOKUP(Table1215[[#This Row],[Column2]],Table12[[Column2]:[Column54]],30,FALSE),"0")</f>
        <v>0</v>
      </c>
      <c r="AF104" s="65">
        <f>IFERROR(VLOOKUP(Table1215[[#This Row],[Column2]],Table12[[Column2]:[Column54]],31,FALSE),"0")</f>
        <v>0</v>
      </c>
      <c r="AG104" s="65">
        <f>IFERROR(VLOOKUP(Table1215[[#This Row],[Column2]],Table12[[Column2]:[Column54]],32,FALSE),"0")</f>
        <v>0</v>
      </c>
      <c r="AH104" s="65">
        <f>IFERROR(VLOOKUP(Table1215[[#This Row],[Column2]],Table12[[Column2]:[Column54]],33,FALSE),"0")</f>
        <v>0</v>
      </c>
      <c r="AI104" s="65">
        <f>IFERROR(VLOOKUP(Table1215[[#This Row],[Column2]],Table12[[Column2]:[Column54]],34,FALSE),"0")</f>
        <v>0</v>
      </c>
      <c r="AJ104" s="67">
        <f>AVERAGE(Table1215[[#This Row],[Column31]],Table1215[[#This Row],[Column32]],Table1215[[#This Row],[Column33]])</f>
        <v>0</v>
      </c>
      <c r="AK104" s="65">
        <f>IFERROR(VLOOKUP(Table1215[[#This Row],[Column2]],Table12[[Column2]:[Column54]],36,FALSE),"0")</f>
        <v>3</v>
      </c>
      <c r="AL104" s="65">
        <f>IFERROR(VLOOKUP(Table1215[[#This Row],[Column2]],Table12[[Column2]:[Column54]],37,FALSE),"0")</f>
        <v>3</v>
      </c>
      <c r="AM104" s="65">
        <f>IFERROR(VLOOKUP(Table1215[[#This Row],[Column2]],Table12[[Column2]:[Column54]],38,FALSE),"0")</f>
        <v>0</v>
      </c>
      <c r="AN104" s="65">
        <f>IFERROR(VLOOKUP(Table1215[[#This Row],[Column2]],Table12[[Column2]:[Column54]],39,FALSE),"0")</f>
        <v>4</v>
      </c>
      <c r="AO104" s="65">
        <f>IFERROR(VLOOKUP(Table1215[[#This Row],[Column2]],Table12[[Column2]:[Column54]],40,FALSE),"0")</f>
        <v>0</v>
      </c>
      <c r="AP104" s="67">
        <f>AVERAGE(Table1215[[#This Row],[Column37]],Table1215[[#This Row],[Column38]],Table1215[[#This Row],[Column40]])</f>
        <v>3.3333333333333335</v>
      </c>
      <c r="AQ104" s="65">
        <f>IFERROR(VLOOKUP(Table1215[[#This Row],[Column2]],Table12[[Column2]:[Column54]],42,FALSE),"0")</f>
        <v>3</v>
      </c>
      <c r="AR104" s="65">
        <f>IFERROR(VLOOKUP(Table1215[[#This Row],[Column2]],Table12[[Column2]:[Column54]],43,FALSE),"0")</f>
        <v>0</v>
      </c>
      <c r="AS104" s="65">
        <f>IFERROR(VLOOKUP(Table1215[[#This Row],[Column2]],Table12[[Column2]:[Column54]],44,FALSE),"0")</f>
        <v>0</v>
      </c>
      <c r="AT104" s="65">
        <f>IFERROR(VLOOKUP(Table1215[[#This Row],[Column2]],Table12[[Column2]:[Column54]],45,FALSE),"0")</f>
        <v>0</v>
      </c>
      <c r="AU104" s="65">
        <f>IFERROR(VLOOKUP(Table1215[[#This Row],[Column2]],Table12[[Column2]:[Column54]],46,FALSE),"0")</f>
        <v>0</v>
      </c>
      <c r="AV104" s="67">
        <f>Table1215[[#This Row],[Column43]]</f>
        <v>3</v>
      </c>
      <c r="AW104" s="65">
        <f>IFERROR(VLOOKUP(Table1215[[#This Row],[Column2]],Table12[[Column2]:[Column54]],48,FALSE),"0")</f>
        <v>0</v>
      </c>
      <c r="AX104" s="65">
        <f>IFERROR(VLOOKUP(Table1215[[#This Row],[Column2]],Table12[[Column2]:[Column54]],49,FALSE),"0")</f>
        <v>0</v>
      </c>
      <c r="AY104" s="65">
        <f>IFERROR(VLOOKUP(Table1215[[#This Row],[Column2]],Table12[[Column2]:[Column54]],50,FALSE),"0")</f>
        <v>0</v>
      </c>
      <c r="AZ104" s="65">
        <f>IFERROR(VLOOKUP(Table1215[[#This Row],[Column2]],Table12[[Column2]:[Column54]],51,FALSE),"0")</f>
        <v>3</v>
      </c>
      <c r="BA104" s="65">
        <f>IFERROR(VLOOKUP(Table1215[[#This Row],[Column2]],Table12[[Column2]:[Column54]],52,FALSE),"0")</f>
        <v>4</v>
      </c>
      <c r="BB104" s="67">
        <f>AVERAGE(Table1215[[#This Row],[Column52]],Table1215[[#This Row],[Column53]])</f>
        <v>3.5</v>
      </c>
    </row>
    <row r="105" spans="1:54" ht="23.1" customHeight="1" x14ac:dyDescent="0.3">
      <c r="A105" s="87">
        <v>102</v>
      </c>
      <c r="B105" s="70" t="s">
        <v>348</v>
      </c>
      <c r="C105" s="71" t="s">
        <v>349</v>
      </c>
      <c r="D105" s="70" t="s">
        <v>542</v>
      </c>
      <c r="E105" s="70" t="s">
        <v>493</v>
      </c>
      <c r="F105" s="70" t="str">
        <f>REPT(CHAR(160),10)&amp;Working!$E106</f>
        <v>          C</v>
      </c>
      <c r="G105" s="61">
        <f>IFERROR(VLOOKUP(Table1215[[#This Row],[Column2]],Table12[[Column2]:[Column54]],6,FALSE),"0")</f>
        <v>0</v>
      </c>
      <c r="H105" s="61">
        <f>IFERROR(VLOOKUP(Table1215[[#This Row],[Column2]],Table12[[Column2]:[Column54]],7,FALSE),"0")</f>
        <v>0</v>
      </c>
      <c r="I105" s="61">
        <f>IFERROR(VLOOKUP(Table1215[[#This Row],[Column2]],Table12[[Column2]:[Column54]],8,FALSE),"0")</f>
        <v>2</v>
      </c>
      <c r="J105" s="61">
        <f>IFERROR(VLOOKUP(Table1215[[#This Row],[Column2]],Table12[[Column2]:[Column54]],9,FALSE),"0")</f>
        <v>0</v>
      </c>
      <c r="K105" s="61">
        <f>IFERROR(VLOOKUP(Table1215[[#This Row],[Column2]],Table12[[Column2]:[Column54]],10,FALSE),"0")</f>
        <v>0</v>
      </c>
      <c r="L105" s="67">
        <f>Table1215[[#This Row],[Column9]]</f>
        <v>2</v>
      </c>
      <c r="M105" s="61">
        <f>IFERROR(VLOOKUP(Table1215[[#This Row],[Column2]],Table12[[Column2]:[Column54]],12,FALSE),"0")</f>
        <v>0</v>
      </c>
      <c r="N105" s="61">
        <f>IFERROR(VLOOKUP(Table1215[[#This Row],[Column2]],Table12[[Column2]:[Column54]],13,FALSE),"0")</f>
        <v>4</v>
      </c>
      <c r="O105" s="61">
        <f>IFERROR(VLOOKUP(Table1215[[#This Row],[Column2]],Table12[[Column2]:[Column54]],14,FALSE),"0")</f>
        <v>3</v>
      </c>
      <c r="P105" s="61">
        <f>IFERROR(VLOOKUP(Table1215[[#This Row],[Column2]],Table12[[Column2]:[Column54]],10,FALSE),"0")</f>
        <v>0</v>
      </c>
      <c r="Q105" s="61">
        <f>IFERROR(VLOOKUP(Table1215[[#This Row],[Column2]],Table12[[Column2]:[Column54]],16,FALSE),"0")</f>
        <v>3</v>
      </c>
      <c r="R105" s="67">
        <f>AVERAGE(Table1215[[#This Row],[Column14]],Table1215[[#This Row],[Column15]],Table1215[[#This Row],[Column17]])</f>
        <v>3.3333333333333335</v>
      </c>
      <c r="S105" s="61">
        <f>IFERROR(VLOOKUP(Table1215[[#This Row],[Column2]],Table12[[Column2]:[Column54]],18,FALSE),"0")</f>
        <v>0</v>
      </c>
      <c r="T105" s="61">
        <f>IFERROR(VLOOKUP(Table1215[[#This Row],[Column2]],Table12[[Column2]:[Column54]],19,FALSE),"0")</f>
        <v>0</v>
      </c>
      <c r="U105" s="61">
        <f>IFERROR(VLOOKUP(Table1215[[#This Row],[Column2]],Table12[[Column2]:[Column54]],20,FALSE),"0")</f>
        <v>0</v>
      </c>
      <c r="V105" s="61">
        <f>IFERROR(VLOOKUP(Table1215[[#This Row],[Column2]],Table12[[Column2]:[Column54]],21,FALSE),"0")</f>
        <v>0</v>
      </c>
      <c r="W105" s="61">
        <f>IFERROR(VLOOKUP(Table1215[[#This Row],[Column2]],Table12[[Column2]:[Column54]],22,FALSE),"0")</f>
        <v>0</v>
      </c>
      <c r="X105" s="67">
        <f>Table1215[[#This Row],[Column19]]</f>
        <v>0</v>
      </c>
      <c r="Y105" s="61">
        <f>IFERROR(VLOOKUP(Table1215[[#This Row],[Column2]],Table12[[Column2]:[Column54]],24,FALSE),"0")</f>
        <v>3</v>
      </c>
      <c r="Z105" s="61">
        <f>IFERROR(VLOOKUP(Table1215[[#This Row],[Column2]],Table12[[Column2]:[Column54]],25,FALSE),"0")</f>
        <v>0</v>
      </c>
      <c r="AA105" s="61">
        <f>IFERROR(VLOOKUP(Table1215[[#This Row],[Column2]],Table12[[Column2]:[Column54]],26,FALSE),"0")</f>
        <v>0</v>
      </c>
      <c r="AB105" s="61">
        <f>IFERROR(VLOOKUP(Table1215[[#This Row],[Column2]],Table12[[Column2]:[Column54]],27,FALSE),"0")</f>
        <v>0</v>
      </c>
      <c r="AC105" s="61">
        <f>IFERROR(VLOOKUP(Table1215[[#This Row],[Column2]],Table12[[Column2]:[Column54]],28,FALSE),"0")</f>
        <v>0</v>
      </c>
      <c r="AD105" s="67">
        <f>Table1215[[#This Row],[Column25]]</f>
        <v>3</v>
      </c>
      <c r="AE105" s="61">
        <f>IFERROR(VLOOKUP(Table1215[[#This Row],[Column2]],Table12[[Column2]:[Column54]],30,FALSE),"0")</f>
        <v>0</v>
      </c>
      <c r="AF105" s="61">
        <f>IFERROR(VLOOKUP(Table1215[[#This Row],[Column2]],Table12[[Column2]:[Column54]],31,FALSE),"0")</f>
        <v>0</v>
      </c>
      <c r="AG105" s="61">
        <f>IFERROR(VLOOKUP(Table1215[[#This Row],[Column2]],Table12[[Column2]:[Column54]],32,FALSE),"0")</f>
        <v>0</v>
      </c>
      <c r="AH105" s="61">
        <f>IFERROR(VLOOKUP(Table1215[[#This Row],[Column2]],Table12[[Column2]:[Column54]],33,FALSE),"0")</f>
        <v>0</v>
      </c>
      <c r="AI105" s="61">
        <f>IFERROR(VLOOKUP(Table1215[[#This Row],[Column2]],Table12[[Column2]:[Column54]],34,FALSE),"0")</f>
        <v>0</v>
      </c>
      <c r="AJ105" s="67">
        <f>AVERAGE(Table1215[[#This Row],[Column31]],Table1215[[#This Row],[Column32]],Table1215[[#This Row],[Column33]])</f>
        <v>0</v>
      </c>
      <c r="AK105" s="61">
        <f>IFERROR(VLOOKUP(Table1215[[#This Row],[Column2]],Table12[[Column2]:[Column54]],36,FALSE),"0")</f>
        <v>4</v>
      </c>
      <c r="AL105" s="61">
        <f>IFERROR(VLOOKUP(Table1215[[#This Row],[Column2]],Table12[[Column2]:[Column54]],37,FALSE),"0")</f>
        <v>4</v>
      </c>
      <c r="AM105" s="61">
        <f>IFERROR(VLOOKUP(Table1215[[#This Row],[Column2]],Table12[[Column2]:[Column54]],38,FALSE),"0")</f>
        <v>0</v>
      </c>
      <c r="AN105" s="61">
        <f>IFERROR(VLOOKUP(Table1215[[#This Row],[Column2]],Table12[[Column2]:[Column54]],39,FALSE),"0")</f>
        <v>3</v>
      </c>
      <c r="AO105" s="61">
        <f>IFERROR(VLOOKUP(Table1215[[#This Row],[Column2]],Table12[[Column2]:[Column54]],40,FALSE),"0")</f>
        <v>0</v>
      </c>
      <c r="AP105" s="67">
        <f>AVERAGE(Table1215[[#This Row],[Column37]],Table1215[[#This Row],[Column38]],Table1215[[#This Row],[Column40]])</f>
        <v>3.6666666666666665</v>
      </c>
      <c r="AQ105" s="61">
        <f>IFERROR(VLOOKUP(Table1215[[#This Row],[Column2]],Table12[[Column2]:[Column54]],42,FALSE),"0")</f>
        <v>4</v>
      </c>
      <c r="AR105" s="61">
        <f>IFERROR(VLOOKUP(Table1215[[#This Row],[Column2]],Table12[[Column2]:[Column54]],43,FALSE),"0")</f>
        <v>0</v>
      </c>
      <c r="AS105" s="61">
        <f>IFERROR(VLOOKUP(Table1215[[#This Row],[Column2]],Table12[[Column2]:[Column54]],44,FALSE),"0")</f>
        <v>0</v>
      </c>
      <c r="AT105" s="61">
        <f>IFERROR(VLOOKUP(Table1215[[#This Row],[Column2]],Table12[[Column2]:[Column54]],45,FALSE),"0")</f>
        <v>0</v>
      </c>
      <c r="AU105" s="61">
        <f>IFERROR(VLOOKUP(Table1215[[#This Row],[Column2]],Table12[[Column2]:[Column54]],46,FALSE),"0")</f>
        <v>0</v>
      </c>
      <c r="AV105" s="67">
        <f>Table1215[[#This Row],[Column43]]</f>
        <v>4</v>
      </c>
      <c r="AW105" s="61">
        <f>IFERROR(VLOOKUP(Table1215[[#This Row],[Column2]],Table12[[Column2]:[Column54]],48,FALSE),"0")</f>
        <v>0</v>
      </c>
      <c r="AX105" s="61">
        <f>IFERROR(VLOOKUP(Table1215[[#This Row],[Column2]],Table12[[Column2]:[Column54]],49,FALSE),"0")</f>
        <v>0</v>
      </c>
      <c r="AY105" s="61">
        <f>IFERROR(VLOOKUP(Table1215[[#This Row],[Column2]],Table12[[Column2]:[Column54]],50,FALSE),"0")</f>
        <v>0</v>
      </c>
      <c r="AZ105" s="61">
        <f>IFERROR(VLOOKUP(Table1215[[#This Row],[Column2]],Table12[[Column2]:[Column54]],51,FALSE),"0")</f>
        <v>2</v>
      </c>
      <c r="BA105" s="61">
        <f>IFERROR(VLOOKUP(Table1215[[#This Row],[Column2]],Table12[[Column2]:[Column54]],52,FALSE),"0")</f>
        <v>4</v>
      </c>
      <c r="BB105" s="67">
        <f>AVERAGE(Table1215[[#This Row],[Column52]],Table1215[[#This Row],[Column53]])</f>
        <v>3</v>
      </c>
    </row>
    <row r="106" spans="1:54" ht="23.1" customHeight="1" x14ac:dyDescent="0.3">
      <c r="A106" s="86">
        <v>103</v>
      </c>
      <c r="B106" s="63" t="s">
        <v>142</v>
      </c>
      <c r="C106" s="64" t="s">
        <v>143</v>
      </c>
      <c r="D106" s="63" t="s">
        <v>542</v>
      </c>
      <c r="E106" s="63" t="s">
        <v>35</v>
      </c>
      <c r="F106" s="63" t="str">
        <f>REPT(CHAR(160),10)&amp;Working!$E107</f>
        <v>          A</v>
      </c>
      <c r="G106" s="65">
        <f>IFERROR(VLOOKUP(Table1215[[#This Row],[Column2]],Table12[[Column2]:[Column54]],6,FALSE),"0")</f>
        <v>0</v>
      </c>
      <c r="H106" s="65">
        <f>IFERROR(VLOOKUP(Table1215[[#This Row],[Column2]],Table12[[Column2]:[Column54]],7,FALSE),"0")</f>
        <v>0</v>
      </c>
      <c r="I106" s="65">
        <f>IFERROR(VLOOKUP(Table1215[[#This Row],[Column2]],Table12[[Column2]:[Column54]],8,FALSE),"0")</f>
        <v>2</v>
      </c>
      <c r="J106" s="65">
        <f>IFERROR(VLOOKUP(Table1215[[#This Row],[Column2]],Table12[[Column2]:[Column54]],9,FALSE),"0")</f>
        <v>0</v>
      </c>
      <c r="K106" s="65">
        <f>IFERROR(VLOOKUP(Table1215[[#This Row],[Column2]],Table12[[Column2]:[Column54]],10,FALSE),"0")</f>
        <v>0</v>
      </c>
      <c r="L106" s="67">
        <f>Table1215[[#This Row],[Column9]]</f>
        <v>2</v>
      </c>
      <c r="M106" s="65">
        <f>IFERROR(VLOOKUP(Table1215[[#This Row],[Column2]],Table12[[Column2]:[Column54]],12,FALSE),"0")</f>
        <v>0</v>
      </c>
      <c r="N106" s="65">
        <f>IFERROR(VLOOKUP(Table1215[[#This Row],[Column2]],Table12[[Column2]:[Column54]],13,FALSE),"0")</f>
        <v>3</v>
      </c>
      <c r="O106" s="65">
        <f>IFERROR(VLOOKUP(Table1215[[#This Row],[Column2]],Table12[[Column2]:[Column54]],14,FALSE),"0")</f>
        <v>2</v>
      </c>
      <c r="P106" s="65">
        <f>IFERROR(VLOOKUP(Table1215[[#This Row],[Column2]],Table12[[Column2]:[Column54]],10,FALSE),"0")</f>
        <v>0</v>
      </c>
      <c r="Q106" s="65">
        <f>IFERROR(VLOOKUP(Table1215[[#This Row],[Column2]],Table12[[Column2]:[Column54]],16,FALSE),"0")</f>
        <v>2</v>
      </c>
      <c r="R106" s="67">
        <f>AVERAGE(Table1215[[#This Row],[Column14]],Table1215[[#This Row],[Column15]],Table1215[[#This Row],[Column17]])</f>
        <v>2.3333333333333335</v>
      </c>
      <c r="S106" s="65">
        <f>IFERROR(VLOOKUP(Table1215[[#This Row],[Column2]],Table12[[Column2]:[Column54]],18,FALSE),"0")</f>
        <v>0</v>
      </c>
      <c r="T106" s="65">
        <f>IFERROR(VLOOKUP(Table1215[[#This Row],[Column2]],Table12[[Column2]:[Column54]],19,FALSE),"0")</f>
        <v>0</v>
      </c>
      <c r="U106" s="65">
        <f>IFERROR(VLOOKUP(Table1215[[#This Row],[Column2]],Table12[[Column2]:[Column54]],20,FALSE),"0")</f>
        <v>0</v>
      </c>
      <c r="V106" s="65">
        <f>IFERROR(VLOOKUP(Table1215[[#This Row],[Column2]],Table12[[Column2]:[Column54]],21,FALSE),"0")</f>
        <v>0</v>
      </c>
      <c r="W106" s="65">
        <f>IFERROR(VLOOKUP(Table1215[[#This Row],[Column2]],Table12[[Column2]:[Column54]],22,FALSE),"0")</f>
        <v>0</v>
      </c>
      <c r="X106" s="67">
        <f>Table1215[[#This Row],[Column19]]</f>
        <v>0</v>
      </c>
      <c r="Y106" s="65">
        <f>IFERROR(VLOOKUP(Table1215[[#This Row],[Column2]],Table12[[Column2]:[Column54]],24,FALSE),"0")</f>
        <v>2</v>
      </c>
      <c r="Z106" s="65">
        <f>IFERROR(VLOOKUP(Table1215[[#This Row],[Column2]],Table12[[Column2]:[Column54]],25,FALSE),"0")</f>
        <v>0</v>
      </c>
      <c r="AA106" s="65">
        <f>IFERROR(VLOOKUP(Table1215[[#This Row],[Column2]],Table12[[Column2]:[Column54]],26,FALSE),"0")</f>
        <v>0</v>
      </c>
      <c r="AB106" s="65">
        <f>IFERROR(VLOOKUP(Table1215[[#This Row],[Column2]],Table12[[Column2]:[Column54]],27,FALSE),"0")</f>
        <v>0</v>
      </c>
      <c r="AC106" s="65">
        <f>IFERROR(VLOOKUP(Table1215[[#This Row],[Column2]],Table12[[Column2]:[Column54]],28,FALSE),"0")</f>
        <v>0</v>
      </c>
      <c r="AD106" s="67">
        <f>Table1215[[#This Row],[Column25]]</f>
        <v>2</v>
      </c>
      <c r="AE106" s="65">
        <f>IFERROR(VLOOKUP(Table1215[[#This Row],[Column2]],Table12[[Column2]:[Column54]],30,FALSE),"0")</f>
        <v>0</v>
      </c>
      <c r="AF106" s="65">
        <f>IFERROR(VLOOKUP(Table1215[[#This Row],[Column2]],Table12[[Column2]:[Column54]],31,FALSE),"0")</f>
        <v>0</v>
      </c>
      <c r="AG106" s="65">
        <f>IFERROR(VLOOKUP(Table1215[[#This Row],[Column2]],Table12[[Column2]:[Column54]],32,FALSE),"0")</f>
        <v>0</v>
      </c>
      <c r="AH106" s="65">
        <f>IFERROR(VLOOKUP(Table1215[[#This Row],[Column2]],Table12[[Column2]:[Column54]],33,FALSE),"0")</f>
        <v>0</v>
      </c>
      <c r="AI106" s="65">
        <f>IFERROR(VLOOKUP(Table1215[[#This Row],[Column2]],Table12[[Column2]:[Column54]],34,FALSE),"0")</f>
        <v>0</v>
      </c>
      <c r="AJ106" s="67">
        <f>AVERAGE(Table1215[[#This Row],[Column31]],Table1215[[#This Row],[Column32]],Table1215[[#This Row],[Column33]])</f>
        <v>0</v>
      </c>
      <c r="AK106" s="65">
        <f>IFERROR(VLOOKUP(Table1215[[#This Row],[Column2]],Table12[[Column2]:[Column54]],36,FALSE),"0")</f>
        <v>1</v>
      </c>
      <c r="AL106" s="65">
        <f>IFERROR(VLOOKUP(Table1215[[#This Row],[Column2]],Table12[[Column2]:[Column54]],37,FALSE),"0")</f>
        <v>2</v>
      </c>
      <c r="AM106" s="65">
        <f>IFERROR(VLOOKUP(Table1215[[#This Row],[Column2]],Table12[[Column2]:[Column54]],38,FALSE),"0")</f>
        <v>0</v>
      </c>
      <c r="AN106" s="65">
        <f>IFERROR(VLOOKUP(Table1215[[#This Row],[Column2]],Table12[[Column2]:[Column54]],39,FALSE),"0")</f>
        <v>2</v>
      </c>
      <c r="AO106" s="65">
        <f>IFERROR(VLOOKUP(Table1215[[#This Row],[Column2]],Table12[[Column2]:[Column54]],40,FALSE),"0")</f>
        <v>0</v>
      </c>
      <c r="AP106" s="67">
        <f>AVERAGE(Table1215[[#This Row],[Column37]],Table1215[[#This Row],[Column38]],Table1215[[#This Row],[Column40]])</f>
        <v>1.6666666666666667</v>
      </c>
      <c r="AQ106" s="65">
        <f>IFERROR(VLOOKUP(Table1215[[#This Row],[Column2]],Table12[[Column2]:[Column54]],42,FALSE),"0")</f>
        <v>2</v>
      </c>
      <c r="AR106" s="65">
        <f>IFERROR(VLOOKUP(Table1215[[#This Row],[Column2]],Table12[[Column2]:[Column54]],43,FALSE),"0")</f>
        <v>0</v>
      </c>
      <c r="AS106" s="65">
        <f>IFERROR(VLOOKUP(Table1215[[#This Row],[Column2]],Table12[[Column2]:[Column54]],44,FALSE),"0")</f>
        <v>0</v>
      </c>
      <c r="AT106" s="65">
        <f>IFERROR(VLOOKUP(Table1215[[#This Row],[Column2]],Table12[[Column2]:[Column54]],45,FALSE),"0")</f>
        <v>0</v>
      </c>
      <c r="AU106" s="65">
        <f>IFERROR(VLOOKUP(Table1215[[#This Row],[Column2]],Table12[[Column2]:[Column54]],46,FALSE),"0")</f>
        <v>0</v>
      </c>
      <c r="AV106" s="67">
        <f>Table1215[[#This Row],[Column43]]</f>
        <v>2</v>
      </c>
      <c r="AW106" s="65">
        <f>IFERROR(VLOOKUP(Table1215[[#This Row],[Column2]],Table12[[Column2]:[Column54]],48,FALSE),"0")</f>
        <v>0</v>
      </c>
      <c r="AX106" s="65">
        <f>IFERROR(VLOOKUP(Table1215[[#This Row],[Column2]],Table12[[Column2]:[Column54]],49,FALSE),"0")</f>
        <v>0</v>
      </c>
      <c r="AY106" s="65">
        <f>IFERROR(VLOOKUP(Table1215[[#This Row],[Column2]],Table12[[Column2]:[Column54]],50,FALSE),"0")</f>
        <v>0</v>
      </c>
      <c r="AZ106" s="65">
        <f>IFERROR(VLOOKUP(Table1215[[#This Row],[Column2]],Table12[[Column2]:[Column54]],51,FALSE),"0")</f>
        <v>1</v>
      </c>
      <c r="BA106" s="65">
        <f>IFERROR(VLOOKUP(Table1215[[#This Row],[Column2]],Table12[[Column2]:[Column54]],52,FALSE),"0")</f>
        <v>2</v>
      </c>
      <c r="BB106" s="67">
        <f>AVERAGE(Table1215[[#This Row],[Column52]],Table1215[[#This Row],[Column53]])</f>
        <v>1.5</v>
      </c>
    </row>
    <row r="107" spans="1:54" ht="23.1" customHeight="1" x14ac:dyDescent="0.3">
      <c r="A107" s="87">
        <v>104</v>
      </c>
      <c r="B107" s="70" t="s">
        <v>77</v>
      </c>
      <c r="C107" s="71" t="s">
        <v>78</v>
      </c>
      <c r="D107" s="70" t="s">
        <v>450</v>
      </c>
      <c r="E107" s="70" t="s">
        <v>35</v>
      </c>
      <c r="F107" s="70" t="str">
        <f>REPT(CHAR(160),10)&amp;Working!$E108</f>
        <v>          A</v>
      </c>
      <c r="G107" s="61">
        <f>IFERROR(VLOOKUP(Table1215[[#This Row],[Column2]],Table12[[Column2]:[Column54]],6,FALSE),"0")</f>
        <v>0</v>
      </c>
      <c r="H107" s="61">
        <f>IFERROR(VLOOKUP(Table1215[[#This Row],[Column2]],Table12[[Column2]:[Column54]],7,FALSE),"0")</f>
        <v>0</v>
      </c>
      <c r="I107" s="61">
        <f>IFERROR(VLOOKUP(Table1215[[#This Row],[Column2]],Table12[[Column2]:[Column54]],8,FALSE),"0")</f>
        <v>4</v>
      </c>
      <c r="J107" s="61">
        <f>IFERROR(VLOOKUP(Table1215[[#This Row],[Column2]],Table12[[Column2]:[Column54]],9,FALSE),"0")</f>
        <v>0</v>
      </c>
      <c r="K107" s="61">
        <f>IFERROR(VLOOKUP(Table1215[[#This Row],[Column2]],Table12[[Column2]:[Column54]],10,FALSE),"0")</f>
        <v>0</v>
      </c>
      <c r="L107" s="67">
        <f>Table1215[[#This Row],[Column9]]</f>
        <v>4</v>
      </c>
      <c r="M107" s="61">
        <f>IFERROR(VLOOKUP(Table1215[[#This Row],[Column2]],Table12[[Column2]:[Column54]],12,FALSE),"0")</f>
        <v>0</v>
      </c>
      <c r="N107" s="61">
        <f>IFERROR(VLOOKUP(Table1215[[#This Row],[Column2]],Table12[[Column2]:[Column54]],13,FALSE),"0")</f>
        <v>4</v>
      </c>
      <c r="O107" s="61">
        <f>IFERROR(VLOOKUP(Table1215[[#This Row],[Column2]],Table12[[Column2]:[Column54]],14,FALSE),"0")</f>
        <v>4</v>
      </c>
      <c r="P107" s="61">
        <f>IFERROR(VLOOKUP(Table1215[[#This Row],[Column2]],Table12[[Column2]:[Column54]],10,FALSE),"0")</f>
        <v>0</v>
      </c>
      <c r="Q107" s="61">
        <f>IFERROR(VLOOKUP(Table1215[[#This Row],[Column2]],Table12[[Column2]:[Column54]],16,FALSE),"0")</f>
        <v>4</v>
      </c>
      <c r="R107" s="67">
        <f>AVERAGE(Table1215[[#This Row],[Column14]],Table1215[[#This Row],[Column15]],Table1215[[#This Row],[Column17]])</f>
        <v>4</v>
      </c>
      <c r="S107" s="61">
        <f>IFERROR(VLOOKUP(Table1215[[#This Row],[Column2]],Table12[[Column2]:[Column54]],18,FALSE),"0")</f>
        <v>0</v>
      </c>
      <c r="T107" s="61">
        <f>IFERROR(VLOOKUP(Table1215[[#This Row],[Column2]],Table12[[Column2]:[Column54]],19,FALSE),"0")</f>
        <v>0</v>
      </c>
      <c r="U107" s="61">
        <f>IFERROR(VLOOKUP(Table1215[[#This Row],[Column2]],Table12[[Column2]:[Column54]],20,FALSE),"0")</f>
        <v>0</v>
      </c>
      <c r="V107" s="61">
        <f>IFERROR(VLOOKUP(Table1215[[#This Row],[Column2]],Table12[[Column2]:[Column54]],21,FALSE),"0")</f>
        <v>0</v>
      </c>
      <c r="W107" s="61">
        <f>IFERROR(VLOOKUP(Table1215[[#This Row],[Column2]],Table12[[Column2]:[Column54]],22,FALSE),"0")</f>
        <v>0</v>
      </c>
      <c r="X107" s="67">
        <f>Table1215[[#This Row],[Column19]]</f>
        <v>0</v>
      </c>
      <c r="Y107" s="61">
        <f>IFERROR(VLOOKUP(Table1215[[#This Row],[Column2]],Table12[[Column2]:[Column54]],24,FALSE),"0")</f>
        <v>4</v>
      </c>
      <c r="Z107" s="61">
        <f>IFERROR(VLOOKUP(Table1215[[#This Row],[Column2]],Table12[[Column2]:[Column54]],25,FALSE),"0")</f>
        <v>0</v>
      </c>
      <c r="AA107" s="61">
        <f>IFERROR(VLOOKUP(Table1215[[#This Row],[Column2]],Table12[[Column2]:[Column54]],26,FALSE),"0")</f>
        <v>0</v>
      </c>
      <c r="AB107" s="61">
        <f>IFERROR(VLOOKUP(Table1215[[#This Row],[Column2]],Table12[[Column2]:[Column54]],27,FALSE),"0")</f>
        <v>0</v>
      </c>
      <c r="AC107" s="61">
        <f>IFERROR(VLOOKUP(Table1215[[#This Row],[Column2]],Table12[[Column2]:[Column54]],28,FALSE),"0")</f>
        <v>0</v>
      </c>
      <c r="AD107" s="67">
        <f>Table1215[[#This Row],[Column25]]</f>
        <v>4</v>
      </c>
      <c r="AE107" s="61">
        <f>IFERROR(VLOOKUP(Table1215[[#This Row],[Column2]],Table12[[Column2]:[Column54]],30,FALSE),"0")</f>
        <v>0</v>
      </c>
      <c r="AF107" s="61">
        <f>IFERROR(VLOOKUP(Table1215[[#This Row],[Column2]],Table12[[Column2]:[Column54]],31,FALSE),"0")</f>
        <v>0</v>
      </c>
      <c r="AG107" s="61">
        <f>IFERROR(VLOOKUP(Table1215[[#This Row],[Column2]],Table12[[Column2]:[Column54]],32,FALSE),"0")</f>
        <v>0</v>
      </c>
      <c r="AH107" s="61">
        <f>IFERROR(VLOOKUP(Table1215[[#This Row],[Column2]],Table12[[Column2]:[Column54]],33,FALSE),"0")</f>
        <v>0</v>
      </c>
      <c r="AI107" s="61">
        <f>IFERROR(VLOOKUP(Table1215[[#This Row],[Column2]],Table12[[Column2]:[Column54]],34,FALSE),"0")</f>
        <v>0</v>
      </c>
      <c r="AJ107" s="67">
        <f>AVERAGE(Table1215[[#This Row],[Column31]],Table1215[[#This Row],[Column32]],Table1215[[#This Row],[Column33]])</f>
        <v>0</v>
      </c>
      <c r="AK107" s="61">
        <f>IFERROR(VLOOKUP(Table1215[[#This Row],[Column2]],Table12[[Column2]:[Column54]],36,FALSE),"0")</f>
        <v>5</v>
      </c>
      <c r="AL107" s="61">
        <f>IFERROR(VLOOKUP(Table1215[[#This Row],[Column2]],Table12[[Column2]:[Column54]],37,FALSE),"0")</f>
        <v>5</v>
      </c>
      <c r="AM107" s="61">
        <f>IFERROR(VLOOKUP(Table1215[[#This Row],[Column2]],Table12[[Column2]:[Column54]],38,FALSE),"0")</f>
        <v>0</v>
      </c>
      <c r="AN107" s="61">
        <f>IFERROR(VLOOKUP(Table1215[[#This Row],[Column2]],Table12[[Column2]:[Column54]],39,FALSE),"0")</f>
        <v>5</v>
      </c>
      <c r="AO107" s="61">
        <f>IFERROR(VLOOKUP(Table1215[[#This Row],[Column2]],Table12[[Column2]:[Column54]],40,FALSE),"0")</f>
        <v>0</v>
      </c>
      <c r="AP107" s="67">
        <f>AVERAGE(Table1215[[#This Row],[Column37]],Table1215[[#This Row],[Column38]],Table1215[[#This Row],[Column40]])</f>
        <v>5</v>
      </c>
      <c r="AQ107" s="61">
        <f>IFERROR(VLOOKUP(Table1215[[#This Row],[Column2]],Table12[[Column2]:[Column54]],42,FALSE),"0")</f>
        <v>5</v>
      </c>
      <c r="AR107" s="61">
        <f>IFERROR(VLOOKUP(Table1215[[#This Row],[Column2]],Table12[[Column2]:[Column54]],43,FALSE),"0")</f>
        <v>0</v>
      </c>
      <c r="AS107" s="61">
        <f>IFERROR(VLOOKUP(Table1215[[#This Row],[Column2]],Table12[[Column2]:[Column54]],44,FALSE),"0")</f>
        <v>0</v>
      </c>
      <c r="AT107" s="61">
        <f>IFERROR(VLOOKUP(Table1215[[#This Row],[Column2]],Table12[[Column2]:[Column54]],45,FALSE),"0")</f>
        <v>0</v>
      </c>
      <c r="AU107" s="61">
        <f>IFERROR(VLOOKUP(Table1215[[#This Row],[Column2]],Table12[[Column2]:[Column54]],46,FALSE),"0")</f>
        <v>0</v>
      </c>
      <c r="AV107" s="67">
        <f>Table1215[[#This Row],[Column43]]</f>
        <v>5</v>
      </c>
      <c r="AW107" s="61">
        <f>IFERROR(VLOOKUP(Table1215[[#This Row],[Column2]],Table12[[Column2]:[Column54]],48,FALSE),"0")</f>
        <v>0</v>
      </c>
      <c r="AX107" s="61">
        <f>IFERROR(VLOOKUP(Table1215[[#This Row],[Column2]],Table12[[Column2]:[Column54]],49,FALSE),"0")</f>
        <v>0</v>
      </c>
      <c r="AY107" s="61">
        <f>IFERROR(VLOOKUP(Table1215[[#This Row],[Column2]],Table12[[Column2]:[Column54]],50,FALSE),"0")</f>
        <v>0</v>
      </c>
      <c r="AZ107" s="61">
        <f>IFERROR(VLOOKUP(Table1215[[#This Row],[Column2]],Table12[[Column2]:[Column54]],51,FALSE),"0")</f>
        <v>4</v>
      </c>
      <c r="BA107" s="61">
        <f>IFERROR(VLOOKUP(Table1215[[#This Row],[Column2]],Table12[[Column2]:[Column54]],52,FALSE),"0")</f>
        <v>5</v>
      </c>
      <c r="BB107" s="67">
        <f>AVERAGE(Table1215[[#This Row],[Column52]],Table1215[[#This Row],[Column53]])</f>
        <v>4.5</v>
      </c>
    </row>
    <row r="108" spans="1:54" ht="23.1" customHeight="1" x14ac:dyDescent="0.3">
      <c r="A108" s="86">
        <v>105</v>
      </c>
      <c r="B108" s="63" t="s">
        <v>144</v>
      </c>
      <c r="C108" s="64" t="s">
        <v>145</v>
      </c>
      <c r="D108" s="63" t="s">
        <v>542</v>
      </c>
      <c r="E108" s="63" t="s">
        <v>35</v>
      </c>
      <c r="F108" s="63" t="str">
        <f>REPT(CHAR(160),10)&amp;Working!$E109</f>
        <v>          A</v>
      </c>
      <c r="G108" s="65">
        <f>IFERROR(VLOOKUP(Table1215[[#This Row],[Column2]],Table12[[Column2]:[Column54]],6,FALSE),"0")</f>
        <v>0</v>
      </c>
      <c r="H108" s="65">
        <f>IFERROR(VLOOKUP(Table1215[[#This Row],[Column2]],Table12[[Column2]:[Column54]],7,FALSE),"0")</f>
        <v>0</v>
      </c>
      <c r="I108" s="65">
        <f>IFERROR(VLOOKUP(Table1215[[#This Row],[Column2]],Table12[[Column2]:[Column54]],8,FALSE),"0")</f>
        <v>3</v>
      </c>
      <c r="J108" s="65">
        <f>IFERROR(VLOOKUP(Table1215[[#This Row],[Column2]],Table12[[Column2]:[Column54]],9,FALSE),"0")</f>
        <v>0</v>
      </c>
      <c r="K108" s="65">
        <f>IFERROR(VLOOKUP(Table1215[[#This Row],[Column2]],Table12[[Column2]:[Column54]],10,FALSE),"0")</f>
        <v>0</v>
      </c>
      <c r="L108" s="67">
        <f>Table1215[[#This Row],[Column9]]</f>
        <v>3</v>
      </c>
      <c r="M108" s="65">
        <f>IFERROR(VLOOKUP(Table1215[[#This Row],[Column2]],Table12[[Column2]:[Column54]],12,FALSE),"0")</f>
        <v>0</v>
      </c>
      <c r="N108" s="65">
        <f>IFERROR(VLOOKUP(Table1215[[#This Row],[Column2]],Table12[[Column2]:[Column54]],13,FALSE),"0")</f>
        <v>4</v>
      </c>
      <c r="O108" s="65">
        <f>IFERROR(VLOOKUP(Table1215[[#This Row],[Column2]],Table12[[Column2]:[Column54]],14,FALSE),"0")</f>
        <v>4</v>
      </c>
      <c r="P108" s="65">
        <f>IFERROR(VLOOKUP(Table1215[[#This Row],[Column2]],Table12[[Column2]:[Column54]],10,FALSE),"0")</f>
        <v>0</v>
      </c>
      <c r="Q108" s="65">
        <f>IFERROR(VLOOKUP(Table1215[[#This Row],[Column2]],Table12[[Column2]:[Column54]],16,FALSE),"0")</f>
        <v>4</v>
      </c>
      <c r="R108" s="67">
        <f>AVERAGE(Table1215[[#This Row],[Column14]],Table1215[[#This Row],[Column15]],Table1215[[#This Row],[Column17]])</f>
        <v>4</v>
      </c>
      <c r="S108" s="65">
        <f>IFERROR(VLOOKUP(Table1215[[#This Row],[Column2]],Table12[[Column2]:[Column54]],18,FALSE),"0")</f>
        <v>0</v>
      </c>
      <c r="T108" s="65">
        <f>IFERROR(VLOOKUP(Table1215[[#This Row],[Column2]],Table12[[Column2]:[Column54]],19,FALSE),"0")</f>
        <v>0</v>
      </c>
      <c r="U108" s="65">
        <f>IFERROR(VLOOKUP(Table1215[[#This Row],[Column2]],Table12[[Column2]:[Column54]],20,FALSE),"0")</f>
        <v>0</v>
      </c>
      <c r="V108" s="65">
        <f>IFERROR(VLOOKUP(Table1215[[#This Row],[Column2]],Table12[[Column2]:[Column54]],21,FALSE),"0")</f>
        <v>0</v>
      </c>
      <c r="W108" s="65">
        <f>IFERROR(VLOOKUP(Table1215[[#This Row],[Column2]],Table12[[Column2]:[Column54]],22,FALSE),"0")</f>
        <v>0</v>
      </c>
      <c r="X108" s="67">
        <f>Table1215[[#This Row],[Column19]]</f>
        <v>0</v>
      </c>
      <c r="Y108" s="65">
        <f>IFERROR(VLOOKUP(Table1215[[#This Row],[Column2]],Table12[[Column2]:[Column54]],24,FALSE),"0")</f>
        <v>5</v>
      </c>
      <c r="Z108" s="65">
        <f>IFERROR(VLOOKUP(Table1215[[#This Row],[Column2]],Table12[[Column2]:[Column54]],25,FALSE),"0")</f>
        <v>0</v>
      </c>
      <c r="AA108" s="65">
        <f>IFERROR(VLOOKUP(Table1215[[#This Row],[Column2]],Table12[[Column2]:[Column54]],26,FALSE),"0")</f>
        <v>0</v>
      </c>
      <c r="AB108" s="65">
        <f>IFERROR(VLOOKUP(Table1215[[#This Row],[Column2]],Table12[[Column2]:[Column54]],27,FALSE),"0")</f>
        <v>0</v>
      </c>
      <c r="AC108" s="65">
        <f>IFERROR(VLOOKUP(Table1215[[#This Row],[Column2]],Table12[[Column2]:[Column54]],28,FALSE),"0")</f>
        <v>0</v>
      </c>
      <c r="AD108" s="67">
        <f>Table1215[[#This Row],[Column25]]</f>
        <v>5</v>
      </c>
      <c r="AE108" s="65">
        <f>IFERROR(VLOOKUP(Table1215[[#This Row],[Column2]],Table12[[Column2]:[Column54]],30,FALSE),"0")</f>
        <v>0</v>
      </c>
      <c r="AF108" s="65">
        <f>IFERROR(VLOOKUP(Table1215[[#This Row],[Column2]],Table12[[Column2]:[Column54]],31,FALSE),"0")</f>
        <v>0</v>
      </c>
      <c r="AG108" s="65">
        <f>IFERROR(VLOOKUP(Table1215[[#This Row],[Column2]],Table12[[Column2]:[Column54]],32,FALSE),"0")</f>
        <v>0</v>
      </c>
      <c r="AH108" s="65">
        <f>IFERROR(VLOOKUP(Table1215[[#This Row],[Column2]],Table12[[Column2]:[Column54]],33,FALSE),"0")</f>
        <v>0</v>
      </c>
      <c r="AI108" s="65">
        <f>IFERROR(VLOOKUP(Table1215[[#This Row],[Column2]],Table12[[Column2]:[Column54]],34,FALSE),"0")</f>
        <v>0</v>
      </c>
      <c r="AJ108" s="67">
        <f>AVERAGE(Table1215[[#This Row],[Column31]],Table1215[[#This Row],[Column32]],Table1215[[#This Row],[Column33]])</f>
        <v>0</v>
      </c>
      <c r="AK108" s="65">
        <f>IFERROR(VLOOKUP(Table1215[[#This Row],[Column2]],Table12[[Column2]:[Column54]],36,FALSE),"0")</f>
        <v>3</v>
      </c>
      <c r="AL108" s="65">
        <f>IFERROR(VLOOKUP(Table1215[[#This Row],[Column2]],Table12[[Column2]:[Column54]],37,FALSE),"0")</f>
        <v>4</v>
      </c>
      <c r="AM108" s="65">
        <f>IFERROR(VLOOKUP(Table1215[[#This Row],[Column2]],Table12[[Column2]:[Column54]],38,FALSE),"0")</f>
        <v>0</v>
      </c>
      <c r="AN108" s="65">
        <f>IFERROR(VLOOKUP(Table1215[[#This Row],[Column2]],Table12[[Column2]:[Column54]],39,FALSE),"0")</f>
        <v>4</v>
      </c>
      <c r="AO108" s="65">
        <f>IFERROR(VLOOKUP(Table1215[[#This Row],[Column2]],Table12[[Column2]:[Column54]],40,FALSE),"0")</f>
        <v>0</v>
      </c>
      <c r="AP108" s="67">
        <f>AVERAGE(Table1215[[#This Row],[Column37]],Table1215[[#This Row],[Column38]],Table1215[[#This Row],[Column40]])</f>
        <v>3.6666666666666665</v>
      </c>
      <c r="AQ108" s="65">
        <f>IFERROR(VLOOKUP(Table1215[[#This Row],[Column2]],Table12[[Column2]:[Column54]],42,FALSE),"0")</f>
        <v>5</v>
      </c>
      <c r="AR108" s="65">
        <f>IFERROR(VLOOKUP(Table1215[[#This Row],[Column2]],Table12[[Column2]:[Column54]],43,FALSE),"0")</f>
        <v>0</v>
      </c>
      <c r="AS108" s="65">
        <f>IFERROR(VLOOKUP(Table1215[[#This Row],[Column2]],Table12[[Column2]:[Column54]],44,FALSE),"0")</f>
        <v>0</v>
      </c>
      <c r="AT108" s="65">
        <f>IFERROR(VLOOKUP(Table1215[[#This Row],[Column2]],Table12[[Column2]:[Column54]],45,FALSE),"0")</f>
        <v>0</v>
      </c>
      <c r="AU108" s="65">
        <f>IFERROR(VLOOKUP(Table1215[[#This Row],[Column2]],Table12[[Column2]:[Column54]],46,FALSE),"0")</f>
        <v>0</v>
      </c>
      <c r="AV108" s="67">
        <f>Table1215[[#This Row],[Column43]]</f>
        <v>5</v>
      </c>
      <c r="AW108" s="65">
        <f>IFERROR(VLOOKUP(Table1215[[#This Row],[Column2]],Table12[[Column2]:[Column54]],48,FALSE),"0")</f>
        <v>0</v>
      </c>
      <c r="AX108" s="65">
        <f>IFERROR(VLOOKUP(Table1215[[#This Row],[Column2]],Table12[[Column2]:[Column54]],49,FALSE),"0")</f>
        <v>0</v>
      </c>
      <c r="AY108" s="65">
        <f>IFERROR(VLOOKUP(Table1215[[#This Row],[Column2]],Table12[[Column2]:[Column54]],50,FALSE),"0")</f>
        <v>0</v>
      </c>
      <c r="AZ108" s="65">
        <f>IFERROR(VLOOKUP(Table1215[[#This Row],[Column2]],Table12[[Column2]:[Column54]],51,FALSE),"0")</f>
        <v>2</v>
      </c>
      <c r="BA108" s="65">
        <f>IFERROR(VLOOKUP(Table1215[[#This Row],[Column2]],Table12[[Column2]:[Column54]],52,FALSE),"0")</f>
        <v>4</v>
      </c>
      <c r="BB108" s="67">
        <f>AVERAGE(Table1215[[#This Row],[Column52]],Table1215[[#This Row],[Column53]])</f>
        <v>3</v>
      </c>
    </row>
    <row r="109" spans="1:54" ht="23.1" customHeight="1" x14ac:dyDescent="0.3">
      <c r="A109" s="87">
        <v>106</v>
      </c>
      <c r="B109" s="70" t="s">
        <v>350</v>
      </c>
      <c r="C109" s="71" t="s">
        <v>351</v>
      </c>
      <c r="D109" s="70" t="s">
        <v>450</v>
      </c>
      <c r="E109" s="70" t="s">
        <v>493</v>
      </c>
      <c r="F109" s="70" t="str">
        <f>REPT(CHAR(160),10)&amp;Working!$E110</f>
        <v>          C</v>
      </c>
      <c r="G109" s="61">
        <f>IFERROR(VLOOKUP(Table1215[[#This Row],[Column2]],Table12[[Column2]:[Column54]],6,FALSE),"0")</f>
        <v>0</v>
      </c>
      <c r="H109" s="61">
        <f>IFERROR(VLOOKUP(Table1215[[#This Row],[Column2]],Table12[[Column2]:[Column54]],7,FALSE),"0")</f>
        <v>0</v>
      </c>
      <c r="I109" s="61">
        <f>IFERROR(VLOOKUP(Table1215[[#This Row],[Column2]],Table12[[Column2]:[Column54]],8,FALSE),"0")</f>
        <v>5</v>
      </c>
      <c r="J109" s="61">
        <f>IFERROR(VLOOKUP(Table1215[[#This Row],[Column2]],Table12[[Column2]:[Column54]],9,FALSE),"0")</f>
        <v>0</v>
      </c>
      <c r="K109" s="61">
        <f>IFERROR(VLOOKUP(Table1215[[#This Row],[Column2]],Table12[[Column2]:[Column54]],10,FALSE),"0")</f>
        <v>0</v>
      </c>
      <c r="L109" s="67">
        <f>Table1215[[#This Row],[Column9]]</f>
        <v>5</v>
      </c>
      <c r="M109" s="61">
        <f>IFERROR(VLOOKUP(Table1215[[#This Row],[Column2]],Table12[[Column2]:[Column54]],12,FALSE),"0")</f>
        <v>0</v>
      </c>
      <c r="N109" s="61">
        <f>IFERROR(VLOOKUP(Table1215[[#This Row],[Column2]],Table12[[Column2]:[Column54]],13,FALSE),"0")</f>
        <v>5</v>
      </c>
      <c r="O109" s="61">
        <f>IFERROR(VLOOKUP(Table1215[[#This Row],[Column2]],Table12[[Column2]:[Column54]],14,FALSE),"0")</f>
        <v>4</v>
      </c>
      <c r="P109" s="61">
        <f>IFERROR(VLOOKUP(Table1215[[#This Row],[Column2]],Table12[[Column2]:[Column54]],10,FALSE),"0")</f>
        <v>0</v>
      </c>
      <c r="Q109" s="61">
        <f>IFERROR(VLOOKUP(Table1215[[#This Row],[Column2]],Table12[[Column2]:[Column54]],16,FALSE),"0")</f>
        <v>4</v>
      </c>
      <c r="R109" s="67">
        <f>AVERAGE(Table1215[[#This Row],[Column14]],Table1215[[#This Row],[Column15]],Table1215[[#This Row],[Column17]])</f>
        <v>4.333333333333333</v>
      </c>
      <c r="S109" s="61">
        <f>IFERROR(VLOOKUP(Table1215[[#This Row],[Column2]],Table12[[Column2]:[Column54]],18,FALSE),"0")</f>
        <v>0</v>
      </c>
      <c r="T109" s="61">
        <f>IFERROR(VLOOKUP(Table1215[[#This Row],[Column2]],Table12[[Column2]:[Column54]],19,FALSE),"0")</f>
        <v>0</v>
      </c>
      <c r="U109" s="61">
        <f>IFERROR(VLOOKUP(Table1215[[#This Row],[Column2]],Table12[[Column2]:[Column54]],20,FALSE),"0")</f>
        <v>0</v>
      </c>
      <c r="V109" s="61">
        <f>IFERROR(VLOOKUP(Table1215[[#This Row],[Column2]],Table12[[Column2]:[Column54]],21,FALSE),"0")</f>
        <v>0</v>
      </c>
      <c r="W109" s="61">
        <f>IFERROR(VLOOKUP(Table1215[[#This Row],[Column2]],Table12[[Column2]:[Column54]],22,FALSE),"0")</f>
        <v>0</v>
      </c>
      <c r="X109" s="67">
        <f>Table1215[[#This Row],[Column19]]</f>
        <v>0</v>
      </c>
      <c r="Y109" s="61">
        <f>IFERROR(VLOOKUP(Table1215[[#This Row],[Column2]],Table12[[Column2]:[Column54]],24,FALSE),"0")</f>
        <v>5</v>
      </c>
      <c r="Z109" s="61">
        <f>IFERROR(VLOOKUP(Table1215[[#This Row],[Column2]],Table12[[Column2]:[Column54]],25,FALSE),"0")</f>
        <v>0</v>
      </c>
      <c r="AA109" s="61">
        <f>IFERROR(VLOOKUP(Table1215[[#This Row],[Column2]],Table12[[Column2]:[Column54]],26,FALSE),"0")</f>
        <v>0</v>
      </c>
      <c r="AB109" s="61">
        <f>IFERROR(VLOOKUP(Table1215[[#This Row],[Column2]],Table12[[Column2]:[Column54]],27,FALSE),"0")</f>
        <v>0</v>
      </c>
      <c r="AC109" s="61">
        <f>IFERROR(VLOOKUP(Table1215[[#This Row],[Column2]],Table12[[Column2]:[Column54]],28,FALSE),"0")</f>
        <v>0</v>
      </c>
      <c r="AD109" s="67">
        <f>Table1215[[#This Row],[Column25]]</f>
        <v>5</v>
      </c>
      <c r="AE109" s="61">
        <f>IFERROR(VLOOKUP(Table1215[[#This Row],[Column2]],Table12[[Column2]:[Column54]],30,FALSE),"0")</f>
        <v>0</v>
      </c>
      <c r="AF109" s="61">
        <f>IFERROR(VLOOKUP(Table1215[[#This Row],[Column2]],Table12[[Column2]:[Column54]],31,FALSE),"0")</f>
        <v>0</v>
      </c>
      <c r="AG109" s="61">
        <f>IFERROR(VLOOKUP(Table1215[[#This Row],[Column2]],Table12[[Column2]:[Column54]],32,FALSE),"0")</f>
        <v>0</v>
      </c>
      <c r="AH109" s="61">
        <f>IFERROR(VLOOKUP(Table1215[[#This Row],[Column2]],Table12[[Column2]:[Column54]],33,FALSE),"0")</f>
        <v>0</v>
      </c>
      <c r="AI109" s="61">
        <f>IFERROR(VLOOKUP(Table1215[[#This Row],[Column2]],Table12[[Column2]:[Column54]],34,FALSE),"0")</f>
        <v>0</v>
      </c>
      <c r="AJ109" s="67">
        <f>AVERAGE(Table1215[[#This Row],[Column31]],Table1215[[#This Row],[Column32]],Table1215[[#This Row],[Column33]])</f>
        <v>0</v>
      </c>
      <c r="AK109" s="61">
        <f>IFERROR(VLOOKUP(Table1215[[#This Row],[Column2]],Table12[[Column2]:[Column54]],36,FALSE),"0")</f>
        <v>5</v>
      </c>
      <c r="AL109" s="61">
        <f>IFERROR(VLOOKUP(Table1215[[#This Row],[Column2]],Table12[[Column2]:[Column54]],37,FALSE),"0")</f>
        <v>5</v>
      </c>
      <c r="AM109" s="61">
        <f>IFERROR(VLOOKUP(Table1215[[#This Row],[Column2]],Table12[[Column2]:[Column54]],38,FALSE),"0")</f>
        <v>0</v>
      </c>
      <c r="AN109" s="61">
        <f>IFERROR(VLOOKUP(Table1215[[#This Row],[Column2]],Table12[[Column2]:[Column54]],39,FALSE),"0")</f>
        <v>5</v>
      </c>
      <c r="AO109" s="61">
        <f>IFERROR(VLOOKUP(Table1215[[#This Row],[Column2]],Table12[[Column2]:[Column54]],40,FALSE),"0")</f>
        <v>0</v>
      </c>
      <c r="AP109" s="67">
        <f>AVERAGE(Table1215[[#This Row],[Column37]],Table1215[[#This Row],[Column38]],Table1215[[#This Row],[Column40]])</f>
        <v>5</v>
      </c>
      <c r="AQ109" s="61">
        <f>IFERROR(VLOOKUP(Table1215[[#This Row],[Column2]],Table12[[Column2]:[Column54]],42,FALSE),"0")</f>
        <v>5</v>
      </c>
      <c r="AR109" s="61">
        <f>IFERROR(VLOOKUP(Table1215[[#This Row],[Column2]],Table12[[Column2]:[Column54]],43,FALSE),"0")</f>
        <v>0</v>
      </c>
      <c r="AS109" s="61">
        <f>IFERROR(VLOOKUP(Table1215[[#This Row],[Column2]],Table12[[Column2]:[Column54]],44,FALSE),"0")</f>
        <v>0</v>
      </c>
      <c r="AT109" s="61">
        <f>IFERROR(VLOOKUP(Table1215[[#This Row],[Column2]],Table12[[Column2]:[Column54]],45,FALSE),"0")</f>
        <v>0</v>
      </c>
      <c r="AU109" s="61">
        <f>IFERROR(VLOOKUP(Table1215[[#This Row],[Column2]],Table12[[Column2]:[Column54]],46,FALSE),"0")</f>
        <v>0</v>
      </c>
      <c r="AV109" s="67">
        <f>Table1215[[#This Row],[Column43]]</f>
        <v>5</v>
      </c>
      <c r="AW109" s="61">
        <f>IFERROR(VLOOKUP(Table1215[[#This Row],[Column2]],Table12[[Column2]:[Column54]],48,FALSE),"0")</f>
        <v>0</v>
      </c>
      <c r="AX109" s="61">
        <f>IFERROR(VLOOKUP(Table1215[[#This Row],[Column2]],Table12[[Column2]:[Column54]],49,FALSE),"0")</f>
        <v>0</v>
      </c>
      <c r="AY109" s="61">
        <f>IFERROR(VLOOKUP(Table1215[[#This Row],[Column2]],Table12[[Column2]:[Column54]],50,FALSE),"0")</f>
        <v>0</v>
      </c>
      <c r="AZ109" s="61">
        <f>IFERROR(VLOOKUP(Table1215[[#This Row],[Column2]],Table12[[Column2]:[Column54]],51,FALSE),"0")</f>
        <v>4</v>
      </c>
      <c r="BA109" s="61">
        <f>IFERROR(VLOOKUP(Table1215[[#This Row],[Column2]],Table12[[Column2]:[Column54]],52,FALSE),"0")</f>
        <v>5</v>
      </c>
      <c r="BB109" s="67">
        <f>AVERAGE(Table1215[[#This Row],[Column52]],Table1215[[#This Row],[Column53]])</f>
        <v>4.5</v>
      </c>
    </row>
    <row r="110" spans="1:54" ht="23.1" customHeight="1" x14ac:dyDescent="0.3">
      <c r="A110" s="86">
        <v>107</v>
      </c>
      <c r="B110" s="63" t="s">
        <v>352</v>
      </c>
      <c r="C110" s="64" t="s">
        <v>353</v>
      </c>
      <c r="D110" s="63" t="s">
        <v>542</v>
      </c>
      <c r="E110" s="63" t="s">
        <v>493</v>
      </c>
      <c r="F110" s="63" t="str">
        <f>REPT(CHAR(160),10)&amp;Working!$E111</f>
        <v>          C</v>
      </c>
      <c r="G110" s="65">
        <f>IFERROR(VLOOKUP(Table1215[[#This Row],[Column2]],Table12[[Column2]:[Column54]],6,FALSE),"0")</f>
        <v>0</v>
      </c>
      <c r="H110" s="65">
        <f>IFERROR(VLOOKUP(Table1215[[#This Row],[Column2]],Table12[[Column2]:[Column54]],7,FALSE),"0")</f>
        <v>0</v>
      </c>
      <c r="I110" s="65">
        <f>IFERROR(VLOOKUP(Table1215[[#This Row],[Column2]],Table12[[Column2]:[Column54]],8,FALSE),"0")</f>
        <v>3</v>
      </c>
      <c r="J110" s="65">
        <f>IFERROR(VLOOKUP(Table1215[[#This Row],[Column2]],Table12[[Column2]:[Column54]],9,FALSE),"0")</f>
        <v>0</v>
      </c>
      <c r="K110" s="65">
        <f>IFERROR(VLOOKUP(Table1215[[#This Row],[Column2]],Table12[[Column2]:[Column54]],10,FALSE),"0")</f>
        <v>0</v>
      </c>
      <c r="L110" s="67">
        <f>Table1215[[#This Row],[Column9]]</f>
        <v>3</v>
      </c>
      <c r="M110" s="65">
        <f>IFERROR(VLOOKUP(Table1215[[#This Row],[Column2]],Table12[[Column2]:[Column54]],12,FALSE),"0")</f>
        <v>0</v>
      </c>
      <c r="N110" s="65">
        <f>IFERROR(VLOOKUP(Table1215[[#This Row],[Column2]],Table12[[Column2]:[Column54]],13,FALSE),"0")</f>
        <v>4</v>
      </c>
      <c r="O110" s="65">
        <f>IFERROR(VLOOKUP(Table1215[[#This Row],[Column2]],Table12[[Column2]:[Column54]],14,FALSE),"0")</f>
        <v>4</v>
      </c>
      <c r="P110" s="65">
        <f>IFERROR(VLOOKUP(Table1215[[#This Row],[Column2]],Table12[[Column2]:[Column54]],10,FALSE),"0")</f>
        <v>0</v>
      </c>
      <c r="Q110" s="65">
        <f>IFERROR(VLOOKUP(Table1215[[#This Row],[Column2]],Table12[[Column2]:[Column54]],16,FALSE),"0")</f>
        <v>4</v>
      </c>
      <c r="R110" s="67">
        <f>AVERAGE(Table1215[[#This Row],[Column14]],Table1215[[#This Row],[Column15]],Table1215[[#This Row],[Column17]])</f>
        <v>4</v>
      </c>
      <c r="S110" s="65">
        <f>IFERROR(VLOOKUP(Table1215[[#This Row],[Column2]],Table12[[Column2]:[Column54]],18,FALSE),"0")</f>
        <v>0</v>
      </c>
      <c r="T110" s="65">
        <f>IFERROR(VLOOKUP(Table1215[[#This Row],[Column2]],Table12[[Column2]:[Column54]],19,FALSE),"0")</f>
        <v>0</v>
      </c>
      <c r="U110" s="65">
        <f>IFERROR(VLOOKUP(Table1215[[#This Row],[Column2]],Table12[[Column2]:[Column54]],20,FALSE),"0")</f>
        <v>0</v>
      </c>
      <c r="V110" s="65">
        <f>IFERROR(VLOOKUP(Table1215[[#This Row],[Column2]],Table12[[Column2]:[Column54]],21,FALSE),"0")</f>
        <v>0</v>
      </c>
      <c r="W110" s="65">
        <f>IFERROR(VLOOKUP(Table1215[[#This Row],[Column2]],Table12[[Column2]:[Column54]],22,FALSE),"0")</f>
        <v>0</v>
      </c>
      <c r="X110" s="67">
        <f>Table1215[[#This Row],[Column19]]</f>
        <v>0</v>
      </c>
      <c r="Y110" s="65">
        <f>IFERROR(VLOOKUP(Table1215[[#This Row],[Column2]],Table12[[Column2]:[Column54]],24,FALSE),"0")</f>
        <v>4</v>
      </c>
      <c r="Z110" s="65">
        <f>IFERROR(VLOOKUP(Table1215[[#This Row],[Column2]],Table12[[Column2]:[Column54]],25,FALSE),"0")</f>
        <v>0</v>
      </c>
      <c r="AA110" s="65">
        <f>IFERROR(VLOOKUP(Table1215[[#This Row],[Column2]],Table12[[Column2]:[Column54]],26,FALSE),"0")</f>
        <v>0</v>
      </c>
      <c r="AB110" s="65">
        <f>IFERROR(VLOOKUP(Table1215[[#This Row],[Column2]],Table12[[Column2]:[Column54]],27,FALSE),"0")</f>
        <v>0</v>
      </c>
      <c r="AC110" s="65">
        <f>IFERROR(VLOOKUP(Table1215[[#This Row],[Column2]],Table12[[Column2]:[Column54]],28,FALSE),"0")</f>
        <v>0</v>
      </c>
      <c r="AD110" s="67">
        <f>Table1215[[#This Row],[Column25]]</f>
        <v>4</v>
      </c>
      <c r="AE110" s="65">
        <f>IFERROR(VLOOKUP(Table1215[[#This Row],[Column2]],Table12[[Column2]:[Column54]],30,FALSE),"0")</f>
        <v>0</v>
      </c>
      <c r="AF110" s="65">
        <f>IFERROR(VLOOKUP(Table1215[[#This Row],[Column2]],Table12[[Column2]:[Column54]],31,FALSE),"0")</f>
        <v>0</v>
      </c>
      <c r="AG110" s="65">
        <f>IFERROR(VLOOKUP(Table1215[[#This Row],[Column2]],Table12[[Column2]:[Column54]],32,FALSE),"0")</f>
        <v>0</v>
      </c>
      <c r="AH110" s="65">
        <f>IFERROR(VLOOKUP(Table1215[[#This Row],[Column2]],Table12[[Column2]:[Column54]],33,FALSE),"0")</f>
        <v>0</v>
      </c>
      <c r="AI110" s="65">
        <f>IFERROR(VLOOKUP(Table1215[[#This Row],[Column2]],Table12[[Column2]:[Column54]],34,FALSE),"0")</f>
        <v>0</v>
      </c>
      <c r="AJ110" s="67">
        <f>AVERAGE(Table1215[[#This Row],[Column31]],Table1215[[#This Row],[Column32]],Table1215[[#This Row],[Column33]])</f>
        <v>0</v>
      </c>
      <c r="AK110" s="65">
        <f>IFERROR(VLOOKUP(Table1215[[#This Row],[Column2]],Table12[[Column2]:[Column54]],36,FALSE),"0")</f>
        <v>2</v>
      </c>
      <c r="AL110" s="65">
        <f>IFERROR(VLOOKUP(Table1215[[#This Row],[Column2]],Table12[[Column2]:[Column54]],37,FALSE),"0")</f>
        <v>4</v>
      </c>
      <c r="AM110" s="65">
        <f>IFERROR(VLOOKUP(Table1215[[#This Row],[Column2]],Table12[[Column2]:[Column54]],38,FALSE),"0")</f>
        <v>0</v>
      </c>
      <c r="AN110" s="65">
        <f>IFERROR(VLOOKUP(Table1215[[#This Row],[Column2]],Table12[[Column2]:[Column54]],39,FALSE),"0")</f>
        <v>4</v>
      </c>
      <c r="AO110" s="65">
        <f>IFERROR(VLOOKUP(Table1215[[#This Row],[Column2]],Table12[[Column2]:[Column54]],40,FALSE),"0")</f>
        <v>0</v>
      </c>
      <c r="AP110" s="67">
        <f>AVERAGE(Table1215[[#This Row],[Column37]],Table1215[[#This Row],[Column38]],Table1215[[#This Row],[Column40]])</f>
        <v>3.3333333333333335</v>
      </c>
      <c r="AQ110" s="65">
        <f>IFERROR(VLOOKUP(Table1215[[#This Row],[Column2]],Table12[[Column2]:[Column54]],42,FALSE),"0")</f>
        <v>3</v>
      </c>
      <c r="AR110" s="65">
        <f>IFERROR(VLOOKUP(Table1215[[#This Row],[Column2]],Table12[[Column2]:[Column54]],43,FALSE),"0")</f>
        <v>0</v>
      </c>
      <c r="AS110" s="65">
        <f>IFERROR(VLOOKUP(Table1215[[#This Row],[Column2]],Table12[[Column2]:[Column54]],44,FALSE),"0")</f>
        <v>0</v>
      </c>
      <c r="AT110" s="65">
        <f>IFERROR(VLOOKUP(Table1215[[#This Row],[Column2]],Table12[[Column2]:[Column54]],45,FALSE),"0")</f>
        <v>0</v>
      </c>
      <c r="AU110" s="65">
        <f>IFERROR(VLOOKUP(Table1215[[#This Row],[Column2]],Table12[[Column2]:[Column54]],46,FALSE),"0")</f>
        <v>0</v>
      </c>
      <c r="AV110" s="67">
        <f>Table1215[[#This Row],[Column43]]</f>
        <v>3</v>
      </c>
      <c r="AW110" s="65">
        <f>IFERROR(VLOOKUP(Table1215[[#This Row],[Column2]],Table12[[Column2]:[Column54]],48,FALSE),"0")</f>
        <v>0</v>
      </c>
      <c r="AX110" s="65">
        <f>IFERROR(VLOOKUP(Table1215[[#This Row],[Column2]],Table12[[Column2]:[Column54]],49,FALSE),"0")</f>
        <v>0</v>
      </c>
      <c r="AY110" s="65">
        <f>IFERROR(VLOOKUP(Table1215[[#This Row],[Column2]],Table12[[Column2]:[Column54]],50,FALSE),"0")</f>
        <v>0</v>
      </c>
      <c r="AZ110" s="65">
        <f>IFERROR(VLOOKUP(Table1215[[#This Row],[Column2]],Table12[[Column2]:[Column54]],51,FALSE),"0")</f>
        <v>2</v>
      </c>
      <c r="BA110" s="65">
        <f>IFERROR(VLOOKUP(Table1215[[#This Row],[Column2]],Table12[[Column2]:[Column54]],52,FALSE),"0")</f>
        <v>5</v>
      </c>
      <c r="BB110" s="67">
        <f>AVERAGE(Table1215[[#This Row],[Column52]],Table1215[[#This Row],[Column53]])</f>
        <v>3.5</v>
      </c>
    </row>
    <row r="111" spans="1:54" ht="23.1" customHeight="1" x14ac:dyDescent="0.3">
      <c r="A111" s="87">
        <v>108</v>
      </c>
      <c r="B111" s="70" t="s">
        <v>279</v>
      </c>
      <c r="C111" s="71" t="s">
        <v>280</v>
      </c>
      <c r="D111" s="70" t="s">
        <v>450</v>
      </c>
      <c r="E111" s="70" t="s">
        <v>161</v>
      </c>
      <c r="F111" s="70" t="str">
        <f>REPT(CHAR(160),10)&amp;Working!$E112</f>
        <v>          B</v>
      </c>
      <c r="G111" s="61">
        <f>IFERROR(VLOOKUP(Table1215[[#This Row],[Column2]],Table12[[Column2]:[Column54]],6,FALSE),"0")</f>
        <v>0</v>
      </c>
      <c r="H111" s="61">
        <f>IFERROR(VLOOKUP(Table1215[[#This Row],[Column2]],Table12[[Column2]:[Column54]],7,FALSE),"0")</f>
        <v>0</v>
      </c>
      <c r="I111" s="61">
        <f>IFERROR(VLOOKUP(Table1215[[#This Row],[Column2]],Table12[[Column2]:[Column54]],8,FALSE),"0")</f>
        <v>2</v>
      </c>
      <c r="J111" s="61">
        <f>IFERROR(VLOOKUP(Table1215[[#This Row],[Column2]],Table12[[Column2]:[Column54]],9,FALSE),"0")</f>
        <v>0</v>
      </c>
      <c r="K111" s="61">
        <f>IFERROR(VLOOKUP(Table1215[[#This Row],[Column2]],Table12[[Column2]:[Column54]],10,FALSE),"0")</f>
        <v>0</v>
      </c>
      <c r="L111" s="67">
        <f>Table1215[[#This Row],[Column9]]</f>
        <v>2</v>
      </c>
      <c r="M111" s="61">
        <f>IFERROR(VLOOKUP(Table1215[[#This Row],[Column2]],Table12[[Column2]:[Column54]],12,FALSE),"0")</f>
        <v>0</v>
      </c>
      <c r="N111" s="61">
        <f>IFERROR(VLOOKUP(Table1215[[#This Row],[Column2]],Table12[[Column2]:[Column54]],13,FALSE),"0")</f>
        <v>2</v>
      </c>
      <c r="O111" s="61">
        <f>IFERROR(VLOOKUP(Table1215[[#This Row],[Column2]],Table12[[Column2]:[Column54]],14,FALSE),"0")</f>
        <v>1</v>
      </c>
      <c r="P111" s="61">
        <f>IFERROR(VLOOKUP(Table1215[[#This Row],[Column2]],Table12[[Column2]:[Column54]],10,FALSE),"0")</f>
        <v>0</v>
      </c>
      <c r="Q111" s="61">
        <f>IFERROR(VLOOKUP(Table1215[[#This Row],[Column2]],Table12[[Column2]:[Column54]],16,FALSE),"0")</f>
        <v>1</v>
      </c>
      <c r="R111" s="67">
        <f>AVERAGE(Table1215[[#This Row],[Column14]],Table1215[[#This Row],[Column15]],Table1215[[#This Row],[Column17]])</f>
        <v>1.3333333333333333</v>
      </c>
      <c r="S111" s="61">
        <f>IFERROR(VLOOKUP(Table1215[[#This Row],[Column2]],Table12[[Column2]:[Column54]],18,FALSE),"0")</f>
        <v>0</v>
      </c>
      <c r="T111" s="61">
        <f>IFERROR(VLOOKUP(Table1215[[#This Row],[Column2]],Table12[[Column2]:[Column54]],19,FALSE),"0")</f>
        <v>0</v>
      </c>
      <c r="U111" s="61">
        <f>IFERROR(VLOOKUP(Table1215[[#This Row],[Column2]],Table12[[Column2]:[Column54]],20,FALSE),"0")</f>
        <v>0</v>
      </c>
      <c r="V111" s="61">
        <f>IFERROR(VLOOKUP(Table1215[[#This Row],[Column2]],Table12[[Column2]:[Column54]],21,FALSE),"0")</f>
        <v>0</v>
      </c>
      <c r="W111" s="61">
        <f>IFERROR(VLOOKUP(Table1215[[#This Row],[Column2]],Table12[[Column2]:[Column54]],22,FALSE),"0")</f>
        <v>0</v>
      </c>
      <c r="X111" s="67">
        <f>Table1215[[#This Row],[Column19]]</f>
        <v>0</v>
      </c>
      <c r="Y111" s="61">
        <f>IFERROR(VLOOKUP(Table1215[[#This Row],[Column2]],Table12[[Column2]:[Column54]],24,FALSE),"0")</f>
        <v>2</v>
      </c>
      <c r="Z111" s="61">
        <f>IFERROR(VLOOKUP(Table1215[[#This Row],[Column2]],Table12[[Column2]:[Column54]],25,FALSE),"0")</f>
        <v>0</v>
      </c>
      <c r="AA111" s="61">
        <f>IFERROR(VLOOKUP(Table1215[[#This Row],[Column2]],Table12[[Column2]:[Column54]],26,FALSE),"0")</f>
        <v>0</v>
      </c>
      <c r="AB111" s="61">
        <f>IFERROR(VLOOKUP(Table1215[[#This Row],[Column2]],Table12[[Column2]:[Column54]],27,FALSE),"0")</f>
        <v>0</v>
      </c>
      <c r="AC111" s="61">
        <f>IFERROR(VLOOKUP(Table1215[[#This Row],[Column2]],Table12[[Column2]:[Column54]],28,FALSE),"0")</f>
        <v>0</v>
      </c>
      <c r="AD111" s="67">
        <f>Table1215[[#This Row],[Column25]]</f>
        <v>2</v>
      </c>
      <c r="AE111" s="61">
        <f>IFERROR(VLOOKUP(Table1215[[#This Row],[Column2]],Table12[[Column2]:[Column54]],30,FALSE),"0")</f>
        <v>0</v>
      </c>
      <c r="AF111" s="61">
        <f>IFERROR(VLOOKUP(Table1215[[#This Row],[Column2]],Table12[[Column2]:[Column54]],31,FALSE),"0")</f>
        <v>0</v>
      </c>
      <c r="AG111" s="61">
        <f>IFERROR(VLOOKUP(Table1215[[#This Row],[Column2]],Table12[[Column2]:[Column54]],32,FALSE),"0")</f>
        <v>0</v>
      </c>
      <c r="AH111" s="61">
        <f>IFERROR(VLOOKUP(Table1215[[#This Row],[Column2]],Table12[[Column2]:[Column54]],33,FALSE),"0")</f>
        <v>0</v>
      </c>
      <c r="AI111" s="61">
        <f>IFERROR(VLOOKUP(Table1215[[#This Row],[Column2]],Table12[[Column2]:[Column54]],34,FALSE),"0")</f>
        <v>0</v>
      </c>
      <c r="AJ111" s="67">
        <f>AVERAGE(Table1215[[#This Row],[Column31]],Table1215[[#This Row],[Column32]],Table1215[[#This Row],[Column33]])</f>
        <v>0</v>
      </c>
      <c r="AK111" s="61">
        <f>IFERROR(VLOOKUP(Table1215[[#This Row],[Column2]],Table12[[Column2]:[Column54]],36,FALSE),"0")</f>
        <v>2</v>
      </c>
      <c r="AL111" s="61">
        <f>IFERROR(VLOOKUP(Table1215[[#This Row],[Column2]],Table12[[Column2]:[Column54]],37,FALSE),"0")</f>
        <v>3</v>
      </c>
      <c r="AM111" s="61">
        <f>IFERROR(VLOOKUP(Table1215[[#This Row],[Column2]],Table12[[Column2]:[Column54]],38,FALSE),"0")</f>
        <v>0</v>
      </c>
      <c r="AN111" s="61">
        <f>IFERROR(VLOOKUP(Table1215[[#This Row],[Column2]],Table12[[Column2]:[Column54]],39,FALSE),"0")</f>
        <v>3</v>
      </c>
      <c r="AO111" s="61">
        <f>IFERROR(VLOOKUP(Table1215[[#This Row],[Column2]],Table12[[Column2]:[Column54]],40,FALSE),"0")</f>
        <v>0</v>
      </c>
      <c r="AP111" s="67">
        <f>AVERAGE(Table1215[[#This Row],[Column37]],Table1215[[#This Row],[Column38]],Table1215[[#This Row],[Column40]])</f>
        <v>2.6666666666666665</v>
      </c>
      <c r="AQ111" s="61">
        <f>IFERROR(VLOOKUP(Table1215[[#This Row],[Column2]],Table12[[Column2]:[Column54]],42,FALSE),"0")</f>
        <v>4</v>
      </c>
      <c r="AR111" s="61">
        <f>IFERROR(VLOOKUP(Table1215[[#This Row],[Column2]],Table12[[Column2]:[Column54]],43,FALSE),"0")</f>
        <v>0</v>
      </c>
      <c r="AS111" s="61">
        <f>IFERROR(VLOOKUP(Table1215[[#This Row],[Column2]],Table12[[Column2]:[Column54]],44,FALSE),"0")</f>
        <v>0</v>
      </c>
      <c r="AT111" s="61">
        <f>IFERROR(VLOOKUP(Table1215[[#This Row],[Column2]],Table12[[Column2]:[Column54]],45,FALSE),"0")</f>
        <v>0</v>
      </c>
      <c r="AU111" s="61">
        <f>IFERROR(VLOOKUP(Table1215[[#This Row],[Column2]],Table12[[Column2]:[Column54]],46,FALSE),"0")</f>
        <v>0</v>
      </c>
      <c r="AV111" s="67">
        <f>Table1215[[#This Row],[Column43]]</f>
        <v>4</v>
      </c>
      <c r="AW111" s="61">
        <f>IFERROR(VLOOKUP(Table1215[[#This Row],[Column2]],Table12[[Column2]:[Column54]],48,FALSE),"0")</f>
        <v>0</v>
      </c>
      <c r="AX111" s="61">
        <f>IFERROR(VLOOKUP(Table1215[[#This Row],[Column2]],Table12[[Column2]:[Column54]],49,FALSE),"0")</f>
        <v>0</v>
      </c>
      <c r="AY111" s="61">
        <f>IFERROR(VLOOKUP(Table1215[[#This Row],[Column2]],Table12[[Column2]:[Column54]],50,FALSE),"0")</f>
        <v>0</v>
      </c>
      <c r="AZ111" s="61">
        <f>IFERROR(VLOOKUP(Table1215[[#This Row],[Column2]],Table12[[Column2]:[Column54]],51,FALSE),"0")</f>
        <v>1</v>
      </c>
      <c r="BA111" s="61">
        <f>IFERROR(VLOOKUP(Table1215[[#This Row],[Column2]],Table12[[Column2]:[Column54]],52,FALSE),"0")</f>
        <v>3</v>
      </c>
      <c r="BB111" s="67">
        <f>AVERAGE(Table1215[[#This Row],[Column52]],Table1215[[#This Row],[Column53]])</f>
        <v>2</v>
      </c>
    </row>
    <row r="112" spans="1:54" ht="23.1" customHeight="1" x14ac:dyDescent="0.3">
      <c r="A112" s="86">
        <v>109</v>
      </c>
      <c r="B112" s="63" t="s">
        <v>168</v>
      </c>
      <c r="C112" s="64" t="s">
        <v>169</v>
      </c>
      <c r="D112" s="63" t="s">
        <v>450</v>
      </c>
      <c r="E112" s="63" t="s">
        <v>161</v>
      </c>
      <c r="F112" s="63" t="str">
        <f>REPT(CHAR(160),10)&amp;Working!$E113</f>
        <v>          B</v>
      </c>
      <c r="G112" s="65">
        <f>IFERROR(VLOOKUP(Table1215[[#This Row],[Column2]],Table12[[Column2]:[Column54]],6,FALSE),"0")</f>
        <v>0</v>
      </c>
      <c r="H112" s="65">
        <f>IFERROR(VLOOKUP(Table1215[[#This Row],[Column2]],Table12[[Column2]:[Column54]],7,FALSE),"0")</f>
        <v>0</v>
      </c>
      <c r="I112" s="65">
        <f>IFERROR(VLOOKUP(Table1215[[#This Row],[Column2]],Table12[[Column2]:[Column54]],8,FALSE),"0")</f>
        <v>3</v>
      </c>
      <c r="J112" s="65">
        <f>IFERROR(VLOOKUP(Table1215[[#This Row],[Column2]],Table12[[Column2]:[Column54]],9,FALSE),"0")</f>
        <v>0</v>
      </c>
      <c r="K112" s="65">
        <f>IFERROR(VLOOKUP(Table1215[[#This Row],[Column2]],Table12[[Column2]:[Column54]],10,FALSE),"0")</f>
        <v>0</v>
      </c>
      <c r="L112" s="67">
        <f>Table1215[[#This Row],[Column9]]</f>
        <v>3</v>
      </c>
      <c r="M112" s="65">
        <f>IFERROR(VLOOKUP(Table1215[[#This Row],[Column2]],Table12[[Column2]:[Column54]],12,FALSE),"0")</f>
        <v>0</v>
      </c>
      <c r="N112" s="65">
        <f>IFERROR(VLOOKUP(Table1215[[#This Row],[Column2]],Table12[[Column2]:[Column54]],13,FALSE),"0")</f>
        <v>4</v>
      </c>
      <c r="O112" s="65">
        <f>IFERROR(VLOOKUP(Table1215[[#This Row],[Column2]],Table12[[Column2]:[Column54]],14,FALSE),"0")</f>
        <v>4</v>
      </c>
      <c r="P112" s="65">
        <f>IFERROR(VLOOKUP(Table1215[[#This Row],[Column2]],Table12[[Column2]:[Column54]],10,FALSE),"0")</f>
        <v>0</v>
      </c>
      <c r="Q112" s="65">
        <f>IFERROR(VLOOKUP(Table1215[[#This Row],[Column2]],Table12[[Column2]:[Column54]],16,FALSE),"0")</f>
        <v>4</v>
      </c>
      <c r="R112" s="67">
        <f>AVERAGE(Table1215[[#This Row],[Column14]],Table1215[[#This Row],[Column15]],Table1215[[#This Row],[Column17]])</f>
        <v>4</v>
      </c>
      <c r="S112" s="65">
        <f>IFERROR(VLOOKUP(Table1215[[#This Row],[Column2]],Table12[[Column2]:[Column54]],18,FALSE),"0")</f>
        <v>0</v>
      </c>
      <c r="T112" s="65">
        <f>IFERROR(VLOOKUP(Table1215[[#This Row],[Column2]],Table12[[Column2]:[Column54]],19,FALSE),"0")</f>
        <v>0</v>
      </c>
      <c r="U112" s="65">
        <f>IFERROR(VLOOKUP(Table1215[[#This Row],[Column2]],Table12[[Column2]:[Column54]],20,FALSE),"0")</f>
        <v>0</v>
      </c>
      <c r="V112" s="65">
        <f>IFERROR(VLOOKUP(Table1215[[#This Row],[Column2]],Table12[[Column2]:[Column54]],21,FALSE),"0")</f>
        <v>0</v>
      </c>
      <c r="W112" s="65">
        <f>IFERROR(VLOOKUP(Table1215[[#This Row],[Column2]],Table12[[Column2]:[Column54]],22,FALSE),"0")</f>
        <v>0</v>
      </c>
      <c r="X112" s="67">
        <f>Table1215[[#This Row],[Column19]]</f>
        <v>0</v>
      </c>
      <c r="Y112" s="65">
        <f>IFERROR(VLOOKUP(Table1215[[#This Row],[Column2]],Table12[[Column2]:[Column54]],24,FALSE),"0")</f>
        <v>4</v>
      </c>
      <c r="Z112" s="65">
        <f>IFERROR(VLOOKUP(Table1215[[#This Row],[Column2]],Table12[[Column2]:[Column54]],25,FALSE),"0")</f>
        <v>0</v>
      </c>
      <c r="AA112" s="65">
        <f>IFERROR(VLOOKUP(Table1215[[#This Row],[Column2]],Table12[[Column2]:[Column54]],26,FALSE),"0")</f>
        <v>0</v>
      </c>
      <c r="AB112" s="65">
        <f>IFERROR(VLOOKUP(Table1215[[#This Row],[Column2]],Table12[[Column2]:[Column54]],27,FALSE),"0")</f>
        <v>0</v>
      </c>
      <c r="AC112" s="65">
        <f>IFERROR(VLOOKUP(Table1215[[#This Row],[Column2]],Table12[[Column2]:[Column54]],28,FALSE),"0")</f>
        <v>0</v>
      </c>
      <c r="AD112" s="67">
        <f>Table1215[[#This Row],[Column25]]</f>
        <v>4</v>
      </c>
      <c r="AE112" s="65">
        <f>IFERROR(VLOOKUP(Table1215[[#This Row],[Column2]],Table12[[Column2]:[Column54]],30,FALSE),"0")</f>
        <v>0</v>
      </c>
      <c r="AF112" s="65">
        <f>IFERROR(VLOOKUP(Table1215[[#This Row],[Column2]],Table12[[Column2]:[Column54]],31,FALSE),"0")</f>
        <v>0</v>
      </c>
      <c r="AG112" s="65">
        <f>IFERROR(VLOOKUP(Table1215[[#This Row],[Column2]],Table12[[Column2]:[Column54]],32,FALSE),"0")</f>
        <v>0</v>
      </c>
      <c r="AH112" s="65">
        <f>IFERROR(VLOOKUP(Table1215[[#This Row],[Column2]],Table12[[Column2]:[Column54]],33,FALSE),"0")</f>
        <v>0</v>
      </c>
      <c r="AI112" s="65">
        <f>IFERROR(VLOOKUP(Table1215[[#This Row],[Column2]],Table12[[Column2]:[Column54]],34,FALSE),"0")</f>
        <v>0</v>
      </c>
      <c r="AJ112" s="67">
        <f>AVERAGE(Table1215[[#This Row],[Column31]],Table1215[[#This Row],[Column32]],Table1215[[#This Row],[Column33]])</f>
        <v>0</v>
      </c>
      <c r="AK112" s="65">
        <f>IFERROR(VLOOKUP(Table1215[[#This Row],[Column2]],Table12[[Column2]:[Column54]],36,FALSE),"0")</f>
        <v>3</v>
      </c>
      <c r="AL112" s="65">
        <f>IFERROR(VLOOKUP(Table1215[[#This Row],[Column2]],Table12[[Column2]:[Column54]],37,FALSE),"0")</f>
        <v>4</v>
      </c>
      <c r="AM112" s="65">
        <f>IFERROR(VLOOKUP(Table1215[[#This Row],[Column2]],Table12[[Column2]:[Column54]],38,FALSE),"0")</f>
        <v>0</v>
      </c>
      <c r="AN112" s="65">
        <f>IFERROR(VLOOKUP(Table1215[[#This Row],[Column2]],Table12[[Column2]:[Column54]],39,FALSE),"0")</f>
        <v>4</v>
      </c>
      <c r="AO112" s="65">
        <f>IFERROR(VLOOKUP(Table1215[[#This Row],[Column2]],Table12[[Column2]:[Column54]],40,FALSE),"0")</f>
        <v>0</v>
      </c>
      <c r="AP112" s="67">
        <f>AVERAGE(Table1215[[#This Row],[Column37]],Table1215[[#This Row],[Column38]],Table1215[[#This Row],[Column40]])</f>
        <v>3.6666666666666665</v>
      </c>
      <c r="AQ112" s="65">
        <f>IFERROR(VLOOKUP(Table1215[[#This Row],[Column2]],Table12[[Column2]:[Column54]],42,FALSE),"0")</f>
        <v>4</v>
      </c>
      <c r="AR112" s="65">
        <f>IFERROR(VLOOKUP(Table1215[[#This Row],[Column2]],Table12[[Column2]:[Column54]],43,FALSE),"0")</f>
        <v>0</v>
      </c>
      <c r="AS112" s="65">
        <f>IFERROR(VLOOKUP(Table1215[[#This Row],[Column2]],Table12[[Column2]:[Column54]],44,FALSE),"0")</f>
        <v>0</v>
      </c>
      <c r="AT112" s="65">
        <f>IFERROR(VLOOKUP(Table1215[[#This Row],[Column2]],Table12[[Column2]:[Column54]],45,FALSE),"0")</f>
        <v>0</v>
      </c>
      <c r="AU112" s="65">
        <f>IFERROR(VLOOKUP(Table1215[[#This Row],[Column2]],Table12[[Column2]:[Column54]],46,FALSE),"0")</f>
        <v>0</v>
      </c>
      <c r="AV112" s="67">
        <f>Table1215[[#This Row],[Column43]]</f>
        <v>4</v>
      </c>
      <c r="AW112" s="65">
        <f>IFERROR(VLOOKUP(Table1215[[#This Row],[Column2]],Table12[[Column2]:[Column54]],48,FALSE),"0")</f>
        <v>0</v>
      </c>
      <c r="AX112" s="65">
        <f>IFERROR(VLOOKUP(Table1215[[#This Row],[Column2]],Table12[[Column2]:[Column54]],49,FALSE),"0")</f>
        <v>0</v>
      </c>
      <c r="AY112" s="65">
        <f>IFERROR(VLOOKUP(Table1215[[#This Row],[Column2]],Table12[[Column2]:[Column54]],50,FALSE),"0")</f>
        <v>0</v>
      </c>
      <c r="AZ112" s="65">
        <f>IFERROR(VLOOKUP(Table1215[[#This Row],[Column2]],Table12[[Column2]:[Column54]],51,FALSE),"0")</f>
        <v>2</v>
      </c>
      <c r="BA112" s="65">
        <f>IFERROR(VLOOKUP(Table1215[[#This Row],[Column2]],Table12[[Column2]:[Column54]],52,FALSE),"0")</f>
        <v>4</v>
      </c>
      <c r="BB112" s="67">
        <f>AVERAGE(Table1215[[#This Row],[Column52]],Table1215[[#This Row],[Column53]])</f>
        <v>3</v>
      </c>
    </row>
    <row r="113" spans="1:54" ht="23.1" customHeight="1" x14ac:dyDescent="0.3">
      <c r="A113" s="87">
        <v>110</v>
      </c>
      <c r="B113" s="70" t="s">
        <v>186</v>
      </c>
      <c r="C113" s="71" t="s">
        <v>187</v>
      </c>
      <c r="D113" s="70" t="s">
        <v>450</v>
      </c>
      <c r="E113" s="70" t="s">
        <v>161</v>
      </c>
      <c r="F113" s="70" t="str">
        <f>REPT(CHAR(160),10)&amp;Working!$E114</f>
        <v>          B</v>
      </c>
      <c r="G113" s="61">
        <f>IFERROR(VLOOKUP(Table1215[[#This Row],[Column2]],Table12[[Column2]:[Column54]],6,FALSE),"0")</f>
        <v>0</v>
      </c>
      <c r="H113" s="61">
        <f>IFERROR(VLOOKUP(Table1215[[#This Row],[Column2]],Table12[[Column2]:[Column54]],7,FALSE),"0")</f>
        <v>0</v>
      </c>
      <c r="I113" s="61">
        <f>IFERROR(VLOOKUP(Table1215[[#This Row],[Column2]],Table12[[Column2]:[Column54]],8,FALSE),"0")</f>
        <v>4</v>
      </c>
      <c r="J113" s="61">
        <f>IFERROR(VLOOKUP(Table1215[[#This Row],[Column2]],Table12[[Column2]:[Column54]],9,FALSE),"0")</f>
        <v>0</v>
      </c>
      <c r="K113" s="61">
        <f>IFERROR(VLOOKUP(Table1215[[#This Row],[Column2]],Table12[[Column2]:[Column54]],10,FALSE),"0")</f>
        <v>0</v>
      </c>
      <c r="L113" s="67">
        <f>Table1215[[#This Row],[Column9]]</f>
        <v>4</v>
      </c>
      <c r="M113" s="61">
        <f>IFERROR(VLOOKUP(Table1215[[#This Row],[Column2]],Table12[[Column2]:[Column54]],12,FALSE),"0")</f>
        <v>0</v>
      </c>
      <c r="N113" s="61">
        <f>IFERROR(VLOOKUP(Table1215[[#This Row],[Column2]],Table12[[Column2]:[Column54]],13,FALSE),"0")</f>
        <v>4</v>
      </c>
      <c r="O113" s="61">
        <f>IFERROR(VLOOKUP(Table1215[[#This Row],[Column2]],Table12[[Column2]:[Column54]],14,FALSE),"0")</f>
        <v>4</v>
      </c>
      <c r="P113" s="61">
        <f>IFERROR(VLOOKUP(Table1215[[#This Row],[Column2]],Table12[[Column2]:[Column54]],10,FALSE),"0")</f>
        <v>0</v>
      </c>
      <c r="Q113" s="61">
        <f>IFERROR(VLOOKUP(Table1215[[#This Row],[Column2]],Table12[[Column2]:[Column54]],16,FALSE),"0")</f>
        <v>4</v>
      </c>
      <c r="R113" s="67">
        <f>AVERAGE(Table1215[[#This Row],[Column14]],Table1215[[#This Row],[Column15]],Table1215[[#This Row],[Column17]])</f>
        <v>4</v>
      </c>
      <c r="S113" s="61">
        <f>IFERROR(VLOOKUP(Table1215[[#This Row],[Column2]],Table12[[Column2]:[Column54]],18,FALSE),"0")</f>
        <v>0</v>
      </c>
      <c r="T113" s="61">
        <f>IFERROR(VLOOKUP(Table1215[[#This Row],[Column2]],Table12[[Column2]:[Column54]],19,FALSE),"0")</f>
        <v>0</v>
      </c>
      <c r="U113" s="61">
        <f>IFERROR(VLOOKUP(Table1215[[#This Row],[Column2]],Table12[[Column2]:[Column54]],20,FALSE),"0")</f>
        <v>0</v>
      </c>
      <c r="V113" s="61">
        <f>IFERROR(VLOOKUP(Table1215[[#This Row],[Column2]],Table12[[Column2]:[Column54]],21,FALSE),"0")</f>
        <v>0</v>
      </c>
      <c r="W113" s="61">
        <f>IFERROR(VLOOKUP(Table1215[[#This Row],[Column2]],Table12[[Column2]:[Column54]],22,FALSE),"0")</f>
        <v>0</v>
      </c>
      <c r="X113" s="67">
        <f>Table1215[[#This Row],[Column19]]</f>
        <v>0</v>
      </c>
      <c r="Y113" s="61">
        <f>IFERROR(VLOOKUP(Table1215[[#This Row],[Column2]],Table12[[Column2]:[Column54]],24,FALSE),"0")</f>
        <v>4</v>
      </c>
      <c r="Z113" s="61">
        <f>IFERROR(VLOOKUP(Table1215[[#This Row],[Column2]],Table12[[Column2]:[Column54]],25,FALSE),"0")</f>
        <v>0</v>
      </c>
      <c r="AA113" s="61">
        <f>IFERROR(VLOOKUP(Table1215[[#This Row],[Column2]],Table12[[Column2]:[Column54]],26,FALSE),"0")</f>
        <v>0</v>
      </c>
      <c r="AB113" s="61">
        <f>IFERROR(VLOOKUP(Table1215[[#This Row],[Column2]],Table12[[Column2]:[Column54]],27,FALSE),"0")</f>
        <v>0</v>
      </c>
      <c r="AC113" s="61">
        <f>IFERROR(VLOOKUP(Table1215[[#This Row],[Column2]],Table12[[Column2]:[Column54]],28,FALSE),"0")</f>
        <v>0</v>
      </c>
      <c r="AD113" s="67">
        <f>Table1215[[#This Row],[Column25]]</f>
        <v>4</v>
      </c>
      <c r="AE113" s="61">
        <f>IFERROR(VLOOKUP(Table1215[[#This Row],[Column2]],Table12[[Column2]:[Column54]],30,FALSE),"0")</f>
        <v>0</v>
      </c>
      <c r="AF113" s="61">
        <f>IFERROR(VLOOKUP(Table1215[[#This Row],[Column2]],Table12[[Column2]:[Column54]],31,FALSE),"0")</f>
        <v>0</v>
      </c>
      <c r="AG113" s="61">
        <f>IFERROR(VLOOKUP(Table1215[[#This Row],[Column2]],Table12[[Column2]:[Column54]],32,FALSE),"0")</f>
        <v>0</v>
      </c>
      <c r="AH113" s="61">
        <f>IFERROR(VLOOKUP(Table1215[[#This Row],[Column2]],Table12[[Column2]:[Column54]],33,FALSE),"0")</f>
        <v>0</v>
      </c>
      <c r="AI113" s="61">
        <f>IFERROR(VLOOKUP(Table1215[[#This Row],[Column2]],Table12[[Column2]:[Column54]],34,FALSE),"0")</f>
        <v>0</v>
      </c>
      <c r="AJ113" s="67">
        <f>AVERAGE(Table1215[[#This Row],[Column31]],Table1215[[#This Row],[Column32]],Table1215[[#This Row],[Column33]])</f>
        <v>0</v>
      </c>
      <c r="AK113" s="61">
        <f>IFERROR(VLOOKUP(Table1215[[#This Row],[Column2]],Table12[[Column2]:[Column54]],36,FALSE),"0")</f>
        <v>5</v>
      </c>
      <c r="AL113" s="61">
        <f>IFERROR(VLOOKUP(Table1215[[#This Row],[Column2]],Table12[[Column2]:[Column54]],37,FALSE),"0")</f>
        <v>4</v>
      </c>
      <c r="AM113" s="61">
        <f>IFERROR(VLOOKUP(Table1215[[#This Row],[Column2]],Table12[[Column2]:[Column54]],38,FALSE),"0")</f>
        <v>0</v>
      </c>
      <c r="AN113" s="61">
        <f>IFERROR(VLOOKUP(Table1215[[#This Row],[Column2]],Table12[[Column2]:[Column54]],39,FALSE),"0")</f>
        <v>5</v>
      </c>
      <c r="AO113" s="61">
        <f>IFERROR(VLOOKUP(Table1215[[#This Row],[Column2]],Table12[[Column2]:[Column54]],40,FALSE),"0")</f>
        <v>0</v>
      </c>
      <c r="AP113" s="67">
        <f>AVERAGE(Table1215[[#This Row],[Column37]],Table1215[[#This Row],[Column38]],Table1215[[#This Row],[Column40]])</f>
        <v>4.666666666666667</v>
      </c>
      <c r="AQ113" s="61">
        <f>IFERROR(VLOOKUP(Table1215[[#This Row],[Column2]],Table12[[Column2]:[Column54]],42,FALSE),"0")</f>
        <v>5</v>
      </c>
      <c r="AR113" s="61">
        <f>IFERROR(VLOOKUP(Table1215[[#This Row],[Column2]],Table12[[Column2]:[Column54]],43,FALSE),"0")</f>
        <v>0</v>
      </c>
      <c r="AS113" s="61">
        <f>IFERROR(VLOOKUP(Table1215[[#This Row],[Column2]],Table12[[Column2]:[Column54]],44,FALSE),"0")</f>
        <v>0</v>
      </c>
      <c r="AT113" s="61">
        <f>IFERROR(VLOOKUP(Table1215[[#This Row],[Column2]],Table12[[Column2]:[Column54]],45,FALSE),"0")</f>
        <v>0</v>
      </c>
      <c r="AU113" s="61">
        <f>IFERROR(VLOOKUP(Table1215[[#This Row],[Column2]],Table12[[Column2]:[Column54]],46,FALSE),"0")</f>
        <v>0</v>
      </c>
      <c r="AV113" s="67">
        <f>Table1215[[#This Row],[Column43]]</f>
        <v>5</v>
      </c>
      <c r="AW113" s="61">
        <f>IFERROR(VLOOKUP(Table1215[[#This Row],[Column2]],Table12[[Column2]:[Column54]],48,FALSE),"0")</f>
        <v>0</v>
      </c>
      <c r="AX113" s="61">
        <f>IFERROR(VLOOKUP(Table1215[[#This Row],[Column2]],Table12[[Column2]:[Column54]],49,FALSE),"0")</f>
        <v>0</v>
      </c>
      <c r="AY113" s="61">
        <f>IFERROR(VLOOKUP(Table1215[[#This Row],[Column2]],Table12[[Column2]:[Column54]],50,FALSE),"0")</f>
        <v>0</v>
      </c>
      <c r="AZ113" s="61">
        <f>IFERROR(VLOOKUP(Table1215[[#This Row],[Column2]],Table12[[Column2]:[Column54]],51,FALSE),"0")</f>
        <v>5</v>
      </c>
      <c r="BA113" s="61">
        <f>IFERROR(VLOOKUP(Table1215[[#This Row],[Column2]],Table12[[Column2]:[Column54]],52,FALSE),"0")</f>
        <v>4</v>
      </c>
      <c r="BB113" s="67">
        <f>AVERAGE(Table1215[[#This Row],[Column52]],Table1215[[#This Row],[Column53]])</f>
        <v>4.5</v>
      </c>
    </row>
    <row r="114" spans="1:54" ht="23.1" customHeight="1" x14ac:dyDescent="0.3">
      <c r="A114" s="86">
        <v>111</v>
      </c>
      <c r="B114" s="63" t="s">
        <v>233</v>
      </c>
      <c r="C114" s="64" t="s">
        <v>234</v>
      </c>
      <c r="D114" s="63" t="s">
        <v>450</v>
      </c>
      <c r="E114" s="63" t="s">
        <v>161</v>
      </c>
      <c r="F114" s="63" t="str">
        <f>REPT(CHAR(160),10)&amp;Working!$E115</f>
        <v>          B</v>
      </c>
      <c r="G114" s="65">
        <f>IFERROR(VLOOKUP(Table1215[[#This Row],[Column2]],Table12[[Column2]:[Column54]],6,FALSE),"0")</f>
        <v>0</v>
      </c>
      <c r="H114" s="65">
        <f>IFERROR(VLOOKUP(Table1215[[#This Row],[Column2]],Table12[[Column2]:[Column54]],7,FALSE),"0")</f>
        <v>0</v>
      </c>
      <c r="I114" s="65">
        <f>IFERROR(VLOOKUP(Table1215[[#This Row],[Column2]],Table12[[Column2]:[Column54]],8,FALSE),"0")</f>
        <v>0</v>
      </c>
      <c r="J114" s="65">
        <f>IFERROR(VLOOKUP(Table1215[[#This Row],[Column2]],Table12[[Column2]:[Column54]],9,FALSE),"0")</f>
        <v>0</v>
      </c>
      <c r="K114" s="65">
        <f>IFERROR(VLOOKUP(Table1215[[#This Row],[Column2]],Table12[[Column2]:[Column54]],10,FALSE),"0")</f>
        <v>0</v>
      </c>
      <c r="L114" s="67">
        <f>Table1215[[#This Row],[Column9]]</f>
        <v>0</v>
      </c>
      <c r="M114" s="65">
        <f>IFERROR(VLOOKUP(Table1215[[#This Row],[Column2]],Table12[[Column2]:[Column54]],12,FALSE),"0")</f>
        <v>0</v>
      </c>
      <c r="N114" s="65">
        <f>IFERROR(VLOOKUP(Table1215[[#This Row],[Column2]],Table12[[Column2]:[Column54]],13,FALSE),"0")</f>
        <v>0</v>
      </c>
      <c r="O114" s="65">
        <f>IFERROR(VLOOKUP(Table1215[[#This Row],[Column2]],Table12[[Column2]:[Column54]],14,FALSE),"0")</f>
        <v>0</v>
      </c>
      <c r="P114" s="65">
        <f>IFERROR(VLOOKUP(Table1215[[#This Row],[Column2]],Table12[[Column2]:[Column54]],10,FALSE),"0")</f>
        <v>0</v>
      </c>
      <c r="Q114" s="65">
        <f>IFERROR(VLOOKUP(Table1215[[#This Row],[Column2]],Table12[[Column2]:[Column54]],16,FALSE),"0")</f>
        <v>0</v>
      </c>
      <c r="R114" s="67">
        <f>AVERAGE(Table1215[[#This Row],[Column14]],Table1215[[#This Row],[Column15]],Table1215[[#This Row],[Column17]])</f>
        <v>0</v>
      </c>
      <c r="S114" s="65">
        <f>IFERROR(VLOOKUP(Table1215[[#This Row],[Column2]],Table12[[Column2]:[Column54]],18,FALSE),"0")</f>
        <v>0</v>
      </c>
      <c r="T114" s="65">
        <f>IFERROR(VLOOKUP(Table1215[[#This Row],[Column2]],Table12[[Column2]:[Column54]],19,FALSE),"0")</f>
        <v>0</v>
      </c>
      <c r="U114" s="65">
        <f>IFERROR(VLOOKUP(Table1215[[#This Row],[Column2]],Table12[[Column2]:[Column54]],20,FALSE),"0")</f>
        <v>0</v>
      </c>
      <c r="V114" s="65">
        <f>IFERROR(VLOOKUP(Table1215[[#This Row],[Column2]],Table12[[Column2]:[Column54]],21,FALSE),"0")</f>
        <v>0</v>
      </c>
      <c r="W114" s="65">
        <f>IFERROR(VLOOKUP(Table1215[[#This Row],[Column2]],Table12[[Column2]:[Column54]],22,FALSE),"0")</f>
        <v>0</v>
      </c>
      <c r="X114" s="67">
        <f>Table1215[[#This Row],[Column19]]</f>
        <v>0</v>
      </c>
      <c r="Y114" s="65">
        <f>IFERROR(VLOOKUP(Table1215[[#This Row],[Column2]],Table12[[Column2]:[Column54]],24,FALSE),"0")</f>
        <v>0</v>
      </c>
      <c r="Z114" s="65">
        <f>IFERROR(VLOOKUP(Table1215[[#This Row],[Column2]],Table12[[Column2]:[Column54]],25,FALSE),"0")</f>
        <v>0</v>
      </c>
      <c r="AA114" s="65">
        <f>IFERROR(VLOOKUP(Table1215[[#This Row],[Column2]],Table12[[Column2]:[Column54]],26,FALSE),"0")</f>
        <v>0</v>
      </c>
      <c r="AB114" s="65">
        <f>IFERROR(VLOOKUP(Table1215[[#This Row],[Column2]],Table12[[Column2]:[Column54]],27,FALSE),"0")</f>
        <v>0</v>
      </c>
      <c r="AC114" s="65">
        <f>IFERROR(VLOOKUP(Table1215[[#This Row],[Column2]],Table12[[Column2]:[Column54]],28,FALSE),"0")</f>
        <v>0</v>
      </c>
      <c r="AD114" s="67">
        <f>Table1215[[#This Row],[Column25]]</f>
        <v>0</v>
      </c>
      <c r="AE114" s="65">
        <f>IFERROR(VLOOKUP(Table1215[[#This Row],[Column2]],Table12[[Column2]:[Column54]],30,FALSE),"0")</f>
        <v>0</v>
      </c>
      <c r="AF114" s="65">
        <f>IFERROR(VLOOKUP(Table1215[[#This Row],[Column2]],Table12[[Column2]:[Column54]],31,FALSE),"0")</f>
        <v>0</v>
      </c>
      <c r="AG114" s="65">
        <f>IFERROR(VLOOKUP(Table1215[[#This Row],[Column2]],Table12[[Column2]:[Column54]],32,FALSE),"0")</f>
        <v>0</v>
      </c>
      <c r="AH114" s="65">
        <f>IFERROR(VLOOKUP(Table1215[[#This Row],[Column2]],Table12[[Column2]:[Column54]],33,FALSE),"0")</f>
        <v>0</v>
      </c>
      <c r="AI114" s="65">
        <f>IFERROR(VLOOKUP(Table1215[[#This Row],[Column2]],Table12[[Column2]:[Column54]],34,FALSE),"0")</f>
        <v>0</v>
      </c>
      <c r="AJ114" s="67">
        <f>AVERAGE(Table1215[[#This Row],[Column31]],Table1215[[#This Row],[Column32]],Table1215[[#This Row],[Column33]])</f>
        <v>0</v>
      </c>
      <c r="AK114" s="65">
        <f>IFERROR(VLOOKUP(Table1215[[#This Row],[Column2]],Table12[[Column2]:[Column54]],36,FALSE),"0")</f>
        <v>0</v>
      </c>
      <c r="AL114" s="65">
        <f>IFERROR(VLOOKUP(Table1215[[#This Row],[Column2]],Table12[[Column2]:[Column54]],37,FALSE),"0")</f>
        <v>0</v>
      </c>
      <c r="AM114" s="65">
        <f>IFERROR(VLOOKUP(Table1215[[#This Row],[Column2]],Table12[[Column2]:[Column54]],38,FALSE),"0")</f>
        <v>0</v>
      </c>
      <c r="AN114" s="65">
        <f>IFERROR(VLOOKUP(Table1215[[#This Row],[Column2]],Table12[[Column2]:[Column54]],39,FALSE),"0")</f>
        <v>0</v>
      </c>
      <c r="AO114" s="65">
        <f>IFERROR(VLOOKUP(Table1215[[#This Row],[Column2]],Table12[[Column2]:[Column54]],40,FALSE),"0")</f>
        <v>0</v>
      </c>
      <c r="AP114" s="67">
        <f>AVERAGE(Table1215[[#This Row],[Column37]],Table1215[[#This Row],[Column38]],Table1215[[#This Row],[Column40]])</f>
        <v>0</v>
      </c>
      <c r="AQ114" s="65">
        <f>IFERROR(VLOOKUP(Table1215[[#This Row],[Column2]],Table12[[Column2]:[Column54]],42,FALSE),"0")</f>
        <v>0</v>
      </c>
      <c r="AR114" s="65">
        <f>IFERROR(VLOOKUP(Table1215[[#This Row],[Column2]],Table12[[Column2]:[Column54]],43,FALSE),"0")</f>
        <v>0</v>
      </c>
      <c r="AS114" s="65">
        <f>IFERROR(VLOOKUP(Table1215[[#This Row],[Column2]],Table12[[Column2]:[Column54]],44,FALSE),"0")</f>
        <v>0</v>
      </c>
      <c r="AT114" s="65">
        <f>IFERROR(VLOOKUP(Table1215[[#This Row],[Column2]],Table12[[Column2]:[Column54]],45,FALSE),"0")</f>
        <v>0</v>
      </c>
      <c r="AU114" s="65">
        <f>IFERROR(VLOOKUP(Table1215[[#This Row],[Column2]],Table12[[Column2]:[Column54]],46,FALSE),"0")</f>
        <v>0</v>
      </c>
      <c r="AV114" s="67">
        <f>Table1215[[#This Row],[Column43]]</f>
        <v>0</v>
      </c>
      <c r="AW114" s="65">
        <f>IFERROR(VLOOKUP(Table1215[[#This Row],[Column2]],Table12[[Column2]:[Column54]],48,FALSE),"0")</f>
        <v>0</v>
      </c>
      <c r="AX114" s="65">
        <f>IFERROR(VLOOKUP(Table1215[[#This Row],[Column2]],Table12[[Column2]:[Column54]],49,FALSE),"0")</f>
        <v>0</v>
      </c>
      <c r="AY114" s="65">
        <f>IFERROR(VLOOKUP(Table1215[[#This Row],[Column2]],Table12[[Column2]:[Column54]],50,FALSE),"0")</f>
        <v>0</v>
      </c>
      <c r="AZ114" s="65">
        <f>IFERROR(VLOOKUP(Table1215[[#This Row],[Column2]],Table12[[Column2]:[Column54]],51,FALSE),"0")</f>
        <v>0</v>
      </c>
      <c r="BA114" s="65">
        <f>IFERROR(VLOOKUP(Table1215[[#This Row],[Column2]],Table12[[Column2]:[Column54]],52,FALSE),"0")</f>
        <v>0</v>
      </c>
      <c r="BB114" s="67">
        <f>AVERAGE(Table1215[[#This Row],[Column52]],Table1215[[#This Row],[Column53]])</f>
        <v>0</v>
      </c>
    </row>
    <row r="115" spans="1:54" ht="23.1" customHeight="1" x14ac:dyDescent="0.3">
      <c r="A115" s="87">
        <v>112</v>
      </c>
      <c r="B115" s="70" t="s">
        <v>146</v>
      </c>
      <c r="C115" s="71" t="s">
        <v>147</v>
      </c>
      <c r="D115" s="70" t="s">
        <v>450</v>
      </c>
      <c r="E115" s="70" t="s">
        <v>35</v>
      </c>
      <c r="F115" s="70" t="str">
        <f>REPT(CHAR(160),10)&amp;Working!$E116</f>
        <v>          A</v>
      </c>
      <c r="G115" s="61">
        <f>IFERROR(VLOOKUP(Table1215[[#This Row],[Column2]],Table12[[Column2]:[Column54]],6,FALSE),"0")</f>
        <v>0</v>
      </c>
      <c r="H115" s="61">
        <f>IFERROR(VLOOKUP(Table1215[[#This Row],[Column2]],Table12[[Column2]:[Column54]],7,FALSE),"0")</f>
        <v>0</v>
      </c>
      <c r="I115" s="61">
        <f>IFERROR(VLOOKUP(Table1215[[#This Row],[Column2]],Table12[[Column2]:[Column54]],8,FALSE),"0")</f>
        <v>3</v>
      </c>
      <c r="J115" s="61">
        <f>IFERROR(VLOOKUP(Table1215[[#This Row],[Column2]],Table12[[Column2]:[Column54]],9,FALSE),"0")</f>
        <v>0</v>
      </c>
      <c r="K115" s="61">
        <f>IFERROR(VLOOKUP(Table1215[[#This Row],[Column2]],Table12[[Column2]:[Column54]],10,FALSE),"0")</f>
        <v>0</v>
      </c>
      <c r="L115" s="67">
        <f>Table1215[[#This Row],[Column9]]</f>
        <v>3</v>
      </c>
      <c r="M115" s="61">
        <f>IFERROR(VLOOKUP(Table1215[[#This Row],[Column2]],Table12[[Column2]:[Column54]],12,FALSE),"0")</f>
        <v>0</v>
      </c>
      <c r="N115" s="61">
        <f>IFERROR(VLOOKUP(Table1215[[#This Row],[Column2]],Table12[[Column2]:[Column54]],13,FALSE),"0")</f>
        <v>3</v>
      </c>
      <c r="O115" s="61">
        <f>IFERROR(VLOOKUP(Table1215[[#This Row],[Column2]],Table12[[Column2]:[Column54]],14,FALSE),"0")</f>
        <v>3</v>
      </c>
      <c r="P115" s="61">
        <f>IFERROR(VLOOKUP(Table1215[[#This Row],[Column2]],Table12[[Column2]:[Column54]],10,FALSE),"0")</f>
        <v>0</v>
      </c>
      <c r="Q115" s="61">
        <f>IFERROR(VLOOKUP(Table1215[[#This Row],[Column2]],Table12[[Column2]:[Column54]],16,FALSE),"0")</f>
        <v>3</v>
      </c>
      <c r="R115" s="67">
        <f>AVERAGE(Table1215[[#This Row],[Column14]],Table1215[[#This Row],[Column15]],Table1215[[#This Row],[Column17]])</f>
        <v>3</v>
      </c>
      <c r="S115" s="61">
        <f>IFERROR(VLOOKUP(Table1215[[#This Row],[Column2]],Table12[[Column2]:[Column54]],18,FALSE),"0")</f>
        <v>0</v>
      </c>
      <c r="T115" s="61">
        <f>IFERROR(VLOOKUP(Table1215[[#This Row],[Column2]],Table12[[Column2]:[Column54]],19,FALSE),"0")</f>
        <v>0</v>
      </c>
      <c r="U115" s="61">
        <f>IFERROR(VLOOKUP(Table1215[[#This Row],[Column2]],Table12[[Column2]:[Column54]],20,FALSE),"0")</f>
        <v>0</v>
      </c>
      <c r="V115" s="61">
        <f>IFERROR(VLOOKUP(Table1215[[#This Row],[Column2]],Table12[[Column2]:[Column54]],21,FALSE),"0")</f>
        <v>0</v>
      </c>
      <c r="W115" s="61">
        <f>IFERROR(VLOOKUP(Table1215[[#This Row],[Column2]],Table12[[Column2]:[Column54]],22,FALSE),"0")</f>
        <v>0</v>
      </c>
      <c r="X115" s="67">
        <f>Table1215[[#This Row],[Column19]]</f>
        <v>0</v>
      </c>
      <c r="Y115" s="61">
        <f>IFERROR(VLOOKUP(Table1215[[#This Row],[Column2]],Table12[[Column2]:[Column54]],24,FALSE),"0")</f>
        <v>3</v>
      </c>
      <c r="Z115" s="61">
        <f>IFERROR(VLOOKUP(Table1215[[#This Row],[Column2]],Table12[[Column2]:[Column54]],25,FALSE),"0")</f>
        <v>0</v>
      </c>
      <c r="AA115" s="61">
        <f>IFERROR(VLOOKUP(Table1215[[#This Row],[Column2]],Table12[[Column2]:[Column54]],26,FALSE),"0")</f>
        <v>0</v>
      </c>
      <c r="AB115" s="61">
        <f>IFERROR(VLOOKUP(Table1215[[#This Row],[Column2]],Table12[[Column2]:[Column54]],27,FALSE),"0")</f>
        <v>0</v>
      </c>
      <c r="AC115" s="61">
        <f>IFERROR(VLOOKUP(Table1215[[#This Row],[Column2]],Table12[[Column2]:[Column54]],28,FALSE),"0")</f>
        <v>0</v>
      </c>
      <c r="AD115" s="67">
        <f>Table1215[[#This Row],[Column25]]</f>
        <v>3</v>
      </c>
      <c r="AE115" s="61">
        <f>IFERROR(VLOOKUP(Table1215[[#This Row],[Column2]],Table12[[Column2]:[Column54]],30,FALSE),"0")</f>
        <v>0</v>
      </c>
      <c r="AF115" s="61">
        <f>IFERROR(VLOOKUP(Table1215[[#This Row],[Column2]],Table12[[Column2]:[Column54]],31,FALSE),"0")</f>
        <v>0</v>
      </c>
      <c r="AG115" s="61">
        <f>IFERROR(VLOOKUP(Table1215[[#This Row],[Column2]],Table12[[Column2]:[Column54]],32,FALSE),"0")</f>
        <v>0</v>
      </c>
      <c r="AH115" s="61">
        <f>IFERROR(VLOOKUP(Table1215[[#This Row],[Column2]],Table12[[Column2]:[Column54]],33,FALSE),"0")</f>
        <v>0</v>
      </c>
      <c r="AI115" s="61">
        <f>IFERROR(VLOOKUP(Table1215[[#This Row],[Column2]],Table12[[Column2]:[Column54]],34,FALSE),"0")</f>
        <v>0</v>
      </c>
      <c r="AJ115" s="67">
        <f>AVERAGE(Table1215[[#This Row],[Column31]],Table1215[[#This Row],[Column32]],Table1215[[#This Row],[Column33]])</f>
        <v>0</v>
      </c>
      <c r="AK115" s="61">
        <f>IFERROR(VLOOKUP(Table1215[[#This Row],[Column2]],Table12[[Column2]:[Column54]],36,FALSE),"0")</f>
        <v>3</v>
      </c>
      <c r="AL115" s="61">
        <f>IFERROR(VLOOKUP(Table1215[[#This Row],[Column2]],Table12[[Column2]:[Column54]],37,FALSE),"0")</f>
        <v>4</v>
      </c>
      <c r="AM115" s="61">
        <f>IFERROR(VLOOKUP(Table1215[[#This Row],[Column2]],Table12[[Column2]:[Column54]],38,FALSE),"0")</f>
        <v>0</v>
      </c>
      <c r="AN115" s="61">
        <f>IFERROR(VLOOKUP(Table1215[[#This Row],[Column2]],Table12[[Column2]:[Column54]],39,FALSE),"0")</f>
        <v>3</v>
      </c>
      <c r="AO115" s="61">
        <f>IFERROR(VLOOKUP(Table1215[[#This Row],[Column2]],Table12[[Column2]:[Column54]],40,FALSE),"0")</f>
        <v>0</v>
      </c>
      <c r="AP115" s="67">
        <f>AVERAGE(Table1215[[#This Row],[Column37]],Table1215[[#This Row],[Column38]],Table1215[[#This Row],[Column40]])</f>
        <v>3.3333333333333335</v>
      </c>
      <c r="AQ115" s="61">
        <f>IFERROR(VLOOKUP(Table1215[[#This Row],[Column2]],Table12[[Column2]:[Column54]],42,FALSE),"0")</f>
        <v>3</v>
      </c>
      <c r="AR115" s="61">
        <f>IFERROR(VLOOKUP(Table1215[[#This Row],[Column2]],Table12[[Column2]:[Column54]],43,FALSE),"0")</f>
        <v>0</v>
      </c>
      <c r="AS115" s="61">
        <f>IFERROR(VLOOKUP(Table1215[[#This Row],[Column2]],Table12[[Column2]:[Column54]],44,FALSE),"0")</f>
        <v>0</v>
      </c>
      <c r="AT115" s="61">
        <f>IFERROR(VLOOKUP(Table1215[[#This Row],[Column2]],Table12[[Column2]:[Column54]],45,FALSE),"0")</f>
        <v>0</v>
      </c>
      <c r="AU115" s="61">
        <f>IFERROR(VLOOKUP(Table1215[[#This Row],[Column2]],Table12[[Column2]:[Column54]],46,FALSE),"0")</f>
        <v>0</v>
      </c>
      <c r="AV115" s="67">
        <f>Table1215[[#This Row],[Column43]]</f>
        <v>3</v>
      </c>
      <c r="AW115" s="61">
        <f>IFERROR(VLOOKUP(Table1215[[#This Row],[Column2]],Table12[[Column2]:[Column54]],48,FALSE),"0")</f>
        <v>0</v>
      </c>
      <c r="AX115" s="61">
        <f>IFERROR(VLOOKUP(Table1215[[#This Row],[Column2]],Table12[[Column2]:[Column54]],49,FALSE),"0")</f>
        <v>0</v>
      </c>
      <c r="AY115" s="61">
        <f>IFERROR(VLOOKUP(Table1215[[#This Row],[Column2]],Table12[[Column2]:[Column54]],50,FALSE),"0")</f>
        <v>0</v>
      </c>
      <c r="AZ115" s="61">
        <f>IFERROR(VLOOKUP(Table1215[[#This Row],[Column2]],Table12[[Column2]:[Column54]],51,FALSE),"0")</f>
        <v>2</v>
      </c>
      <c r="BA115" s="61">
        <f>IFERROR(VLOOKUP(Table1215[[#This Row],[Column2]],Table12[[Column2]:[Column54]],52,FALSE),"0")</f>
        <v>4</v>
      </c>
      <c r="BB115" s="67">
        <f>AVERAGE(Table1215[[#This Row],[Column52]],Table1215[[#This Row],[Column53]])</f>
        <v>3</v>
      </c>
    </row>
    <row r="116" spans="1:54" ht="23.1" customHeight="1" x14ac:dyDescent="0.3">
      <c r="A116" s="86">
        <v>113</v>
      </c>
      <c r="B116" s="63" t="s">
        <v>201</v>
      </c>
      <c r="C116" s="64" t="s">
        <v>202</v>
      </c>
      <c r="D116" s="63" t="s">
        <v>450</v>
      </c>
      <c r="E116" s="63" t="s">
        <v>161</v>
      </c>
      <c r="F116" s="63" t="str">
        <f>REPT(CHAR(160),10)&amp;Working!$E117</f>
        <v>          B</v>
      </c>
      <c r="G116" s="65">
        <f>IFERROR(VLOOKUP(Table1215[[#This Row],[Column2]],Table12[[Column2]:[Column54]],6,FALSE),"0")</f>
        <v>0</v>
      </c>
      <c r="H116" s="65">
        <f>IFERROR(VLOOKUP(Table1215[[#This Row],[Column2]],Table12[[Column2]:[Column54]],7,FALSE),"0")</f>
        <v>0</v>
      </c>
      <c r="I116" s="65">
        <f>IFERROR(VLOOKUP(Table1215[[#This Row],[Column2]],Table12[[Column2]:[Column54]],8,FALSE),"0")</f>
        <v>4</v>
      </c>
      <c r="J116" s="65">
        <f>IFERROR(VLOOKUP(Table1215[[#This Row],[Column2]],Table12[[Column2]:[Column54]],9,FALSE),"0")</f>
        <v>0</v>
      </c>
      <c r="K116" s="65">
        <f>IFERROR(VLOOKUP(Table1215[[#This Row],[Column2]],Table12[[Column2]:[Column54]],10,FALSE),"0")</f>
        <v>0</v>
      </c>
      <c r="L116" s="67">
        <f>Table1215[[#This Row],[Column9]]</f>
        <v>4</v>
      </c>
      <c r="M116" s="65">
        <f>IFERROR(VLOOKUP(Table1215[[#This Row],[Column2]],Table12[[Column2]:[Column54]],12,FALSE),"0")</f>
        <v>0</v>
      </c>
      <c r="N116" s="65">
        <f>IFERROR(VLOOKUP(Table1215[[#This Row],[Column2]],Table12[[Column2]:[Column54]],13,FALSE),"0")</f>
        <v>3</v>
      </c>
      <c r="O116" s="65">
        <f>IFERROR(VLOOKUP(Table1215[[#This Row],[Column2]],Table12[[Column2]:[Column54]],14,FALSE),"0")</f>
        <v>3</v>
      </c>
      <c r="P116" s="65">
        <f>IFERROR(VLOOKUP(Table1215[[#This Row],[Column2]],Table12[[Column2]:[Column54]],10,FALSE),"0")</f>
        <v>0</v>
      </c>
      <c r="Q116" s="65">
        <f>IFERROR(VLOOKUP(Table1215[[#This Row],[Column2]],Table12[[Column2]:[Column54]],16,FALSE),"0")</f>
        <v>3</v>
      </c>
      <c r="R116" s="67">
        <f>AVERAGE(Table1215[[#This Row],[Column14]],Table1215[[#This Row],[Column15]],Table1215[[#This Row],[Column17]])</f>
        <v>3</v>
      </c>
      <c r="S116" s="65">
        <f>IFERROR(VLOOKUP(Table1215[[#This Row],[Column2]],Table12[[Column2]:[Column54]],18,FALSE),"0")</f>
        <v>0</v>
      </c>
      <c r="T116" s="65">
        <f>IFERROR(VLOOKUP(Table1215[[#This Row],[Column2]],Table12[[Column2]:[Column54]],19,FALSE),"0")</f>
        <v>0</v>
      </c>
      <c r="U116" s="65">
        <f>IFERROR(VLOOKUP(Table1215[[#This Row],[Column2]],Table12[[Column2]:[Column54]],20,FALSE),"0")</f>
        <v>0</v>
      </c>
      <c r="V116" s="65">
        <f>IFERROR(VLOOKUP(Table1215[[#This Row],[Column2]],Table12[[Column2]:[Column54]],21,FALSE),"0")</f>
        <v>0</v>
      </c>
      <c r="W116" s="65">
        <f>IFERROR(VLOOKUP(Table1215[[#This Row],[Column2]],Table12[[Column2]:[Column54]],22,FALSE),"0")</f>
        <v>0</v>
      </c>
      <c r="X116" s="67">
        <f>Table1215[[#This Row],[Column19]]</f>
        <v>0</v>
      </c>
      <c r="Y116" s="65">
        <f>IFERROR(VLOOKUP(Table1215[[#This Row],[Column2]],Table12[[Column2]:[Column54]],24,FALSE),"0")</f>
        <v>3</v>
      </c>
      <c r="Z116" s="65">
        <f>IFERROR(VLOOKUP(Table1215[[#This Row],[Column2]],Table12[[Column2]:[Column54]],25,FALSE),"0")</f>
        <v>0</v>
      </c>
      <c r="AA116" s="65">
        <f>IFERROR(VLOOKUP(Table1215[[#This Row],[Column2]],Table12[[Column2]:[Column54]],26,FALSE),"0")</f>
        <v>0</v>
      </c>
      <c r="AB116" s="65">
        <f>IFERROR(VLOOKUP(Table1215[[#This Row],[Column2]],Table12[[Column2]:[Column54]],27,FALSE),"0")</f>
        <v>0</v>
      </c>
      <c r="AC116" s="65">
        <f>IFERROR(VLOOKUP(Table1215[[#This Row],[Column2]],Table12[[Column2]:[Column54]],28,FALSE),"0")</f>
        <v>0</v>
      </c>
      <c r="AD116" s="67">
        <f>Table1215[[#This Row],[Column25]]</f>
        <v>3</v>
      </c>
      <c r="AE116" s="65">
        <f>IFERROR(VLOOKUP(Table1215[[#This Row],[Column2]],Table12[[Column2]:[Column54]],30,FALSE),"0")</f>
        <v>0</v>
      </c>
      <c r="AF116" s="65">
        <f>IFERROR(VLOOKUP(Table1215[[#This Row],[Column2]],Table12[[Column2]:[Column54]],31,FALSE),"0")</f>
        <v>0</v>
      </c>
      <c r="AG116" s="65">
        <f>IFERROR(VLOOKUP(Table1215[[#This Row],[Column2]],Table12[[Column2]:[Column54]],32,FALSE),"0")</f>
        <v>0</v>
      </c>
      <c r="AH116" s="65">
        <f>IFERROR(VLOOKUP(Table1215[[#This Row],[Column2]],Table12[[Column2]:[Column54]],33,FALSE),"0")</f>
        <v>0</v>
      </c>
      <c r="AI116" s="65">
        <f>IFERROR(VLOOKUP(Table1215[[#This Row],[Column2]],Table12[[Column2]:[Column54]],34,FALSE),"0")</f>
        <v>0</v>
      </c>
      <c r="AJ116" s="67">
        <f>AVERAGE(Table1215[[#This Row],[Column31]],Table1215[[#This Row],[Column32]],Table1215[[#This Row],[Column33]])</f>
        <v>0</v>
      </c>
      <c r="AK116" s="65">
        <f>IFERROR(VLOOKUP(Table1215[[#This Row],[Column2]],Table12[[Column2]:[Column54]],36,FALSE),"0")</f>
        <v>2</v>
      </c>
      <c r="AL116" s="65">
        <f>IFERROR(VLOOKUP(Table1215[[#This Row],[Column2]],Table12[[Column2]:[Column54]],37,FALSE),"0")</f>
        <v>4</v>
      </c>
      <c r="AM116" s="65">
        <f>IFERROR(VLOOKUP(Table1215[[#This Row],[Column2]],Table12[[Column2]:[Column54]],38,FALSE),"0")</f>
        <v>0</v>
      </c>
      <c r="AN116" s="65">
        <f>IFERROR(VLOOKUP(Table1215[[#This Row],[Column2]],Table12[[Column2]:[Column54]],39,FALSE),"0")</f>
        <v>4</v>
      </c>
      <c r="AO116" s="65">
        <f>IFERROR(VLOOKUP(Table1215[[#This Row],[Column2]],Table12[[Column2]:[Column54]],40,FALSE),"0")</f>
        <v>0</v>
      </c>
      <c r="AP116" s="67">
        <f>AVERAGE(Table1215[[#This Row],[Column37]],Table1215[[#This Row],[Column38]],Table1215[[#This Row],[Column40]])</f>
        <v>3.3333333333333335</v>
      </c>
      <c r="AQ116" s="65">
        <f>IFERROR(VLOOKUP(Table1215[[#This Row],[Column2]],Table12[[Column2]:[Column54]],42,FALSE),"0")</f>
        <v>4</v>
      </c>
      <c r="AR116" s="65">
        <f>IFERROR(VLOOKUP(Table1215[[#This Row],[Column2]],Table12[[Column2]:[Column54]],43,FALSE),"0")</f>
        <v>0</v>
      </c>
      <c r="AS116" s="65">
        <f>IFERROR(VLOOKUP(Table1215[[#This Row],[Column2]],Table12[[Column2]:[Column54]],44,FALSE),"0")</f>
        <v>0</v>
      </c>
      <c r="AT116" s="65">
        <f>IFERROR(VLOOKUP(Table1215[[#This Row],[Column2]],Table12[[Column2]:[Column54]],45,FALSE),"0")</f>
        <v>0</v>
      </c>
      <c r="AU116" s="65">
        <f>IFERROR(VLOOKUP(Table1215[[#This Row],[Column2]],Table12[[Column2]:[Column54]],46,FALSE),"0")</f>
        <v>0</v>
      </c>
      <c r="AV116" s="67">
        <f>Table1215[[#This Row],[Column43]]</f>
        <v>4</v>
      </c>
      <c r="AW116" s="65">
        <f>IFERROR(VLOOKUP(Table1215[[#This Row],[Column2]],Table12[[Column2]:[Column54]],48,FALSE),"0")</f>
        <v>0</v>
      </c>
      <c r="AX116" s="65">
        <f>IFERROR(VLOOKUP(Table1215[[#This Row],[Column2]],Table12[[Column2]:[Column54]],49,FALSE),"0")</f>
        <v>0</v>
      </c>
      <c r="AY116" s="65">
        <f>IFERROR(VLOOKUP(Table1215[[#This Row],[Column2]],Table12[[Column2]:[Column54]],50,FALSE),"0")</f>
        <v>0</v>
      </c>
      <c r="AZ116" s="65">
        <f>IFERROR(VLOOKUP(Table1215[[#This Row],[Column2]],Table12[[Column2]:[Column54]],51,FALSE),"0")</f>
        <v>2</v>
      </c>
      <c r="BA116" s="65">
        <f>IFERROR(VLOOKUP(Table1215[[#This Row],[Column2]],Table12[[Column2]:[Column54]],52,FALSE),"0")</f>
        <v>4</v>
      </c>
      <c r="BB116" s="67">
        <f>AVERAGE(Table1215[[#This Row],[Column52]],Table1215[[#This Row],[Column53]])</f>
        <v>3</v>
      </c>
    </row>
    <row r="117" spans="1:54" ht="23.1" customHeight="1" x14ac:dyDescent="0.3">
      <c r="A117" s="87">
        <v>114</v>
      </c>
      <c r="B117" s="70" t="s">
        <v>217</v>
      </c>
      <c r="C117" s="71" t="s">
        <v>218</v>
      </c>
      <c r="D117" s="70" t="s">
        <v>450</v>
      </c>
      <c r="E117" s="70" t="s">
        <v>161</v>
      </c>
      <c r="F117" s="70" t="str">
        <f>REPT(CHAR(160),10)&amp;Working!$E118</f>
        <v>          B</v>
      </c>
      <c r="G117" s="61">
        <f>IFERROR(VLOOKUP(Table1215[[#This Row],[Column2]],Table12[[Column2]:[Column54]],6,FALSE),"0")</f>
        <v>0</v>
      </c>
      <c r="H117" s="61">
        <f>IFERROR(VLOOKUP(Table1215[[#This Row],[Column2]],Table12[[Column2]:[Column54]],7,FALSE),"0")</f>
        <v>0</v>
      </c>
      <c r="I117" s="61">
        <f>IFERROR(VLOOKUP(Table1215[[#This Row],[Column2]],Table12[[Column2]:[Column54]],8,FALSE),"0")</f>
        <v>3</v>
      </c>
      <c r="J117" s="61">
        <f>IFERROR(VLOOKUP(Table1215[[#This Row],[Column2]],Table12[[Column2]:[Column54]],9,FALSE),"0")</f>
        <v>0</v>
      </c>
      <c r="K117" s="61">
        <f>IFERROR(VLOOKUP(Table1215[[#This Row],[Column2]],Table12[[Column2]:[Column54]],10,FALSE),"0")</f>
        <v>0</v>
      </c>
      <c r="L117" s="67">
        <f>Table1215[[#This Row],[Column9]]</f>
        <v>3</v>
      </c>
      <c r="M117" s="61">
        <f>IFERROR(VLOOKUP(Table1215[[#This Row],[Column2]],Table12[[Column2]:[Column54]],12,FALSE),"0")</f>
        <v>0</v>
      </c>
      <c r="N117" s="61">
        <f>IFERROR(VLOOKUP(Table1215[[#This Row],[Column2]],Table12[[Column2]:[Column54]],13,FALSE),"0")</f>
        <v>3</v>
      </c>
      <c r="O117" s="61">
        <f>IFERROR(VLOOKUP(Table1215[[#This Row],[Column2]],Table12[[Column2]:[Column54]],14,FALSE),"0")</f>
        <v>3</v>
      </c>
      <c r="P117" s="61">
        <f>IFERROR(VLOOKUP(Table1215[[#This Row],[Column2]],Table12[[Column2]:[Column54]],10,FALSE),"0")</f>
        <v>0</v>
      </c>
      <c r="Q117" s="61">
        <f>IFERROR(VLOOKUP(Table1215[[#This Row],[Column2]],Table12[[Column2]:[Column54]],16,FALSE),"0")</f>
        <v>3</v>
      </c>
      <c r="R117" s="67">
        <f>AVERAGE(Table1215[[#This Row],[Column14]],Table1215[[#This Row],[Column15]],Table1215[[#This Row],[Column17]])</f>
        <v>3</v>
      </c>
      <c r="S117" s="61">
        <f>IFERROR(VLOOKUP(Table1215[[#This Row],[Column2]],Table12[[Column2]:[Column54]],18,FALSE),"0")</f>
        <v>0</v>
      </c>
      <c r="T117" s="61">
        <f>IFERROR(VLOOKUP(Table1215[[#This Row],[Column2]],Table12[[Column2]:[Column54]],19,FALSE),"0")</f>
        <v>0</v>
      </c>
      <c r="U117" s="61">
        <f>IFERROR(VLOOKUP(Table1215[[#This Row],[Column2]],Table12[[Column2]:[Column54]],20,FALSE),"0")</f>
        <v>0</v>
      </c>
      <c r="V117" s="61">
        <f>IFERROR(VLOOKUP(Table1215[[#This Row],[Column2]],Table12[[Column2]:[Column54]],21,FALSE),"0")</f>
        <v>0</v>
      </c>
      <c r="W117" s="61">
        <f>IFERROR(VLOOKUP(Table1215[[#This Row],[Column2]],Table12[[Column2]:[Column54]],22,FALSE),"0")</f>
        <v>0</v>
      </c>
      <c r="X117" s="67">
        <f>Table1215[[#This Row],[Column19]]</f>
        <v>0</v>
      </c>
      <c r="Y117" s="61">
        <f>IFERROR(VLOOKUP(Table1215[[#This Row],[Column2]],Table12[[Column2]:[Column54]],24,FALSE),"0")</f>
        <v>3</v>
      </c>
      <c r="Z117" s="61">
        <f>IFERROR(VLOOKUP(Table1215[[#This Row],[Column2]],Table12[[Column2]:[Column54]],25,FALSE),"0")</f>
        <v>0</v>
      </c>
      <c r="AA117" s="61">
        <f>IFERROR(VLOOKUP(Table1215[[#This Row],[Column2]],Table12[[Column2]:[Column54]],26,FALSE),"0")</f>
        <v>0</v>
      </c>
      <c r="AB117" s="61">
        <f>IFERROR(VLOOKUP(Table1215[[#This Row],[Column2]],Table12[[Column2]:[Column54]],27,FALSE),"0")</f>
        <v>0</v>
      </c>
      <c r="AC117" s="61">
        <f>IFERROR(VLOOKUP(Table1215[[#This Row],[Column2]],Table12[[Column2]:[Column54]],28,FALSE),"0")</f>
        <v>0</v>
      </c>
      <c r="AD117" s="67">
        <f>Table1215[[#This Row],[Column25]]</f>
        <v>3</v>
      </c>
      <c r="AE117" s="61">
        <f>IFERROR(VLOOKUP(Table1215[[#This Row],[Column2]],Table12[[Column2]:[Column54]],30,FALSE),"0")</f>
        <v>0</v>
      </c>
      <c r="AF117" s="61">
        <f>IFERROR(VLOOKUP(Table1215[[#This Row],[Column2]],Table12[[Column2]:[Column54]],31,FALSE),"0")</f>
        <v>0</v>
      </c>
      <c r="AG117" s="61">
        <f>IFERROR(VLOOKUP(Table1215[[#This Row],[Column2]],Table12[[Column2]:[Column54]],32,FALSE),"0")</f>
        <v>0</v>
      </c>
      <c r="AH117" s="61">
        <f>IFERROR(VLOOKUP(Table1215[[#This Row],[Column2]],Table12[[Column2]:[Column54]],33,FALSE),"0")</f>
        <v>0</v>
      </c>
      <c r="AI117" s="61">
        <f>IFERROR(VLOOKUP(Table1215[[#This Row],[Column2]],Table12[[Column2]:[Column54]],34,FALSE),"0")</f>
        <v>0</v>
      </c>
      <c r="AJ117" s="67">
        <f>AVERAGE(Table1215[[#This Row],[Column31]],Table1215[[#This Row],[Column32]],Table1215[[#This Row],[Column33]])</f>
        <v>0</v>
      </c>
      <c r="AK117" s="61">
        <f>IFERROR(VLOOKUP(Table1215[[#This Row],[Column2]],Table12[[Column2]:[Column54]],36,FALSE),"0")</f>
        <v>2</v>
      </c>
      <c r="AL117" s="61">
        <f>IFERROR(VLOOKUP(Table1215[[#This Row],[Column2]],Table12[[Column2]:[Column54]],37,FALSE),"0")</f>
        <v>3</v>
      </c>
      <c r="AM117" s="61">
        <f>IFERROR(VLOOKUP(Table1215[[#This Row],[Column2]],Table12[[Column2]:[Column54]],38,FALSE),"0")</f>
        <v>0</v>
      </c>
      <c r="AN117" s="61">
        <f>IFERROR(VLOOKUP(Table1215[[#This Row],[Column2]],Table12[[Column2]:[Column54]],39,FALSE),"0")</f>
        <v>3</v>
      </c>
      <c r="AO117" s="61">
        <f>IFERROR(VLOOKUP(Table1215[[#This Row],[Column2]],Table12[[Column2]:[Column54]],40,FALSE),"0")</f>
        <v>0</v>
      </c>
      <c r="AP117" s="67">
        <f>AVERAGE(Table1215[[#This Row],[Column37]],Table1215[[#This Row],[Column38]],Table1215[[#This Row],[Column40]])</f>
        <v>2.6666666666666665</v>
      </c>
      <c r="AQ117" s="61">
        <f>IFERROR(VLOOKUP(Table1215[[#This Row],[Column2]],Table12[[Column2]:[Column54]],42,FALSE),"0")</f>
        <v>3</v>
      </c>
      <c r="AR117" s="61">
        <f>IFERROR(VLOOKUP(Table1215[[#This Row],[Column2]],Table12[[Column2]:[Column54]],43,FALSE),"0")</f>
        <v>0</v>
      </c>
      <c r="AS117" s="61">
        <f>IFERROR(VLOOKUP(Table1215[[#This Row],[Column2]],Table12[[Column2]:[Column54]],44,FALSE),"0")</f>
        <v>0</v>
      </c>
      <c r="AT117" s="61">
        <f>IFERROR(VLOOKUP(Table1215[[#This Row],[Column2]],Table12[[Column2]:[Column54]],45,FALSE),"0")</f>
        <v>0</v>
      </c>
      <c r="AU117" s="61">
        <f>IFERROR(VLOOKUP(Table1215[[#This Row],[Column2]],Table12[[Column2]:[Column54]],46,FALSE),"0")</f>
        <v>0</v>
      </c>
      <c r="AV117" s="67">
        <f>Table1215[[#This Row],[Column43]]</f>
        <v>3</v>
      </c>
      <c r="AW117" s="61">
        <f>IFERROR(VLOOKUP(Table1215[[#This Row],[Column2]],Table12[[Column2]:[Column54]],48,FALSE),"0")</f>
        <v>0</v>
      </c>
      <c r="AX117" s="61">
        <f>IFERROR(VLOOKUP(Table1215[[#This Row],[Column2]],Table12[[Column2]:[Column54]],49,FALSE),"0")</f>
        <v>0</v>
      </c>
      <c r="AY117" s="61">
        <f>IFERROR(VLOOKUP(Table1215[[#This Row],[Column2]],Table12[[Column2]:[Column54]],50,FALSE),"0")</f>
        <v>0</v>
      </c>
      <c r="AZ117" s="61">
        <f>IFERROR(VLOOKUP(Table1215[[#This Row],[Column2]],Table12[[Column2]:[Column54]],51,FALSE),"0")</f>
        <v>2</v>
      </c>
      <c r="BA117" s="61">
        <f>IFERROR(VLOOKUP(Table1215[[#This Row],[Column2]],Table12[[Column2]:[Column54]],52,FALSE),"0")</f>
        <v>4</v>
      </c>
      <c r="BB117" s="67">
        <f>AVERAGE(Table1215[[#This Row],[Column52]],Table1215[[#This Row],[Column53]])</f>
        <v>3</v>
      </c>
    </row>
    <row r="118" spans="1:54" ht="23.1" customHeight="1" x14ac:dyDescent="0.3">
      <c r="A118" s="86">
        <v>115</v>
      </c>
      <c r="B118" s="63" t="s">
        <v>235</v>
      </c>
      <c r="C118" s="64" t="s">
        <v>236</v>
      </c>
      <c r="D118" s="63" t="s">
        <v>450</v>
      </c>
      <c r="E118" s="63" t="s">
        <v>161</v>
      </c>
      <c r="F118" s="63" t="str">
        <f>REPT(CHAR(160),10)&amp;Working!$E119</f>
        <v>          B</v>
      </c>
      <c r="G118" s="65">
        <f>IFERROR(VLOOKUP(Table1215[[#This Row],[Column2]],Table12[[Column2]:[Column54]],6,FALSE),"0")</f>
        <v>0</v>
      </c>
      <c r="H118" s="65">
        <f>IFERROR(VLOOKUP(Table1215[[#This Row],[Column2]],Table12[[Column2]:[Column54]],7,FALSE),"0")</f>
        <v>0</v>
      </c>
      <c r="I118" s="65">
        <f>IFERROR(VLOOKUP(Table1215[[#This Row],[Column2]],Table12[[Column2]:[Column54]],8,FALSE),"0")</f>
        <v>3</v>
      </c>
      <c r="J118" s="65">
        <f>IFERROR(VLOOKUP(Table1215[[#This Row],[Column2]],Table12[[Column2]:[Column54]],9,FALSE),"0")</f>
        <v>0</v>
      </c>
      <c r="K118" s="65">
        <f>IFERROR(VLOOKUP(Table1215[[#This Row],[Column2]],Table12[[Column2]:[Column54]],10,FALSE),"0")</f>
        <v>0</v>
      </c>
      <c r="L118" s="67">
        <f>Table1215[[#This Row],[Column9]]</f>
        <v>3</v>
      </c>
      <c r="M118" s="65">
        <f>IFERROR(VLOOKUP(Table1215[[#This Row],[Column2]],Table12[[Column2]:[Column54]],12,FALSE),"0")</f>
        <v>0</v>
      </c>
      <c r="N118" s="65">
        <f>IFERROR(VLOOKUP(Table1215[[#This Row],[Column2]],Table12[[Column2]:[Column54]],13,FALSE),"0")</f>
        <v>3</v>
      </c>
      <c r="O118" s="65">
        <f>IFERROR(VLOOKUP(Table1215[[#This Row],[Column2]],Table12[[Column2]:[Column54]],14,FALSE),"0")</f>
        <v>3</v>
      </c>
      <c r="P118" s="65">
        <f>IFERROR(VLOOKUP(Table1215[[#This Row],[Column2]],Table12[[Column2]:[Column54]],10,FALSE),"0")</f>
        <v>0</v>
      </c>
      <c r="Q118" s="65">
        <f>IFERROR(VLOOKUP(Table1215[[#This Row],[Column2]],Table12[[Column2]:[Column54]],16,FALSE),"0")</f>
        <v>3</v>
      </c>
      <c r="R118" s="67">
        <f>AVERAGE(Table1215[[#This Row],[Column14]],Table1215[[#This Row],[Column15]],Table1215[[#This Row],[Column17]])</f>
        <v>3</v>
      </c>
      <c r="S118" s="65">
        <f>IFERROR(VLOOKUP(Table1215[[#This Row],[Column2]],Table12[[Column2]:[Column54]],18,FALSE),"0")</f>
        <v>0</v>
      </c>
      <c r="T118" s="65">
        <f>IFERROR(VLOOKUP(Table1215[[#This Row],[Column2]],Table12[[Column2]:[Column54]],19,FALSE),"0")</f>
        <v>0</v>
      </c>
      <c r="U118" s="65">
        <f>IFERROR(VLOOKUP(Table1215[[#This Row],[Column2]],Table12[[Column2]:[Column54]],20,FALSE),"0")</f>
        <v>0</v>
      </c>
      <c r="V118" s="65">
        <f>IFERROR(VLOOKUP(Table1215[[#This Row],[Column2]],Table12[[Column2]:[Column54]],21,FALSE),"0")</f>
        <v>0</v>
      </c>
      <c r="W118" s="65">
        <f>IFERROR(VLOOKUP(Table1215[[#This Row],[Column2]],Table12[[Column2]:[Column54]],22,FALSE),"0")</f>
        <v>0</v>
      </c>
      <c r="X118" s="67">
        <f>Table1215[[#This Row],[Column19]]</f>
        <v>0</v>
      </c>
      <c r="Y118" s="65">
        <f>IFERROR(VLOOKUP(Table1215[[#This Row],[Column2]],Table12[[Column2]:[Column54]],24,FALSE),"0")</f>
        <v>3</v>
      </c>
      <c r="Z118" s="65">
        <f>IFERROR(VLOOKUP(Table1215[[#This Row],[Column2]],Table12[[Column2]:[Column54]],25,FALSE),"0")</f>
        <v>0</v>
      </c>
      <c r="AA118" s="65">
        <f>IFERROR(VLOOKUP(Table1215[[#This Row],[Column2]],Table12[[Column2]:[Column54]],26,FALSE),"0")</f>
        <v>0</v>
      </c>
      <c r="AB118" s="65">
        <f>IFERROR(VLOOKUP(Table1215[[#This Row],[Column2]],Table12[[Column2]:[Column54]],27,FALSE),"0")</f>
        <v>0</v>
      </c>
      <c r="AC118" s="65">
        <f>IFERROR(VLOOKUP(Table1215[[#This Row],[Column2]],Table12[[Column2]:[Column54]],28,FALSE),"0")</f>
        <v>0</v>
      </c>
      <c r="AD118" s="67">
        <f>Table1215[[#This Row],[Column25]]</f>
        <v>3</v>
      </c>
      <c r="AE118" s="65">
        <f>IFERROR(VLOOKUP(Table1215[[#This Row],[Column2]],Table12[[Column2]:[Column54]],30,FALSE),"0")</f>
        <v>0</v>
      </c>
      <c r="AF118" s="65">
        <f>IFERROR(VLOOKUP(Table1215[[#This Row],[Column2]],Table12[[Column2]:[Column54]],31,FALSE),"0")</f>
        <v>0</v>
      </c>
      <c r="AG118" s="65">
        <f>IFERROR(VLOOKUP(Table1215[[#This Row],[Column2]],Table12[[Column2]:[Column54]],32,FALSE),"0")</f>
        <v>0</v>
      </c>
      <c r="AH118" s="65">
        <f>IFERROR(VLOOKUP(Table1215[[#This Row],[Column2]],Table12[[Column2]:[Column54]],33,FALSE),"0")</f>
        <v>0</v>
      </c>
      <c r="AI118" s="65">
        <f>IFERROR(VLOOKUP(Table1215[[#This Row],[Column2]],Table12[[Column2]:[Column54]],34,FALSE),"0")</f>
        <v>0</v>
      </c>
      <c r="AJ118" s="67">
        <f>AVERAGE(Table1215[[#This Row],[Column31]],Table1215[[#This Row],[Column32]],Table1215[[#This Row],[Column33]])</f>
        <v>0</v>
      </c>
      <c r="AK118" s="65">
        <f>IFERROR(VLOOKUP(Table1215[[#This Row],[Column2]],Table12[[Column2]:[Column54]],36,FALSE),"0")</f>
        <v>3</v>
      </c>
      <c r="AL118" s="65">
        <f>IFERROR(VLOOKUP(Table1215[[#This Row],[Column2]],Table12[[Column2]:[Column54]],37,FALSE),"0")</f>
        <v>2</v>
      </c>
      <c r="AM118" s="65">
        <f>IFERROR(VLOOKUP(Table1215[[#This Row],[Column2]],Table12[[Column2]:[Column54]],38,FALSE),"0")</f>
        <v>0</v>
      </c>
      <c r="AN118" s="65">
        <f>IFERROR(VLOOKUP(Table1215[[#This Row],[Column2]],Table12[[Column2]:[Column54]],39,FALSE),"0")</f>
        <v>3</v>
      </c>
      <c r="AO118" s="65">
        <f>IFERROR(VLOOKUP(Table1215[[#This Row],[Column2]],Table12[[Column2]:[Column54]],40,FALSE),"0")</f>
        <v>0</v>
      </c>
      <c r="AP118" s="67">
        <f>AVERAGE(Table1215[[#This Row],[Column37]],Table1215[[#This Row],[Column38]],Table1215[[#This Row],[Column40]])</f>
        <v>2.6666666666666665</v>
      </c>
      <c r="AQ118" s="65">
        <f>IFERROR(VLOOKUP(Table1215[[#This Row],[Column2]],Table12[[Column2]:[Column54]],42,FALSE),"0")</f>
        <v>4</v>
      </c>
      <c r="AR118" s="65">
        <f>IFERROR(VLOOKUP(Table1215[[#This Row],[Column2]],Table12[[Column2]:[Column54]],43,FALSE),"0")</f>
        <v>0</v>
      </c>
      <c r="AS118" s="65">
        <f>IFERROR(VLOOKUP(Table1215[[#This Row],[Column2]],Table12[[Column2]:[Column54]],44,FALSE),"0")</f>
        <v>0</v>
      </c>
      <c r="AT118" s="65">
        <f>IFERROR(VLOOKUP(Table1215[[#This Row],[Column2]],Table12[[Column2]:[Column54]],45,FALSE),"0")</f>
        <v>0</v>
      </c>
      <c r="AU118" s="65">
        <f>IFERROR(VLOOKUP(Table1215[[#This Row],[Column2]],Table12[[Column2]:[Column54]],46,FALSE),"0")</f>
        <v>0</v>
      </c>
      <c r="AV118" s="67">
        <f>Table1215[[#This Row],[Column43]]</f>
        <v>4</v>
      </c>
      <c r="AW118" s="65">
        <f>IFERROR(VLOOKUP(Table1215[[#This Row],[Column2]],Table12[[Column2]:[Column54]],48,FALSE),"0")</f>
        <v>0</v>
      </c>
      <c r="AX118" s="65">
        <f>IFERROR(VLOOKUP(Table1215[[#This Row],[Column2]],Table12[[Column2]:[Column54]],49,FALSE),"0")</f>
        <v>0</v>
      </c>
      <c r="AY118" s="65">
        <f>IFERROR(VLOOKUP(Table1215[[#This Row],[Column2]],Table12[[Column2]:[Column54]],50,FALSE),"0")</f>
        <v>0</v>
      </c>
      <c r="AZ118" s="65">
        <f>IFERROR(VLOOKUP(Table1215[[#This Row],[Column2]],Table12[[Column2]:[Column54]],51,FALSE),"0")</f>
        <v>2</v>
      </c>
      <c r="BA118" s="65">
        <f>IFERROR(VLOOKUP(Table1215[[#This Row],[Column2]],Table12[[Column2]:[Column54]],52,FALSE),"0")</f>
        <v>4</v>
      </c>
      <c r="BB118" s="67">
        <f>AVERAGE(Table1215[[#This Row],[Column52]],Table1215[[#This Row],[Column53]])</f>
        <v>3</v>
      </c>
    </row>
    <row r="119" spans="1:54" ht="23.1" customHeight="1" x14ac:dyDescent="0.3">
      <c r="A119" s="87">
        <v>116</v>
      </c>
      <c r="B119" s="70" t="s">
        <v>354</v>
      </c>
      <c r="C119" s="71" t="s">
        <v>355</v>
      </c>
      <c r="D119" s="70" t="s">
        <v>544</v>
      </c>
      <c r="E119" s="70" t="s">
        <v>493</v>
      </c>
      <c r="F119" s="70" t="str">
        <f>REPT(CHAR(160),10)&amp;Working!$E120</f>
        <v>          C</v>
      </c>
      <c r="G119" s="61">
        <f>IFERROR(VLOOKUP(Table1215[[#This Row],[Column2]],Table12[[Column2]:[Column54]],6,FALSE),"0")</f>
        <v>0</v>
      </c>
      <c r="H119" s="61">
        <f>IFERROR(VLOOKUP(Table1215[[#This Row],[Column2]],Table12[[Column2]:[Column54]],7,FALSE),"0")</f>
        <v>0</v>
      </c>
      <c r="I119" s="61">
        <f>IFERROR(VLOOKUP(Table1215[[#This Row],[Column2]],Table12[[Column2]:[Column54]],8,FALSE),"0")</f>
        <v>4</v>
      </c>
      <c r="J119" s="61">
        <f>IFERROR(VLOOKUP(Table1215[[#This Row],[Column2]],Table12[[Column2]:[Column54]],9,FALSE),"0")</f>
        <v>0</v>
      </c>
      <c r="K119" s="61">
        <f>IFERROR(VLOOKUP(Table1215[[#This Row],[Column2]],Table12[[Column2]:[Column54]],10,FALSE),"0")</f>
        <v>0</v>
      </c>
      <c r="L119" s="67">
        <f>Table1215[[#This Row],[Column9]]</f>
        <v>4</v>
      </c>
      <c r="M119" s="61">
        <f>IFERROR(VLOOKUP(Table1215[[#This Row],[Column2]],Table12[[Column2]:[Column54]],12,FALSE),"0")</f>
        <v>0</v>
      </c>
      <c r="N119" s="61">
        <f>IFERROR(VLOOKUP(Table1215[[#This Row],[Column2]],Table12[[Column2]:[Column54]],13,FALSE),"0")</f>
        <v>4</v>
      </c>
      <c r="O119" s="61">
        <f>IFERROR(VLOOKUP(Table1215[[#This Row],[Column2]],Table12[[Column2]:[Column54]],14,FALSE),"0")</f>
        <v>4</v>
      </c>
      <c r="P119" s="61">
        <f>IFERROR(VLOOKUP(Table1215[[#This Row],[Column2]],Table12[[Column2]:[Column54]],10,FALSE),"0")</f>
        <v>0</v>
      </c>
      <c r="Q119" s="61">
        <f>IFERROR(VLOOKUP(Table1215[[#This Row],[Column2]],Table12[[Column2]:[Column54]],16,FALSE),"0")</f>
        <v>4</v>
      </c>
      <c r="R119" s="67">
        <f>AVERAGE(Table1215[[#This Row],[Column14]],Table1215[[#This Row],[Column15]],Table1215[[#This Row],[Column17]])</f>
        <v>4</v>
      </c>
      <c r="S119" s="61">
        <f>IFERROR(VLOOKUP(Table1215[[#This Row],[Column2]],Table12[[Column2]:[Column54]],18,FALSE),"0")</f>
        <v>0</v>
      </c>
      <c r="T119" s="61">
        <f>IFERROR(VLOOKUP(Table1215[[#This Row],[Column2]],Table12[[Column2]:[Column54]],19,FALSE),"0")</f>
        <v>0</v>
      </c>
      <c r="U119" s="61">
        <f>IFERROR(VLOOKUP(Table1215[[#This Row],[Column2]],Table12[[Column2]:[Column54]],20,FALSE),"0")</f>
        <v>0</v>
      </c>
      <c r="V119" s="61">
        <f>IFERROR(VLOOKUP(Table1215[[#This Row],[Column2]],Table12[[Column2]:[Column54]],21,FALSE),"0")</f>
        <v>0</v>
      </c>
      <c r="W119" s="61">
        <f>IFERROR(VLOOKUP(Table1215[[#This Row],[Column2]],Table12[[Column2]:[Column54]],22,FALSE),"0")</f>
        <v>0</v>
      </c>
      <c r="X119" s="67">
        <f>Table1215[[#This Row],[Column19]]</f>
        <v>0</v>
      </c>
      <c r="Y119" s="61">
        <f>IFERROR(VLOOKUP(Table1215[[#This Row],[Column2]],Table12[[Column2]:[Column54]],24,FALSE),"0")</f>
        <v>4</v>
      </c>
      <c r="Z119" s="61">
        <f>IFERROR(VLOOKUP(Table1215[[#This Row],[Column2]],Table12[[Column2]:[Column54]],25,FALSE),"0")</f>
        <v>0</v>
      </c>
      <c r="AA119" s="61">
        <f>IFERROR(VLOOKUP(Table1215[[#This Row],[Column2]],Table12[[Column2]:[Column54]],26,FALSE),"0")</f>
        <v>0</v>
      </c>
      <c r="AB119" s="61">
        <f>IFERROR(VLOOKUP(Table1215[[#This Row],[Column2]],Table12[[Column2]:[Column54]],27,FALSE),"0")</f>
        <v>0</v>
      </c>
      <c r="AC119" s="61">
        <f>IFERROR(VLOOKUP(Table1215[[#This Row],[Column2]],Table12[[Column2]:[Column54]],28,FALSE),"0")</f>
        <v>0</v>
      </c>
      <c r="AD119" s="67">
        <f>Table1215[[#This Row],[Column25]]</f>
        <v>4</v>
      </c>
      <c r="AE119" s="61">
        <f>IFERROR(VLOOKUP(Table1215[[#This Row],[Column2]],Table12[[Column2]:[Column54]],30,FALSE),"0")</f>
        <v>0</v>
      </c>
      <c r="AF119" s="61">
        <f>IFERROR(VLOOKUP(Table1215[[#This Row],[Column2]],Table12[[Column2]:[Column54]],31,FALSE),"0")</f>
        <v>0</v>
      </c>
      <c r="AG119" s="61">
        <f>IFERROR(VLOOKUP(Table1215[[#This Row],[Column2]],Table12[[Column2]:[Column54]],32,FALSE),"0")</f>
        <v>0</v>
      </c>
      <c r="AH119" s="61">
        <f>IFERROR(VLOOKUP(Table1215[[#This Row],[Column2]],Table12[[Column2]:[Column54]],33,FALSE),"0")</f>
        <v>0</v>
      </c>
      <c r="AI119" s="61">
        <f>IFERROR(VLOOKUP(Table1215[[#This Row],[Column2]],Table12[[Column2]:[Column54]],34,FALSE),"0")</f>
        <v>0</v>
      </c>
      <c r="AJ119" s="67">
        <f>AVERAGE(Table1215[[#This Row],[Column31]],Table1215[[#This Row],[Column32]],Table1215[[#This Row],[Column33]])</f>
        <v>0</v>
      </c>
      <c r="AK119" s="61">
        <f>IFERROR(VLOOKUP(Table1215[[#This Row],[Column2]],Table12[[Column2]:[Column54]],36,FALSE),"0")</f>
        <v>3</v>
      </c>
      <c r="AL119" s="61">
        <f>IFERROR(VLOOKUP(Table1215[[#This Row],[Column2]],Table12[[Column2]:[Column54]],37,FALSE),"0")</f>
        <v>5</v>
      </c>
      <c r="AM119" s="61">
        <f>IFERROR(VLOOKUP(Table1215[[#This Row],[Column2]],Table12[[Column2]:[Column54]],38,FALSE),"0")</f>
        <v>0</v>
      </c>
      <c r="AN119" s="61">
        <f>IFERROR(VLOOKUP(Table1215[[#This Row],[Column2]],Table12[[Column2]:[Column54]],39,FALSE),"0")</f>
        <v>4</v>
      </c>
      <c r="AO119" s="61">
        <f>IFERROR(VLOOKUP(Table1215[[#This Row],[Column2]],Table12[[Column2]:[Column54]],40,FALSE),"0")</f>
        <v>0</v>
      </c>
      <c r="AP119" s="67">
        <f>AVERAGE(Table1215[[#This Row],[Column37]],Table1215[[#This Row],[Column38]],Table1215[[#This Row],[Column40]])</f>
        <v>4</v>
      </c>
      <c r="AQ119" s="61">
        <f>IFERROR(VLOOKUP(Table1215[[#This Row],[Column2]],Table12[[Column2]:[Column54]],42,FALSE),"0")</f>
        <v>3</v>
      </c>
      <c r="AR119" s="61">
        <f>IFERROR(VLOOKUP(Table1215[[#This Row],[Column2]],Table12[[Column2]:[Column54]],43,FALSE),"0")</f>
        <v>0</v>
      </c>
      <c r="AS119" s="61">
        <f>IFERROR(VLOOKUP(Table1215[[#This Row],[Column2]],Table12[[Column2]:[Column54]],44,FALSE),"0")</f>
        <v>0</v>
      </c>
      <c r="AT119" s="61">
        <f>IFERROR(VLOOKUP(Table1215[[#This Row],[Column2]],Table12[[Column2]:[Column54]],45,FALSE),"0")</f>
        <v>0</v>
      </c>
      <c r="AU119" s="61">
        <f>IFERROR(VLOOKUP(Table1215[[#This Row],[Column2]],Table12[[Column2]:[Column54]],46,FALSE),"0")</f>
        <v>0</v>
      </c>
      <c r="AV119" s="67">
        <f>Table1215[[#This Row],[Column43]]</f>
        <v>3</v>
      </c>
      <c r="AW119" s="61">
        <f>IFERROR(VLOOKUP(Table1215[[#This Row],[Column2]],Table12[[Column2]:[Column54]],48,FALSE),"0")</f>
        <v>0</v>
      </c>
      <c r="AX119" s="61">
        <f>IFERROR(VLOOKUP(Table1215[[#This Row],[Column2]],Table12[[Column2]:[Column54]],49,FALSE),"0")</f>
        <v>0</v>
      </c>
      <c r="AY119" s="61">
        <f>IFERROR(VLOOKUP(Table1215[[#This Row],[Column2]],Table12[[Column2]:[Column54]],50,FALSE),"0")</f>
        <v>0</v>
      </c>
      <c r="AZ119" s="61">
        <f>IFERROR(VLOOKUP(Table1215[[#This Row],[Column2]],Table12[[Column2]:[Column54]],51,FALSE),"0")</f>
        <v>2</v>
      </c>
      <c r="BA119" s="61">
        <f>IFERROR(VLOOKUP(Table1215[[#This Row],[Column2]],Table12[[Column2]:[Column54]],52,FALSE),"0")</f>
        <v>4</v>
      </c>
      <c r="BB119" s="67">
        <f>AVERAGE(Table1215[[#This Row],[Column52]],Table1215[[#This Row],[Column53]])</f>
        <v>3</v>
      </c>
    </row>
    <row r="120" spans="1:54" ht="23.1" customHeight="1" x14ac:dyDescent="0.3">
      <c r="A120" s="86">
        <v>117</v>
      </c>
      <c r="B120" s="63" t="s">
        <v>203</v>
      </c>
      <c r="C120" s="64" t="s">
        <v>204</v>
      </c>
      <c r="D120" s="63" t="s">
        <v>542</v>
      </c>
      <c r="E120" s="63" t="s">
        <v>161</v>
      </c>
      <c r="F120" s="63" t="str">
        <f>REPT(CHAR(160),10)&amp;Working!$E121</f>
        <v>          B</v>
      </c>
      <c r="G120" s="65">
        <f>IFERROR(VLOOKUP(Table1215[[#This Row],[Column2]],Table12[[Column2]:[Column54]],6,FALSE),"0")</f>
        <v>0</v>
      </c>
      <c r="H120" s="65">
        <f>IFERROR(VLOOKUP(Table1215[[#This Row],[Column2]],Table12[[Column2]:[Column54]],7,FALSE),"0")</f>
        <v>0</v>
      </c>
      <c r="I120" s="65">
        <f>IFERROR(VLOOKUP(Table1215[[#This Row],[Column2]],Table12[[Column2]:[Column54]],8,FALSE),"0")</f>
        <v>4</v>
      </c>
      <c r="J120" s="65">
        <f>IFERROR(VLOOKUP(Table1215[[#This Row],[Column2]],Table12[[Column2]:[Column54]],9,FALSE),"0")</f>
        <v>0</v>
      </c>
      <c r="K120" s="65">
        <f>IFERROR(VLOOKUP(Table1215[[#This Row],[Column2]],Table12[[Column2]:[Column54]],10,FALSE),"0")</f>
        <v>0</v>
      </c>
      <c r="L120" s="67">
        <f>Table1215[[#This Row],[Column9]]</f>
        <v>4</v>
      </c>
      <c r="M120" s="65">
        <f>IFERROR(VLOOKUP(Table1215[[#This Row],[Column2]],Table12[[Column2]:[Column54]],12,FALSE),"0")</f>
        <v>0</v>
      </c>
      <c r="N120" s="65">
        <f>IFERROR(VLOOKUP(Table1215[[#This Row],[Column2]],Table12[[Column2]:[Column54]],13,FALSE),"0")</f>
        <v>4</v>
      </c>
      <c r="O120" s="65">
        <f>IFERROR(VLOOKUP(Table1215[[#This Row],[Column2]],Table12[[Column2]:[Column54]],14,FALSE),"0")</f>
        <v>4</v>
      </c>
      <c r="P120" s="65">
        <f>IFERROR(VLOOKUP(Table1215[[#This Row],[Column2]],Table12[[Column2]:[Column54]],10,FALSE),"0")</f>
        <v>0</v>
      </c>
      <c r="Q120" s="65">
        <f>IFERROR(VLOOKUP(Table1215[[#This Row],[Column2]],Table12[[Column2]:[Column54]],16,FALSE),"0")</f>
        <v>4</v>
      </c>
      <c r="R120" s="67">
        <f>AVERAGE(Table1215[[#This Row],[Column14]],Table1215[[#This Row],[Column15]],Table1215[[#This Row],[Column17]])</f>
        <v>4</v>
      </c>
      <c r="S120" s="65">
        <f>IFERROR(VLOOKUP(Table1215[[#This Row],[Column2]],Table12[[Column2]:[Column54]],18,FALSE),"0")</f>
        <v>0</v>
      </c>
      <c r="T120" s="65">
        <f>IFERROR(VLOOKUP(Table1215[[#This Row],[Column2]],Table12[[Column2]:[Column54]],19,FALSE),"0")</f>
        <v>0</v>
      </c>
      <c r="U120" s="65">
        <f>IFERROR(VLOOKUP(Table1215[[#This Row],[Column2]],Table12[[Column2]:[Column54]],20,FALSE),"0")</f>
        <v>0</v>
      </c>
      <c r="V120" s="65">
        <f>IFERROR(VLOOKUP(Table1215[[#This Row],[Column2]],Table12[[Column2]:[Column54]],21,FALSE),"0")</f>
        <v>0</v>
      </c>
      <c r="W120" s="65">
        <f>IFERROR(VLOOKUP(Table1215[[#This Row],[Column2]],Table12[[Column2]:[Column54]],22,FALSE),"0")</f>
        <v>0</v>
      </c>
      <c r="X120" s="67">
        <f>Table1215[[#This Row],[Column19]]</f>
        <v>0</v>
      </c>
      <c r="Y120" s="65">
        <f>IFERROR(VLOOKUP(Table1215[[#This Row],[Column2]],Table12[[Column2]:[Column54]],24,FALSE),"0")</f>
        <v>5</v>
      </c>
      <c r="Z120" s="65">
        <f>IFERROR(VLOOKUP(Table1215[[#This Row],[Column2]],Table12[[Column2]:[Column54]],25,FALSE),"0")</f>
        <v>0</v>
      </c>
      <c r="AA120" s="65">
        <f>IFERROR(VLOOKUP(Table1215[[#This Row],[Column2]],Table12[[Column2]:[Column54]],26,FALSE),"0")</f>
        <v>0</v>
      </c>
      <c r="AB120" s="65">
        <f>IFERROR(VLOOKUP(Table1215[[#This Row],[Column2]],Table12[[Column2]:[Column54]],27,FALSE),"0")</f>
        <v>0</v>
      </c>
      <c r="AC120" s="65">
        <f>IFERROR(VLOOKUP(Table1215[[#This Row],[Column2]],Table12[[Column2]:[Column54]],28,FALSE),"0")</f>
        <v>0</v>
      </c>
      <c r="AD120" s="67">
        <f>Table1215[[#This Row],[Column25]]</f>
        <v>5</v>
      </c>
      <c r="AE120" s="65">
        <f>IFERROR(VLOOKUP(Table1215[[#This Row],[Column2]],Table12[[Column2]:[Column54]],30,FALSE),"0")</f>
        <v>0</v>
      </c>
      <c r="AF120" s="65">
        <f>IFERROR(VLOOKUP(Table1215[[#This Row],[Column2]],Table12[[Column2]:[Column54]],31,FALSE),"0")</f>
        <v>0</v>
      </c>
      <c r="AG120" s="65">
        <f>IFERROR(VLOOKUP(Table1215[[#This Row],[Column2]],Table12[[Column2]:[Column54]],32,FALSE),"0")</f>
        <v>0</v>
      </c>
      <c r="AH120" s="65">
        <f>IFERROR(VLOOKUP(Table1215[[#This Row],[Column2]],Table12[[Column2]:[Column54]],33,FALSE),"0")</f>
        <v>0</v>
      </c>
      <c r="AI120" s="65">
        <f>IFERROR(VLOOKUP(Table1215[[#This Row],[Column2]],Table12[[Column2]:[Column54]],34,FALSE),"0")</f>
        <v>0</v>
      </c>
      <c r="AJ120" s="67">
        <f>AVERAGE(Table1215[[#This Row],[Column31]],Table1215[[#This Row],[Column32]],Table1215[[#This Row],[Column33]])</f>
        <v>0</v>
      </c>
      <c r="AK120" s="65">
        <f>IFERROR(VLOOKUP(Table1215[[#This Row],[Column2]],Table12[[Column2]:[Column54]],36,FALSE),"0")</f>
        <v>4</v>
      </c>
      <c r="AL120" s="65">
        <f>IFERROR(VLOOKUP(Table1215[[#This Row],[Column2]],Table12[[Column2]:[Column54]],37,FALSE),"0")</f>
        <v>4</v>
      </c>
      <c r="AM120" s="65">
        <f>IFERROR(VLOOKUP(Table1215[[#This Row],[Column2]],Table12[[Column2]:[Column54]],38,FALSE),"0")</f>
        <v>0</v>
      </c>
      <c r="AN120" s="65">
        <f>IFERROR(VLOOKUP(Table1215[[#This Row],[Column2]],Table12[[Column2]:[Column54]],39,FALSE),"0")</f>
        <v>4</v>
      </c>
      <c r="AO120" s="65">
        <f>IFERROR(VLOOKUP(Table1215[[#This Row],[Column2]],Table12[[Column2]:[Column54]],40,FALSE),"0")</f>
        <v>0</v>
      </c>
      <c r="AP120" s="67">
        <f>AVERAGE(Table1215[[#This Row],[Column37]],Table1215[[#This Row],[Column38]],Table1215[[#This Row],[Column40]])</f>
        <v>4</v>
      </c>
      <c r="AQ120" s="65">
        <f>IFERROR(VLOOKUP(Table1215[[#This Row],[Column2]],Table12[[Column2]:[Column54]],42,FALSE),"0")</f>
        <v>4</v>
      </c>
      <c r="AR120" s="65">
        <f>IFERROR(VLOOKUP(Table1215[[#This Row],[Column2]],Table12[[Column2]:[Column54]],43,FALSE),"0")</f>
        <v>0</v>
      </c>
      <c r="AS120" s="65">
        <f>IFERROR(VLOOKUP(Table1215[[#This Row],[Column2]],Table12[[Column2]:[Column54]],44,FALSE),"0")</f>
        <v>0</v>
      </c>
      <c r="AT120" s="65">
        <f>IFERROR(VLOOKUP(Table1215[[#This Row],[Column2]],Table12[[Column2]:[Column54]],45,FALSE),"0")</f>
        <v>0</v>
      </c>
      <c r="AU120" s="65">
        <f>IFERROR(VLOOKUP(Table1215[[#This Row],[Column2]],Table12[[Column2]:[Column54]],46,FALSE),"0")</f>
        <v>0</v>
      </c>
      <c r="AV120" s="67">
        <f>Table1215[[#This Row],[Column43]]</f>
        <v>4</v>
      </c>
      <c r="AW120" s="65">
        <f>IFERROR(VLOOKUP(Table1215[[#This Row],[Column2]],Table12[[Column2]:[Column54]],48,FALSE),"0")</f>
        <v>0</v>
      </c>
      <c r="AX120" s="65">
        <f>IFERROR(VLOOKUP(Table1215[[#This Row],[Column2]],Table12[[Column2]:[Column54]],49,FALSE),"0")</f>
        <v>0</v>
      </c>
      <c r="AY120" s="65">
        <f>IFERROR(VLOOKUP(Table1215[[#This Row],[Column2]],Table12[[Column2]:[Column54]],50,FALSE),"0")</f>
        <v>0</v>
      </c>
      <c r="AZ120" s="65">
        <f>IFERROR(VLOOKUP(Table1215[[#This Row],[Column2]],Table12[[Column2]:[Column54]],51,FALSE),"0")</f>
        <v>2</v>
      </c>
      <c r="BA120" s="65">
        <f>IFERROR(VLOOKUP(Table1215[[#This Row],[Column2]],Table12[[Column2]:[Column54]],52,FALSE),"0")</f>
        <v>4</v>
      </c>
      <c r="BB120" s="67">
        <f>AVERAGE(Table1215[[#This Row],[Column52]],Table1215[[#This Row],[Column53]])</f>
        <v>3</v>
      </c>
    </row>
    <row r="121" spans="1:54" ht="23.1" customHeight="1" x14ac:dyDescent="0.3">
      <c r="A121" s="87">
        <v>118</v>
      </c>
      <c r="B121" s="70" t="s">
        <v>356</v>
      </c>
      <c r="C121" s="71" t="s">
        <v>357</v>
      </c>
      <c r="D121" s="70" t="s">
        <v>542</v>
      </c>
      <c r="E121" s="70" t="s">
        <v>493</v>
      </c>
      <c r="F121" s="70" t="str">
        <f>REPT(CHAR(160),10)&amp;Working!$E122</f>
        <v>          C</v>
      </c>
      <c r="G121" s="61">
        <f>IFERROR(VLOOKUP(Table1215[[#This Row],[Column2]],Table12[[Column2]:[Column54]],6,FALSE),"0")</f>
        <v>0</v>
      </c>
      <c r="H121" s="61">
        <f>IFERROR(VLOOKUP(Table1215[[#This Row],[Column2]],Table12[[Column2]:[Column54]],7,FALSE),"0")</f>
        <v>0</v>
      </c>
      <c r="I121" s="61">
        <f>IFERROR(VLOOKUP(Table1215[[#This Row],[Column2]],Table12[[Column2]:[Column54]],8,FALSE),"0")</f>
        <v>2</v>
      </c>
      <c r="J121" s="61">
        <f>IFERROR(VLOOKUP(Table1215[[#This Row],[Column2]],Table12[[Column2]:[Column54]],9,FALSE),"0")</f>
        <v>0</v>
      </c>
      <c r="K121" s="61">
        <f>IFERROR(VLOOKUP(Table1215[[#This Row],[Column2]],Table12[[Column2]:[Column54]],10,FALSE),"0")</f>
        <v>0</v>
      </c>
      <c r="L121" s="67">
        <f>Table1215[[#This Row],[Column9]]</f>
        <v>2</v>
      </c>
      <c r="M121" s="61">
        <f>IFERROR(VLOOKUP(Table1215[[#This Row],[Column2]],Table12[[Column2]:[Column54]],12,FALSE),"0")</f>
        <v>0</v>
      </c>
      <c r="N121" s="61">
        <f>IFERROR(VLOOKUP(Table1215[[#This Row],[Column2]],Table12[[Column2]:[Column54]],13,FALSE),"0")</f>
        <v>3</v>
      </c>
      <c r="O121" s="61">
        <f>IFERROR(VLOOKUP(Table1215[[#This Row],[Column2]],Table12[[Column2]:[Column54]],14,FALSE),"0")</f>
        <v>3</v>
      </c>
      <c r="P121" s="61">
        <f>IFERROR(VLOOKUP(Table1215[[#This Row],[Column2]],Table12[[Column2]:[Column54]],10,FALSE),"0")</f>
        <v>0</v>
      </c>
      <c r="Q121" s="61">
        <f>IFERROR(VLOOKUP(Table1215[[#This Row],[Column2]],Table12[[Column2]:[Column54]],16,FALSE),"0")</f>
        <v>3</v>
      </c>
      <c r="R121" s="67">
        <f>AVERAGE(Table1215[[#This Row],[Column14]],Table1215[[#This Row],[Column15]],Table1215[[#This Row],[Column17]])</f>
        <v>3</v>
      </c>
      <c r="S121" s="61">
        <f>IFERROR(VLOOKUP(Table1215[[#This Row],[Column2]],Table12[[Column2]:[Column54]],18,FALSE),"0")</f>
        <v>0</v>
      </c>
      <c r="T121" s="61">
        <f>IFERROR(VLOOKUP(Table1215[[#This Row],[Column2]],Table12[[Column2]:[Column54]],19,FALSE),"0")</f>
        <v>0</v>
      </c>
      <c r="U121" s="61">
        <f>IFERROR(VLOOKUP(Table1215[[#This Row],[Column2]],Table12[[Column2]:[Column54]],20,FALSE),"0")</f>
        <v>0</v>
      </c>
      <c r="V121" s="61">
        <f>IFERROR(VLOOKUP(Table1215[[#This Row],[Column2]],Table12[[Column2]:[Column54]],21,FALSE),"0")</f>
        <v>0</v>
      </c>
      <c r="W121" s="61">
        <f>IFERROR(VLOOKUP(Table1215[[#This Row],[Column2]],Table12[[Column2]:[Column54]],22,FALSE),"0")</f>
        <v>0</v>
      </c>
      <c r="X121" s="67">
        <f>Table1215[[#This Row],[Column19]]</f>
        <v>0</v>
      </c>
      <c r="Y121" s="61">
        <f>IFERROR(VLOOKUP(Table1215[[#This Row],[Column2]],Table12[[Column2]:[Column54]],24,FALSE),"0")</f>
        <v>3</v>
      </c>
      <c r="Z121" s="61">
        <f>IFERROR(VLOOKUP(Table1215[[#This Row],[Column2]],Table12[[Column2]:[Column54]],25,FALSE),"0")</f>
        <v>0</v>
      </c>
      <c r="AA121" s="61">
        <f>IFERROR(VLOOKUP(Table1215[[#This Row],[Column2]],Table12[[Column2]:[Column54]],26,FALSE),"0")</f>
        <v>0</v>
      </c>
      <c r="AB121" s="61">
        <f>IFERROR(VLOOKUP(Table1215[[#This Row],[Column2]],Table12[[Column2]:[Column54]],27,FALSE),"0")</f>
        <v>0</v>
      </c>
      <c r="AC121" s="61">
        <f>IFERROR(VLOOKUP(Table1215[[#This Row],[Column2]],Table12[[Column2]:[Column54]],28,FALSE),"0")</f>
        <v>0</v>
      </c>
      <c r="AD121" s="67">
        <f>Table1215[[#This Row],[Column25]]</f>
        <v>3</v>
      </c>
      <c r="AE121" s="61">
        <f>IFERROR(VLOOKUP(Table1215[[#This Row],[Column2]],Table12[[Column2]:[Column54]],30,FALSE),"0")</f>
        <v>0</v>
      </c>
      <c r="AF121" s="61">
        <f>IFERROR(VLOOKUP(Table1215[[#This Row],[Column2]],Table12[[Column2]:[Column54]],31,FALSE),"0")</f>
        <v>0</v>
      </c>
      <c r="AG121" s="61">
        <f>IFERROR(VLOOKUP(Table1215[[#This Row],[Column2]],Table12[[Column2]:[Column54]],32,FALSE),"0")</f>
        <v>0</v>
      </c>
      <c r="AH121" s="61">
        <f>IFERROR(VLOOKUP(Table1215[[#This Row],[Column2]],Table12[[Column2]:[Column54]],33,FALSE),"0")</f>
        <v>0</v>
      </c>
      <c r="AI121" s="61">
        <f>IFERROR(VLOOKUP(Table1215[[#This Row],[Column2]],Table12[[Column2]:[Column54]],34,FALSE),"0")</f>
        <v>0</v>
      </c>
      <c r="AJ121" s="67">
        <f>AVERAGE(Table1215[[#This Row],[Column31]],Table1215[[#This Row],[Column32]],Table1215[[#This Row],[Column33]])</f>
        <v>0</v>
      </c>
      <c r="AK121" s="61">
        <f>IFERROR(VLOOKUP(Table1215[[#This Row],[Column2]],Table12[[Column2]:[Column54]],36,FALSE),"0")</f>
        <v>1</v>
      </c>
      <c r="AL121" s="61">
        <f>IFERROR(VLOOKUP(Table1215[[#This Row],[Column2]],Table12[[Column2]:[Column54]],37,FALSE),"0")</f>
        <v>3</v>
      </c>
      <c r="AM121" s="61">
        <f>IFERROR(VLOOKUP(Table1215[[#This Row],[Column2]],Table12[[Column2]:[Column54]],38,FALSE),"0")</f>
        <v>0</v>
      </c>
      <c r="AN121" s="61">
        <f>IFERROR(VLOOKUP(Table1215[[#This Row],[Column2]],Table12[[Column2]:[Column54]],39,FALSE),"0")</f>
        <v>2</v>
      </c>
      <c r="AO121" s="61">
        <f>IFERROR(VLOOKUP(Table1215[[#This Row],[Column2]],Table12[[Column2]:[Column54]],40,FALSE),"0")</f>
        <v>0</v>
      </c>
      <c r="AP121" s="67">
        <f>AVERAGE(Table1215[[#This Row],[Column37]],Table1215[[#This Row],[Column38]],Table1215[[#This Row],[Column40]])</f>
        <v>2</v>
      </c>
      <c r="AQ121" s="61">
        <f>IFERROR(VLOOKUP(Table1215[[#This Row],[Column2]],Table12[[Column2]:[Column54]],42,FALSE),"0")</f>
        <v>2</v>
      </c>
      <c r="AR121" s="61">
        <f>IFERROR(VLOOKUP(Table1215[[#This Row],[Column2]],Table12[[Column2]:[Column54]],43,FALSE),"0")</f>
        <v>0</v>
      </c>
      <c r="AS121" s="61">
        <f>IFERROR(VLOOKUP(Table1215[[#This Row],[Column2]],Table12[[Column2]:[Column54]],44,FALSE),"0")</f>
        <v>0</v>
      </c>
      <c r="AT121" s="61">
        <f>IFERROR(VLOOKUP(Table1215[[#This Row],[Column2]],Table12[[Column2]:[Column54]],45,FALSE),"0")</f>
        <v>0</v>
      </c>
      <c r="AU121" s="61">
        <f>IFERROR(VLOOKUP(Table1215[[#This Row],[Column2]],Table12[[Column2]:[Column54]],46,FALSE),"0")</f>
        <v>0</v>
      </c>
      <c r="AV121" s="67">
        <f>Table1215[[#This Row],[Column43]]</f>
        <v>2</v>
      </c>
      <c r="AW121" s="61">
        <f>IFERROR(VLOOKUP(Table1215[[#This Row],[Column2]],Table12[[Column2]:[Column54]],48,FALSE),"0")</f>
        <v>0</v>
      </c>
      <c r="AX121" s="61">
        <f>IFERROR(VLOOKUP(Table1215[[#This Row],[Column2]],Table12[[Column2]:[Column54]],49,FALSE),"0")</f>
        <v>0</v>
      </c>
      <c r="AY121" s="61">
        <f>IFERROR(VLOOKUP(Table1215[[#This Row],[Column2]],Table12[[Column2]:[Column54]],50,FALSE),"0")</f>
        <v>0</v>
      </c>
      <c r="AZ121" s="61">
        <f>IFERROR(VLOOKUP(Table1215[[#This Row],[Column2]],Table12[[Column2]:[Column54]],51,FALSE),"0")</f>
        <v>2</v>
      </c>
      <c r="BA121" s="61">
        <f>IFERROR(VLOOKUP(Table1215[[#This Row],[Column2]],Table12[[Column2]:[Column54]],52,FALSE),"0")</f>
        <v>3</v>
      </c>
      <c r="BB121" s="67">
        <f>AVERAGE(Table1215[[#This Row],[Column52]],Table1215[[#This Row],[Column53]])</f>
        <v>2.5</v>
      </c>
    </row>
    <row r="122" spans="1:54" ht="23.1" customHeight="1" x14ac:dyDescent="0.3">
      <c r="A122" s="86">
        <v>119</v>
      </c>
      <c r="B122" s="63" t="s">
        <v>358</v>
      </c>
      <c r="C122" s="64" t="s">
        <v>359</v>
      </c>
      <c r="D122" s="63" t="s">
        <v>542</v>
      </c>
      <c r="E122" s="63" t="s">
        <v>493</v>
      </c>
      <c r="F122" s="63" t="str">
        <f>REPT(CHAR(160),10)&amp;Working!$E123</f>
        <v>          C</v>
      </c>
      <c r="G122" s="65">
        <f>IFERROR(VLOOKUP(Table1215[[#This Row],[Column2]],Table12[[Column2]:[Column54]],6,FALSE),"0")</f>
        <v>0</v>
      </c>
      <c r="H122" s="65">
        <f>IFERROR(VLOOKUP(Table1215[[#This Row],[Column2]],Table12[[Column2]:[Column54]],7,FALSE),"0")</f>
        <v>0</v>
      </c>
      <c r="I122" s="65">
        <f>IFERROR(VLOOKUP(Table1215[[#This Row],[Column2]],Table12[[Column2]:[Column54]],8,FALSE),"0")</f>
        <v>4</v>
      </c>
      <c r="J122" s="65">
        <f>IFERROR(VLOOKUP(Table1215[[#This Row],[Column2]],Table12[[Column2]:[Column54]],9,FALSE),"0")</f>
        <v>0</v>
      </c>
      <c r="K122" s="65">
        <f>IFERROR(VLOOKUP(Table1215[[#This Row],[Column2]],Table12[[Column2]:[Column54]],10,FALSE),"0")</f>
        <v>0</v>
      </c>
      <c r="L122" s="67">
        <f>Table1215[[#This Row],[Column9]]</f>
        <v>4</v>
      </c>
      <c r="M122" s="65">
        <f>IFERROR(VLOOKUP(Table1215[[#This Row],[Column2]],Table12[[Column2]:[Column54]],12,FALSE),"0")</f>
        <v>0</v>
      </c>
      <c r="N122" s="65">
        <f>IFERROR(VLOOKUP(Table1215[[#This Row],[Column2]],Table12[[Column2]:[Column54]],13,FALSE),"0")</f>
        <v>4</v>
      </c>
      <c r="O122" s="65">
        <f>IFERROR(VLOOKUP(Table1215[[#This Row],[Column2]],Table12[[Column2]:[Column54]],14,FALSE),"0")</f>
        <v>3</v>
      </c>
      <c r="P122" s="65">
        <f>IFERROR(VLOOKUP(Table1215[[#This Row],[Column2]],Table12[[Column2]:[Column54]],10,FALSE),"0")</f>
        <v>0</v>
      </c>
      <c r="Q122" s="65">
        <f>IFERROR(VLOOKUP(Table1215[[#This Row],[Column2]],Table12[[Column2]:[Column54]],16,FALSE),"0")</f>
        <v>3</v>
      </c>
      <c r="R122" s="67">
        <f>AVERAGE(Table1215[[#This Row],[Column14]],Table1215[[#This Row],[Column15]],Table1215[[#This Row],[Column17]])</f>
        <v>3.3333333333333335</v>
      </c>
      <c r="S122" s="65">
        <f>IFERROR(VLOOKUP(Table1215[[#This Row],[Column2]],Table12[[Column2]:[Column54]],18,FALSE),"0")</f>
        <v>0</v>
      </c>
      <c r="T122" s="65">
        <f>IFERROR(VLOOKUP(Table1215[[#This Row],[Column2]],Table12[[Column2]:[Column54]],19,FALSE),"0")</f>
        <v>0</v>
      </c>
      <c r="U122" s="65">
        <f>IFERROR(VLOOKUP(Table1215[[#This Row],[Column2]],Table12[[Column2]:[Column54]],20,FALSE),"0")</f>
        <v>0</v>
      </c>
      <c r="V122" s="65">
        <f>IFERROR(VLOOKUP(Table1215[[#This Row],[Column2]],Table12[[Column2]:[Column54]],21,FALSE),"0")</f>
        <v>0</v>
      </c>
      <c r="W122" s="65">
        <f>IFERROR(VLOOKUP(Table1215[[#This Row],[Column2]],Table12[[Column2]:[Column54]],22,FALSE),"0")</f>
        <v>0</v>
      </c>
      <c r="X122" s="67">
        <f>Table1215[[#This Row],[Column19]]</f>
        <v>0</v>
      </c>
      <c r="Y122" s="65">
        <f>IFERROR(VLOOKUP(Table1215[[#This Row],[Column2]],Table12[[Column2]:[Column54]],24,FALSE),"0")</f>
        <v>4</v>
      </c>
      <c r="Z122" s="65">
        <f>IFERROR(VLOOKUP(Table1215[[#This Row],[Column2]],Table12[[Column2]:[Column54]],25,FALSE),"0")</f>
        <v>0</v>
      </c>
      <c r="AA122" s="65">
        <f>IFERROR(VLOOKUP(Table1215[[#This Row],[Column2]],Table12[[Column2]:[Column54]],26,FALSE),"0")</f>
        <v>0</v>
      </c>
      <c r="AB122" s="65">
        <f>IFERROR(VLOOKUP(Table1215[[#This Row],[Column2]],Table12[[Column2]:[Column54]],27,FALSE),"0")</f>
        <v>0</v>
      </c>
      <c r="AC122" s="65">
        <f>IFERROR(VLOOKUP(Table1215[[#This Row],[Column2]],Table12[[Column2]:[Column54]],28,FALSE),"0")</f>
        <v>0</v>
      </c>
      <c r="AD122" s="67">
        <f>Table1215[[#This Row],[Column25]]</f>
        <v>4</v>
      </c>
      <c r="AE122" s="65">
        <f>IFERROR(VLOOKUP(Table1215[[#This Row],[Column2]],Table12[[Column2]:[Column54]],30,FALSE),"0")</f>
        <v>0</v>
      </c>
      <c r="AF122" s="65">
        <f>IFERROR(VLOOKUP(Table1215[[#This Row],[Column2]],Table12[[Column2]:[Column54]],31,FALSE),"0")</f>
        <v>0</v>
      </c>
      <c r="AG122" s="65">
        <f>IFERROR(VLOOKUP(Table1215[[#This Row],[Column2]],Table12[[Column2]:[Column54]],32,FALSE),"0")</f>
        <v>0</v>
      </c>
      <c r="AH122" s="65">
        <f>IFERROR(VLOOKUP(Table1215[[#This Row],[Column2]],Table12[[Column2]:[Column54]],33,FALSE),"0")</f>
        <v>0</v>
      </c>
      <c r="AI122" s="65">
        <f>IFERROR(VLOOKUP(Table1215[[#This Row],[Column2]],Table12[[Column2]:[Column54]],34,FALSE),"0")</f>
        <v>0</v>
      </c>
      <c r="AJ122" s="67">
        <f>AVERAGE(Table1215[[#This Row],[Column31]],Table1215[[#This Row],[Column32]],Table1215[[#This Row],[Column33]])</f>
        <v>0</v>
      </c>
      <c r="AK122" s="65">
        <f>IFERROR(VLOOKUP(Table1215[[#This Row],[Column2]],Table12[[Column2]:[Column54]],36,FALSE),"0")</f>
        <v>4</v>
      </c>
      <c r="AL122" s="65">
        <f>IFERROR(VLOOKUP(Table1215[[#This Row],[Column2]],Table12[[Column2]:[Column54]],37,FALSE),"0")</f>
        <v>3</v>
      </c>
      <c r="AM122" s="65">
        <f>IFERROR(VLOOKUP(Table1215[[#This Row],[Column2]],Table12[[Column2]:[Column54]],38,FALSE),"0")</f>
        <v>0</v>
      </c>
      <c r="AN122" s="65">
        <f>IFERROR(VLOOKUP(Table1215[[#This Row],[Column2]],Table12[[Column2]:[Column54]],39,FALSE),"0")</f>
        <v>4</v>
      </c>
      <c r="AO122" s="65">
        <f>IFERROR(VLOOKUP(Table1215[[#This Row],[Column2]],Table12[[Column2]:[Column54]],40,FALSE),"0")</f>
        <v>0</v>
      </c>
      <c r="AP122" s="67">
        <f>AVERAGE(Table1215[[#This Row],[Column37]],Table1215[[#This Row],[Column38]],Table1215[[#This Row],[Column40]])</f>
        <v>3.6666666666666665</v>
      </c>
      <c r="AQ122" s="65">
        <f>IFERROR(VLOOKUP(Table1215[[#This Row],[Column2]],Table12[[Column2]:[Column54]],42,FALSE),"0")</f>
        <v>4</v>
      </c>
      <c r="AR122" s="65">
        <f>IFERROR(VLOOKUP(Table1215[[#This Row],[Column2]],Table12[[Column2]:[Column54]],43,FALSE),"0")</f>
        <v>0</v>
      </c>
      <c r="AS122" s="65">
        <f>IFERROR(VLOOKUP(Table1215[[#This Row],[Column2]],Table12[[Column2]:[Column54]],44,FALSE),"0")</f>
        <v>0</v>
      </c>
      <c r="AT122" s="65">
        <f>IFERROR(VLOOKUP(Table1215[[#This Row],[Column2]],Table12[[Column2]:[Column54]],45,FALSE),"0")</f>
        <v>0</v>
      </c>
      <c r="AU122" s="65">
        <f>IFERROR(VLOOKUP(Table1215[[#This Row],[Column2]],Table12[[Column2]:[Column54]],46,FALSE),"0")</f>
        <v>0</v>
      </c>
      <c r="AV122" s="67">
        <f>Table1215[[#This Row],[Column43]]</f>
        <v>4</v>
      </c>
      <c r="AW122" s="65">
        <f>IFERROR(VLOOKUP(Table1215[[#This Row],[Column2]],Table12[[Column2]:[Column54]],48,FALSE),"0")</f>
        <v>0</v>
      </c>
      <c r="AX122" s="65">
        <f>IFERROR(VLOOKUP(Table1215[[#This Row],[Column2]],Table12[[Column2]:[Column54]],49,FALSE),"0")</f>
        <v>0</v>
      </c>
      <c r="AY122" s="65">
        <f>IFERROR(VLOOKUP(Table1215[[#This Row],[Column2]],Table12[[Column2]:[Column54]],50,FALSE),"0")</f>
        <v>0</v>
      </c>
      <c r="AZ122" s="65">
        <f>IFERROR(VLOOKUP(Table1215[[#This Row],[Column2]],Table12[[Column2]:[Column54]],51,FALSE),"0")</f>
        <v>5</v>
      </c>
      <c r="BA122" s="65">
        <f>IFERROR(VLOOKUP(Table1215[[#This Row],[Column2]],Table12[[Column2]:[Column54]],52,FALSE),"0")</f>
        <v>4</v>
      </c>
      <c r="BB122" s="67">
        <f>AVERAGE(Table1215[[#This Row],[Column52]],Table1215[[#This Row],[Column53]])</f>
        <v>4.5</v>
      </c>
    </row>
    <row r="123" spans="1:54" ht="23.1" customHeight="1" x14ac:dyDescent="0.3">
      <c r="A123" s="87">
        <v>120</v>
      </c>
      <c r="B123" s="70" t="s">
        <v>150</v>
      </c>
      <c r="C123" s="71" t="s">
        <v>151</v>
      </c>
      <c r="D123" s="70" t="s">
        <v>450</v>
      </c>
      <c r="E123" s="70" t="s">
        <v>35</v>
      </c>
      <c r="F123" s="70" t="str">
        <f>REPT(CHAR(160),10)&amp;Working!$E124</f>
        <v>          A</v>
      </c>
      <c r="G123" s="61">
        <f>IFERROR(VLOOKUP(Table1215[[#This Row],[Column2]],Table12[[Column2]:[Column54]],6,FALSE),"0")</f>
        <v>0</v>
      </c>
      <c r="H123" s="61">
        <f>IFERROR(VLOOKUP(Table1215[[#This Row],[Column2]],Table12[[Column2]:[Column54]],7,FALSE),"0")</f>
        <v>0</v>
      </c>
      <c r="I123" s="61">
        <f>IFERROR(VLOOKUP(Table1215[[#This Row],[Column2]],Table12[[Column2]:[Column54]],8,FALSE),"0")</f>
        <v>4</v>
      </c>
      <c r="J123" s="61">
        <f>IFERROR(VLOOKUP(Table1215[[#This Row],[Column2]],Table12[[Column2]:[Column54]],9,FALSE),"0")</f>
        <v>0</v>
      </c>
      <c r="K123" s="61">
        <f>IFERROR(VLOOKUP(Table1215[[#This Row],[Column2]],Table12[[Column2]:[Column54]],10,FALSE),"0")</f>
        <v>0</v>
      </c>
      <c r="L123" s="67">
        <f>Table1215[[#This Row],[Column9]]</f>
        <v>4</v>
      </c>
      <c r="M123" s="61">
        <f>IFERROR(VLOOKUP(Table1215[[#This Row],[Column2]],Table12[[Column2]:[Column54]],12,FALSE),"0")</f>
        <v>0</v>
      </c>
      <c r="N123" s="61">
        <f>IFERROR(VLOOKUP(Table1215[[#This Row],[Column2]],Table12[[Column2]:[Column54]],13,FALSE),"0")</f>
        <v>4</v>
      </c>
      <c r="O123" s="61">
        <f>IFERROR(VLOOKUP(Table1215[[#This Row],[Column2]],Table12[[Column2]:[Column54]],14,FALSE),"0")</f>
        <v>4</v>
      </c>
      <c r="P123" s="61">
        <f>IFERROR(VLOOKUP(Table1215[[#This Row],[Column2]],Table12[[Column2]:[Column54]],10,FALSE),"0")</f>
        <v>0</v>
      </c>
      <c r="Q123" s="61">
        <f>IFERROR(VLOOKUP(Table1215[[#This Row],[Column2]],Table12[[Column2]:[Column54]],16,FALSE),"0")</f>
        <v>4</v>
      </c>
      <c r="R123" s="67">
        <f>AVERAGE(Table1215[[#This Row],[Column14]],Table1215[[#This Row],[Column15]],Table1215[[#This Row],[Column17]])</f>
        <v>4</v>
      </c>
      <c r="S123" s="61">
        <f>IFERROR(VLOOKUP(Table1215[[#This Row],[Column2]],Table12[[Column2]:[Column54]],18,FALSE),"0")</f>
        <v>0</v>
      </c>
      <c r="T123" s="61">
        <f>IFERROR(VLOOKUP(Table1215[[#This Row],[Column2]],Table12[[Column2]:[Column54]],19,FALSE),"0")</f>
        <v>0</v>
      </c>
      <c r="U123" s="61">
        <f>IFERROR(VLOOKUP(Table1215[[#This Row],[Column2]],Table12[[Column2]:[Column54]],20,FALSE),"0")</f>
        <v>0</v>
      </c>
      <c r="V123" s="61">
        <f>IFERROR(VLOOKUP(Table1215[[#This Row],[Column2]],Table12[[Column2]:[Column54]],21,FALSE),"0")</f>
        <v>0</v>
      </c>
      <c r="W123" s="61">
        <f>IFERROR(VLOOKUP(Table1215[[#This Row],[Column2]],Table12[[Column2]:[Column54]],22,FALSE),"0")</f>
        <v>0</v>
      </c>
      <c r="X123" s="67">
        <f>Table1215[[#This Row],[Column19]]</f>
        <v>0</v>
      </c>
      <c r="Y123" s="61">
        <f>IFERROR(VLOOKUP(Table1215[[#This Row],[Column2]],Table12[[Column2]:[Column54]],24,FALSE),"0")</f>
        <v>4</v>
      </c>
      <c r="Z123" s="61">
        <f>IFERROR(VLOOKUP(Table1215[[#This Row],[Column2]],Table12[[Column2]:[Column54]],25,FALSE),"0")</f>
        <v>0</v>
      </c>
      <c r="AA123" s="61">
        <f>IFERROR(VLOOKUP(Table1215[[#This Row],[Column2]],Table12[[Column2]:[Column54]],26,FALSE),"0")</f>
        <v>0</v>
      </c>
      <c r="AB123" s="61">
        <f>IFERROR(VLOOKUP(Table1215[[#This Row],[Column2]],Table12[[Column2]:[Column54]],27,FALSE),"0")</f>
        <v>0</v>
      </c>
      <c r="AC123" s="61">
        <f>IFERROR(VLOOKUP(Table1215[[#This Row],[Column2]],Table12[[Column2]:[Column54]],28,FALSE),"0")</f>
        <v>0</v>
      </c>
      <c r="AD123" s="67">
        <f>Table1215[[#This Row],[Column25]]</f>
        <v>4</v>
      </c>
      <c r="AE123" s="61">
        <f>IFERROR(VLOOKUP(Table1215[[#This Row],[Column2]],Table12[[Column2]:[Column54]],30,FALSE),"0")</f>
        <v>0</v>
      </c>
      <c r="AF123" s="61">
        <f>IFERROR(VLOOKUP(Table1215[[#This Row],[Column2]],Table12[[Column2]:[Column54]],31,FALSE),"0")</f>
        <v>0</v>
      </c>
      <c r="AG123" s="61">
        <f>IFERROR(VLOOKUP(Table1215[[#This Row],[Column2]],Table12[[Column2]:[Column54]],32,FALSE),"0")</f>
        <v>0</v>
      </c>
      <c r="AH123" s="61">
        <f>IFERROR(VLOOKUP(Table1215[[#This Row],[Column2]],Table12[[Column2]:[Column54]],33,FALSE),"0")</f>
        <v>0</v>
      </c>
      <c r="AI123" s="61">
        <f>IFERROR(VLOOKUP(Table1215[[#This Row],[Column2]],Table12[[Column2]:[Column54]],34,FALSE),"0")</f>
        <v>0</v>
      </c>
      <c r="AJ123" s="67">
        <f>AVERAGE(Table1215[[#This Row],[Column31]],Table1215[[#This Row],[Column32]],Table1215[[#This Row],[Column33]])</f>
        <v>0</v>
      </c>
      <c r="AK123" s="61">
        <f>IFERROR(VLOOKUP(Table1215[[#This Row],[Column2]],Table12[[Column2]:[Column54]],36,FALSE),"0")</f>
        <v>4</v>
      </c>
      <c r="AL123" s="61">
        <f>IFERROR(VLOOKUP(Table1215[[#This Row],[Column2]],Table12[[Column2]:[Column54]],37,FALSE),"0")</f>
        <v>4</v>
      </c>
      <c r="AM123" s="61">
        <f>IFERROR(VLOOKUP(Table1215[[#This Row],[Column2]],Table12[[Column2]:[Column54]],38,FALSE),"0")</f>
        <v>0</v>
      </c>
      <c r="AN123" s="61">
        <f>IFERROR(VLOOKUP(Table1215[[#This Row],[Column2]],Table12[[Column2]:[Column54]],39,FALSE),"0")</f>
        <v>3</v>
      </c>
      <c r="AO123" s="61">
        <f>IFERROR(VLOOKUP(Table1215[[#This Row],[Column2]],Table12[[Column2]:[Column54]],40,FALSE),"0")</f>
        <v>0</v>
      </c>
      <c r="AP123" s="67">
        <f>AVERAGE(Table1215[[#This Row],[Column37]],Table1215[[#This Row],[Column38]],Table1215[[#This Row],[Column40]])</f>
        <v>3.6666666666666665</v>
      </c>
      <c r="AQ123" s="61">
        <f>IFERROR(VLOOKUP(Table1215[[#This Row],[Column2]],Table12[[Column2]:[Column54]],42,FALSE),"0")</f>
        <v>3</v>
      </c>
      <c r="AR123" s="61">
        <f>IFERROR(VLOOKUP(Table1215[[#This Row],[Column2]],Table12[[Column2]:[Column54]],43,FALSE),"0")</f>
        <v>0</v>
      </c>
      <c r="AS123" s="61">
        <f>IFERROR(VLOOKUP(Table1215[[#This Row],[Column2]],Table12[[Column2]:[Column54]],44,FALSE),"0")</f>
        <v>0</v>
      </c>
      <c r="AT123" s="61">
        <f>IFERROR(VLOOKUP(Table1215[[#This Row],[Column2]],Table12[[Column2]:[Column54]],45,FALSE),"0")</f>
        <v>0</v>
      </c>
      <c r="AU123" s="61">
        <f>IFERROR(VLOOKUP(Table1215[[#This Row],[Column2]],Table12[[Column2]:[Column54]],46,FALSE),"0")</f>
        <v>0</v>
      </c>
      <c r="AV123" s="67">
        <f>Table1215[[#This Row],[Column43]]</f>
        <v>3</v>
      </c>
      <c r="AW123" s="61">
        <f>IFERROR(VLOOKUP(Table1215[[#This Row],[Column2]],Table12[[Column2]:[Column54]],48,FALSE),"0")</f>
        <v>0</v>
      </c>
      <c r="AX123" s="61">
        <f>IFERROR(VLOOKUP(Table1215[[#This Row],[Column2]],Table12[[Column2]:[Column54]],49,FALSE),"0")</f>
        <v>0</v>
      </c>
      <c r="AY123" s="61">
        <f>IFERROR(VLOOKUP(Table1215[[#This Row],[Column2]],Table12[[Column2]:[Column54]],50,FALSE),"0")</f>
        <v>0</v>
      </c>
      <c r="AZ123" s="61">
        <f>IFERROR(VLOOKUP(Table1215[[#This Row],[Column2]],Table12[[Column2]:[Column54]],51,FALSE),"0")</f>
        <v>2</v>
      </c>
      <c r="BA123" s="61">
        <f>IFERROR(VLOOKUP(Table1215[[#This Row],[Column2]],Table12[[Column2]:[Column54]],52,FALSE),"0")</f>
        <v>5</v>
      </c>
      <c r="BB123" s="67">
        <f>AVERAGE(Table1215[[#This Row],[Column52]],Table1215[[#This Row],[Column53]])</f>
        <v>3.5</v>
      </c>
    </row>
    <row r="124" spans="1:54" ht="23.1" customHeight="1" x14ac:dyDescent="0.3">
      <c r="A124" s="86">
        <v>121</v>
      </c>
      <c r="B124" s="63" t="s">
        <v>360</v>
      </c>
      <c r="C124" s="64" t="s">
        <v>361</v>
      </c>
      <c r="D124" s="63" t="s">
        <v>450</v>
      </c>
      <c r="E124" s="63" t="s">
        <v>493</v>
      </c>
      <c r="F124" s="63" t="str">
        <f>REPT(CHAR(160),10)&amp;Working!$E125</f>
        <v>          C</v>
      </c>
      <c r="G124" s="65">
        <f>IFERROR(VLOOKUP(Table1215[[#This Row],[Column2]],Table12[[Column2]:[Column54]],6,FALSE),"0")</f>
        <v>0</v>
      </c>
      <c r="H124" s="65">
        <f>IFERROR(VLOOKUP(Table1215[[#This Row],[Column2]],Table12[[Column2]:[Column54]],7,FALSE),"0")</f>
        <v>0</v>
      </c>
      <c r="I124" s="65">
        <f>IFERROR(VLOOKUP(Table1215[[#This Row],[Column2]],Table12[[Column2]:[Column54]],8,FALSE),"0")</f>
        <v>1</v>
      </c>
      <c r="J124" s="65">
        <f>IFERROR(VLOOKUP(Table1215[[#This Row],[Column2]],Table12[[Column2]:[Column54]],9,FALSE),"0")</f>
        <v>0</v>
      </c>
      <c r="K124" s="65">
        <f>IFERROR(VLOOKUP(Table1215[[#This Row],[Column2]],Table12[[Column2]:[Column54]],10,FALSE),"0")</f>
        <v>0</v>
      </c>
      <c r="L124" s="67">
        <f>Table1215[[#This Row],[Column9]]</f>
        <v>1</v>
      </c>
      <c r="M124" s="65">
        <f>IFERROR(VLOOKUP(Table1215[[#This Row],[Column2]],Table12[[Column2]:[Column54]],12,FALSE),"0")</f>
        <v>0</v>
      </c>
      <c r="N124" s="65">
        <f>IFERROR(VLOOKUP(Table1215[[#This Row],[Column2]],Table12[[Column2]:[Column54]],13,FALSE),"0")</f>
        <v>3</v>
      </c>
      <c r="O124" s="65">
        <f>IFERROR(VLOOKUP(Table1215[[#This Row],[Column2]],Table12[[Column2]:[Column54]],14,FALSE),"0")</f>
        <v>1</v>
      </c>
      <c r="P124" s="65">
        <f>IFERROR(VLOOKUP(Table1215[[#This Row],[Column2]],Table12[[Column2]:[Column54]],10,FALSE),"0")</f>
        <v>0</v>
      </c>
      <c r="Q124" s="65">
        <f>IFERROR(VLOOKUP(Table1215[[#This Row],[Column2]],Table12[[Column2]:[Column54]],16,FALSE),"0")</f>
        <v>1</v>
      </c>
      <c r="R124" s="67">
        <f>AVERAGE(Table1215[[#This Row],[Column14]],Table1215[[#This Row],[Column15]],Table1215[[#This Row],[Column17]])</f>
        <v>1.6666666666666667</v>
      </c>
      <c r="S124" s="65">
        <f>IFERROR(VLOOKUP(Table1215[[#This Row],[Column2]],Table12[[Column2]:[Column54]],18,FALSE),"0")</f>
        <v>0</v>
      </c>
      <c r="T124" s="65">
        <f>IFERROR(VLOOKUP(Table1215[[#This Row],[Column2]],Table12[[Column2]:[Column54]],19,FALSE),"0")</f>
        <v>0</v>
      </c>
      <c r="U124" s="65">
        <f>IFERROR(VLOOKUP(Table1215[[#This Row],[Column2]],Table12[[Column2]:[Column54]],20,FALSE),"0")</f>
        <v>0</v>
      </c>
      <c r="V124" s="65">
        <f>IFERROR(VLOOKUP(Table1215[[#This Row],[Column2]],Table12[[Column2]:[Column54]],21,FALSE),"0")</f>
        <v>0</v>
      </c>
      <c r="W124" s="65">
        <f>IFERROR(VLOOKUP(Table1215[[#This Row],[Column2]],Table12[[Column2]:[Column54]],22,FALSE),"0")</f>
        <v>0</v>
      </c>
      <c r="X124" s="67">
        <f>Table1215[[#This Row],[Column19]]</f>
        <v>0</v>
      </c>
      <c r="Y124" s="65">
        <f>IFERROR(VLOOKUP(Table1215[[#This Row],[Column2]],Table12[[Column2]:[Column54]],24,FALSE),"0")</f>
        <v>2</v>
      </c>
      <c r="Z124" s="65">
        <f>IFERROR(VLOOKUP(Table1215[[#This Row],[Column2]],Table12[[Column2]:[Column54]],25,FALSE),"0")</f>
        <v>0</v>
      </c>
      <c r="AA124" s="65">
        <f>IFERROR(VLOOKUP(Table1215[[#This Row],[Column2]],Table12[[Column2]:[Column54]],26,FALSE),"0")</f>
        <v>0</v>
      </c>
      <c r="AB124" s="65">
        <f>IFERROR(VLOOKUP(Table1215[[#This Row],[Column2]],Table12[[Column2]:[Column54]],27,FALSE),"0")</f>
        <v>0</v>
      </c>
      <c r="AC124" s="65">
        <f>IFERROR(VLOOKUP(Table1215[[#This Row],[Column2]],Table12[[Column2]:[Column54]],28,FALSE),"0")</f>
        <v>0</v>
      </c>
      <c r="AD124" s="67">
        <f>Table1215[[#This Row],[Column25]]</f>
        <v>2</v>
      </c>
      <c r="AE124" s="65">
        <f>IFERROR(VLOOKUP(Table1215[[#This Row],[Column2]],Table12[[Column2]:[Column54]],30,FALSE),"0")</f>
        <v>0</v>
      </c>
      <c r="AF124" s="65">
        <f>IFERROR(VLOOKUP(Table1215[[#This Row],[Column2]],Table12[[Column2]:[Column54]],31,FALSE),"0")</f>
        <v>0</v>
      </c>
      <c r="AG124" s="65">
        <f>IFERROR(VLOOKUP(Table1215[[#This Row],[Column2]],Table12[[Column2]:[Column54]],32,FALSE),"0")</f>
        <v>0</v>
      </c>
      <c r="AH124" s="65">
        <f>IFERROR(VLOOKUP(Table1215[[#This Row],[Column2]],Table12[[Column2]:[Column54]],33,FALSE),"0")</f>
        <v>0</v>
      </c>
      <c r="AI124" s="65">
        <f>IFERROR(VLOOKUP(Table1215[[#This Row],[Column2]],Table12[[Column2]:[Column54]],34,FALSE),"0")</f>
        <v>0</v>
      </c>
      <c r="AJ124" s="67">
        <f>AVERAGE(Table1215[[#This Row],[Column31]],Table1215[[#This Row],[Column32]],Table1215[[#This Row],[Column33]])</f>
        <v>0</v>
      </c>
      <c r="AK124" s="65">
        <f>IFERROR(VLOOKUP(Table1215[[#This Row],[Column2]],Table12[[Column2]:[Column54]],36,FALSE),"0")</f>
        <v>1</v>
      </c>
      <c r="AL124" s="65">
        <f>IFERROR(VLOOKUP(Table1215[[#This Row],[Column2]],Table12[[Column2]:[Column54]],37,FALSE),"0")</f>
        <v>2</v>
      </c>
      <c r="AM124" s="65">
        <f>IFERROR(VLOOKUP(Table1215[[#This Row],[Column2]],Table12[[Column2]:[Column54]],38,FALSE),"0")</f>
        <v>0</v>
      </c>
      <c r="AN124" s="65">
        <f>IFERROR(VLOOKUP(Table1215[[#This Row],[Column2]],Table12[[Column2]:[Column54]],39,FALSE),"0")</f>
        <v>2</v>
      </c>
      <c r="AO124" s="65">
        <f>IFERROR(VLOOKUP(Table1215[[#This Row],[Column2]],Table12[[Column2]:[Column54]],40,FALSE),"0")</f>
        <v>0</v>
      </c>
      <c r="AP124" s="67">
        <f>AVERAGE(Table1215[[#This Row],[Column37]],Table1215[[#This Row],[Column38]],Table1215[[#This Row],[Column40]])</f>
        <v>1.6666666666666667</v>
      </c>
      <c r="AQ124" s="65">
        <f>IFERROR(VLOOKUP(Table1215[[#This Row],[Column2]],Table12[[Column2]:[Column54]],42,FALSE),"0")</f>
        <v>4</v>
      </c>
      <c r="AR124" s="65">
        <f>IFERROR(VLOOKUP(Table1215[[#This Row],[Column2]],Table12[[Column2]:[Column54]],43,FALSE),"0")</f>
        <v>0</v>
      </c>
      <c r="AS124" s="65">
        <f>IFERROR(VLOOKUP(Table1215[[#This Row],[Column2]],Table12[[Column2]:[Column54]],44,FALSE),"0")</f>
        <v>0</v>
      </c>
      <c r="AT124" s="65">
        <f>IFERROR(VLOOKUP(Table1215[[#This Row],[Column2]],Table12[[Column2]:[Column54]],45,FALSE),"0")</f>
        <v>0</v>
      </c>
      <c r="AU124" s="65">
        <f>IFERROR(VLOOKUP(Table1215[[#This Row],[Column2]],Table12[[Column2]:[Column54]],46,FALSE),"0")</f>
        <v>0</v>
      </c>
      <c r="AV124" s="67">
        <f>Table1215[[#This Row],[Column43]]</f>
        <v>4</v>
      </c>
      <c r="AW124" s="65">
        <f>IFERROR(VLOOKUP(Table1215[[#This Row],[Column2]],Table12[[Column2]:[Column54]],48,FALSE),"0")</f>
        <v>0</v>
      </c>
      <c r="AX124" s="65">
        <f>IFERROR(VLOOKUP(Table1215[[#This Row],[Column2]],Table12[[Column2]:[Column54]],49,FALSE),"0")</f>
        <v>0</v>
      </c>
      <c r="AY124" s="65">
        <f>IFERROR(VLOOKUP(Table1215[[#This Row],[Column2]],Table12[[Column2]:[Column54]],50,FALSE),"0")</f>
        <v>0</v>
      </c>
      <c r="AZ124" s="65">
        <f>IFERROR(VLOOKUP(Table1215[[#This Row],[Column2]],Table12[[Column2]:[Column54]],51,FALSE),"0")</f>
        <v>1</v>
      </c>
      <c r="BA124" s="65">
        <f>IFERROR(VLOOKUP(Table1215[[#This Row],[Column2]],Table12[[Column2]:[Column54]],52,FALSE),"0")</f>
        <v>3</v>
      </c>
      <c r="BB124" s="67">
        <f>AVERAGE(Table1215[[#This Row],[Column52]],Table1215[[#This Row],[Column53]])</f>
        <v>2</v>
      </c>
    </row>
    <row r="125" spans="1:54" ht="23.1" customHeight="1" x14ac:dyDescent="0.3">
      <c r="A125" s="87">
        <v>122</v>
      </c>
      <c r="B125" s="70" t="s">
        <v>362</v>
      </c>
      <c r="C125" s="71" t="s">
        <v>363</v>
      </c>
      <c r="D125" s="70" t="s">
        <v>450</v>
      </c>
      <c r="E125" s="70" t="s">
        <v>493</v>
      </c>
      <c r="F125" s="70" t="str">
        <f>REPT(CHAR(160),10)&amp;Working!$E126</f>
        <v>          C</v>
      </c>
      <c r="G125" s="61">
        <f>IFERROR(VLOOKUP(Table1215[[#This Row],[Column2]],Table12[[Column2]:[Column54]],6,FALSE),"0")</f>
        <v>0</v>
      </c>
      <c r="H125" s="61">
        <f>IFERROR(VLOOKUP(Table1215[[#This Row],[Column2]],Table12[[Column2]:[Column54]],7,FALSE),"0")</f>
        <v>0</v>
      </c>
      <c r="I125" s="61">
        <f>IFERROR(VLOOKUP(Table1215[[#This Row],[Column2]],Table12[[Column2]:[Column54]],8,FALSE),"0")</f>
        <v>2</v>
      </c>
      <c r="J125" s="61">
        <f>IFERROR(VLOOKUP(Table1215[[#This Row],[Column2]],Table12[[Column2]:[Column54]],9,FALSE),"0")</f>
        <v>0</v>
      </c>
      <c r="K125" s="61">
        <f>IFERROR(VLOOKUP(Table1215[[#This Row],[Column2]],Table12[[Column2]:[Column54]],10,FALSE),"0")</f>
        <v>0</v>
      </c>
      <c r="L125" s="67">
        <f>Table1215[[#This Row],[Column9]]</f>
        <v>2</v>
      </c>
      <c r="M125" s="61">
        <f>IFERROR(VLOOKUP(Table1215[[#This Row],[Column2]],Table12[[Column2]:[Column54]],12,FALSE),"0")</f>
        <v>0</v>
      </c>
      <c r="N125" s="61">
        <f>IFERROR(VLOOKUP(Table1215[[#This Row],[Column2]],Table12[[Column2]:[Column54]],13,FALSE),"0")</f>
        <v>4</v>
      </c>
      <c r="O125" s="61">
        <f>IFERROR(VLOOKUP(Table1215[[#This Row],[Column2]],Table12[[Column2]:[Column54]],14,FALSE),"0")</f>
        <v>3</v>
      </c>
      <c r="P125" s="61">
        <f>IFERROR(VLOOKUP(Table1215[[#This Row],[Column2]],Table12[[Column2]:[Column54]],10,FALSE),"0")</f>
        <v>0</v>
      </c>
      <c r="Q125" s="61">
        <f>IFERROR(VLOOKUP(Table1215[[#This Row],[Column2]],Table12[[Column2]:[Column54]],16,FALSE),"0")</f>
        <v>3</v>
      </c>
      <c r="R125" s="67">
        <f>AVERAGE(Table1215[[#This Row],[Column14]],Table1215[[#This Row],[Column15]],Table1215[[#This Row],[Column17]])</f>
        <v>3.3333333333333335</v>
      </c>
      <c r="S125" s="61">
        <f>IFERROR(VLOOKUP(Table1215[[#This Row],[Column2]],Table12[[Column2]:[Column54]],18,FALSE),"0")</f>
        <v>0</v>
      </c>
      <c r="T125" s="61">
        <f>IFERROR(VLOOKUP(Table1215[[#This Row],[Column2]],Table12[[Column2]:[Column54]],19,FALSE),"0")</f>
        <v>0</v>
      </c>
      <c r="U125" s="61">
        <f>IFERROR(VLOOKUP(Table1215[[#This Row],[Column2]],Table12[[Column2]:[Column54]],20,FALSE),"0")</f>
        <v>0</v>
      </c>
      <c r="V125" s="61">
        <f>IFERROR(VLOOKUP(Table1215[[#This Row],[Column2]],Table12[[Column2]:[Column54]],21,FALSE),"0")</f>
        <v>0</v>
      </c>
      <c r="W125" s="61">
        <f>IFERROR(VLOOKUP(Table1215[[#This Row],[Column2]],Table12[[Column2]:[Column54]],22,FALSE),"0")</f>
        <v>0</v>
      </c>
      <c r="X125" s="67">
        <f>Table1215[[#This Row],[Column19]]</f>
        <v>0</v>
      </c>
      <c r="Y125" s="61">
        <f>IFERROR(VLOOKUP(Table1215[[#This Row],[Column2]],Table12[[Column2]:[Column54]],24,FALSE),"0")</f>
        <v>4</v>
      </c>
      <c r="Z125" s="61">
        <f>IFERROR(VLOOKUP(Table1215[[#This Row],[Column2]],Table12[[Column2]:[Column54]],25,FALSE),"0")</f>
        <v>0</v>
      </c>
      <c r="AA125" s="61">
        <f>IFERROR(VLOOKUP(Table1215[[#This Row],[Column2]],Table12[[Column2]:[Column54]],26,FALSE),"0")</f>
        <v>0</v>
      </c>
      <c r="AB125" s="61">
        <f>IFERROR(VLOOKUP(Table1215[[#This Row],[Column2]],Table12[[Column2]:[Column54]],27,FALSE),"0")</f>
        <v>0</v>
      </c>
      <c r="AC125" s="61">
        <f>IFERROR(VLOOKUP(Table1215[[#This Row],[Column2]],Table12[[Column2]:[Column54]],28,FALSE),"0")</f>
        <v>0</v>
      </c>
      <c r="AD125" s="67">
        <f>Table1215[[#This Row],[Column25]]</f>
        <v>4</v>
      </c>
      <c r="AE125" s="61">
        <f>IFERROR(VLOOKUP(Table1215[[#This Row],[Column2]],Table12[[Column2]:[Column54]],30,FALSE),"0")</f>
        <v>0</v>
      </c>
      <c r="AF125" s="61">
        <f>IFERROR(VLOOKUP(Table1215[[#This Row],[Column2]],Table12[[Column2]:[Column54]],31,FALSE),"0")</f>
        <v>0</v>
      </c>
      <c r="AG125" s="61">
        <f>IFERROR(VLOOKUP(Table1215[[#This Row],[Column2]],Table12[[Column2]:[Column54]],32,FALSE),"0")</f>
        <v>0</v>
      </c>
      <c r="AH125" s="61">
        <f>IFERROR(VLOOKUP(Table1215[[#This Row],[Column2]],Table12[[Column2]:[Column54]],33,FALSE),"0")</f>
        <v>0</v>
      </c>
      <c r="AI125" s="61">
        <f>IFERROR(VLOOKUP(Table1215[[#This Row],[Column2]],Table12[[Column2]:[Column54]],34,FALSE),"0")</f>
        <v>0</v>
      </c>
      <c r="AJ125" s="67">
        <f>AVERAGE(Table1215[[#This Row],[Column31]],Table1215[[#This Row],[Column32]],Table1215[[#This Row],[Column33]])</f>
        <v>0</v>
      </c>
      <c r="AK125" s="61">
        <f>IFERROR(VLOOKUP(Table1215[[#This Row],[Column2]],Table12[[Column2]:[Column54]],36,FALSE),"0")</f>
        <v>3</v>
      </c>
      <c r="AL125" s="61">
        <f>IFERROR(VLOOKUP(Table1215[[#This Row],[Column2]],Table12[[Column2]:[Column54]],37,FALSE),"0")</f>
        <v>3</v>
      </c>
      <c r="AM125" s="61">
        <f>IFERROR(VLOOKUP(Table1215[[#This Row],[Column2]],Table12[[Column2]:[Column54]],38,FALSE),"0")</f>
        <v>0</v>
      </c>
      <c r="AN125" s="61">
        <f>IFERROR(VLOOKUP(Table1215[[#This Row],[Column2]],Table12[[Column2]:[Column54]],39,FALSE),"0")</f>
        <v>4</v>
      </c>
      <c r="AO125" s="61">
        <f>IFERROR(VLOOKUP(Table1215[[#This Row],[Column2]],Table12[[Column2]:[Column54]],40,FALSE),"0")</f>
        <v>0</v>
      </c>
      <c r="AP125" s="67">
        <f>AVERAGE(Table1215[[#This Row],[Column37]],Table1215[[#This Row],[Column38]],Table1215[[#This Row],[Column40]])</f>
        <v>3.3333333333333335</v>
      </c>
      <c r="AQ125" s="61">
        <f>IFERROR(VLOOKUP(Table1215[[#This Row],[Column2]],Table12[[Column2]:[Column54]],42,FALSE),"0")</f>
        <v>4</v>
      </c>
      <c r="AR125" s="61">
        <f>IFERROR(VLOOKUP(Table1215[[#This Row],[Column2]],Table12[[Column2]:[Column54]],43,FALSE),"0")</f>
        <v>0</v>
      </c>
      <c r="AS125" s="61">
        <f>IFERROR(VLOOKUP(Table1215[[#This Row],[Column2]],Table12[[Column2]:[Column54]],44,FALSE),"0")</f>
        <v>0</v>
      </c>
      <c r="AT125" s="61">
        <f>IFERROR(VLOOKUP(Table1215[[#This Row],[Column2]],Table12[[Column2]:[Column54]],45,FALSE),"0")</f>
        <v>0</v>
      </c>
      <c r="AU125" s="61">
        <f>IFERROR(VLOOKUP(Table1215[[#This Row],[Column2]],Table12[[Column2]:[Column54]],46,FALSE),"0")</f>
        <v>0</v>
      </c>
      <c r="AV125" s="67">
        <f>Table1215[[#This Row],[Column43]]</f>
        <v>4</v>
      </c>
      <c r="AW125" s="61">
        <f>IFERROR(VLOOKUP(Table1215[[#This Row],[Column2]],Table12[[Column2]:[Column54]],48,FALSE),"0")</f>
        <v>0</v>
      </c>
      <c r="AX125" s="61">
        <f>IFERROR(VLOOKUP(Table1215[[#This Row],[Column2]],Table12[[Column2]:[Column54]],49,FALSE),"0")</f>
        <v>0</v>
      </c>
      <c r="AY125" s="61">
        <f>IFERROR(VLOOKUP(Table1215[[#This Row],[Column2]],Table12[[Column2]:[Column54]],50,FALSE),"0")</f>
        <v>0</v>
      </c>
      <c r="AZ125" s="61">
        <f>IFERROR(VLOOKUP(Table1215[[#This Row],[Column2]],Table12[[Column2]:[Column54]],51,FALSE),"0")</f>
        <v>3</v>
      </c>
      <c r="BA125" s="61">
        <f>IFERROR(VLOOKUP(Table1215[[#This Row],[Column2]],Table12[[Column2]:[Column54]],52,FALSE),"0")</f>
        <v>2</v>
      </c>
      <c r="BB125" s="67">
        <f>AVERAGE(Table1215[[#This Row],[Column52]],Table1215[[#This Row],[Column53]])</f>
        <v>2.5</v>
      </c>
    </row>
    <row r="126" spans="1:54" ht="23.1" customHeight="1" x14ac:dyDescent="0.3">
      <c r="A126" s="86">
        <v>123</v>
      </c>
      <c r="B126" s="63" t="s">
        <v>364</v>
      </c>
      <c r="C126" s="64" t="s">
        <v>365</v>
      </c>
      <c r="D126" s="63" t="s">
        <v>450</v>
      </c>
      <c r="E126" s="63" t="s">
        <v>493</v>
      </c>
      <c r="F126" s="63" t="str">
        <f>REPT(CHAR(160),10)&amp;Working!$E127</f>
        <v>          C</v>
      </c>
      <c r="G126" s="65">
        <f>IFERROR(VLOOKUP(Table1215[[#This Row],[Column2]],Table12[[Column2]:[Column54]],6,FALSE),"0")</f>
        <v>0</v>
      </c>
      <c r="H126" s="65">
        <f>IFERROR(VLOOKUP(Table1215[[#This Row],[Column2]],Table12[[Column2]:[Column54]],7,FALSE),"0")</f>
        <v>0</v>
      </c>
      <c r="I126" s="65">
        <f>IFERROR(VLOOKUP(Table1215[[#This Row],[Column2]],Table12[[Column2]:[Column54]],8,FALSE),"0")</f>
        <v>4</v>
      </c>
      <c r="J126" s="65">
        <f>IFERROR(VLOOKUP(Table1215[[#This Row],[Column2]],Table12[[Column2]:[Column54]],9,FALSE),"0")</f>
        <v>0</v>
      </c>
      <c r="K126" s="65">
        <f>IFERROR(VLOOKUP(Table1215[[#This Row],[Column2]],Table12[[Column2]:[Column54]],10,FALSE),"0")</f>
        <v>0</v>
      </c>
      <c r="L126" s="67">
        <f>Table1215[[#This Row],[Column9]]</f>
        <v>4</v>
      </c>
      <c r="M126" s="65">
        <f>IFERROR(VLOOKUP(Table1215[[#This Row],[Column2]],Table12[[Column2]:[Column54]],12,FALSE),"0")</f>
        <v>0</v>
      </c>
      <c r="N126" s="65">
        <f>IFERROR(VLOOKUP(Table1215[[#This Row],[Column2]],Table12[[Column2]:[Column54]],13,FALSE),"0")</f>
        <v>3</v>
      </c>
      <c r="O126" s="65">
        <f>IFERROR(VLOOKUP(Table1215[[#This Row],[Column2]],Table12[[Column2]:[Column54]],14,FALSE),"0")</f>
        <v>4</v>
      </c>
      <c r="P126" s="65">
        <f>IFERROR(VLOOKUP(Table1215[[#This Row],[Column2]],Table12[[Column2]:[Column54]],10,FALSE),"0")</f>
        <v>0</v>
      </c>
      <c r="Q126" s="65">
        <f>IFERROR(VLOOKUP(Table1215[[#This Row],[Column2]],Table12[[Column2]:[Column54]],16,FALSE),"0")</f>
        <v>4</v>
      </c>
      <c r="R126" s="67">
        <f>AVERAGE(Table1215[[#This Row],[Column14]],Table1215[[#This Row],[Column15]],Table1215[[#This Row],[Column17]])</f>
        <v>3.6666666666666665</v>
      </c>
      <c r="S126" s="65">
        <f>IFERROR(VLOOKUP(Table1215[[#This Row],[Column2]],Table12[[Column2]:[Column54]],18,FALSE),"0")</f>
        <v>0</v>
      </c>
      <c r="T126" s="65">
        <f>IFERROR(VLOOKUP(Table1215[[#This Row],[Column2]],Table12[[Column2]:[Column54]],19,FALSE),"0")</f>
        <v>0</v>
      </c>
      <c r="U126" s="65">
        <f>IFERROR(VLOOKUP(Table1215[[#This Row],[Column2]],Table12[[Column2]:[Column54]],20,FALSE),"0")</f>
        <v>0</v>
      </c>
      <c r="V126" s="65">
        <f>IFERROR(VLOOKUP(Table1215[[#This Row],[Column2]],Table12[[Column2]:[Column54]],21,FALSE),"0")</f>
        <v>0</v>
      </c>
      <c r="W126" s="65">
        <f>IFERROR(VLOOKUP(Table1215[[#This Row],[Column2]],Table12[[Column2]:[Column54]],22,FALSE),"0")</f>
        <v>0</v>
      </c>
      <c r="X126" s="67">
        <f>Table1215[[#This Row],[Column19]]</f>
        <v>0</v>
      </c>
      <c r="Y126" s="65">
        <f>IFERROR(VLOOKUP(Table1215[[#This Row],[Column2]],Table12[[Column2]:[Column54]],24,FALSE),"0")</f>
        <v>4</v>
      </c>
      <c r="Z126" s="65">
        <f>IFERROR(VLOOKUP(Table1215[[#This Row],[Column2]],Table12[[Column2]:[Column54]],25,FALSE),"0")</f>
        <v>0</v>
      </c>
      <c r="AA126" s="65">
        <f>IFERROR(VLOOKUP(Table1215[[#This Row],[Column2]],Table12[[Column2]:[Column54]],26,FALSE),"0")</f>
        <v>0</v>
      </c>
      <c r="AB126" s="65">
        <f>IFERROR(VLOOKUP(Table1215[[#This Row],[Column2]],Table12[[Column2]:[Column54]],27,FALSE),"0")</f>
        <v>0</v>
      </c>
      <c r="AC126" s="65">
        <f>IFERROR(VLOOKUP(Table1215[[#This Row],[Column2]],Table12[[Column2]:[Column54]],28,FALSE),"0")</f>
        <v>0</v>
      </c>
      <c r="AD126" s="67">
        <f>Table1215[[#This Row],[Column25]]</f>
        <v>4</v>
      </c>
      <c r="AE126" s="65">
        <f>IFERROR(VLOOKUP(Table1215[[#This Row],[Column2]],Table12[[Column2]:[Column54]],30,FALSE),"0")</f>
        <v>0</v>
      </c>
      <c r="AF126" s="65">
        <f>IFERROR(VLOOKUP(Table1215[[#This Row],[Column2]],Table12[[Column2]:[Column54]],31,FALSE),"0")</f>
        <v>0</v>
      </c>
      <c r="AG126" s="65">
        <f>IFERROR(VLOOKUP(Table1215[[#This Row],[Column2]],Table12[[Column2]:[Column54]],32,FALSE),"0")</f>
        <v>0</v>
      </c>
      <c r="AH126" s="65">
        <f>IFERROR(VLOOKUP(Table1215[[#This Row],[Column2]],Table12[[Column2]:[Column54]],33,FALSE),"0")</f>
        <v>0</v>
      </c>
      <c r="AI126" s="65">
        <f>IFERROR(VLOOKUP(Table1215[[#This Row],[Column2]],Table12[[Column2]:[Column54]],34,FALSE),"0")</f>
        <v>0</v>
      </c>
      <c r="AJ126" s="67">
        <f>AVERAGE(Table1215[[#This Row],[Column31]],Table1215[[#This Row],[Column32]],Table1215[[#This Row],[Column33]])</f>
        <v>0</v>
      </c>
      <c r="AK126" s="65">
        <f>IFERROR(VLOOKUP(Table1215[[#This Row],[Column2]],Table12[[Column2]:[Column54]],36,FALSE),"0")</f>
        <v>4</v>
      </c>
      <c r="AL126" s="65">
        <f>IFERROR(VLOOKUP(Table1215[[#This Row],[Column2]],Table12[[Column2]:[Column54]],37,FALSE),"0")</f>
        <v>3</v>
      </c>
      <c r="AM126" s="65">
        <f>IFERROR(VLOOKUP(Table1215[[#This Row],[Column2]],Table12[[Column2]:[Column54]],38,FALSE),"0")</f>
        <v>0</v>
      </c>
      <c r="AN126" s="65">
        <f>IFERROR(VLOOKUP(Table1215[[#This Row],[Column2]],Table12[[Column2]:[Column54]],39,FALSE),"0")</f>
        <v>3</v>
      </c>
      <c r="AO126" s="65">
        <f>IFERROR(VLOOKUP(Table1215[[#This Row],[Column2]],Table12[[Column2]:[Column54]],40,FALSE),"0")</f>
        <v>0</v>
      </c>
      <c r="AP126" s="67">
        <f>AVERAGE(Table1215[[#This Row],[Column37]],Table1215[[#This Row],[Column38]],Table1215[[#This Row],[Column40]])</f>
        <v>3.3333333333333335</v>
      </c>
      <c r="AQ126" s="65">
        <f>IFERROR(VLOOKUP(Table1215[[#This Row],[Column2]],Table12[[Column2]:[Column54]],42,FALSE),"0")</f>
        <v>3</v>
      </c>
      <c r="AR126" s="65">
        <f>IFERROR(VLOOKUP(Table1215[[#This Row],[Column2]],Table12[[Column2]:[Column54]],43,FALSE),"0")</f>
        <v>0</v>
      </c>
      <c r="AS126" s="65">
        <f>IFERROR(VLOOKUP(Table1215[[#This Row],[Column2]],Table12[[Column2]:[Column54]],44,FALSE),"0")</f>
        <v>0</v>
      </c>
      <c r="AT126" s="65">
        <f>IFERROR(VLOOKUP(Table1215[[#This Row],[Column2]],Table12[[Column2]:[Column54]],45,FALSE),"0")</f>
        <v>0</v>
      </c>
      <c r="AU126" s="65">
        <f>IFERROR(VLOOKUP(Table1215[[#This Row],[Column2]],Table12[[Column2]:[Column54]],46,FALSE),"0")</f>
        <v>0</v>
      </c>
      <c r="AV126" s="67">
        <f>Table1215[[#This Row],[Column43]]</f>
        <v>3</v>
      </c>
      <c r="AW126" s="65">
        <f>IFERROR(VLOOKUP(Table1215[[#This Row],[Column2]],Table12[[Column2]:[Column54]],48,FALSE),"0")</f>
        <v>0</v>
      </c>
      <c r="AX126" s="65">
        <f>IFERROR(VLOOKUP(Table1215[[#This Row],[Column2]],Table12[[Column2]:[Column54]],49,FALSE),"0")</f>
        <v>0</v>
      </c>
      <c r="AY126" s="65">
        <f>IFERROR(VLOOKUP(Table1215[[#This Row],[Column2]],Table12[[Column2]:[Column54]],50,FALSE),"0")</f>
        <v>0</v>
      </c>
      <c r="AZ126" s="65">
        <f>IFERROR(VLOOKUP(Table1215[[#This Row],[Column2]],Table12[[Column2]:[Column54]],51,FALSE),"0")</f>
        <v>2</v>
      </c>
      <c r="BA126" s="65">
        <f>IFERROR(VLOOKUP(Table1215[[#This Row],[Column2]],Table12[[Column2]:[Column54]],52,FALSE),"0")</f>
        <v>4</v>
      </c>
      <c r="BB126" s="67">
        <f>AVERAGE(Table1215[[#This Row],[Column52]],Table1215[[#This Row],[Column53]])</f>
        <v>3</v>
      </c>
    </row>
    <row r="127" spans="1:54" ht="23.1" customHeight="1" x14ac:dyDescent="0.3">
      <c r="A127" s="87">
        <v>124</v>
      </c>
      <c r="B127" s="70" t="s">
        <v>54</v>
      </c>
      <c r="C127" s="71" t="s">
        <v>55</v>
      </c>
      <c r="D127" s="70" t="s">
        <v>450</v>
      </c>
      <c r="E127" s="70" t="s">
        <v>35</v>
      </c>
      <c r="F127" s="70" t="str">
        <f>REPT(CHAR(160),10)&amp;Working!$E128</f>
        <v>          A</v>
      </c>
      <c r="G127" s="61">
        <f>IFERROR(VLOOKUP(Table1215[[#This Row],[Column2]],Table12[[Column2]:[Column54]],6,FALSE),"0")</f>
        <v>0</v>
      </c>
      <c r="H127" s="61">
        <f>IFERROR(VLOOKUP(Table1215[[#This Row],[Column2]],Table12[[Column2]:[Column54]],7,FALSE),"0")</f>
        <v>0</v>
      </c>
      <c r="I127" s="61">
        <f>IFERROR(VLOOKUP(Table1215[[#This Row],[Column2]],Table12[[Column2]:[Column54]],8,FALSE),"0")</f>
        <v>5</v>
      </c>
      <c r="J127" s="61">
        <f>IFERROR(VLOOKUP(Table1215[[#This Row],[Column2]],Table12[[Column2]:[Column54]],9,FALSE),"0")</f>
        <v>0</v>
      </c>
      <c r="K127" s="61">
        <f>IFERROR(VLOOKUP(Table1215[[#This Row],[Column2]],Table12[[Column2]:[Column54]],10,FALSE),"0")</f>
        <v>0</v>
      </c>
      <c r="L127" s="67">
        <f>Table1215[[#This Row],[Column9]]</f>
        <v>5</v>
      </c>
      <c r="M127" s="61">
        <f>IFERROR(VLOOKUP(Table1215[[#This Row],[Column2]],Table12[[Column2]:[Column54]],12,FALSE),"0")</f>
        <v>0</v>
      </c>
      <c r="N127" s="61">
        <f>IFERROR(VLOOKUP(Table1215[[#This Row],[Column2]],Table12[[Column2]:[Column54]],13,FALSE),"0")</f>
        <v>5</v>
      </c>
      <c r="O127" s="61">
        <f>IFERROR(VLOOKUP(Table1215[[#This Row],[Column2]],Table12[[Column2]:[Column54]],14,FALSE),"0")</f>
        <v>5</v>
      </c>
      <c r="P127" s="61">
        <f>IFERROR(VLOOKUP(Table1215[[#This Row],[Column2]],Table12[[Column2]:[Column54]],10,FALSE),"0")</f>
        <v>0</v>
      </c>
      <c r="Q127" s="61">
        <f>IFERROR(VLOOKUP(Table1215[[#This Row],[Column2]],Table12[[Column2]:[Column54]],16,FALSE),"0")</f>
        <v>5</v>
      </c>
      <c r="R127" s="67">
        <f>AVERAGE(Table1215[[#This Row],[Column14]],Table1215[[#This Row],[Column15]],Table1215[[#This Row],[Column17]])</f>
        <v>5</v>
      </c>
      <c r="S127" s="61">
        <f>IFERROR(VLOOKUP(Table1215[[#This Row],[Column2]],Table12[[Column2]:[Column54]],18,FALSE),"0")</f>
        <v>0</v>
      </c>
      <c r="T127" s="61">
        <f>IFERROR(VLOOKUP(Table1215[[#This Row],[Column2]],Table12[[Column2]:[Column54]],19,FALSE),"0")</f>
        <v>0</v>
      </c>
      <c r="U127" s="61">
        <f>IFERROR(VLOOKUP(Table1215[[#This Row],[Column2]],Table12[[Column2]:[Column54]],20,FALSE),"0")</f>
        <v>0</v>
      </c>
      <c r="V127" s="61">
        <f>IFERROR(VLOOKUP(Table1215[[#This Row],[Column2]],Table12[[Column2]:[Column54]],21,FALSE),"0")</f>
        <v>0</v>
      </c>
      <c r="W127" s="61">
        <f>IFERROR(VLOOKUP(Table1215[[#This Row],[Column2]],Table12[[Column2]:[Column54]],22,FALSE),"0")</f>
        <v>0</v>
      </c>
      <c r="X127" s="67">
        <f>Table1215[[#This Row],[Column19]]</f>
        <v>0</v>
      </c>
      <c r="Y127" s="61">
        <f>IFERROR(VLOOKUP(Table1215[[#This Row],[Column2]],Table12[[Column2]:[Column54]],24,FALSE),"0")</f>
        <v>5</v>
      </c>
      <c r="Z127" s="61">
        <f>IFERROR(VLOOKUP(Table1215[[#This Row],[Column2]],Table12[[Column2]:[Column54]],25,FALSE),"0")</f>
        <v>0</v>
      </c>
      <c r="AA127" s="61">
        <f>IFERROR(VLOOKUP(Table1215[[#This Row],[Column2]],Table12[[Column2]:[Column54]],26,FALSE),"0")</f>
        <v>0</v>
      </c>
      <c r="AB127" s="61">
        <f>IFERROR(VLOOKUP(Table1215[[#This Row],[Column2]],Table12[[Column2]:[Column54]],27,FALSE),"0")</f>
        <v>0</v>
      </c>
      <c r="AC127" s="61">
        <f>IFERROR(VLOOKUP(Table1215[[#This Row],[Column2]],Table12[[Column2]:[Column54]],28,FALSE),"0")</f>
        <v>0</v>
      </c>
      <c r="AD127" s="67">
        <f>Table1215[[#This Row],[Column25]]</f>
        <v>5</v>
      </c>
      <c r="AE127" s="61">
        <f>IFERROR(VLOOKUP(Table1215[[#This Row],[Column2]],Table12[[Column2]:[Column54]],30,FALSE),"0")</f>
        <v>0</v>
      </c>
      <c r="AF127" s="61">
        <f>IFERROR(VLOOKUP(Table1215[[#This Row],[Column2]],Table12[[Column2]:[Column54]],31,FALSE),"0")</f>
        <v>0</v>
      </c>
      <c r="AG127" s="61">
        <f>IFERROR(VLOOKUP(Table1215[[#This Row],[Column2]],Table12[[Column2]:[Column54]],32,FALSE),"0")</f>
        <v>0</v>
      </c>
      <c r="AH127" s="61">
        <f>IFERROR(VLOOKUP(Table1215[[#This Row],[Column2]],Table12[[Column2]:[Column54]],33,FALSE),"0")</f>
        <v>0</v>
      </c>
      <c r="AI127" s="61">
        <f>IFERROR(VLOOKUP(Table1215[[#This Row],[Column2]],Table12[[Column2]:[Column54]],34,FALSE),"0")</f>
        <v>0</v>
      </c>
      <c r="AJ127" s="67">
        <f>AVERAGE(Table1215[[#This Row],[Column31]],Table1215[[#This Row],[Column32]],Table1215[[#This Row],[Column33]])</f>
        <v>0</v>
      </c>
      <c r="AK127" s="61">
        <f>IFERROR(VLOOKUP(Table1215[[#This Row],[Column2]],Table12[[Column2]:[Column54]],36,FALSE),"0")</f>
        <v>5</v>
      </c>
      <c r="AL127" s="61">
        <f>IFERROR(VLOOKUP(Table1215[[#This Row],[Column2]],Table12[[Column2]:[Column54]],37,FALSE),"0")</f>
        <v>4</v>
      </c>
      <c r="AM127" s="61">
        <f>IFERROR(VLOOKUP(Table1215[[#This Row],[Column2]],Table12[[Column2]:[Column54]],38,FALSE),"0")</f>
        <v>0</v>
      </c>
      <c r="AN127" s="61">
        <f>IFERROR(VLOOKUP(Table1215[[#This Row],[Column2]],Table12[[Column2]:[Column54]],39,FALSE),"0")</f>
        <v>5</v>
      </c>
      <c r="AO127" s="61">
        <f>IFERROR(VLOOKUP(Table1215[[#This Row],[Column2]],Table12[[Column2]:[Column54]],40,FALSE),"0")</f>
        <v>0</v>
      </c>
      <c r="AP127" s="67">
        <f>AVERAGE(Table1215[[#This Row],[Column37]],Table1215[[#This Row],[Column38]],Table1215[[#This Row],[Column40]])</f>
        <v>4.666666666666667</v>
      </c>
      <c r="AQ127" s="61">
        <f>IFERROR(VLOOKUP(Table1215[[#This Row],[Column2]],Table12[[Column2]:[Column54]],42,FALSE),"0")</f>
        <v>5</v>
      </c>
      <c r="AR127" s="61">
        <f>IFERROR(VLOOKUP(Table1215[[#This Row],[Column2]],Table12[[Column2]:[Column54]],43,FALSE),"0")</f>
        <v>0</v>
      </c>
      <c r="AS127" s="61">
        <f>IFERROR(VLOOKUP(Table1215[[#This Row],[Column2]],Table12[[Column2]:[Column54]],44,FALSE),"0")</f>
        <v>0</v>
      </c>
      <c r="AT127" s="61">
        <f>IFERROR(VLOOKUP(Table1215[[#This Row],[Column2]],Table12[[Column2]:[Column54]],45,FALSE),"0")</f>
        <v>0</v>
      </c>
      <c r="AU127" s="61">
        <f>IFERROR(VLOOKUP(Table1215[[#This Row],[Column2]],Table12[[Column2]:[Column54]],46,FALSE),"0")</f>
        <v>0</v>
      </c>
      <c r="AV127" s="67">
        <f>Table1215[[#This Row],[Column43]]</f>
        <v>5</v>
      </c>
      <c r="AW127" s="61">
        <f>IFERROR(VLOOKUP(Table1215[[#This Row],[Column2]],Table12[[Column2]:[Column54]],48,FALSE),"0")</f>
        <v>0</v>
      </c>
      <c r="AX127" s="61">
        <f>IFERROR(VLOOKUP(Table1215[[#This Row],[Column2]],Table12[[Column2]:[Column54]],49,FALSE),"0")</f>
        <v>0</v>
      </c>
      <c r="AY127" s="61">
        <f>IFERROR(VLOOKUP(Table1215[[#This Row],[Column2]],Table12[[Column2]:[Column54]],50,FALSE),"0")</f>
        <v>0</v>
      </c>
      <c r="AZ127" s="61">
        <f>IFERROR(VLOOKUP(Table1215[[#This Row],[Column2]],Table12[[Column2]:[Column54]],51,FALSE),"0")</f>
        <v>4</v>
      </c>
      <c r="BA127" s="61">
        <f>IFERROR(VLOOKUP(Table1215[[#This Row],[Column2]],Table12[[Column2]:[Column54]],52,FALSE),"0")</f>
        <v>5</v>
      </c>
      <c r="BB127" s="67">
        <f>AVERAGE(Table1215[[#This Row],[Column52]],Table1215[[#This Row],[Column53]])</f>
        <v>4.5</v>
      </c>
    </row>
    <row r="128" spans="1:54" ht="23.1" customHeight="1" x14ac:dyDescent="0.3">
      <c r="A128" s="86">
        <v>125</v>
      </c>
      <c r="B128" s="63" t="s">
        <v>219</v>
      </c>
      <c r="C128" s="64" t="s">
        <v>220</v>
      </c>
      <c r="D128" s="63" t="s">
        <v>542</v>
      </c>
      <c r="E128" s="63" t="s">
        <v>161</v>
      </c>
      <c r="F128" s="63" t="str">
        <f>REPT(CHAR(160),10)&amp;Working!$E129</f>
        <v>          B</v>
      </c>
      <c r="G128" s="65">
        <f>IFERROR(VLOOKUP(Table1215[[#This Row],[Column2]],Table12[[Column2]:[Column54]],6,FALSE),"0")</f>
        <v>0</v>
      </c>
      <c r="H128" s="65">
        <f>IFERROR(VLOOKUP(Table1215[[#This Row],[Column2]],Table12[[Column2]:[Column54]],7,FALSE),"0")</f>
        <v>0</v>
      </c>
      <c r="I128" s="65">
        <f>IFERROR(VLOOKUP(Table1215[[#This Row],[Column2]],Table12[[Column2]:[Column54]],8,FALSE),"0")</f>
        <v>5</v>
      </c>
      <c r="J128" s="65">
        <f>IFERROR(VLOOKUP(Table1215[[#This Row],[Column2]],Table12[[Column2]:[Column54]],9,FALSE),"0")</f>
        <v>0</v>
      </c>
      <c r="K128" s="65">
        <f>IFERROR(VLOOKUP(Table1215[[#This Row],[Column2]],Table12[[Column2]:[Column54]],10,FALSE),"0")</f>
        <v>0</v>
      </c>
      <c r="L128" s="67">
        <f>Table1215[[#This Row],[Column9]]</f>
        <v>5</v>
      </c>
      <c r="M128" s="65">
        <f>IFERROR(VLOOKUP(Table1215[[#This Row],[Column2]],Table12[[Column2]:[Column54]],12,FALSE),"0")</f>
        <v>0</v>
      </c>
      <c r="N128" s="65">
        <f>IFERROR(VLOOKUP(Table1215[[#This Row],[Column2]],Table12[[Column2]:[Column54]],13,FALSE),"0")</f>
        <v>5</v>
      </c>
      <c r="O128" s="65">
        <f>IFERROR(VLOOKUP(Table1215[[#This Row],[Column2]],Table12[[Column2]:[Column54]],14,FALSE),"0")</f>
        <v>5</v>
      </c>
      <c r="P128" s="65">
        <f>IFERROR(VLOOKUP(Table1215[[#This Row],[Column2]],Table12[[Column2]:[Column54]],10,FALSE),"0")</f>
        <v>0</v>
      </c>
      <c r="Q128" s="65">
        <f>IFERROR(VLOOKUP(Table1215[[#This Row],[Column2]],Table12[[Column2]:[Column54]],16,FALSE),"0")</f>
        <v>5</v>
      </c>
      <c r="R128" s="67">
        <f>AVERAGE(Table1215[[#This Row],[Column14]],Table1215[[#This Row],[Column15]],Table1215[[#This Row],[Column17]])</f>
        <v>5</v>
      </c>
      <c r="S128" s="65">
        <f>IFERROR(VLOOKUP(Table1215[[#This Row],[Column2]],Table12[[Column2]:[Column54]],18,FALSE),"0")</f>
        <v>0</v>
      </c>
      <c r="T128" s="65">
        <f>IFERROR(VLOOKUP(Table1215[[#This Row],[Column2]],Table12[[Column2]:[Column54]],19,FALSE),"0")</f>
        <v>0</v>
      </c>
      <c r="U128" s="65">
        <f>IFERROR(VLOOKUP(Table1215[[#This Row],[Column2]],Table12[[Column2]:[Column54]],20,FALSE),"0")</f>
        <v>0</v>
      </c>
      <c r="V128" s="65">
        <f>IFERROR(VLOOKUP(Table1215[[#This Row],[Column2]],Table12[[Column2]:[Column54]],21,FALSE),"0")</f>
        <v>0</v>
      </c>
      <c r="W128" s="65">
        <f>IFERROR(VLOOKUP(Table1215[[#This Row],[Column2]],Table12[[Column2]:[Column54]],22,FALSE),"0")</f>
        <v>0</v>
      </c>
      <c r="X128" s="67">
        <f>Table1215[[#This Row],[Column19]]</f>
        <v>0</v>
      </c>
      <c r="Y128" s="65">
        <f>IFERROR(VLOOKUP(Table1215[[#This Row],[Column2]],Table12[[Column2]:[Column54]],24,FALSE),"0")</f>
        <v>5</v>
      </c>
      <c r="Z128" s="65">
        <f>IFERROR(VLOOKUP(Table1215[[#This Row],[Column2]],Table12[[Column2]:[Column54]],25,FALSE),"0")</f>
        <v>0</v>
      </c>
      <c r="AA128" s="65">
        <f>IFERROR(VLOOKUP(Table1215[[#This Row],[Column2]],Table12[[Column2]:[Column54]],26,FALSE),"0")</f>
        <v>0</v>
      </c>
      <c r="AB128" s="65">
        <f>IFERROR(VLOOKUP(Table1215[[#This Row],[Column2]],Table12[[Column2]:[Column54]],27,FALSE),"0")</f>
        <v>0</v>
      </c>
      <c r="AC128" s="65">
        <f>IFERROR(VLOOKUP(Table1215[[#This Row],[Column2]],Table12[[Column2]:[Column54]],28,FALSE),"0")</f>
        <v>0</v>
      </c>
      <c r="AD128" s="67">
        <f>Table1215[[#This Row],[Column25]]</f>
        <v>5</v>
      </c>
      <c r="AE128" s="65">
        <f>IFERROR(VLOOKUP(Table1215[[#This Row],[Column2]],Table12[[Column2]:[Column54]],30,FALSE),"0")</f>
        <v>0</v>
      </c>
      <c r="AF128" s="65">
        <f>IFERROR(VLOOKUP(Table1215[[#This Row],[Column2]],Table12[[Column2]:[Column54]],31,FALSE),"0")</f>
        <v>0</v>
      </c>
      <c r="AG128" s="65">
        <f>IFERROR(VLOOKUP(Table1215[[#This Row],[Column2]],Table12[[Column2]:[Column54]],32,FALSE),"0")</f>
        <v>0</v>
      </c>
      <c r="AH128" s="65">
        <f>IFERROR(VLOOKUP(Table1215[[#This Row],[Column2]],Table12[[Column2]:[Column54]],33,FALSE),"0")</f>
        <v>0</v>
      </c>
      <c r="AI128" s="65">
        <f>IFERROR(VLOOKUP(Table1215[[#This Row],[Column2]],Table12[[Column2]:[Column54]],34,FALSE),"0")</f>
        <v>0</v>
      </c>
      <c r="AJ128" s="67">
        <f>AVERAGE(Table1215[[#This Row],[Column31]],Table1215[[#This Row],[Column32]],Table1215[[#This Row],[Column33]])</f>
        <v>0</v>
      </c>
      <c r="AK128" s="65">
        <f>IFERROR(VLOOKUP(Table1215[[#This Row],[Column2]],Table12[[Column2]:[Column54]],36,FALSE),"0")</f>
        <v>4</v>
      </c>
      <c r="AL128" s="65">
        <f>IFERROR(VLOOKUP(Table1215[[#This Row],[Column2]],Table12[[Column2]:[Column54]],37,FALSE),"0")</f>
        <v>3</v>
      </c>
      <c r="AM128" s="65">
        <f>IFERROR(VLOOKUP(Table1215[[#This Row],[Column2]],Table12[[Column2]:[Column54]],38,FALSE),"0")</f>
        <v>0</v>
      </c>
      <c r="AN128" s="65">
        <f>IFERROR(VLOOKUP(Table1215[[#This Row],[Column2]],Table12[[Column2]:[Column54]],39,FALSE),"0")</f>
        <v>5</v>
      </c>
      <c r="AO128" s="65">
        <f>IFERROR(VLOOKUP(Table1215[[#This Row],[Column2]],Table12[[Column2]:[Column54]],40,FALSE),"0")</f>
        <v>0</v>
      </c>
      <c r="AP128" s="67">
        <f>AVERAGE(Table1215[[#This Row],[Column37]],Table1215[[#This Row],[Column38]],Table1215[[#This Row],[Column40]])</f>
        <v>4</v>
      </c>
      <c r="AQ128" s="65">
        <f>IFERROR(VLOOKUP(Table1215[[#This Row],[Column2]],Table12[[Column2]:[Column54]],42,FALSE),"0")</f>
        <v>4</v>
      </c>
      <c r="AR128" s="65">
        <f>IFERROR(VLOOKUP(Table1215[[#This Row],[Column2]],Table12[[Column2]:[Column54]],43,FALSE),"0")</f>
        <v>0</v>
      </c>
      <c r="AS128" s="65">
        <f>IFERROR(VLOOKUP(Table1215[[#This Row],[Column2]],Table12[[Column2]:[Column54]],44,FALSE),"0")</f>
        <v>0</v>
      </c>
      <c r="AT128" s="65">
        <f>IFERROR(VLOOKUP(Table1215[[#This Row],[Column2]],Table12[[Column2]:[Column54]],45,FALSE),"0")</f>
        <v>0</v>
      </c>
      <c r="AU128" s="65">
        <f>IFERROR(VLOOKUP(Table1215[[#This Row],[Column2]],Table12[[Column2]:[Column54]],46,FALSE),"0")</f>
        <v>0</v>
      </c>
      <c r="AV128" s="67">
        <f>Table1215[[#This Row],[Column43]]</f>
        <v>4</v>
      </c>
      <c r="AW128" s="65">
        <f>IFERROR(VLOOKUP(Table1215[[#This Row],[Column2]],Table12[[Column2]:[Column54]],48,FALSE),"0")</f>
        <v>0</v>
      </c>
      <c r="AX128" s="65">
        <f>IFERROR(VLOOKUP(Table1215[[#This Row],[Column2]],Table12[[Column2]:[Column54]],49,FALSE),"0")</f>
        <v>0</v>
      </c>
      <c r="AY128" s="65">
        <f>IFERROR(VLOOKUP(Table1215[[#This Row],[Column2]],Table12[[Column2]:[Column54]],50,FALSE),"0")</f>
        <v>0</v>
      </c>
      <c r="AZ128" s="65">
        <f>IFERROR(VLOOKUP(Table1215[[#This Row],[Column2]],Table12[[Column2]:[Column54]],51,FALSE),"0")</f>
        <v>4</v>
      </c>
      <c r="BA128" s="65">
        <f>IFERROR(VLOOKUP(Table1215[[#This Row],[Column2]],Table12[[Column2]:[Column54]],52,FALSE),"0")</f>
        <v>5</v>
      </c>
      <c r="BB128" s="67">
        <f>AVERAGE(Table1215[[#This Row],[Column52]],Table1215[[#This Row],[Column53]])</f>
        <v>4.5</v>
      </c>
    </row>
    <row r="129" spans="1:54" ht="23.1" customHeight="1" x14ac:dyDescent="0.3">
      <c r="A129" s="87">
        <v>126</v>
      </c>
      <c r="B129" s="70" t="s">
        <v>237</v>
      </c>
      <c r="C129" s="71" t="s">
        <v>238</v>
      </c>
      <c r="D129" s="70" t="s">
        <v>542</v>
      </c>
      <c r="E129" s="70" t="s">
        <v>161</v>
      </c>
      <c r="F129" s="70" t="str">
        <f>REPT(CHAR(160),10)&amp;Working!$E130</f>
        <v>          B</v>
      </c>
      <c r="G129" s="61">
        <f>IFERROR(VLOOKUP(Table1215[[#This Row],[Column2]],Table12[[Column2]:[Column54]],6,FALSE),"0")</f>
        <v>0</v>
      </c>
      <c r="H129" s="61">
        <f>IFERROR(VLOOKUP(Table1215[[#This Row],[Column2]],Table12[[Column2]:[Column54]],7,FALSE),"0")</f>
        <v>0</v>
      </c>
      <c r="I129" s="61">
        <f>IFERROR(VLOOKUP(Table1215[[#This Row],[Column2]],Table12[[Column2]:[Column54]],8,FALSE),"0")</f>
        <v>3</v>
      </c>
      <c r="J129" s="61">
        <f>IFERROR(VLOOKUP(Table1215[[#This Row],[Column2]],Table12[[Column2]:[Column54]],9,FALSE),"0")</f>
        <v>0</v>
      </c>
      <c r="K129" s="61">
        <f>IFERROR(VLOOKUP(Table1215[[#This Row],[Column2]],Table12[[Column2]:[Column54]],10,FALSE),"0")</f>
        <v>0</v>
      </c>
      <c r="L129" s="67">
        <f>Table1215[[#This Row],[Column9]]</f>
        <v>3</v>
      </c>
      <c r="M129" s="61">
        <f>IFERROR(VLOOKUP(Table1215[[#This Row],[Column2]],Table12[[Column2]:[Column54]],12,FALSE),"0")</f>
        <v>0</v>
      </c>
      <c r="N129" s="61">
        <f>IFERROR(VLOOKUP(Table1215[[#This Row],[Column2]],Table12[[Column2]:[Column54]],13,FALSE),"0")</f>
        <v>3</v>
      </c>
      <c r="O129" s="61">
        <f>IFERROR(VLOOKUP(Table1215[[#This Row],[Column2]],Table12[[Column2]:[Column54]],14,FALSE),"0")</f>
        <v>2</v>
      </c>
      <c r="P129" s="61">
        <f>IFERROR(VLOOKUP(Table1215[[#This Row],[Column2]],Table12[[Column2]:[Column54]],10,FALSE),"0")</f>
        <v>0</v>
      </c>
      <c r="Q129" s="61">
        <f>IFERROR(VLOOKUP(Table1215[[#This Row],[Column2]],Table12[[Column2]:[Column54]],16,FALSE),"0")</f>
        <v>2</v>
      </c>
      <c r="R129" s="67">
        <f>AVERAGE(Table1215[[#This Row],[Column14]],Table1215[[#This Row],[Column15]],Table1215[[#This Row],[Column17]])</f>
        <v>2.3333333333333335</v>
      </c>
      <c r="S129" s="61">
        <f>IFERROR(VLOOKUP(Table1215[[#This Row],[Column2]],Table12[[Column2]:[Column54]],18,FALSE),"0")</f>
        <v>0</v>
      </c>
      <c r="T129" s="61">
        <f>IFERROR(VLOOKUP(Table1215[[#This Row],[Column2]],Table12[[Column2]:[Column54]],19,FALSE),"0")</f>
        <v>0</v>
      </c>
      <c r="U129" s="61">
        <f>IFERROR(VLOOKUP(Table1215[[#This Row],[Column2]],Table12[[Column2]:[Column54]],20,FALSE),"0")</f>
        <v>0</v>
      </c>
      <c r="V129" s="61">
        <f>IFERROR(VLOOKUP(Table1215[[#This Row],[Column2]],Table12[[Column2]:[Column54]],21,FALSE),"0")</f>
        <v>0</v>
      </c>
      <c r="W129" s="61">
        <f>IFERROR(VLOOKUP(Table1215[[#This Row],[Column2]],Table12[[Column2]:[Column54]],22,FALSE),"0")</f>
        <v>0</v>
      </c>
      <c r="X129" s="67">
        <f>Table1215[[#This Row],[Column19]]</f>
        <v>0</v>
      </c>
      <c r="Y129" s="61">
        <f>IFERROR(VLOOKUP(Table1215[[#This Row],[Column2]],Table12[[Column2]:[Column54]],24,FALSE),"0")</f>
        <v>2</v>
      </c>
      <c r="Z129" s="61">
        <f>IFERROR(VLOOKUP(Table1215[[#This Row],[Column2]],Table12[[Column2]:[Column54]],25,FALSE),"0")</f>
        <v>0</v>
      </c>
      <c r="AA129" s="61">
        <f>IFERROR(VLOOKUP(Table1215[[#This Row],[Column2]],Table12[[Column2]:[Column54]],26,FALSE),"0")</f>
        <v>0</v>
      </c>
      <c r="AB129" s="61">
        <f>IFERROR(VLOOKUP(Table1215[[#This Row],[Column2]],Table12[[Column2]:[Column54]],27,FALSE),"0")</f>
        <v>0</v>
      </c>
      <c r="AC129" s="61">
        <f>IFERROR(VLOOKUP(Table1215[[#This Row],[Column2]],Table12[[Column2]:[Column54]],28,FALSE),"0")</f>
        <v>0</v>
      </c>
      <c r="AD129" s="67">
        <f>Table1215[[#This Row],[Column25]]</f>
        <v>2</v>
      </c>
      <c r="AE129" s="61">
        <f>IFERROR(VLOOKUP(Table1215[[#This Row],[Column2]],Table12[[Column2]:[Column54]],30,FALSE),"0")</f>
        <v>0</v>
      </c>
      <c r="AF129" s="61">
        <f>IFERROR(VLOOKUP(Table1215[[#This Row],[Column2]],Table12[[Column2]:[Column54]],31,FALSE),"0")</f>
        <v>0</v>
      </c>
      <c r="AG129" s="61">
        <f>IFERROR(VLOOKUP(Table1215[[#This Row],[Column2]],Table12[[Column2]:[Column54]],32,FALSE),"0")</f>
        <v>0</v>
      </c>
      <c r="AH129" s="61">
        <f>IFERROR(VLOOKUP(Table1215[[#This Row],[Column2]],Table12[[Column2]:[Column54]],33,FALSE),"0")</f>
        <v>0</v>
      </c>
      <c r="AI129" s="61">
        <f>IFERROR(VLOOKUP(Table1215[[#This Row],[Column2]],Table12[[Column2]:[Column54]],34,FALSE),"0")</f>
        <v>0</v>
      </c>
      <c r="AJ129" s="67">
        <f>AVERAGE(Table1215[[#This Row],[Column31]],Table1215[[#This Row],[Column32]],Table1215[[#This Row],[Column33]])</f>
        <v>0</v>
      </c>
      <c r="AK129" s="61">
        <f>IFERROR(VLOOKUP(Table1215[[#This Row],[Column2]],Table12[[Column2]:[Column54]],36,FALSE),"0")</f>
        <v>2</v>
      </c>
      <c r="AL129" s="61">
        <f>IFERROR(VLOOKUP(Table1215[[#This Row],[Column2]],Table12[[Column2]:[Column54]],37,FALSE),"0")</f>
        <v>3</v>
      </c>
      <c r="AM129" s="61">
        <f>IFERROR(VLOOKUP(Table1215[[#This Row],[Column2]],Table12[[Column2]:[Column54]],38,FALSE),"0")</f>
        <v>0</v>
      </c>
      <c r="AN129" s="61">
        <f>IFERROR(VLOOKUP(Table1215[[#This Row],[Column2]],Table12[[Column2]:[Column54]],39,FALSE),"0")</f>
        <v>2</v>
      </c>
      <c r="AO129" s="61">
        <f>IFERROR(VLOOKUP(Table1215[[#This Row],[Column2]],Table12[[Column2]:[Column54]],40,FALSE),"0")</f>
        <v>0</v>
      </c>
      <c r="AP129" s="67">
        <f>AVERAGE(Table1215[[#This Row],[Column37]],Table1215[[#This Row],[Column38]],Table1215[[#This Row],[Column40]])</f>
        <v>2.3333333333333335</v>
      </c>
      <c r="AQ129" s="61">
        <f>IFERROR(VLOOKUP(Table1215[[#This Row],[Column2]],Table12[[Column2]:[Column54]],42,FALSE),"0")</f>
        <v>3</v>
      </c>
      <c r="AR129" s="61">
        <f>IFERROR(VLOOKUP(Table1215[[#This Row],[Column2]],Table12[[Column2]:[Column54]],43,FALSE),"0")</f>
        <v>0</v>
      </c>
      <c r="AS129" s="61">
        <f>IFERROR(VLOOKUP(Table1215[[#This Row],[Column2]],Table12[[Column2]:[Column54]],44,FALSE),"0")</f>
        <v>0</v>
      </c>
      <c r="AT129" s="61">
        <f>IFERROR(VLOOKUP(Table1215[[#This Row],[Column2]],Table12[[Column2]:[Column54]],45,FALSE),"0")</f>
        <v>0</v>
      </c>
      <c r="AU129" s="61">
        <f>IFERROR(VLOOKUP(Table1215[[#This Row],[Column2]],Table12[[Column2]:[Column54]],46,FALSE),"0")</f>
        <v>0</v>
      </c>
      <c r="AV129" s="67">
        <f>Table1215[[#This Row],[Column43]]</f>
        <v>3</v>
      </c>
      <c r="AW129" s="61">
        <f>IFERROR(VLOOKUP(Table1215[[#This Row],[Column2]],Table12[[Column2]:[Column54]],48,FALSE),"0")</f>
        <v>0</v>
      </c>
      <c r="AX129" s="61">
        <f>IFERROR(VLOOKUP(Table1215[[#This Row],[Column2]],Table12[[Column2]:[Column54]],49,FALSE),"0")</f>
        <v>0</v>
      </c>
      <c r="AY129" s="61">
        <f>IFERROR(VLOOKUP(Table1215[[#This Row],[Column2]],Table12[[Column2]:[Column54]],50,FALSE),"0")</f>
        <v>0</v>
      </c>
      <c r="AZ129" s="61">
        <f>IFERROR(VLOOKUP(Table1215[[#This Row],[Column2]],Table12[[Column2]:[Column54]],51,FALSE),"0")</f>
        <v>2</v>
      </c>
      <c r="BA129" s="61">
        <f>IFERROR(VLOOKUP(Table1215[[#This Row],[Column2]],Table12[[Column2]:[Column54]],52,FALSE),"0")</f>
        <v>3</v>
      </c>
      <c r="BB129" s="67">
        <f>AVERAGE(Table1215[[#This Row],[Column52]],Table1215[[#This Row],[Column53]])</f>
        <v>2.5</v>
      </c>
    </row>
    <row r="130" spans="1:54" ht="23.1" customHeight="1" x14ac:dyDescent="0.3">
      <c r="A130" s="86">
        <v>127</v>
      </c>
      <c r="B130" s="63" t="s">
        <v>366</v>
      </c>
      <c r="C130" s="64" t="s">
        <v>367</v>
      </c>
      <c r="D130" s="63" t="s">
        <v>542</v>
      </c>
      <c r="E130" s="63" t="s">
        <v>493</v>
      </c>
      <c r="F130" s="63" t="str">
        <f>REPT(CHAR(160),10)&amp;Working!$E131</f>
        <v>          C</v>
      </c>
      <c r="G130" s="65">
        <f>IFERROR(VLOOKUP(Table1215[[#This Row],[Column2]],Table12[[Column2]:[Column54]],6,FALSE),"0")</f>
        <v>0</v>
      </c>
      <c r="H130" s="65">
        <f>IFERROR(VLOOKUP(Table1215[[#This Row],[Column2]],Table12[[Column2]:[Column54]],7,FALSE),"0")</f>
        <v>0</v>
      </c>
      <c r="I130" s="65">
        <f>IFERROR(VLOOKUP(Table1215[[#This Row],[Column2]],Table12[[Column2]:[Column54]],8,FALSE),"0")</f>
        <v>5</v>
      </c>
      <c r="J130" s="65">
        <f>IFERROR(VLOOKUP(Table1215[[#This Row],[Column2]],Table12[[Column2]:[Column54]],9,FALSE),"0")</f>
        <v>0</v>
      </c>
      <c r="K130" s="65">
        <f>IFERROR(VLOOKUP(Table1215[[#This Row],[Column2]],Table12[[Column2]:[Column54]],10,FALSE),"0")</f>
        <v>0</v>
      </c>
      <c r="L130" s="67">
        <f>Table1215[[#This Row],[Column9]]</f>
        <v>5</v>
      </c>
      <c r="M130" s="65">
        <f>IFERROR(VLOOKUP(Table1215[[#This Row],[Column2]],Table12[[Column2]:[Column54]],12,FALSE),"0")</f>
        <v>0</v>
      </c>
      <c r="N130" s="65">
        <f>IFERROR(VLOOKUP(Table1215[[#This Row],[Column2]],Table12[[Column2]:[Column54]],13,FALSE),"0")</f>
        <v>4</v>
      </c>
      <c r="O130" s="65">
        <f>IFERROR(VLOOKUP(Table1215[[#This Row],[Column2]],Table12[[Column2]:[Column54]],14,FALSE),"0")</f>
        <v>4</v>
      </c>
      <c r="P130" s="65">
        <f>IFERROR(VLOOKUP(Table1215[[#This Row],[Column2]],Table12[[Column2]:[Column54]],10,FALSE),"0")</f>
        <v>0</v>
      </c>
      <c r="Q130" s="65">
        <f>IFERROR(VLOOKUP(Table1215[[#This Row],[Column2]],Table12[[Column2]:[Column54]],16,FALSE),"0")</f>
        <v>4</v>
      </c>
      <c r="R130" s="67">
        <f>AVERAGE(Table1215[[#This Row],[Column14]],Table1215[[#This Row],[Column15]],Table1215[[#This Row],[Column17]])</f>
        <v>4</v>
      </c>
      <c r="S130" s="65">
        <f>IFERROR(VLOOKUP(Table1215[[#This Row],[Column2]],Table12[[Column2]:[Column54]],18,FALSE),"0")</f>
        <v>0</v>
      </c>
      <c r="T130" s="65">
        <f>IFERROR(VLOOKUP(Table1215[[#This Row],[Column2]],Table12[[Column2]:[Column54]],19,FALSE),"0")</f>
        <v>0</v>
      </c>
      <c r="U130" s="65">
        <f>IFERROR(VLOOKUP(Table1215[[#This Row],[Column2]],Table12[[Column2]:[Column54]],20,FALSE),"0")</f>
        <v>0</v>
      </c>
      <c r="V130" s="65">
        <f>IFERROR(VLOOKUP(Table1215[[#This Row],[Column2]],Table12[[Column2]:[Column54]],21,FALSE),"0")</f>
        <v>0</v>
      </c>
      <c r="W130" s="65">
        <f>IFERROR(VLOOKUP(Table1215[[#This Row],[Column2]],Table12[[Column2]:[Column54]],22,FALSE),"0")</f>
        <v>0</v>
      </c>
      <c r="X130" s="67">
        <f>Table1215[[#This Row],[Column19]]</f>
        <v>0</v>
      </c>
      <c r="Y130" s="65">
        <f>IFERROR(VLOOKUP(Table1215[[#This Row],[Column2]],Table12[[Column2]:[Column54]],24,FALSE),"0")</f>
        <v>4</v>
      </c>
      <c r="Z130" s="65">
        <f>IFERROR(VLOOKUP(Table1215[[#This Row],[Column2]],Table12[[Column2]:[Column54]],25,FALSE),"0")</f>
        <v>0</v>
      </c>
      <c r="AA130" s="65">
        <f>IFERROR(VLOOKUP(Table1215[[#This Row],[Column2]],Table12[[Column2]:[Column54]],26,FALSE),"0")</f>
        <v>0</v>
      </c>
      <c r="AB130" s="65">
        <f>IFERROR(VLOOKUP(Table1215[[#This Row],[Column2]],Table12[[Column2]:[Column54]],27,FALSE),"0")</f>
        <v>0</v>
      </c>
      <c r="AC130" s="65">
        <f>IFERROR(VLOOKUP(Table1215[[#This Row],[Column2]],Table12[[Column2]:[Column54]],28,FALSE),"0")</f>
        <v>0</v>
      </c>
      <c r="AD130" s="67">
        <f>Table1215[[#This Row],[Column25]]</f>
        <v>4</v>
      </c>
      <c r="AE130" s="65">
        <f>IFERROR(VLOOKUP(Table1215[[#This Row],[Column2]],Table12[[Column2]:[Column54]],30,FALSE),"0")</f>
        <v>0</v>
      </c>
      <c r="AF130" s="65">
        <f>IFERROR(VLOOKUP(Table1215[[#This Row],[Column2]],Table12[[Column2]:[Column54]],31,FALSE),"0")</f>
        <v>0</v>
      </c>
      <c r="AG130" s="65">
        <f>IFERROR(VLOOKUP(Table1215[[#This Row],[Column2]],Table12[[Column2]:[Column54]],32,FALSE),"0")</f>
        <v>0</v>
      </c>
      <c r="AH130" s="65">
        <f>IFERROR(VLOOKUP(Table1215[[#This Row],[Column2]],Table12[[Column2]:[Column54]],33,FALSE),"0")</f>
        <v>0</v>
      </c>
      <c r="AI130" s="65">
        <f>IFERROR(VLOOKUP(Table1215[[#This Row],[Column2]],Table12[[Column2]:[Column54]],34,FALSE),"0")</f>
        <v>0</v>
      </c>
      <c r="AJ130" s="67">
        <f>AVERAGE(Table1215[[#This Row],[Column31]],Table1215[[#This Row],[Column32]],Table1215[[#This Row],[Column33]])</f>
        <v>0</v>
      </c>
      <c r="AK130" s="65">
        <f>IFERROR(VLOOKUP(Table1215[[#This Row],[Column2]],Table12[[Column2]:[Column54]],36,FALSE),"0")</f>
        <v>4</v>
      </c>
      <c r="AL130" s="65">
        <f>IFERROR(VLOOKUP(Table1215[[#This Row],[Column2]],Table12[[Column2]:[Column54]],37,FALSE),"0")</f>
        <v>4</v>
      </c>
      <c r="AM130" s="65">
        <f>IFERROR(VLOOKUP(Table1215[[#This Row],[Column2]],Table12[[Column2]:[Column54]],38,FALSE),"0")</f>
        <v>0</v>
      </c>
      <c r="AN130" s="65">
        <f>IFERROR(VLOOKUP(Table1215[[#This Row],[Column2]],Table12[[Column2]:[Column54]],39,FALSE),"0")</f>
        <v>4</v>
      </c>
      <c r="AO130" s="65">
        <f>IFERROR(VLOOKUP(Table1215[[#This Row],[Column2]],Table12[[Column2]:[Column54]],40,FALSE),"0")</f>
        <v>0</v>
      </c>
      <c r="AP130" s="67">
        <f>AVERAGE(Table1215[[#This Row],[Column37]],Table1215[[#This Row],[Column38]],Table1215[[#This Row],[Column40]])</f>
        <v>4</v>
      </c>
      <c r="AQ130" s="65">
        <f>IFERROR(VLOOKUP(Table1215[[#This Row],[Column2]],Table12[[Column2]:[Column54]],42,FALSE),"0")</f>
        <v>5</v>
      </c>
      <c r="AR130" s="65">
        <f>IFERROR(VLOOKUP(Table1215[[#This Row],[Column2]],Table12[[Column2]:[Column54]],43,FALSE),"0")</f>
        <v>0</v>
      </c>
      <c r="AS130" s="65">
        <f>IFERROR(VLOOKUP(Table1215[[#This Row],[Column2]],Table12[[Column2]:[Column54]],44,FALSE),"0")</f>
        <v>0</v>
      </c>
      <c r="AT130" s="65">
        <f>IFERROR(VLOOKUP(Table1215[[#This Row],[Column2]],Table12[[Column2]:[Column54]],45,FALSE),"0")</f>
        <v>0</v>
      </c>
      <c r="AU130" s="65">
        <f>IFERROR(VLOOKUP(Table1215[[#This Row],[Column2]],Table12[[Column2]:[Column54]],46,FALSE),"0")</f>
        <v>0</v>
      </c>
      <c r="AV130" s="67">
        <f>Table1215[[#This Row],[Column43]]</f>
        <v>5</v>
      </c>
      <c r="AW130" s="65">
        <f>IFERROR(VLOOKUP(Table1215[[#This Row],[Column2]],Table12[[Column2]:[Column54]],48,FALSE),"0")</f>
        <v>0</v>
      </c>
      <c r="AX130" s="65">
        <f>IFERROR(VLOOKUP(Table1215[[#This Row],[Column2]],Table12[[Column2]:[Column54]],49,FALSE),"0")</f>
        <v>0</v>
      </c>
      <c r="AY130" s="65">
        <f>IFERROR(VLOOKUP(Table1215[[#This Row],[Column2]],Table12[[Column2]:[Column54]],50,FALSE),"0")</f>
        <v>0</v>
      </c>
      <c r="AZ130" s="65">
        <f>IFERROR(VLOOKUP(Table1215[[#This Row],[Column2]],Table12[[Column2]:[Column54]],51,FALSE),"0")</f>
        <v>3</v>
      </c>
      <c r="BA130" s="65">
        <f>IFERROR(VLOOKUP(Table1215[[#This Row],[Column2]],Table12[[Column2]:[Column54]],52,FALSE),"0")</f>
        <v>4</v>
      </c>
      <c r="BB130" s="67">
        <f>AVERAGE(Table1215[[#This Row],[Column52]],Table1215[[#This Row],[Column53]])</f>
        <v>3.5</v>
      </c>
    </row>
    <row r="131" spans="1:54" ht="23.1" customHeight="1" x14ac:dyDescent="0.3">
      <c r="A131" s="87">
        <v>128</v>
      </c>
      <c r="B131" s="70" t="s">
        <v>368</v>
      </c>
      <c r="C131" s="71" t="s">
        <v>369</v>
      </c>
      <c r="D131" s="70" t="s">
        <v>450</v>
      </c>
      <c r="E131" s="70" t="s">
        <v>493</v>
      </c>
      <c r="F131" s="70" t="str">
        <f>REPT(CHAR(160),10)&amp;Working!$E132</f>
        <v>          C</v>
      </c>
      <c r="G131" s="61">
        <f>IFERROR(VLOOKUP(Table1215[[#This Row],[Column2]],Table12[[Column2]:[Column54]],6,FALSE),"0")</f>
        <v>0</v>
      </c>
      <c r="H131" s="61">
        <f>IFERROR(VLOOKUP(Table1215[[#This Row],[Column2]],Table12[[Column2]:[Column54]],7,FALSE),"0")</f>
        <v>0</v>
      </c>
      <c r="I131" s="61">
        <f>IFERROR(VLOOKUP(Table1215[[#This Row],[Column2]],Table12[[Column2]:[Column54]],8,FALSE),"0")</f>
        <v>0</v>
      </c>
      <c r="J131" s="61">
        <f>IFERROR(VLOOKUP(Table1215[[#This Row],[Column2]],Table12[[Column2]:[Column54]],9,FALSE),"0")</f>
        <v>0</v>
      </c>
      <c r="K131" s="61">
        <f>IFERROR(VLOOKUP(Table1215[[#This Row],[Column2]],Table12[[Column2]:[Column54]],10,FALSE),"0")</f>
        <v>0</v>
      </c>
      <c r="L131" s="67">
        <f>Table1215[[#This Row],[Column9]]</f>
        <v>0</v>
      </c>
      <c r="M131" s="61">
        <f>IFERROR(VLOOKUP(Table1215[[#This Row],[Column2]],Table12[[Column2]:[Column54]],12,FALSE),"0")</f>
        <v>0</v>
      </c>
      <c r="N131" s="61">
        <f>IFERROR(VLOOKUP(Table1215[[#This Row],[Column2]],Table12[[Column2]:[Column54]],13,FALSE),"0")</f>
        <v>0</v>
      </c>
      <c r="O131" s="61">
        <f>IFERROR(VLOOKUP(Table1215[[#This Row],[Column2]],Table12[[Column2]:[Column54]],14,FALSE),"0")</f>
        <v>0</v>
      </c>
      <c r="P131" s="61">
        <f>IFERROR(VLOOKUP(Table1215[[#This Row],[Column2]],Table12[[Column2]:[Column54]],10,FALSE),"0")</f>
        <v>0</v>
      </c>
      <c r="Q131" s="61">
        <f>IFERROR(VLOOKUP(Table1215[[#This Row],[Column2]],Table12[[Column2]:[Column54]],16,FALSE),"0")</f>
        <v>0</v>
      </c>
      <c r="R131" s="67">
        <f>AVERAGE(Table1215[[#This Row],[Column14]],Table1215[[#This Row],[Column15]],Table1215[[#This Row],[Column17]])</f>
        <v>0</v>
      </c>
      <c r="S131" s="61">
        <f>IFERROR(VLOOKUP(Table1215[[#This Row],[Column2]],Table12[[Column2]:[Column54]],18,FALSE),"0")</f>
        <v>0</v>
      </c>
      <c r="T131" s="61">
        <f>IFERROR(VLOOKUP(Table1215[[#This Row],[Column2]],Table12[[Column2]:[Column54]],19,FALSE),"0")</f>
        <v>0</v>
      </c>
      <c r="U131" s="61">
        <f>IFERROR(VLOOKUP(Table1215[[#This Row],[Column2]],Table12[[Column2]:[Column54]],20,FALSE),"0")</f>
        <v>0</v>
      </c>
      <c r="V131" s="61">
        <f>IFERROR(VLOOKUP(Table1215[[#This Row],[Column2]],Table12[[Column2]:[Column54]],21,FALSE),"0")</f>
        <v>0</v>
      </c>
      <c r="W131" s="61">
        <f>IFERROR(VLOOKUP(Table1215[[#This Row],[Column2]],Table12[[Column2]:[Column54]],22,FALSE),"0")</f>
        <v>0</v>
      </c>
      <c r="X131" s="67">
        <f>Table1215[[#This Row],[Column19]]</f>
        <v>0</v>
      </c>
      <c r="Y131" s="61">
        <f>IFERROR(VLOOKUP(Table1215[[#This Row],[Column2]],Table12[[Column2]:[Column54]],24,FALSE),"0")</f>
        <v>0</v>
      </c>
      <c r="Z131" s="61">
        <f>IFERROR(VLOOKUP(Table1215[[#This Row],[Column2]],Table12[[Column2]:[Column54]],25,FALSE),"0")</f>
        <v>0</v>
      </c>
      <c r="AA131" s="61">
        <f>IFERROR(VLOOKUP(Table1215[[#This Row],[Column2]],Table12[[Column2]:[Column54]],26,FALSE),"0")</f>
        <v>0</v>
      </c>
      <c r="AB131" s="61">
        <f>IFERROR(VLOOKUP(Table1215[[#This Row],[Column2]],Table12[[Column2]:[Column54]],27,FALSE),"0")</f>
        <v>0</v>
      </c>
      <c r="AC131" s="61">
        <f>IFERROR(VLOOKUP(Table1215[[#This Row],[Column2]],Table12[[Column2]:[Column54]],28,FALSE),"0")</f>
        <v>0</v>
      </c>
      <c r="AD131" s="67">
        <f>Table1215[[#This Row],[Column25]]</f>
        <v>0</v>
      </c>
      <c r="AE131" s="61">
        <f>IFERROR(VLOOKUP(Table1215[[#This Row],[Column2]],Table12[[Column2]:[Column54]],30,FALSE),"0")</f>
        <v>0</v>
      </c>
      <c r="AF131" s="61">
        <f>IFERROR(VLOOKUP(Table1215[[#This Row],[Column2]],Table12[[Column2]:[Column54]],31,FALSE),"0")</f>
        <v>0</v>
      </c>
      <c r="AG131" s="61">
        <f>IFERROR(VLOOKUP(Table1215[[#This Row],[Column2]],Table12[[Column2]:[Column54]],32,FALSE),"0")</f>
        <v>0</v>
      </c>
      <c r="AH131" s="61">
        <f>IFERROR(VLOOKUP(Table1215[[#This Row],[Column2]],Table12[[Column2]:[Column54]],33,FALSE),"0")</f>
        <v>0</v>
      </c>
      <c r="AI131" s="61">
        <f>IFERROR(VLOOKUP(Table1215[[#This Row],[Column2]],Table12[[Column2]:[Column54]],34,FALSE),"0")</f>
        <v>0</v>
      </c>
      <c r="AJ131" s="67">
        <f>AVERAGE(Table1215[[#This Row],[Column31]],Table1215[[#This Row],[Column32]],Table1215[[#This Row],[Column33]])</f>
        <v>0</v>
      </c>
      <c r="AK131" s="61">
        <f>IFERROR(VLOOKUP(Table1215[[#This Row],[Column2]],Table12[[Column2]:[Column54]],36,FALSE),"0")</f>
        <v>0</v>
      </c>
      <c r="AL131" s="61">
        <f>IFERROR(VLOOKUP(Table1215[[#This Row],[Column2]],Table12[[Column2]:[Column54]],37,FALSE),"0")</f>
        <v>0</v>
      </c>
      <c r="AM131" s="61">
        <f>IFERROR(VLOOKUP(Table1215[[#This Row],[Column2]],Table12[[Column2]:[Column54]],38,FALSE),"0")</f>
        <v>0</v>
      </c>
      <c r="AN131" s="61">
        <f>IFERROR(VLOOKUP(Table1215[[#This Row],[Column2]],Table12[[Column2]:[Column54]],39,FALSE),"0")</f>
        <v>0</v>
      </c>
      <c r="AO131" s="61">
        <f>IFERROR(VLOOKUP(Table1215[[#This Row],[Column2]],Table12[[Column2]:[Column54]],40,FALSE),"0")</f>
        <v>0</v>
      </c>
      <c r="AP131" s="67">
        <f>AVERAGE(Table1215[[#This Row],[Column37]],Table1215[[#This Row],[Column38]],Table1215[[#This Row],[Column40]])</f>
        <v>0</v>
      </c>
      <c r="AQ131" s="61">
        <f>IFERROR(VLOOKUP(Table1215[[#This Row],[Column2]],Table12[[Column2]:[Column54]],42,FALSE),"0")</f>
        <v>0</v>
      </c>
      <c r="AR131" s="61">
        <f>IFERROR(VLOOKUP(Table1215[[#This Row],[Column2]],Table12[[Column2]:[Column54]],43,FALSE),"0")</f>
        <v>0</v>
      </c>
      <c r="AS131" s="61">
        <f>IFERROR(VLOOKUP(Table1215[[#This Row],[Column2]],Table12[[Column2]:[Column54]],44,FALSE),"0")</f>
        <v>0</v>
      </c>
      <c r="AT131" s="61">
        <f>IFERROR(VLOOKUP(Table1215[[#This Row],[Column2]],Table12[[Column2]:[Column54]],45,FALSE),"0")</f>
        <v>0</v>
      </c>
      <c r="AU131" s="61">
        <f>IFERROR(VLOOKUP(Table1215[[#This Row],[Column2]],Table12[[Column2]:[Column54]],46,FALSE),"0")</f>
        <v>0</v>
      </c>
      <c r="AV131" s="67">
        <f>Table1215[[#This Row],[Column43]]</f>
        <v>0</v>
      </c>
      <c r="AW131" s="61">
        <f>IFERROR(VLOOKUP(Table1215[[#This Row],[Column2]],Table12[[Column2]:[Column54]],48,FALSE),"0")</f>
        <v>0</v>
      </c>
      <c r="AX131" s="61">
        <f>IFERROR(VLOOKUP(Table1215[[#This Row],[Column2]],Table12[[Column2]:[Column54]],49,FALSE),"0")</f>
        <v>0</v>
      </c>
      <c r="AY131" s="61">
        <f>IFERROR(VLOOKUP(Table1215[[#This Row],[Column2]],Table12[[Column2]:[Column54]],50,FALSE),"0")</f>
        <v>0</v>
      </c>
      <c r="AZ131" s="61">
        <f>IFERROR(VLOOKUP(Table1215[[#This Row],[Column2]],Table12[[Column2]:[Column54]],51,FALSE),"0")</f>
        <v>0</v>
      </c>
      <c r="BA131" s="61">
        <f>IFERROR(VLOOKUP(Table1215[[#This Row],[Column2]],Table12[[Column2]:[Column54]],52,FALSE),"0")</f>
        <v>0</v>
      </c>
      <c r="BB131" s="67">
        <f>AVERAGE(Table1215[[#This Row],[Column52]],Table1215[[#This Row],[Column53]])</f>
        <v>0</v>
      </c>
    </row>
    <row r="132" spans="1:54" ht="23.1" customHeight="1" x14ac:dyDescent="0.3">
      <c r="A132" s="86">
        <v>129</v>
      </c>
      <c r="B132" s="63" t="s">
        <v>251</v>
      </c>
      <c r="C132" s="64" t="s">
        <v>252</v>
      </c>
      <c r="D132" s="63" t="s">
        <v>542</v>
      </c>
      <c r="E132" s="63" t="s">
        <v>161</v>
      </c>
      <c r="F132" s="63" t="str">
        <f>REPT(CHAR(160),10)&amp;Working!$E133</f>
        <v>          B</v>
      </c>
      <c r="G132" s="65">
        <f>IFERROR(VLOOKUP(Table1215[[#This Row],[Column2]],Table12[[Column2]:[Column54]],6,FALSE),"0")</f>
        <v>0</v>
      </c>
      <c r="H132" s="65">
        <f>IFERROR(VLOOKUP(Table1215[[#This Row],[Column2]],Table12[[Column2]:[Column54]],7,FALSE),"0")</f>
        <v>0</v>
      </c>
      <c r="I132" s="65">
        <f>IFERROR(VLOOKUP(Table1215[[#This Row],[Column2]],Table12[[Column2]:[Column54]],8,FALSE),"0")</f>
        <v>5</v>
      </c>
      <c r="J132" s="65">
        <f>IFERROR(VLOOKUP(Table1215[[#This Row],[Column2]],Table12[[Column2]:[Column54]],9,FALSE),"0")</f>
        <v>0</v>
      </c>
      <c r="K132" s="65">
        <f>IFERROR(VLOOKUP(Table1215[[#This Row],[Column2]],Table12[[Column2]:[Column54]],10,FALSE),"0")</f>
        <v>0</v>
      </c>
      <c r="L132" s="67">
        <f>Table1215[[#This Row],[Column9]]</f>
        <v>5</v>
      </c>
      <c r="M132" s="65">
        <f>IFERROR(VLOOKUP(Table1215[[#This Row],[Column2]],Table12[[Column2]:[Column54]],12,FALSE),"0")</f>
        <v>0</v>
      </c>
      <c r="N132" s="65">
        <f>IFERROR(VLOOKUP(Table1215[[#This Row],[Column2]],Table12[[Column2]:[Column54]],13,FALSE),"0")</f>
        <v>5</v>
      </c>
      <c r="O132" s="65">
        <f>IFERROR(VLOOKUP(Table1215[[#This Row],[Column2]],Table12[[Column2]:[Column54]],14,FALSE),"0")</f>
        <v>5</v>
      </c>
      <c r="P132" s="65">
        <f>IFERROR(VLOOKUP(Table1215[[#This Row],[Column2]],Table12[[Column2]:[Column54]],10,FALSE),"0")</f>
        <v>0</v>
      </c>
      <c r="Q132" s="65">
        <f>IFERROR(VLOOKUP(Table1215[[#This Row],[Column2]],Table12[[Column2]:[Column54]],16,FALSE),"0")</f>
        <v>5</v>
      </c>
      <c r="R132" s="67">
        <f>AVERAGE(Table1215[[#This Row],[Column14]],Table1215[[#This Row],[Column15]],Table1215[[#This Row],[Column17]])</f>
        <v>5</v>
      </c>
      <c r="S132" s="65">
        <f>IFERROR(VLOOKUP(Table1215[[#This Row],[Column2]],Table12[[Column2]:[Column54]],18,FALSE),"0")</f>
        <v>0</v>
      </c>
      <c r="T132" s="65">
        <f>IFERROR(VLOOKUP(Table1215[[#This Row],[Column2]],Table12[[Column2]:[Column54]],19,FALSE),"0")</f>
        <v>0</v>
      </c>
      <c r="U132" s="65">
        <f>IFERROR(VLOOKUP(Table1215[[#This Row],[Column2]],Table12[[Column2]:[Column54]],20,FALSE),"0")</f>
        <v>0</v>
      </c>
      <c r="V132" s="65">
        <f>IFERROR(VLOOKUP(Table1215[[#This Row],[Column2]],Table12[[Column2]:[Column54]],21,FALSE),"0")</f>
        <v>0</v>
      </c>
      <c r="W132" s="65">
        <f>IFERROR(VLOOKUP(Table1215[[#This Row],[Column2]],Table12[[Column2]:[Column54]],22,FALSE),"0")</f>
        <v>0</v>
      </c>
      <c r="X132" s="67">
        <f>Table1215[[#This Row],[Column19]]</f>
        <v>0</v>
      </c>
      <c r="Y132" s="65">
        <f>IFERROR(VLOOKUP(Table1215[[#This Row],[Column2]],Table12[[Column2]:[Column54]],24,FALSE),"0")</f>
        <v>5</v>
      </c>
      <c r="Z132" s="65">
        <f>IFERROR(VLOOKUP(Table1215[[#This Row],[Column2]],Table12[[Column2]:[Column54]],25,FALSE),"0")</f>
        <v>0</v>
      </c>
      <c r="AA132" s="65">
        <f>IFERROR(VLOOKUP(Table1215[[#This Row],[Column2]],Table12[[Column2]:[Column54]],26,FALSE),"0")</f>
        <v>0</v>
      </c>
      <c r="AB132" s="65">
        <f>IFERROR(VLOOKUP(Table1215[[#This Row],[Column2]],Table12[[Column2]:[Column54]],27,FALSE),"0")</f>
        <v>0</v>
      </c>
      <c r="AC132" s="65">
        <f>IFERROR(VLOOKUP(Table1215[[#This Row],[Column2]],Table12[[Column2]:[Column54]],28,FALSE),"0")</f>
        <v>0</v>
      </c>
      <c r="AD132" s="67">
        <f>Table1215[[#This Row],[Column25]]</f>
        <v>5</v>
      </c>
      <c r="AE132" s="65">
        <f>IFERROR(VLOOKUP(Table1215[[#This Row],[Column2]],Table12[[Column2]:[Column54]],30,FALSE),"0")</f>
        <v>0</v>
      </c>
      <c r="AF132" s="65">
        <f>IFERROR(VLOOKUP(Table1215[[#This Row],[Column2]],Table12[[Column2]:[Column54]],31,FALSE),"0")</f>
        <v>0</v>
      </c>
      <c r="AG132" s="65">
        <f>IFERROR(VLOOKUP(Table1215[[#This Row],[Column2]],Table12[[Column2]:[Column54]],32,FALSE),"0")</f>
        <v>0</v>
      </c>
      <c r="AH132" s="65">
        <f>IFERROR(VLOOKUP(Table1215[[#This Row],[Column2]],Table12[[Column2]:[Column54]],33,FALSE),"0")</f>
        <v>0</v>
      </c>
      <c r="AI132" s="65">
        <f>IFERROR(VLOOKUP(Table1215[[#This Row],[Column2]],Table12[[Column2]:[Column54]],34,FALSE),"0")</f>
        <v>0</v>
      </c>
      <c r="AJ132" s="67">
        <f>AVERAGE(Table1215[[#This Row],[Column31]],Table1215[[#This Row],[Column32]],Table1215[[#This Row],[Column33]])</f>
        <v>0</v>
      </c>
      <c r="AK132" s="65">
        <f>IFERROR(VLOOKUP(Table1215[[#This Row],[Column2]],Table12[[Column2]:[Column54]],36,FALSE),"0")</f>
        <v>5</v>
      </c>
      <c r="AL132" s="65">
        <f>IFERROR(VLOOKUP(Table1215[[#This Row],[Column2]],Table12[[Column2]:[Column54]],37,FALSE),"0")</f>
        <v>5</v>
      </c>
      <c r="AM132" s="65">
        <f>IFERROR(VLOOKUP(Table1215[[#This Row],[Column2]],Table12[[Column2]:[Column54]],38,FALSE),"0")</f>
        <v>0</v>
      </c>
      <c r="AN132" s="65">
        <f>IFERROR(VLOOKUP(Table1215[[#This Row],[Column2]],Table12[[Column2]:[Column54]],39,FALSE),"0")</f>
        <v>4</v>
      </c>
      <c r="AO132" s="65">
        <f>IFERROR(VLOOKUP(Table1215[[#This Row],[Column2]],Table12[[Column2]:[Column54]],40,FALSE),"0")</f>
        <v>0</v>
      </c>
      <c r="AP132" s="67">
        <f>AVERAGE(Table1215[[#This Row],[Column37]],Table1215[[#This Row],[Column38]],Table1215[[#This Row],[Column40]])</f>
        <v>4.666666666666667</v>
      </c>
      <c r="AQ132" s="65">
        <f>IFERROR(VLOOKUP(Table1215[[#This Row],[Column2]],Table12[[Column2]:[Column54]],42,FALSE),"0")</f>
        <v>4</v>
      </c>
      <c r="AR132" s="65">
        <f>IFERROR(VLOOKUP(Table1215[[#This Row],[Column2]],Table12[[Column2]:[Column54]],43,FALSE),"0")</f>
        <v>0</v>
      </c>
      <c r="AS132" s="65">
        <f>IFERROR(VLOOKUP(Table1215[[#This Row],[Column2]],Table12[[Column2]:[Column54]],44,FALSE),"0")</f>
        <v>0</v>
      </c>
      <c r="AT132" s="65">
        <f>IFERROR(VLOOKUP(Table1215[[#This Row],[Column2]],Table12[[Column2]:[Column54]],45,FALSE),"0")</f>
        <v>0</v>
      </c>
      <c r="AU132" s="65">
        <f>IFERROR(VLOOKUP(Table1215[[#This Row],[Column2]],Table12[[Column2]:[Column54]],46,FALSE),"0")</f>
        <v>0</v>
      </c>
      <c r="AV132" s="67">
        <f>Table1215[[#This Row],[Column43]]</f>
        <v>4</v>
      </c>
      <c r="AW132" s="65">
        <f>IFERROR(VLOOKUP(Table1215[[#This Row],[Column2]],Table12[[Column2]:[Column54]],48,FALSE),"0")</f>
        <v>0</v>
      </c>
      <c r="AX132" s="65">
        <f>IFERROR(VLOOKUP(Table1215[[#This Row],[Column2]],Table12[[Column2]:[Column54]],49,FALSE),"0")</f>
        <v>0</v>
      </c>
      <c r="AY132" s="65">
        <f>IFERROR(VLOOKUP(Table1215[[#This Row],[Column2]],Table12[[Column2]:[Column54]],50,FALSE),"0")</f>
        <v>0</v>
      </c>
      <c r="AZ132" s="65">
        <f>IFERROR(VLOOKUP(Table1215[[#This Row],[Column2]],Table12[[Column2]:[Column54]],51,FALSE),"0")</f>
        <v>5</v>
      </c>
      <c r="BA132" s="65">
        <f>IFERROR(VLOOKUP(Table1215[[#This Row],[Column2]],Table12[[Column2]:[Column54]],52,FALSE),"0")</f>
        <v>5</v>
      </c>
      <c r="BB132" s="67">
        <f>AVERAGE(Table1215[[#This Row],[Column52]],Table1215[[#This Row],[Column53]])</f>
        <v>5</v>
      </c>
    </row>
    <row r="133" spans="1:54" ht="23.1" customHeight="1" x14ac:dyDescent="0.3">
      <c r="A133" s="87">
        <v>130</v>
      </c>
      <c r="B133" s="70" t="s">
        <v>56</v>
      </c>
      <c r="C133" s="71" t="s">
        <v>57</v>
      </c>
      <c r="D133" s="70" t="s">
        <v>450</v>
      </c>
      <c r="E133" s="70" t="s">
        <v>35</v>
      </c>
      <c r="F133" s="70" t="str">
        <f>REPT(CHAR(160),10)&amp;Working!$E134</f>
        <v>          A</v>
      </c>
      <c r="G133" s="61">
        <f>IFERROR(VLOOKUP(Table1215[[#This Row],[Column2]],Table12[[Column2]:[Column54]],6,FALSE),"0")</f>
        <v>0</v>
      </c>
      <c r="H133" s="61">
        <f>IFERROR(VLOOKUP(Table1215[[#This Row],[Column2]],Table12[[Column2]:[Column54]],7,FALSE),"0")</f>
        <v>0</v>
      </c>
      <c r="I133" s="61">
        <f>IFERROR(VLOOKUP(Table1215[[#This Row],[Column2]],Table12[[Column2]:[Column54]],8,FALSE),"0")</f>
        <v>4</v>
      </c>
      <c r="J133" s="61">
        <f>IFERROR(VLOOKUP(Table1215[[#This Row],[Column2]],Table12[[Column2]:[Column54]],9,FALSE),"0")</f>
        <v>0</v>
      </c>
      <c r="K133" s="61">
        <f>IFERROR(VLOOKUP(Table1215[[#This Row],[Column2]],Table12[[Column2]:[Column54]],10,FALSE),"0")</f>
        <v>0</v>
      </c>
      <c r="L133" s="67">
        <f>Table1215[[#This Row],[Column9]]</f>
        <v>4</v>
      </c>
      <c r="M133" s="61">
        <f>IFERROR(VLOOKUP(Table1215[[#This Row],[Column2]],Table12[[Column2]:[Column54]],12,FALSE),"0")</f>
        <v>0</v>
      </c>
      <c r="N133" s="61">
        <f>IFERROR(VLOOKUP(Table1215[[#This Row],[Column2]],Table12[[Column2]:[Column54]],13,FALSE),"0")</f>
        <v>3</v>
      </c>
      <c r="O133" s="61">
        <f>IFERROR(VLOOKUP(Table1215[[#This Row],[Column2]],Table12[[Column2]:[Column54]],14,FALSE),"0")</f>
        <v>4</v>
      </c>
      <c r="P133" s="61">
        <f>IFERROR(VLOOKUP(Table1215[[#This Row],[Column2]],Table12[[Column2]:[Column54]],10,FALSE),"0")</f>
        <v>0</v>
      </c>
      <c r="Q133" s="61">
        <f>IFERROR(VLOOKUP(Table1215[[#This Row],[Column2]],Table12[[Column2]:[Column54]],16,FALSE),"0")</f>
        <v>4</v>
      </c>
      <c r="R133" s="67">
        <f>AVERAGE(Table1215[[#This Row],[Column14]],Table1215[[#This Row],[Column15]],Table1215[[#This Row],[Column17]])</f>
        <v>3.6666666666666665</v>
      </c>
      <c r="S133" s="61">
        <f>IFERROR(VLOOKUP(Table1215[[#This Row],[Column2]],Table12[[Column2]:[Column54]],18,FALSE),"0")</f>
        <v>0</v>
      </c>
      <c r="T133" s="61">
        <f>IFERROR(VLOOKUP(Table1215[[#This Row],[Column2]],Table12[[Column2]:[Column54]],19,FALSE),"0")</f>
        <v>0</v>
      </c>
      <c r="U133" s="61">
        <f>IFERROR(VLOOKUP(Table1215[[#This Row],[Column2]],Table12[[Column2]:[Column54]],20,FALSE),"0")</f>
        <v>0</v>
      </c>
      <c r="V133" s="61">
        <f>IFERROR(VLOOKUP(Table1215[[#This Row],[Column2]],Table12[[Column2]:[Column54]],21,FALSE),"0")</f>
        <v>0</v>
      </c>
      <c r="W133" s="61">
        <f>IFERROR(VLOOKUP(Table1215[[#This Row],[Column2]],Table12[[Column2]:[Column54]],22,FALSE),"0")</f>
        <v>0</v>
      </c>
      <c r="X133" s="67">
        <f>Table1215[[#This Row],[Column19]]</f>
        <v>0</v>
      </c>
      <c r="Y133" s="61">
        <f>IFERROR(VLOOKUP(Table1215[[#This Row],[Column2]],Table12[[Column2]:[Column54]],24,FALSE),"0")</f>
        <v>3</v>
      </c>
      <c r="Z133" s="61">
        <f>IFERROR(VLOOKUP(Table1215[[#This Row],[Column2]],Table12[[Column2]:[Column54]],25,FALSE),"0")</f>
        <v>0</v>
      </c>
      <c r="AA133" s="61">
        <f>IFERROR(VLOOKUP(Table1215[[#This Row],[Column2]],Table12[[Column2]:[Column54]],26,FALSE),"0")</f>
        <v>0</v>
      </c>
      <c r="AB133" s="61">
        <f>IFERROR(VLOOKUP(Table1215[[#This Row],[Column2]],Table12[[Column2]:[Column54]],27,FALSE),"0")</f>
        <v>0</v>
      </c>
      <c r="AC133" s="61">
        <f>IFERROR(VLOOKUP(Table1215[[#This Row],[Column2]],Table12[[Column2]:[Column54]],28,FALSE),"0")</f>
        <v>0</v>
      </c>
      <c r="AD133" s="67">
        <f>Table1215[[#This Row],[Column25]]</f>
        <v>3</v>
      </c>
      <c r="AE133" s="61">
        <f>IFERROR(VLOOKUP(Table1215[[#This Row],[Column2]],Table12[[Column2]:[Column54]],30,FALSE),"0")</f>
        <v>0</v>
      </c>
      <c r="AF133" s="61">
        <f>IFERROR(VLOOKUP(Table1215[[#This Row],[Column2]],Table12[[Column2]:[Column54]],31,FALSE),"0")</f>
        <v>0</v>
      </c>
      <c r="AG133" s="61">
        <f>IFERROR(VLOOKUP(Table1215[[#This Row],[Column2]],Table12[[Column2]:[Column54]],32,FALSE),"0")</f>
        <v>0</v>
      </c>
      <c r="AH133" s="61">
        <f>IFERROR(VLOOKUP(Table1215[[#This Row],[Column2]],Table12[[Column2]:[Column54]],33,FALSE),"0")</f>
        <v>0</v>
      </c>
      <c r="AI133" s="61">
        <f>IFERROR(VLOOKUP(Table1215[[#This Row],[Column2]],Table12[[Column2]:[Column54]],34,FALSE),"0")</f>
        <v>0</v>
      </c>
      <c r="AJ133" s="67">
        <f>AVERAGE(Table1215[[#This Row],[Column31]],Table1215[[#This Row],[Column32]],Table1215[[#This Row],[Column33]])</f>
        <v>0</v>
      </c>
      <c r="AK133" s="61">
        <f>IFERROR(VLOOKUP(Table1215[[#This Row],[Column2]],Table12[[Column2]:[Column54]],36,FALSE),"0")</f>
        <v>4</v>
      </c>
      <c r="AL133" s="61">
        <f>IFERROR(VLOOKUP(Table1215[[#This Row],[Column2]],Table12[[Column2]:[Column54]],37,FALSE),"0")</f>
        <v>3</v>
      </c>
      <c r="AM133" s="61">
        <f>IFERROR(VLOOKUP(Table1215[[#This Row],[Column2]],Table12[[Column2]:[Column54]],38,FALSE),"0")</f>
        <v>0</v>
      </c>
      <c r="AN133" s="61">
        <f>IFERROR(VLOOKUP(Table1215[[#This Row],[Column2]],Table12[[Column2]:[Column54]],39,FALSE),"0")</f>
        <v>4</v>
      </c>
      <c r="AO133" s="61">
        <f>IFERROR(VLOOKUP(Table1215[[#This Row],[Column2]],Table12[[Column2]:[Column54]],40,FALSE),"0")</f>
        <v>0</v>
      </c>
      <c r="AP133" s="67">
        <f>AVERAGE(Table1215[[#This Row],[Column37]],Table1215[[#This Row],[Column38]],Table1215[[#This Row],[Column40]])</f>
        <v>3.6666666666666665</v>
      </c>
      <c r="AQ133" s="61">
        <f>IFERROR(VLOOKUP(Table1215[[#This Row],[Column2]],Table12[[Column2]:[Column54]],42,FALSE),"0")</f>
        <v>5</v>
      </c>
      <c r="AR133" s="61">
        <f>IFERROR(VLOOKUP(Table1215[[#This Row],[Column2]],Table12[[Column2]:[Column54]],43,FALSE),"0")</f>
        <v>0</v>
      </c>
      <c r="AS133" s="61">
        <f>IFERROR(VLOOKUP(Table1215[[#This Row],[Column2]],Table12[[Column2]:[Column54]],44,FALSE),"0")</f>
        <v>0</v>
      </c>
      <c r="AT133" s="61">
        <f>IFERROR(VLOOKUP(Table1215[[#This Row],[Column2]],Table12[[Column2]:[Column54]],45,FALSE),"0")</f>
        <v>0</v>
      </c>
      <c r="AU133" s="61">
        <f>IFERROR(VLOOKUP(Table1215[[#This Row],[Column2]],Table12[[Column2]:[Column54]],46,FALSE),"0")</f>
        <v>0</v>
      </c>
      <c r="AV133" s="67">
        <f>Table1215[[#This Row],[Column43]]</f>
        <v>5</v>
      </c>
      <c r="AW133" s="61">
        <f>IFERROR(VLOOKUP(Table1215[[#This Row],[Column2]],Table12[[Column2]:[Column54]],48,FALSE),"0")</f>
        <v>0</v>
      </c>
      <c r="AX133" s="61">
        <f>IFERROR(VLOOKUP(Table1215[[#This Row],[Column2]],Table12[[Column2]:[Column54]],49,FALSE),"0")</f>
        <v>0</v>
      </c>
      <c r="AY133" s="61">
        <f>IFERROR(VLOOKUP(Table1215[[#This Row],[Column2]],Table12[[Column2]:[Column54]],50,FALSE),"0")</f>
        <v>0</v>
      </c>
      <c r="AZ133" s="61">
        <f>IFERROR(VLOOKUP(Table1215[[#This Row],[Column2]],Table12[[Column2]:[Column54]],51,FALSE),"0")</f>
        <v>5</v>
      </c>
      <c r="BA133" s="61">
        <f>IFERROR(VLOOKUP(Table1215[[#This Row],[Column2]],Table12[[Column2]:[Column54]],52,FALSE),"0")</f>
        <v>4</v>
      </c>
      <c r="BB133" s="67">
        <f>AVERAGE(Table1215[[#This Row],[Column52]],Table1215[[#This Row],[Column53]])</f>
        <v>4.5</v>
      </c>
    </row>
    <row r="134" spans="1:54" ht="23.1" customHeight="1" x14ac:dyDescent="0.3">
      <c r="A134" s="86">
        <v>131</v>
      </c>
      <c r="B134" s="63" t="s">
        <v>265</v>
      </c>
      <c r="C134" s="64" t="s">
        <v>266</v>
      </c>
      <c r="D134" s="63" t="s">
        <v>542</v>
      </c>
      <c r="E134" s="63" t="s">
        <v>161</v>
      </c>
      <c r="F134" s="63" t="str">
        <f>REPT(CHAR(160),10)&amp;Working!$E135</f>
        <v>          B</v>
      </c>
      <c r="G134" s="65">
        <f>IFERROR(VLOOKUP(Table1215[[#This Row],[Column2]],Table12[[Column2]:[Column54]],6,FALSE),"0")</f>
        <v>0</v>
      </c>
      <c r="H134" s="65">
        <f>IFERROR(VLOOKUP(Table1215[[#This Row],[Column2]],Table12[[Column2]:[Column54]],7,FALSE),"0")</f>
        <v>0</v>
      </c>
      <c r="I134" s="65">
        <f>IFERROR(VLOOKUP(Table1215[[#This Row],[Column2]],Table12[[Column2]:[Column54]],8,FALSE),"0")</f>
        <v>5</v>
      </c>
      <c r="J134" s="65">
        <f>IFERROR(VLOOKUP(Table1215[[#This Row],[Column2]],Table12[[Column2]:[Column54]],9,FALSE),"0")</f>
        <v>0</v>
      </c>
      <c r="K134" s="65">
        <f>IFERROR(VLOOKUP(Table1215[[#This Row],[Column2]],Table12[[Column2]:[Column54]],10,FALSE),"0")</f>
        <v>0</v>
      </c>
      <c r="L134" s="67">
        <f>Table1215[[#This Row],[Column9]]</f>
        <v>5</v>
      </c>
      <c r="M134" s="65">
        <f>IFERROR(VLOOKUP(Table1215[[#This Row],[Column2]],Table12[[Column2]:[Column54]],12,FALSE),"0")</f>
        <v>0</v>
      </c>
      <c r="N134" s="65">
        <f>IFERROR(VLOOKUP(Table1215[[#This Row],[Column2]],Table12[[Column2]:[Column54]],13,FALSE),"0")</f>
        <v>5</v>
      </c>
      <c r="O134" s="65">
        <f>IFERROR(VLOOKUP(Table1215[[#This Row],[Column2]],Table12[[Column2]:[Column54]],14,FALSE),"0")</f>
        <v>4</v>
      </c>
      <c r="P134" s="65">
        <f>IFERROR(VLOOKUP(Table1215[[#This Row],[Column2]],Table12[[Column2]:[Column54]],10,FALSE),"0")</f>
        <v>0</v>
      </c>
      <c r="Q134" s="65">
        <f>IFERROR(VLOOKUP(Table1215[[#This Row],[Column2]],Table12[[Column2]:[Column54]],16,FALSE),"0")</f>
        <v>4</v>
      </c>
      <c r="R134" s="67">
        <f>AVERAGE(Table1215[[#This Row],[Column14]],Table1215[[#This Row],[Column15]],Table1215[[#This Row],[Column17]])</f>
        <v>4.333333333333333</v>
      </c>
      <c r="S134" s="65">
        <f>IFERROR(VLOOKUP(Table1215[[#This Row],[Column2]],Table12[[Column2]:[Column54]],18,FALSE),"0")</f>
        <v>0</v>
      </c>
      <c r="T134" s="65">
        <f>IFERROR(VLOOKUP(Table1215[[#This Row],[Column2]],Table12[[Column2]:[Column54]],19,FALSE),"0")</f>
        <v>0</v>
      </c>
      <c r="U134" s="65">
        <f>IFERROR(VLOOKUP(Table1215[[#This Row],[Column2]],Table12[[Column2]:[Column54]],20,FALSE),"0")</f>
        <v>0</v>
      </c>
      <c r="V134" s="65">
        <f>IFERROR(VLOOKUP(Table1215[[#This Row],[Column2]],Table12[[Column2]:[Column54]],21,FALSE),"0")</f>
        <v>0</v>
      </c>
      <c r="W134" s="65">
        <f>IFERROR(VLOOKUP(Table1215[[#This Row],[Column2]],Table12[[Column2]:[Column54]],22,FALSE),"0")</f>
        <v>0</v>
      </c>
      <c r="X134" s="67">
        <f>Table1215[[#This Row],[Column19]]</f>
        <v>0</v>
      </c>
      <c r="Y134" s="65">
        <f>IFERROR(VLOOKUP(Table1215[[#This Row],[Column2]],Table12[[Column2]:[Column54]],24,FALSE),"0")</f>
        <v>5</v>
      </c>
      <c r="Z134" s="65">
        <f>IFERROR(VLOOKUP(Table1215[[#This Row],[Column2]],Table12[[Column2]:[Column54]],25,FALSE),"0")</f>
        <v>0</v>
      </c>
      <c r="AA134" s="65">
        <f>IFERROR(VLOOKUP(Table1215[[#This Row],[Column2]],Table12[[Column2]:[Column54]],26,FALSE),"0")</f>
        <v>0</v>
      </c>
      <c r="AB134" s="65">
        <f>IFERROR(VLOOKUP(Table1215[[#This Row],[Column2]],Table12[[Column2]:[Column54]],27,FALSE),"0")</f>
        <v>0</v>
      </c>
      <c r="AC134" s="65">
        <f>IFERROR(VLOOKUP(Table1215[[#This Row],[Column2]],Table12[[Column2]:[Column54]],28,FALSE),"0")</f>
        <v>0</v>
      </c>
      <c r="AD134" s="67">
        <f>Table1215[[#This Row],[Column25]]</f>
        <v>5</v>
      </c>
      <c r="AE134" s="65">
        <f>IFERROR(VLOOKUP(Table1215[[#This Row],[Column2]],Table12[[Column2]:[Column54]],30,FALSE),"0")</f>
        <v>0</v>
      </c>
      <c r="AF134" s="65">
        <f>IFERROR(VLOOKUP(Table1215[[#This Row],[Column2]],Table12[[Column2]:[Column54]],31,FALSE),"0")</f>
        <v>0</v>
      </c>
      <c r="AG134" s="65">
        <f>IFERROR(VLOOKUP(Table1215[[#This Row],[Column2]],Table12[[Column2]:[Column54]],32,FALSE),"0")</f>
        <v>0</v>
      </c>
      <c r="AH134" s="65">
        <f>IFERROR(VLOOKUP(Table1215[[#This Row],[Column2]],Table12[[Column2]:[Column54]],33,FALSE),"0")</f>
        <v>0</v>
      </c>
      <c r="AI134" s="65">
        <f>IFERROR(VLOOKUP(Table1215[[#This Row],[Column2]],Table12[[Column2]:[Column54]],34,FALSE),"0")</f>
        <v>0</v>
      </c>
      <c r="AJ134" s="67">
        <f>AVERAGE(Table1215[[#This Row],[Column31]],Table1215[[#This Row],[Column32]],Table1215[[#This Row],[Column33]])</f>
        <v>0</v>
      </c>
      <c r="AK134" s="65">
        <f>IFERROR(VLOOKUP(Table1215[[#This Row],[Column2]],Table12[[Column2]:[Column54]],36,FALSE),"0")</f>
        <v>5</v>
      </c>
      <c r="AL134" s="65">
        <f>IFERROR(VLOOKUP(Table1215[[#This Row],[Column2]],Table12[[Column2]:[Column54]],37,FALSE),"0")</f>
        <v>5</v>
      </c>
      <c r="AM134" s="65">
        <f>IFERROR(VLOOKUP(Table1215[[#This Row],[Column2]],Table12[[Column2]:[Column54]],38,FALSE),"0")</f>
        <v>0</v>
      </c>
      <c r="AN134" s="65">
        <f>IFERROR(VLOOKUP(Table1215[[#This Row],[Column2]],Table12[[Column2]:[Column54]],39,FALSE),"0")</f>
        <v>5</v>
      </c>
      <c r="AO134" s="65">
        <f>IFERROR(VLOOKUP(Table1215[[#This Row],[Column2]],Table12[[Column2]:[Column54]],40,FALSE),"0")</f>
        <v>0</v>
      </c>
      <c r="AP134" s="67">
        <f>AVERAGE(Table1215[[#This Row],[Column37]],Table1215[[#This Row],[Column38]],Table1215[[#This Row],[Column40]])</f>
        <v>5</v>
      </c>
      <c r="AQ134" s="65">
        <f>IFERROR(VLOOKUP(Table1215[[#This Row],[Column2]],Table12[[Column2]:[Column54]],42,FALSE),"0")</f>
        <v>5</v>
      </c>
      <c r="AR134" s="65">
        <f>IFERROR(VLOOKUP(Table1215[[#This Row],[Column2]],Table12[[Column2]:[Column54]],43,FALSE),"0")</f>
        <v>0</v>
      </c>
      <c r="AS134" s="65">
        <f>IFERROR(VLOOKUP(Table1215[[#This Row],[Column2]],Table12[[Column2]:[Column54]],44,FALSE),"0")</f>
        <v>0</v>
      </c>
      <c r="AT134" s="65">
        <f>IFERROR(VLOOKUP(Table1215[[#This Row],[Column2]],Table12[[Column2]:[Column54]],45,FALSE),"0")</f>
        <v>0</v>
      </c>
      <c r="AU134" s="65">
        <f>IFERROR(VLOOKUP(Table1215[[#This Row],[Column2]],Table12[[Column2]:[Column54]],46,FALSE),"0")</f>
        <v>0</v>
      </c>
      <c r="AV134" s="67">
        <f>Table1215[[#This Row],[Column43]]</f>
        <v>5</v>
      </c>
      <c r="AW134" s="65">
        <f>IFERROR(VLOOKUP(Table1215[[#This Row],[Column2]],Table12[[Column2]:[Column54]],48,FALSE),"0")</f>
        <v>0</v>
      </c>
      <c r="AX134" s="65">
        <f>IFERROR(VLOOKUP(Table1215[[#This Row],[Column2]],Table12[[Column2]:[Column54]],49,FALSE),"0")</f>
        <v>0</v>
      </c>
      <c r="AY134" s="65">
        <f>IFERROR(VLOOKUP(Table1215[[#This Row],[Column2]],Table12[[Column2]:[Column54]],50,FALSE),"0")</f>
        <v>0</v>
      </c>
      <c r="AZ134" s="65">
        <f>IFERROR(VLOOKUP(Table1215[[#This Row],[Column2]],Table12[[Column2]:[Column54]],51,FALSE),"0")</f>
        <v>5</v>
      </c>
      <c r="BA134" s="65">
        <f>IFERROR(VLOOKUP(Table1215[[#This Row],[Column2]],Table12[[Column2]:[Column54]],52,FALSE),"0")</f>
        <v>5</v>
      </c>
      <c r="BB134" s="67">
        <f>AVERAGE(Table1215[[#This Row],[Column52]],Table1215[[#This Row],[Column53]])</f>
        <v>5</v>
      </c>
    </row>
    <row r="135" spans="1:54" ht="23.1" customHeight="1" x14ac:dyDescent="0.3">
      <c r="A135" s="87">
        <v>132</v>
      </c>
      <c r="B135" s="70" t="s">
        <v>79</v>
      </c>
      <c r="C135" s="71" t="s">
        <v>80</v>
      </c>
      <c r="D135" s="70" t="s">
        <v>542</v>
      </c>
      <c r="E135" s="70" t="s">
        <v>35</v>
      </c>
      <c r="F135" s="70" t="str">
        <f>REPT(CHAR(160),10)&amp;Working!$E136</f>
        <v>          A</v>
      </c>
      <c r="G135" s="61">
        <f>IFERROR(VLOOKUP(Table1215[[#This Row],[Column2]],Table12[[Column2]:[Column54]],6,FALSE),"0")</f>
        <v>0</v>
      </c>
      <c r="H135" s="61">
        <f>IFERROR(VLOOKUP(Table1215[[#This Row],[Column2]],Table12[[Column2]:[Column54]],7,FALSE),"0")</f>
        <v>0</v>
      </c>
      <c r="I135" s="61">
        <f>IFERROR(VLOOKUP(Table1215[[#This Row],[Column2]],Table12[[Column2]:[Column54]],8,FALSE),"0")</f>
        <v>3</v>
      </c>
      <c r="J135" s="61">
        <f>IFERROR(VLOOKUP(Table1215[[#This Row],[Column2]],Table12[[Column2]:[Column54]],9,FALSE),"0")</f>
        <v>0</v>
      </c>
      <c r="K135" s="61">
        <f>IFERROR(VLOOKUP(Table1215[[#This Row],[Column2]],Table12[[Column2]:[Column54]],10,FALSE),"0")</f>
        <v>0</v>
      </c>
      <c r="L135" s="67">
        <f>Table1215[[#This Row],[Column9]]</f>
        <v>3</v>
      </c>
      <c r="M135" s="61">
        <f>IFERROR(VLOOKUP(Table1215[[#This Row],[Column2]],Table12[[Column2]:[Column54]],12,FALSE),"0")</f>
        <v>0</v>
      </c>
      <c r="N135" s="61">
        <f>IFERROR(VLOOKUP(Table1215[[#This Row],[Column2]],Table12[[Column2]:[Column54]],13,FALSE),"0")</f>
        <v>4</v>
      </c>
      <c r="O135" s="61">
        <f>IFERROR(VLOOKUP(Table1215[[#This Row],[Column2]],Table12[[Column2]:[Column54]],14,FALSE),"0")</f>
        <v>4</v>
      </c>
      <c r="P135" s="61">
        <f>IFERROR(VLOOKUP(Table1215[[#This Row],[Column2]],Table12[[Column2]:[Column54]],10,FALSE),"0")</f>
        <v>0</v>
      </c>
      <c r="Q135" s="61">
        <f>IFERROR(VLOOKUP(Table1215[[#This Row],[Column2]],Table12[[Column2]:[Column54]],16,FALSE),"0")</f>
        <v>4</v>
      </c>
      <c r="R135" s="67">
        <f>AVERAGE(Table1215[[#This Row],[Column14]],Table1215[[#This Row],[Column15]],Table1215[[#This Row],[Column17]])</f>
        <v>4</v>
      </c>
      <c r="S135" s="61">
        <f>IFERROR(VLOOKUP(Table1215[[#This Row],[Column2]],Table12[[Column2]:[Column54]],18,FALSE),"0")</f>
        <v>0</v>
      </c>
      <c r="T135" s="61">
        <f>IFERROR(VLOOKUP(Table1215[[#This Row],[Column2]],Table12[[Column2]:[Column54]],19,FALSE),"0")</f>
        <v>0</v>
      </c>
      <c r="U135" s="61">
        <f>IFERROR(VLOOKUP(Table1215[[#This Row],[Column2]],Table12[[Column2]:[Column54]],20,FALSE),"0")</f>
        <v>0</v>
      </c>
      <c r="V135" s="61">
        <f>IFERROR(VLOOKUP(Table1215[[#This Row],[Column2]],Table12[[Column2]:[Column54]],21,FALSE),"0")</f>
        <v>0</v>
      </c>
      <c r="W135" s="61">
        <f>IFERROR(VLOOKUP(Table1215[[#This Row],[Column2]],Table12[[Column2]:[Column54]],22,FALSE),"0")</f>
        <v>0</v>
      </c>
      <c r="X135" s="67">
        <f>Table1215[[#This Row],[Column19]]</f>
        <v>0</v>
      </c>
      <c r="Y135" s="61">
        <f>IFERROR(VLOOKUP(Table1215[[#This Row],[Column2]],Table12[[Column2]:[Column54]],24,FALSE),"0")</f>
        <v>4</v>
      </c>
      <c r="Z135" s="61">
        <f>IFERROR(VLOOKUP(Table1215[[#This Row],[Column2]],Table12[[Column2]:[Column54]],25,FALSE),"0")</f>
        <v>0</v>
      </c>
      <c r="AA135" s="61">
        <f>IFERROR(VLOOKUP(Table1215[[#This Row],[Column2]],Table12[[Column2]:[Column54]],26,FALSE),"0")</f>
        <v>0</v>
      </c>
      <c r="AB135" s="61">
        <f>IFERROR(VLOOKUP(Table1215[[#This Row],[Column2]],Table12[[Column2]:[Column54]],27,FALSE),"0")</f>
        <v>0</v>
      </c>
      <c r="AC135" s="61">
        <f>IFERROR(VLOOKUP(Table1215[[#This Row],[Column2]],Table12[[Column2]:[Column54]],28,FALSE),"0")</f>
        <v>0</v>
      </c>
      <c r="AD135" s="67">
        <f>Table1215[[#This Row],[Column25]]</f>
        <v>4</v>
      </c>
      <c r="AE135" s="61">
        <f>IFERROR(VLOOKUP(Table1215[[#This Row],[Column2]],Table12[[Column2]:[Column54]],30,FALSE),"0")</f>
        <v>0</v>
      </c>
      <c r="AF135" s="61">
        <f>IFERROR(VLOOKUP(Table1215[[#This Row],[Column2]],Table12[[Column2]:[Column54]],31,FALSE),"0")</f>
        <v>0</v>
      </c>
      <c r="AG135" s="61">
        <f>IFERROR(VLOOKUP(Table1215[[#This Row],[Column2]],Table12[[Column2]:[Column54]],32,FALSE),"0")</f>
        <v>0</v>
      </c>
      <c r="AH135" s="61">
        <f>IFERROR(VLOOKUP(Table1215[[#This Row],[Column2]],Table12[[Column2]:[Column54]],33,FALSE),"0")</f>
        <v>0</v>
      </c>
      <c r="AI135" s="61">
        <f>IFERROR(VLOOKUP(Table1215[[#This Row],[Column2]],Table12[[Column2]:[Column54]],34,FALSE),"0")</f>
        <v>0</v>
      </c>
      <c r="AJ135" s="67">
        <f>AVERAGE(Table1215[[#This Row],[Column31]],Table1215[[#This Row],[Column32]],Table1215[[#This Row],[Column33]])</f>
        <v>0</v>
      </c>
      <c r="AK135" s="61">
        <f>IFERROR(VLOOKUP(Table1215[[#This Row],[Column2]],Table12[[Column2]:[Column54]],36,FALSE),"0")</f>
        <v>3</v>
      </c>
      <c r="AL135" s="61">
        <f>IFERROR(VLOOKUP(Table1215[[#This Row],[Column2]],Table12[[Column2]:[Column54]],37,FALSE),"0")</f>
        <v>3</v>
      </c>
      <c r="AM135" s="61">
        <f>IFERROR(VLOOKUP(Table1215[[#This Row],[Column2]],Table12[[Column2]:[Column54]],38,FALSE),"0")</f>
        <v>0</v>
      </c>
      <c r="AN135" s="61">
        <f>IFERROR(VLOOKUP(Table1215[[#This Row],[Column2]],Table12[[Column2]:[Column54]],39,FALSE),"0")</f>
        <v>4</v>
      </c>
      <c r="AO135" s="61">
        <f>IFERROR(VLOOKUP(Table1215[[#This Row],[Column2]],Table12[[Column2]:[Column54]],40,FALSE),"0")</f>
        <v>0</v>
      </c>
      <c r="AP135" s="67">
        <f>AVERAGE(Table1215[[#This Row],[Column37]],Table1215[[#This Row],[Column38]],Table1215[[#This Row],[Column40]])</f>
        <v>3.3333333333333335</v>
      </c>
      <c r="AQ135" s="61">
        <f>IFERROR(VLOOKUP(Table1215[[#This Row],[Column2]],Table12[[Column2]:[Column54]],42,FALSE),"0")</f>
        <v>3</v>
      </c>
      <c r="AR135" s="61">
        <f>IFERROR(VLOOKUP(Table1215[[#This Row],[Column2]],Table12[[Column2]:[Column54]],43,FALSE),"0")</f>
        <v>0</v>
      </c>
      <c r="AS135" s="61">
        <f>IFERROR(VLOOKUP(Table1215[[#This Row],[Column2]],Table12[[Column2]:[Column54]],44,FALSE),"0")</f>
        <v>0</v>
      </c>
      <c r="AT135" s="61">
        <f>IFERROR(VLOOKUP(Table1215[[#This Row],[Column2]],Table12[[Column2]:[Column54]],45,FALSE),"0")</f>
        <v>0</v>
      </c>
      <c r="AU135" s="61">
        <f>IFERROR(VLOOKUP(Table1215[[#This Row],[Column2]],Table12[[Column2]:[Column54]],46,FALSE),"0")</f>
        <v>0</v>
      </c>
      <c r="AV135" s="67">
        <f>Table1215[[#This Row],[Column43]]</f>
        <v>3</v>
      </c>
      <c r="AW135" s="61">
        <f>IFERROR(VLOOKUP(Table1215[[#This Row],[Column2]],Table12[[Column2]:[Column54]],48,FALSE),"0")</f>
        <v>0</v>
      </c>
      <c r="AX135" s="61">
        <f>IFERROR(VLOOKUP(Table1215[[#This Row],[Column2]],Table12[[Column2]:[Column54]],49,FALSE),"0")</f>
        <v>0</v>
      </c>
      <c r="AY135" s="61">
        <f>IFERROR(VLOOKUP(Table1215[[#This Row],[Column2]],Table12[[Column2]:[Column54]],50,FALSE),"0")</f>
        <v>0</v>
      </c>
      <c r="AZ135" s="61">
        <f>IFERROR(VLOOKUP(Table1215[[#This Row],[Column2]],Table12[[Column2]:[Column54]],51,FALSE),"0")</f>
        <v>2</v>
      </c>
      <c r="BA135" s="61">
        <f>IFERROR(VLOOKUP(Table1215[[#This Row],[Column2]],Table12[[Column2]:[Column54]],52,FALSE),"0")</f>
        <v>4</v>
      </c>
      <c r="BB135" s="67">
        <f>AVERAGE(Table1215[[#This Row],[Column52]],Table1215[[#This Row],[Column53]])</f>
        <v>3</v>
      </c>
    </row>
    <row r="136" spans="1:54" ht="23.1" customHeight="1" x14ac:dyDescent="0.3">
      <c r="A136" s="86">
        <v>133</v>
      </c>
      <c r="B136" s="63" t="s">
        <v>85</v>
      </c>
      <c r="C136" s="64" t="s">
        <v>86</v>
      </c>
      <c r="D136" s="63" t="s">
        <v>450</v>
      </c>
      <c r="E136" s="63" t="s">
        <v>35</v>
      </c>
      <c r="F136" s="63" t="str">
        <f>REPT(CHAR(160),10)&amp;Working!$E137</f>
        <v>          A</v>
      </c>
      <c r="G136" s="65">
        <f>IFERROR(VLOOKUP(Table1215[[#This Row],[Column2]],Table12[[Column2]:[Column54]],6,FALSE),"0")</f>
        <v>0</v>
      </c>
      <c r="H136" s="65">
        <f>IFERROR(VLOOKUP(Table1215[[#This Row],[Column2]],Table12[[Column2]:[Column54]],7,FALSE),"0")</f>
        <v>0</v>
      </c>
      <c r="I136" s="65">
        <f>IFERROR(VLOOKUP(Table1215[[#This Row],[Column2]],Table12[[Column2]:[Column54]],8,FALSE),"0")</f>
        <v>3</v>
      </c>
      <c r="J136" s="65">
        <f>IFERROR(VLOOKUP(Table1215[[#This Row],[Column2]],Table12[[Column2]:[Column54]],9,FALSE),"0")</f>
        <v>0</v>
      </c>
      <c r="K136" s="65">
        <f>IFERROR(VLOOKUP(Table1215[[#This Row],[Column2]],Table12[[Column2]:[Column54]],10,FALSE),"0")</f>
        <v>0</v>
      </c>
      <c r="L136" s="67">
        <f>Table1215[[#This Row],[Column9]]</f>
        <v>3</v>
      </c>
      <c r="M136" s="65">
        <f>IFERROR(VLOOKUP(Table1215[[#This Row],[Column2]],Table12[[Column2]:[Column54]],12,FALSE),"0")</f>
        <v>0</v>
      </c>
      <c r="N136" s="65">
        <f>IFERROR(VLOOKUP(Table1215[[#This Row],[Column2]],Table12[[Column2]:[Column54]],13,FALSE),"0")</f>
        <v>3</v>
      </c>
      <c r="O136" s="65">
        <f>IFERROR(VLOOKUP(Table1215[[#This Row],[Column2]],Table12[[Column2]:[Column54]],14,FALSE),"0")</f>
        <v>3</v>
      </c>
      <c r="P136" s="65">
        <f>IFERROR(VLOOKUP(Table1215[[#This Row],[Column2]],Table12[[Column2]:[Column54]],10,FALSE),"0")</f>
        <v>0</v>
      </c>
      <c r="Q136" s="65">
        <f>IFERROR(VLOOKUP(Table1215[[#This Row],[Column2]],Table12[[Column2]:[Column54]],16,FALSE),"0")</f>
        <v>3</v>
      </c>
      <c r="R136" s="67">
        <f>AVERAGE(Table1215[[#This Row],[Column14]],Table1215[[#This Row],[Column15]],Table1215[[#This Row],[Column17]])</f>
        <v>3</v>
      </c>
      <c r="S136" s="65">
        <f>IFERROR(VLOOKUP(Table1215[[#This Row],[Column2]],Table12[[Column2]:[Column54]],18,FALSE),"0")</f>
        <v>0</v>
      </c>
      <c r="T136" s="65">
        <f>IFERROR(VLOOKUP(Table1215[[#This Row],[Column2]],Table12[[Column2]:[Column54]],19,FALSE),"0")</f>
        <v>0</v>
      </c>
      <c r="U136" s="65">
        <f>IFERROR(VLOOKUP(Table1215[[#This Row],[Column2]],Table12[[Column2]:[Column54]],20,FALSE),"0")</f>
        <v>0</v>
      </c>
      <c r="V136" s="65">
        <f>IFERROR(VLOOKUP(Table1215[[#This Row],[Column2]],Table12[[Column2]:[Column54]],21,FALSE),"0")</f>
        <v>0</v>
      </c>
      <c r="W136" s="65">
        <f>IFERROR(VLOOKUP(Table1215[[#This Row],[Column2]],Table12[[Column2]:[Column54]],22,FALSE),"0")</f>
        <v>0</v>
      </c>
      <c r="X136" s="67">
        <f>Table1215[[#This Row],[Column19]]</f>
        <v>0</v>
      </c>
      <c r="Y136" s="65">
        <f>IFERROR(VLOOKUP(Table1215[[#This Row],[Column2]],Table12[[Column2]:[Column54]],24,FALSE),"0")</f>
        <v>4</v>
      </c>
      <c r="Z136" s="65">
        <f>IFERROR(VLOOKUP(Table1215[[#This Row],[Column2]],Table12[[Column2]:[Column54]],25,FALSE),"0")</f>
        <v>0</v>
      </c>
      <c r="AA136" s="65">
        <f>IFERROR(VLOOKUP(Table1215[[#This Row],[Column2]],Table12[[Column2]:[Column54]],26,FALSE),"0")</f>
        <v>0</v>
      </c>
      <c r="AB136" s="65">
        <f>IFERROR(VLOOKUP(Table1215[[#This Row],[Column2]],Table12[[Column2]:[Column54]],27,FALSE),"0")</f>
        <v>0</v>
      </c>
      <c r="AC136" s="65">
        <f>IFERROR(VLOOKUP(Table1215[[#This Row],[Column2]],Table12[[Column2]:[Column54]],28,FALSE),"0")</f>
        <v>0</v>
      </c>
      <c r="AD136" s="67">
        <f>Table1215[[#This Row],[Column25]]</f>
        <v>4</v>
      </c>
      <c r="AE136" s="65">
        <f>IFERROR(VLOOKUP(Table1215[[#This Row],[Column2]],Table12[[Column2]:[Column54]],30,FALSE),"0")</f>
        <v>0</v>
      </c>
      <c r="AF136" s="65">
        <f>IFERROR(VLOOKUP(Table1215[[#This Row],[Column2]],Table12[[Column2]:[Column54]],31,FALSE),"0")</f>
        <v>0</v>
      </c>
      <c r="AG136" s="65">
        <f>IFERROR(VLOOKUP(Table1215[[#This Row],[Column2]],Table12[[Column2]:[Column54]],32,FALSE),"0")</f>
        <v>0</v>
      </c>
      <c r="AH136" s="65">
        <f>IFERROR(VLOOKUP(Table1215[[#This Row],[Column2]],Table12[[Column2]:[Column54]],33,FALSE),"0")</f>
        <v>0</v>
      </c>
      <c r="AI136" s="65">
        <f>IFERROR(VLOOKUP(Table1215[[#This Row],[Column2]],Table12[[Column2]:[Column54]],34,FALSE),"0")</f>
        <v>0</v>
      </c>
      <c r="AJ136" s="67">
        <f>AVERAGE(Table1215[[#This Row],[Column31]],Table1215[[#This Row],[Column32]],Table1215[[#This Row],[Column33]])</f>
        <v>0</v>
      </c>
      <c r="AK136" s="65">
        <f>IFERROR(VLOOKUP(Table1215[[#This Row],[Column2]],Table12[[Column2]:[Column54]],36,FALSE),"0")</f>
        <v>2</v>
      </c>
      <c r="AL136" s="65">
        <f>IFERROR(VLOOKUP(Table1215[[#This Row],[Column2]],Table12[[Column2]:[Column54]],37,FALSE),"0")</f>
        <v>1</v>
      </c>
      <c r="AM136" s="65">
        <f>IFERROR(VLOOKUP(Table1215[[#This Row],[Column2]],Table12[[Column2]:[Column54]],38,FALSE),"0")</f>
        <v>0</v>
      </c>
      <c r="AN136" s="65">
        <f>IFERROR(VLOOKUP(Table1215[[#This Row],[Column2]],Table12[[Column2]:[Column54]],39,FALSE),"0")</f>
        <v>3</v>
      </c>
      <c r="AO136" s="65">
        <f>IFERROR(VLOOKUP(Table1215[[#This Row],[Column2]],Table12[[Column2]:[Column54]],40,FALSE),"0")</f>
        <v>0</v>
      </c>
      <c r="AP136" s="67">
        <f>AVERAGE(Table1215[[#This Row],[Column37]],Table1215[[#This Row],[Column38]],Table1215[[#This Row],[Column40]])</f>
        <v>2</v>
      </c>
      <c r="AQ136" s="65">
        <f>IFERROR(VLOOKUP(Table1215[[#This Row],[Column2]],Table12[[Column2]:[Column54]],42,FALSE),"0")</f>
        <v>2</v>
      </c>
      <c r="AR136" s="65">
        <f>IFERROR(VLOOKUP(Table1215[[#This Row],[Column2]],Table12[[Column2]:[Column54]],43,FALSE),"0")</f>
        <v>0</v>
      </c>
      <c r="AS136" s="65">
        <f>IFERROR(VLOOKUP(Table1215[[#This Row],[Column2]],Table12[[Column2]:[Column54]],44,FALSE),"0")</f>
        <v>0</v>
      </c>
      <c r="AT136" s="65">
        <f>IFERROR(VLOOKUP(Table1215[[#This Row],[Column2]],Table12[[Column2]:[Column54]],45,FALSE),"0")</f>
        <v>0</v>
      </c>
      <c r="AU136" s="65">
        <f>IFERROR(VLOOKUP(Table1215[[#This Row],[Column2]],Table12[[Column2]:[Column54]],46,FALSE),"0")</f>
        <v>0</v>
      </c>
      <c r="AV136" s="67">
        <f>Table1215[[#This Row],[Column43]]</f>
        <v>2</v>
      </c>
      <c r="AW136" s="65">
        <f>IFERROR(VLOOKUP(Table1215[[#This Row],[Column2]],Table12[[Column2]:[Column54]],48,FALSE),"0")</f>
        <v>0</v>
      </c>
      <c r="AX136" s="65">
        <f>IFERROR(VLOOKUP(Table1215[[#This Row],[Column2]],Table12[[Column2]:[Column54]],49,FALSE),"0")</f>
        <v>0</v>
      </c>
      <c r="AY136" s="65">
        <f>IFERROR(VLOOKUP(Table1215[[#This Row],[Column2]],Table12[[Column2]:[Column54]],50,FALSE),"0")</f>
        <v>0</v>
      </c>
      <c r="AZ136" s="65">
        <f>IFERROR(VLOOKUP(Table1215[[#This Row],[Column2]],Table12[[Column2]:[Column54]],51,FALSE),"0")</f>
        <v>3</v>
      </c>
      <c r="BA136" s="65">
        <f>IFERROR(VLOOKUP(Table1215[[#This Row],[Column2]],Table12[[Column2]:[Column54]],52,FALSE),"0")</f>
        <v>3</v>
      </c>
      <c r="BB136" s="67">
        <f>AVERAGE(Table1215[[#This Row],[Column52]],Table1215[[#This Row],[Column53]])</f>
        <v>3</v>
      </c>
    </row>
    <row r="137" spans="1:54" ht="23.1" customHeight="1" x14ac:dyDescent="0.3">
      <c r="A137" s="87">
        <v>134</v>
      </c>
      <c r="B137" s="70" t="s">
        <v>253</v>
      </c>
      <c r="C137" s="71" t="s">
        <v>254</v>
      </c>
      <c r="D137" s="70" t="s">
        <v>450</v>
      </c>
      <c r="E137" s="70" t="s">
        <v>161</v>
      </c>
      <c r="F137" s="70" t="str">
        <f>REPT(CHAR(160),10)&amp;Working!$E138</f>
        <v>          B</v>
      </c>
      <c r="G137" s="61">
        <f>IFERROR(VLOOKUP(Table1215[[#This Row],[Column2]],Table12[[Column2]:[Column54]],6,FALSE),"0")</f>
        <v>0</v>
      </c>
      <c r="H137" s="61">
        <f>IFERROR(VLOOKUP(Table1215[[#This Row],[Column2]],Table12[[Column2]:[Column54]],7,FALSE),"0")</f>
        <v>0</v>
      </c>
      <c r="I137" s="61">
        <f>IFERROR(VLOOKUP(Table1215[[#This Row],[Column2]],Table12[[Column2]:[Column54]],8,FALSE),"0")</f>
        <v>2</v>
      </c>
      <c r="J137" s="61">
        <f>IFERROR(VLOOKUP(Table1215[[#This Row],[Column2]],Table12[[Column2]:[Column54]],9,FALSE),"0")</f>
        <v>0</v>
      </c>
      <c r="K137" s="61">
        <f>IFERROR(VLOOKUP(Table1215[[#This Row],[Column2]],Table12[[Column2]:[Column54]],10,FALSE),"0")</f>
        <v>0</v>
      </c>
      <c r="L137" s="67">
        <f>Table1215[[#This Row],[Column9]]</f>
        <v>2</v>
      </c>
      <c r="M137" s="61">
        <f>IFERROR(VLOOKUP(Table1215[[#This Row],[Column2]],Table12[[Column2]:[Column54]],12,FALSE),"0")</f>
        <v>0</v>
      </c>
      <c r="N137" s="61">
        <f>IFERROR(VLOOKUP(Table1215[[#This Row],[Column2]],Table12[[Column2]:[Column54]],13,FALSE),"0")</f>
        <v>2</v>
      </c>
      <c r="O137" s="61">
        <f>IFERROR(VLOOKUP(Table1215[[#This Row],[Column2]],Table12[[Column2]:[Column54]],14,FALSE),"0")</f>
        <v>2</v>
      </c>
      <c r="P137" s="61">
        <f>IFERROR(VLOOKUP(Table1215[[#This Row],[Column2]],Table12[[Column2]:[Column54]],10,FALSE),"0")</f>
        <v>0</v>
      </c>
      <c r="Q137" s="61">
        <f>IFERROR(VLOOKUP(Table1215[[#This Row],[Column2]],Table12[[Column2]:[Column54]],16,FALSE),"0")</f>
        <v>2</v>
      </c>
      <c r="R137" s="67">
        <f>AVERAGE(Table1215[[#This Row],[Column14]],Table1215[[#This Row],[Column15]],Table1215[[#This Row],[Column17]])</f>
        <v>2</v>
      </c>
      <c r="S137" s="61">
        <f>IFERROR(VLOOKUP(Table1215[[#This Row],[Column2]],Table12[[Column2]:[Column54]],18,FALSE),"0")</f>
        <v>0</v>
      </c>
      <c r="T137" s="61">
        <f>IFERROR(VLOOKUP(Table1215[[#This Row],[Column2]],Table12[[Column2]:[Column54]],19,FALSE),"0")</f>
        <v>0</v>
      </c>
      <c r="U137" s="61">
        <f>IFERROR(VLOOKUP(Table1215[[#This Row],[Column2]],Table12[[Column2]:[Column54]],20,FALSE),"0")</f>
        <v>0</v>
      </c>
      <c r="V137" s="61">
        <f>IFERROR(VLOOKUP(Table1215[[#This Row],[Column2]],Table12[[Column2]:[Column54]],21,FALSE),"0")</f>
        <v>0</v>
      </c>
      <c r="W137" s="61">
        <f>IFERROR(VLOOKUP(Table1215[[#This Row],[Column2]],Table12[[Column2]:[Column54]],22,FALSE),"0")</f>
        <v>0</v>
      </c>
      <c r="X137" s="67">
        <f>Table1215[[#This Row],[Column19]]</f>
        <v>0</v>
      </c>
      <c r="Y137" s="61">
        <f>IFERROR(VLOOKUP(Table1215[[#This Row],[Column2]],Table12[[Column2]:[Column54]],24,FALSE),"0")</f>
        <v>1</v>
      </c>
      <c r="Z137" s="61">
        <f>IFERROR(VLOOKUP(Table1215[[#This Row],[Column2]],Table12[[Column2]:[Column54]],25,FALSE),"0")</f>
        <v>0</v>
      </c>
      <c r="AA137" s="61">
        <f>IFERROR(VLOOKUP(Table1215[[#This Row],[Column2]],Table12[[Column2]:[Column54]],26,FALSE),"0")</f>
        <v>0</v>
      </c>
      <c r="AB137" s="61">
        <f>IFERROR(VLOOKUP(Table1215[[#This Row],[Column2]],Table12[[Column2]:[Column54]],27,FALSE),"0")</f>
        <v>0</v>
      </c>
      <c r="AC137" s="61">
        <f>IFERROR(VLOOKUP(Table1215[[#This Row],[Column2]],Table12[[Column2]:[Column54]],28,FALSE),"0")</f>
        <v>0</v>
      </c>
      <c r="AD137" s="67">
        <f>Table1215[[#This Row],[Column25]]</f>
        <v>1</v>
      </c>
      <c r="AE137" s="61">
        <f>IFERROR(VLOOKUP(Table1215[[#This Row],[Column2]],Table12[[Column2]:[Column54]],30,FALSE),"0")</f>
        <v>0</v>
      </c>
      <c r="AF137" s="61">
        <f>IFERROR(VLOOKUP(Table1215[[#This Row],[Column2]],Table12[[Column2]:[Column54]],31,FALSE),"0")</f>
        <v>0</v>
      </c>
      <c r="AG137" s="61">
        <f>IFERROR(VLOOKUP(Table1215[[#This Row],[Column2]],Table12[[Column2]:[Column54]],32,FALSE),"0")</f>
        <v>0</v>
      </c>
      <c r="AH137" s="61">
        <f>IFERROR(VLOOKUP(Table1215[[#This Row],[Column2]],Table12[[Column2]:[Column54]],33,FALSE),"0")</f>
        <v>0</v>
      </c>
      <c r="AI137" s="61">
        <f>IFERROR(VLOOKUP(Table1215[[#This Row],[Column2]],Table12[[Column2]:[Column54]],34,FALSE),"0")</f>
        <v>0</v>
      </c>
      <c r="AJ137" s="67">
        <f>AVERAGE(Table1215[[#This Row],[Column31]],Table1215[[#This Row],[Column32]],Table1215[[#This Row],[Column33]])</f>
        <v>0</v>
      </c>
      <c r="AK137" s="61">
        <f>IFERROR(VLOOKUP(Table1215[[#This Row],[Column2]],Table12[[Column2]:[Column54]],36,FALSE),"0")</f>
        <v>2</v>
      </c>
      <c r="AL137" s="61">
        <f>IFERROR(VLOOKUP(Table1215[[#This Row],[Column2]],Table12[[Column2]:[Column54]],37,FALSE),"0")</f>
        <v>2</v>
      </c>
      <c r="AM137" s="61">
        <f>IFERROR(VLOOKUP(Table1215[[#This Row],[Column2]],Table12[[Column2]:[Column54]],38,FALSE),"0")</f>
        <v>0</v>
      </c>
      <c r="AN137" s="61">
        <f>IFERROR(VLOOKUP(Table1215[[#This Row],[Column2]],Table12[[Column2]:[Column54]],39,FALSE),"0")</f>
        <v>2</v>
      </c>
      <c r="AO137" s="61">
        <f>IFERROR(VLOOKUP(Table1215[[#This Row],[Column2]],Table12[[Column2]:[Column54]],40,FALSE),"0")</f>
        <v>0</v>
      </c>
      <c r="AP137" s="67">
        <f>AVERAGE(Table1215[[#This Row],[Column37]],Table1215[[#This Row],[Column38]],Table1215[[#This Row],[Column40]])</f>
        <v>2</v>
      </c>
      <c r="AQ137" s="61">
        <f>IFERROR(VLOOKUP(Table1215[[#This Row],[Column2]],Table12[[Column2]:[Column54]],42,FALSE),"0")</f>
        <v>1</v>
      </c>
      <c r="AR137" s="61">
        <f>IFERROR(VLOOKUP(Table1215[[#This Row],[Column2]],Table12[[Column2]:[Column54]],43,FALSE),"0")</f>
        <v>0</v>
      </c>
      <c r="AS137" s="61">
        <f>IFERROR(VLOOKUP(Table1215[[#This Row],[Column2]],Table12[[Column2]:[Column54]],44,FALSE),"0")</f>
        <v>0</v>
      </c>
      <c r="AT137" s="61">
        <f>IFERROR(VLOOKUP(Table1215[[#This Row],[Column2]],Table12[[Column2]:[Column54]],45,FALSE),"0")</f>
        <v>0</v>
      </c>
      <c r="AU137" s="61">
        <f>IFERROR(VLOOKUP(Table1215[[#This Row],[Column2]],Table12[[Column2]:[Column54]],46,FALSE),"0")</f>
        <v>0</v>
      </c>
      <c r="AV137" s="67">
        <f>Table1215[[#This Row],[Column43]]</f>
        <v>1</v>
      </c>
      <c r="AW137" s="61">
        <f>IFERROR(VLOOKUP(Table1215[[#This Row],[Column2]],Table12[[Column2]:[Column54]],48,FALSE),"0")</f>
        <v>0</v>
      </c>
      <c r="AX137" s="61">
        <f>IFERROR(VLOOKUP(Table1215[[#This Row],[Column2]],Table12[[Column2]:[Column54]],49,FALSE),"0")</f>
        <v>0</v>
      </c>
      <c r="AY137" s="61">
        <f>IFERROR(VLOOKUP(Table1215[[#This Row],[Column2]],Table12[[Column2]:[Column54]],50,FALSE),"0")</f>
        <v>0</v>
      </c>
      <c r="AZ137" s="61">
        <f>IFERROR(VLOOKUP(Table1215[[#This Row],[Column2]],Table12[[Column2]:[Column54]],51,FALSE),"0")</f>
        <v>2</v>
      </c>
      <c r="BA137" s="61">
        <f>IFERROR(VLOOKUP(Table1215[[#This Row],[Column2]],Table12[[Column2]:[Column54]],52,FALSE),"0")</f>
        <v>2</v>
      </c>
      <c r="BB137" s="67">
        <f>AVERAGE(Table1215[[#This Row],[Column52]],Table1215[[#This Row],[Column53]])</f>
        <v>2</v>
      </c>
    </row>
    <row r="138" spans="1:54" ht="23.1" customHeight="1" x14ac:dyDescent="0.3">
      <c r="A138" s="86">
        <v>135</v>
      </c>
      <c r="B138" s="63" t="s">
        <v>370</v>
      </c>
      <c r="C138" s="64" t="s">
        <v>371</v>
      </c>
      <c r="D138" s="63" t="s">
        <v>450</v>
      </c>
      <c r="E138" s="63" t="s">
        <v>493</v>
      </c>
      <c r="F138" s="63" t="str">
        <f>REPT(CHAR(160),10)&amp;Working!$E139</f>
        <v>          C</v>
      </c>
      <c r="G138" s="65">
        <f>IFERROR(VLOOKUP(Table1215[[#This Row],[Column2]],Table12[[Column2]:[Column54]],6,FALSE),"0")</f>
        <v>0</v>
      </c>
      <c r="H138" s="65">
        <f>IFERROR(VLOOKUP(Table1215[[#This Row],[Column2]],Table12[[Column2]:[Column54]],7,FALSE),"0")</f>
        <v>0</v>
      </c>
      <c r="I138" s="65">
        <f>IFERROR(VLOOKUP(Table1215[[#This Row],[Column2]],Table12[[Column2]:[Column54]],8,FALSE),"0")</f>
        <v>3</v>
      </c>
      <c r="J138" s="65">
        <f>IFERROR(VLOOKUP(Table1215[[#This Row],[Column2]],Table12[[Column2]:[Column54]],9,FALSE),"0")</f>
        <v>0</v>
      </c>
      <c r="K138" s="65">
        <f>IFERROR(VLOOKUP(Table1215[[#This Row],[Column2]],Table12[[Column2]:[Column54]],10,FALSE),"0")</f>
        <v>0</v>
      </c>
      <c r="L138" s="67">
        <f>Table1215[[#This Row],[Column9]]</f>
        <v>3</v>
      </c>
      <c r="M138" s="65">
        <f>IFERROR(VLOOKUP(Table1215[[#This Row],[Column2]],Table12[[Column2]:[Column54]],12,FALSE),"0")</f>
        <v>0</v>
      </c>
      <c r="N138" s="65">
        <f>IFERROR(VLOOKUP(Table1215[[#This Row],[Column2]],Table12[[Column2]:[Column54]],13,FALSE),"0")</f>
        <v>4</v>
      </c>
      <c r="O138" s="65">
        <f>IFERROR(VLOOKUP(Table1215[[#This Row],[Column2]],Table12[[Column2]:[Column54]],14,FALSE),"0")</f>
        <v>4</v>
      </c>
      <c r="P138" s="65">
        <f>IFERROR(VLOOKUP(Table1215[[#This Row],[Column2]],Table12[[Column2]:[Column54]],10,FALSE),"0")</f>
        <v>0</v>
      </c>
      <c r="Q138" s="65">
        <f>IFERROR(VLOOKUP(Table1215[[#This Row],[Column2]],Table12[[Column2]:[Column54]],16,FALSE),"0")</f>
        <v>4</v>
      </c>
      <c r="R138" s="67">
        <f>AVERAGE(Table1215[[#This Row],[Column14]],Table1215[[#This Row],[Column15]],Table1215[[#This Row],[Column17]])</f>
        <v>4</v>
      </c>
      <c r="S138" s="65">
        <f>IFERROR(VLOOKUP(Table1215[[#This Row],[Column2]],Table12[[Column2]:[Column54]],18,FALSE),"0")</f>
        <v>0</v>
      </c>
      <c r="T138" s="65">
        <f>IFERROR(VLOOKUP(Table1215[[#This Row],[Column2]],Table12[[Column2]:[Column54]],19,FALSE),"0")</f>
        <v>0</v>
      </c>
      <c r="U138" s="65">
        <f>IFERROR(VLOOKUP(Table1215[[#This Row],[Column2]],Table12[[Column2]:[Column54]],20,FALSE),"0")</f>
        <v>0</v>
      </c>
      <c r="V138" s="65">
        <f>IFERROR(VLOOKUP(Table1215[[#This Row],[Column2]],Table12[[Column2]:[Column54]],21,FALSE),"0")</f>
        <v>0</v>
      </c>
      <c r="W138" s="65">
        <f>IFERROR(VLOOKUP(Table1215[[#This Row],[Column2]],Table12[[Column2]:[Column54]],22,FALSE),"0")</f>
        <v>0</v>
      </c>
      <c r="X138" s="67">
        <f>Table1215[[#This Row],[Column19]]</f>
        <v>0</v>
      </c>
      <c r="Y138" s="65">
        <f>IFERROR(VLOOKUP(Table1215[[#This Row],[Column2]],Table12[[Column2]:[Column54]],24,FALSE),"0")</f>
        <v>4</v>
      </c>
      <c r="Z138" s="65">
        <f>IFERROR(VLOOKUP(Table1215[[#This Row],[Column2]],Table12[[Column2]:[Column54]],25,FALSE),"0")</f>
        <v>0</v>
      </c>
      <c r="AA138" s="65">
        <f>IFERROR(VLOOKUP(Table1215[[#This Row],[Column2]],Table12[[Column2]:[Column54]],26,FALSE),"0")</f>
        <v>0</v>
      </c>
      <c r="AB138" s="65">
        <f>IFERROR(VLOOKUP(Table1215[[#This Row],[Column2]],Table12[[Column2]:[Column54]],27,FALSE),"0")</f>
        <v>0</v>
      </c>
      <c r="AC138" s="65">
        <f>IFERROR(VLOOKUP(Table1215[[#This Row],[Column2]],Table12[[Column2]:[Column54]],28,FALSE),"0")</f>
        <v>0</v>
      </c>
      <c r="AD138" s="67">
        <f>Table1215[[#This Row],[Column25]]</f>
        <v>4</v>
      </c>
      <c r="AE138" s="65">
        <f>IFERROR(VLOOKUP(Table1215[[#This Row],[Column2]],Table12[[Column2]:[Column54]],30,FALSE),"0")</f>
        <v>0</v>
      </c>
      <c r="AF138" s="65">
        <f>IFERROR(VLOOKUP(Table1215[[#This Row],[Column2]],Table12[[Column2]:[Column54]],31,FALSE),"0")</f>
        <v>0</v>
      </c>
      <c r="AG138" s="65">
        <f>IFERROR(VLOOKUP(Table1215[[#This Row],[Column2]],Table12[[Column2]:[Column54]],32,FALSE),"0")</f>
        <v>0</v>
      </c>
      <c r="AH138" s="65">
        <f>IFERROR(VLOOKUP(Table1215[[#This Row],[Column2]],Table12[[Column2]:[Column54]],33,FALSE),"0")</f>
        <v>0</v>
      </c>
      <c r="AI138" s="65">
        <f>IFERROR(VLOOKUP(Table1215[[#This Row],[Column2]],Table12[[Column2]:[Column54]],34,FALSE),"0")</f>
        <v>0</v>
      </c>
      <c r="AJ138" s="67">
        <f>AVERAGE(Table1215[[#This Row],[Column31]],Table1215[[#This Row],[Column32]],Table1215[[#This Row],[Column33]])</f>
        <v>0</v>
      </c>
      <c r="AK138" s="65">
        <f>IFERROR(VLOOKUP(Table1215[[#This Row],[Column2]],Table12[[Column2]:[Column54]],36,FALSE),"0")</f>
        <v>4</v>
      </c>
      <c r="AL138" s="65">
        <f>IFERROR(VLOOKUP(Table1215[[#This Row],[Column2]],Table12[[Column2]:[Column54]],37,FALSE),"0")</f>
        <v>2</v>
      </c>
      <c r="AM138" s="65">
        <f>IFERROR(VLOOKUP(Table1215[[#This Row],[Column2]],Table12[[Column2]:[Column54]],38,FALSE),"0")</f>
        <v>0</v>
      </c>
      <c r="AN138" s="65">
        <f>IFERROR(VLOOKUP(Table1215[[#This Row],[Column2]],Table12[[Column2]:[Column54]],39,FALSE),"0")</f>
        <v>2</v>
      </c>
      <c r="AO138" s="65">
        <f>IFERROR(VLOOKUP(Table1215[[#This Row],[Column2]],Table12[[Column2]:[Column54]],40,FALSE),"0")</f>
        <v>0</v>
      </c>
      <c r="AP138" s="67">
        <f>AVERAGE(Table1215[[#This Row],[Column37]],Table1215[[#This Row],[Column38]],Table1215[[#This Row],[Column40]])</f>
        <v>2.6666666666666665</v>
      </c>
      <c r="AQ138" s="65">
        <f>IFERROR(VLOOKUP(Table1215[[#This Row],[Column2]],Table12[[Column2]:[Column54]],42,FALSE),"0")</f>
        <v>1</v>
      </c>
      <c r="AR138" s="65">
        <f>IFERROR(VLOOKUP(Table1215[[#This Row],[Column2]],Table12[[Column2]:[Column54]],43,FALSE),"0")</f>
        <v>0</v>
      </c>
      <c r="AS138" s="65">
        <f>IFERROR(VLOOKUP(Table1215[[#This Row],[Column2]],Table12[[Column2]:[Column54]],44,FALSE),"0")</f>
        <v>0</v>
      </c>
      <c r="AT138" s="65">
        <f>IFERROR(VLOOKUP(Table1215[[#This Row],[Column2]],Table12[[Column2]:[Column54]],45,FALSE),"0")</f>
        <v>0</v>
      </c>
      <c r="AU138" s="65">
        <f>IFERROR(VLOOKUP(Table1215[[#This Row],[Column2]],Table12[[Column2]:[Column54]],46,FALSE),"0")</f>
        <v>0</v>
      </c>
      <c r="AV138" s="67">
        <f>Table1215[[#This Row],[Column43]]</f>
        <v>1</v>
      </c>
      <c r="AW138" s="65">
        <f>IFERROR(VLOOKUP(Table1215[[#This Row],[Column2]],Table12[[Column2]:[Column54]],48,FALSE),"0")</f>
        <v>0</v>
      </c>
      <c r="AX138" s="65">
        <f>IFERROR(VLOOKUP(Table1215[[#This Row],[Column2]],Table12[[Column2]:[Column54]],49,FALSE),"0")</f>
        <v>0</v>
      </c>
      <c r="AY138" s="65">
        <f>IFERROR(VLOOKUP(Table1215[[#This Row],[Column2]],Table12[[Column2]:[Column54]],50,FALSE),"0")</f>
        <v>0</v>
      </c>
      <c r="AZ138" s="65">
        <f>IFERROR(VLOOKUP(Table1215[[#This Row],[Column2]],Table12[[Column2]:[Column54]],51,FALSE),"0")</f>
        <v>3</v>
      </c>
      <c r="BA138" s="65">
        <f>IFERROR(VLOOKUP(Table1215[[#This Row],[Column2]],Table12[[Column2]:[Column54]],52,FALSE),"0")</f>
        <v>4</v>
      </c>
      <c r="BB138" s="67">
        <f>AVERAGE(Table1215[[#This Row],[Column52]],Table1215[[#This Row],[Column53]])</f>
        <v>3.5</v>
      </c>
    </row>
    <row r="139" spans="1:54" ht="23.1" customHeight="1" x14ac:dyDescent="0.3">
      <c r="A139" s="87">
        <v>136</v>
      </c>
      <c r="B139" s="70" t="s">
        <v>372</v>
      </c>
      <c r="C139" s="71" t="s">
        <v>373</v>
      </c>
      <c r="D139" s="70" t="s">
        <v>542</v>
      </c>
      <c r="E139" s="70" t="s">
        <v>493</v>
      </c>
      <c r="F139" s="70" t="str">
        <f>REPT(CHAR(160),10)&amp;Working!$E140</f>
        <v>          C</v>
      </c>
      <c r="G139" s="61">
        <f>IFERROR(VLOOKUP(Table1215[[#This Row],[Column2]],Table12[[Column2]:[Column54]],6,FALSE),"0")</f>
        <v>0</v>
      </c>
      <c r="H139" s="61">
        <f>IFERROR(VLOOKUP(Table1215[[#This Row],[Column2]],Table12[[Column2]:[Column54]],7,FALSE),"0")</f>
        <v>0</v>
      </c>
      <c r="I139" s="61">
        <f>IFERROR(VLOOKUP(Table1215[[#This Row],[Column2]],Table12[[Column2]:[Column54]],8,FALSE),"0")</f>
        <v>3</v>
      </c>
      <c r="J139" s="61">
        <f>IFERROR(VLOOKUP(Table1215[[#This Row],[Column2]],Table12[[Column2]:[Column54]],9,FALSE),"0")</f>
        <v>0</v>
      </c>
      <c r="K139" s="61">
        <f>IFERROR(VLOOKUP(Table1215[[#This Row],[Column2]],Table12[[Column2]:[Column54]],10,FALSE),"0")</f>
        <v>0</v>
      </c>
      <c r="L139" s="67">
        <f>Table1215[[#This Row],[Column9]]</f>
        <v>3</v>
      </c>
      <c r="M139" s="61">
        <f>IFERROR(VLOOKUP(Table1215[[#This Row],[Column2]],Table12[[Column2]:[Column54]],12,FALSE),"0")</f>
        <v>0</v>
      </c>
      <c r="N139" s="61">
        <f>IFERROR(VLOOKUP(Table1215[[#This Row],[Column2]],Table12[[Column2]:[Column54]],13,FALSE),"0")</f>
        <v>5</v>
      </c>
      <c r="O139" s="61">
        <f>IFERROR(VLOOKUP(Table1215[[#This Row],[Column2]],Table12[[Column2]:[Column54]],14,FALSE),"0")</f>
        <v>5</v>
      </c>
      <c r="P139" s="61">
        <f>IFERROR(VLOOKUP(Table1215[[#This Row],[Column2]],Table12[[Column2]:[Column54]],10,FALSE),"0")</f>
        <v>0</v>
      </c>
      <c r="Q139" s="61">
        <f>IFERROR(VLOOKUP(Table1215[[#This Row],[Column2]],Table12[[Column2]:[Column54]],16,FALSE),"0")</f>
        <v>5</v>
      </c>
      <c r="R139" s="67">
        <f>AVERAGE(Table1215[[#This Row],[Column14]],Table1215[[#This Row],[Column15]],Table1215[[#This Row],[Column17]])</f>
        <v>5</v>
      </c>
      <c r="S139" s="61">
        <f>IFERROR(VLOOKUP(Table1215[[#This Row],[Column2]],Table12[[Column2]:[Column54]],18,FALSE),"0")</f>
        <v>0</v>
      </c>
      <c r="T139" s="61">
        <f>IFERROR(VLOOKUP(Table1215[[#This Row],[Column2]],Table12[[Column2]:[Column54]],19,FALSE),"0")</f>
        <v>0</v>
      </c>
      <c r="U139" s="61">
        <f>IFERROR(VLOOKUP(Table1215[[#This Row],[Column2]],Table12[[Column2]:[Column54]],20,FALSE),"0")</f>
        <v>0</v>
      </c>
      <c r="V139" s="61">
        <f>IFERROR(VLOOKUP(Table1215[[#This Row],[Column2]],Table12[[Column2]:[Column54]],21,FALSE),"0")</f>
        <v>0</v>
      </c>
      <c r="W139" s="61">
        <f>IFERROR(VLOOKUP(Table1215[[#This Row],[Column2]],Table12[[Column2]:[Column54]],22,FALSE),"0")</f>
        <v>0</v>
      </c>
      <c r="X139" s="67">
        <f>Table1215[[#This Row],[Column19]]</f>
        <v>0</v>
      </c>
      <c r="Y139" s="61">
        <f>IFERROR(VLOOKUP(Table1215[[#This Row],[Column2]],Table12[[Column2]:[Column54]],24,FALSE),"0")</f>
        <v>5</v>
      </c>
      <c r="Z139" s="61">
        <f>IFERROR(VLOOKUP(Table1215[[#This Row],[Column2]],Table12[[Column2]:[Column54]],25,FALSE),"0")</f>
        <v>0</v>
      </c>
      <c r="AA139" s="61">
        <f>IFERROR(VLOOKUP(Table1215[[#This Row],[Column2]],Table12[[Column2]:[Column54]],26,FALSE),"0")</f>
        <v>0</v>
      </c>
      <c r="AB139" s="61">
        <f>IFERROR(VLOOKUP(Table1215[[#This Row],[Column2]],Table12[[Column2]:[Column54]],27,FALSE),"0")</f>
        <v>0</v>
      </c>
      <c r="AC139" s="61">
        <f>IFERROR(VLOOKUP(Table1215[[#This Row],[Column2]],Table12[[Column2]:[Column54]],28,FALSE),"0")</f>
        <v>0</v>
      </c>
      <c r="AD139" s="67">
        <f>Table1215[[#This Row],[Column25]]</f>
        <v>5</v>
      </c>
      <c r="AE139" s="61">
        <f>IFERROR(VLOOKUP(Table1215[[#This Row],[Column2]],Table12[[Column2]:[Column54]],30,FALSE),"0")</f>
        <v>0</v>
      </c>
      <c r="AF139" s="61">
        <f>IFERROR(VLOOKUP(Table1215[[#This Row],[Column2]],Table12[[Column2]:[Column54]],31,FALSE),"0")</f>
        <v>0</v>
      </c>
      <c r="AG139" s="61">
        <f>IFERROR(VLOOKUP(Table1215[[#This Row],[Column2]],Table12[[Column2]:[Column54]],32,FALSE),"0")</f>
        <v>0</v>
      </c>
      <c r="AH139" s="61">
        <f>IFERROR(VLOOKUP(Table1215[[#This Row],[Column2]],Table12[[Column2]:[Column54]],33,FALSE),"0")</f>
        <v>0</v>
      </c>
      <c r="AI139" s="61">
        <f>IFERROR(VLOOKUP(Table1215[[#This Row],[Column2]],Table12[[Column2]:[Column54]],34,FALSE),"0")</f>
        <v>0</v>
      </c>
      <c r="AJ139" s="67">
        <f>AVERAGE(Table1215[[#This Row],[Column31]],Table1215[[#This Row],[Column32]],Table1215[[#This Row],[Column33]])</f>
        <v>0</v>
      </c>
      <c r="AK139" s="61">
        <f>IFERROR(VLOOKUP(Table1215[[#This Row],[Column2]],Table12[[Column2]:[Column54]],36,FALSE),"0")</f>
        <v>3</v>
      </c>
      <c r="AL139" s="61">
        <f>IFERROR(VLOOKUP(Table1215[[#This Row],[Column2]],Table12[[Column2]:[Column54]],37,FALSE),"0")</f>
        <v>3</v>
      </c>
      <c r="AM139" s="61">
        <f>IFERROR(VLOOKUP(Table1215[[#This Row],[Column2]],Table12[[Column2]:[Column54]],38,FALSE),"0")</f>
        <v>0</v>
      </c>
      <c r="AN139" s="61">
        <f>IFERROR(VLOOKUP(Table1215[[#This Row],[Column2]],Table12[[Column2]:[Column54]],39,FALSE),"0")</f>
        <v>3</v>
      </c>
      <c r="AO139" s="61">
        <f>IFERROR(VLOOKUP(Table1215[[#This Row],[Column2]],Table12[[Column2]:[Column54]],40,FALSE),"0")</f>
        <v>0</v>
      </c>
      <c r="AP139" s="67">
        <f>AVERAGE(Table1215[[#This Row],[Column37]],Table1215[[#This Row],[Column38]],Table1215[[#This Row],[Column40]])</f>
        <v>3</v>
      </c>
      <c r="AQ139" s="61">
        <f>IFERROR(VLOOKUP(Table1215[[#This Row],[Column2]],Table12[[Column2]:[Column54]],42,FALSE),"0")</f>
        <v>3</v>
      </c>
      <c r="AR139" s="61">
        <f>IFERROR(VLOOKUP(Table1215[[#This Row],[Column2]],Table12[[Column2]:[Column54]],43,FALSE),"0")</f>
        <v>0</v>
      </c>
      <c r="AS139" s="61">
        <f>IFERROR(VLOOKUP(Table1215[[#This Row],[Column2]],Table12[[Column2]:[Column54]],44,FALSE),"0")</f>
        <v>0</v>
      </c>
      <c r="AT139" s="61">
        <f>IFERROR(VLOOKUP(Table1215[[#This Row],[Column2]],Table12[[Column2]:[Column54]],45,FALSE),"0")</f>
        <v>0</v>
      </c>
      <c r="AU139" s="61">
        <f>IFERROR(VLOOKUP(Table1215[[#This Row],[Column2]],Table12[[Column2]:[Column54]],46,FALSE),"0")</f>
        <v>0</v>
      </c>
      <c r="AV139" s="67">
        <f>Table1215[[#This Row],[Column43]]</f>
        <v>3</v>
      </c>
      <c r="AW139" s="61">
        <f>IFERROR(VLOOKUP(Table1215[[#This Row],[Column2]],Table12[[Column2]:[Column54]],48,FALSE),"0")</f>
        <v>0</v>
      </c>
      <c r="AX139" s="61">
        <f>IFERROR(VLOOKUP(Table1215[[#This Row],[Column2]],Table12[[Column2]:[Column54]],49,FALSE),"0")</f>
        <v>0</v>
      </c>
      <c r="AY139" s="61">
        <f>IFERROR(VLOOKUP(Table1215[[#This Row],[Column2]],Table12[[Column2]:[Column54]],50,FALSE),"0")</f>
        <v>0</v>
      </c>
      <c r="AZ139" s="61">
        <f>IFERROR(VLOOKUP(Table1215[[#This Row],[Column2]],Table12[[Column2]:[Column54]],51,FALSE),"0")</f>
        <v>3</v>
      </c>
      <c r="BA139" s="61">
        <f>IFERROR(VLOOKUP(Table1215[[#This Row],[Column2]],Table12[[Column2]:[Column54]],52,FALSE),"0")</f>
        <v>3</v>
      </c>
      <c r="BB139" s="67">
        <f>AVERAGE(Table1215[[#This Row],[Column52]],Table1215[[#This Row],[Column53]])</f>
        <v>3</v>
      </c>
    </row>
    <row r="140" spans="1:54" ht="23.1" customHeight="1" x14ac:dyDescent="0.3">
      <c r="A140" s="86">
        <v>137</v>
      </c>
      <c r="B140" s="63" t="s">
        <v>267</v>
      </c>
      <c r="C140" s="64" t="s">
        <v>268</v>
      </c>
      <c r="D140" s="63" t="s">
        <v>542</v>
      </c>
      <c r="E140" s="63" t="s">
        <v>161</v>
      </c>
      <c r="F140" s="63" t="str">
        <f>REPT(CHAR(160),10)&amp;Working!$E141</f>
        <v>          B</v>
      </c>
      <c r="G140" s="65">
        <f>IFERROR(VLOOKUP(Table1215[[#This Row],[Column2]],Table12[[Column2]:[Column54]],6,FALSE),"0")</f>
        <v>0</v>
      </c>
      <c r="H140" s="65">
        <f>IFERROR(VLOOKUP(Table1215[[#This Row],[Column2]],Table12[[Column2]:[Column54]],7,FALSE),"0")</f>
        <v>0</v>
      </c>
      <c r="I140" s="65">
        <f>IFERROR(VLOOKUP(Table1215[[#This Row],[Column2]],Table12[[Column2]:[Column54]],8,FALSE),"0")</f>
        <v>2</v>
      </c>
      <c r="J140" s="65">
        <f>IFERROR(VLOOKUP(Table1215[[#This Row],[Column2]],Table12[[Column2]:[Column54]],9,FALSE),"0")</f>
        <v>0</v>
      </c>
      <c r="K140" s="65">
        <f>IFERROR(VLOOKUP(Table1215[[#This Row],[Column2]],Table12[[Column2]:[Column54]],10,FALSE),"0")</f>
        <v>0</v>
      </c>
      <c r="L140" s="67">
        <f>Table1215[[#This Row],[Column9]]</f>
        <v>2</v>
      </c>
      <c r="M140" s="65">
        <f>IFERROR(VLOOKUP(Table1215[[#This Row],[Column2]],Table12[[Column2]:[Column54]],12,FALSE),"0")</f>
        <v>0</v>
      </c>
      <c r="N140" s="65">
        <f>IFERROR(VLOOKUP(Table1215[[#This Row],[Column2]],Table12[[Column2]:[Column54]],13,FALSE),"0")</f>
        <v>4</v>
      </c>
      <c r="O140" s="65">
        <f>IFERROR(VLOOKUP(Table1215[[#This Row],[Column2]],Table12[[Column2]:[Column54]],14,FALSE),"0")</f>
        <v>4</v>
      </c>
      <c r="P140" s="65">
        <f>IFERROR(VLOOKUP(Table1215[[#This Row],[Column2]],Table12[[Column2]:[Column54]],10,FALSE),"0")</f>
        <v>0</v>
      </c>
      <c r="Q140" s="65">
        <f>IFERROR(VLOOKUP(Table1215[[#This Row],[Column2]],Table12[[Column2]:[Column54]],16,FALSE),"0")</f>
        <v>4</v>
      </c>
      <c r="R140" s="67">
        <f>AVERAGE(Table1215[[#This Row],[Column14]],Table1215[[#This Row],[Column15]],Table1215[[#This Row],[Column17]])</f>
        <v>4</v>
      </c>
      <c r="S140" s="65">
        <f>IFERROR(VLOOKUP(Table1215[[#This Row],[Column2]],Table12[[Column2]:[Column54]],18,FALSE),"0")</f>
        <v>0</v>
      </c>
      <c r="T140" s="65">
        <f>IFERROR(VLOOKUP(Table1215[[#This Row],[Column2]],Table12[[Column2]:[Column54]],19,FALSE),"0")</f>
        <v>0</v>
      </c>
      <c r="U140" s="65">
        <f>IFERROR(VLOOKUP(Table1215[[#This Row],[Column2]],Table12[[Column2]:[Column54]],20,FALSE),"0")</f>
        <v>0</v>
      </c>
      <c r="V140" s="65">
        <f>IFERROR(VLOOKUP(Table1215[[#This Row],[Column2]],Table12[[Column2]:[Column54]],21,FALSE),"0")</f>
        <v>0</v>
      </c>
      <c r="W140" s="65">
        <f>IFERROR(VLOOKUP(Table1215[[#This Row],[Column2]],Table12[[Column2]:[Column54]],22,FALSE),"0")</f>
        <v>0</v>
      </c>
      <c r="X140" s="67">
        <f>Table1215[[#This Row],[Column19]]</f>
        <v>0</v>
      </c>
      <c r="Y140" s="65">
        <f>IFERROR(VLOOKUP(Table1215[[#This Row],[Column2]],Table12[[Column2]:[Column54]],24,FALSE),"0")</f>
        <v>4</v>
      </c>
      <c r="Z140" s="65">
        <f>IFERROR(VLOOKUP(Table1215[[#This Row],[Column2]],Table12[[Column2]:[Column54]],25,FALSE),"0")</f>
        <v>0</v>
      </c>
      <c r="AA140" s="65">
        <f>IFERROR(VLOOKUP(Table1215[[#This Row],[Column2]],Table12[[Column2]:[Column54]],26,FALSE),"0")</f>
        <v>0</v>
      </c>
      <c r="AB140" s="65">
        <f>IFERROR(VLOOKUP(Table1215[[#This Row],[Column2]],Table12[[Column2]:[Column54]],27,FALSE),"0")</f>
        <v>0</v>
      </c>
      <c r="AC140" s="65">
        <f>IFERROR(VLOOKUP(Table1215[[#This Row],[Column2]],Table12[[Column2]:[Column54]],28,FALSE),"0")</f>
        <v>0</v>
      </c>
      <c r="AD140" s="67">
        <f>Table1215[[#This Row],[Column25]]</f>
        <v>4</v>
      </c>
      <c r="AE140" s="65">
        <f>IFERROR(VLOOKUP(Table1215[[#This Row],[Column2]],Table12[[Column2]:[Column54]],30,FALSE),"0")</f>
        <v>0</v>
      </c>
      <c r="AF140" s="65">
        <f>IFERROR(VLOOKUP(Table1215[[#This Row],[Column2]],Table12[[Column2]:[Column54]],31,FALSE),"0")</f>
        <v>0</v>
      </c>
      <c r="AG140" s="65">
        <f>IFERROR(VLOOKUP(Table1215[[#This Row],[Column2]],Table12[[Column2]:[Column54]],32,FALSE),"0")</f>
        <v>0</v>
      </c>
      <c r="AH140" s="65">
        <f>IFERROR(VLOOKUP(Table1215[[#This Row],[Column2]],Table12[[Column2]:[Column54]],33,FALSE),"0")</f>
        <v>0</v>
      </c>
      <c r="AI140" s="65">
        <f>IFERROR(VLOOKUP(Table1215[[#This Row],[Column2]],Table12[[Column2]:[Column54]],34,FALSE),"0")</f>
        <v>0</v>
      </c>
      <c r="AJ140" s="67">
        <f>AVERAGE(Table1215[[#This Row],[Column31]],Table1215[[#This Row],[Column32]],Table1215[[#This Row],[Column33]])</f>
        <v>0</v>
      </c>
      <c r="AK140" s="65">
        <f>IFERROR(VLOOKUP(Table1215[[#This Row],[Column2]],Table12[[Column2]:[Column54]],36,FALSE),"0")</f>
        <v>3</v>
      </c>
      <c r="AL140" s="65">
        <f>IFERROR(VLOOKUP(Table1215[[#This Row],[Column2]],Table12[[Column2]:[Column54]],37,FALSE),"0")</f>
        <v>2</v>
      </c>
      <c r="AM140" s="65">
        <f>IFERROR(VLOOKUP(Table1215[[#This Row],[Column2]],Table12[[Column2]:[Column54]],38,FALSE),"0")</f>
        <v>0</v>
      </c>
      <c r="AN140" s="65">
        <f>IFERROR(VLOOKUP(Table1215[[#This Row],[Column2]],Table12[[Column2]:[Column54]],39,FALSE),"0")</f>
        <v>3</v>
      </c>
      <c r="AO140" s="65">
        <f>IFERROR(VLOOKUP(Table1215[[#This Row],[Column2]],Table12[[Column2]:[Column54]],40,FALSE),"0")</f>
        <v>0</v>
      </c>
      <c r="AP140" s="67">
        <f>AVERAGE(Table1215[[#This Row],[Column37]],Table1215[[#This Row],[Column38]],Table1215[[#This Row],[Column40]])</f>
        <v>2.6666666666666665</v>
      </c>
      <c r="AQ140" s="65">
        <f>IFERROR(VLOOKUP(Table1215[[#This Row],[Column2]],Table12[[Column2]:[Column54]],42,FALSE),"0")</f>
        <v>2</v>
      </c>
      <c r="AR140" s="65">
        <f>IFERROR(VLOOKUP(Table1215[[#This Row],[Column2]],Table12[[Column2]:[Column54]],43,FALSE),"0")</f>
        <v>0</v>
      </c>
      <c r="AS140" s="65">
        <f>IFERROR(VLOOKUP(Table1215[[#This Row],[Column2]],Table12[[Column2]:[Column54]],44,FALSE),"0")</f>
        <v>0</v>
      </c>
      <c r="AT140" s="65">
        <f>IFERROR(VLOOKUP(Table1215[[#This Row],[Column2]],Table12[[Column2]:[Column54]],45,FALSE),"0")</f>
        <v>0</v>
      </c>
      <c r="AU140" s="65">
        <f>IFERROR(VLOOKUP(Table1215[[#This Row],[Column2]],Table12[[Column2]:[Column54]],46,FALSE),"0")</f>
        <v>0</v>
      </c>
      <c r="AV140" s="67">
        <f>Table1215[[#This Row],[Column43]]</f>
        <v>2</v>
      </c>
      <c r="AW140" s="65">
        <f>IFERROR(VLOOKUP(Table1215[[#This Row],[Column2]],Table12[[Column2]:[Column54]],48,FALSE),"0")</f>
        <v>0</v>
      </c>
      <c r="AX140" s="65">
        <f>IFERROR(VLOOKUP(Table1215[[#This Row],[Column2]],Table12[[Column2]:[Column54]],49,FALSE),"0")</f>
        <v>0</v>
      </c>
      <c r="AY140" s="65">
        <f>IFERROR(VLOOKUP(Table1215[[#This Row],[Column2]],Table12[[Column2]:[Column54]],50,FALSE),"0")</f>
        <v>0</v>
      </c>
      <c r="AZ140" s="65">
        <f>IFERROR(VLOOKUP(Table1215[[#This Row],[Column2]],Table12[[Column2]:[Column54]],51,FALSE),"0")</f>
        <v>3</v>
      </c>
      <c r="BA140" s="65">
        <f>IFERROR(VLOOKUP(Table1215[[#This Row],[Column2]],Table12[[Column2]:[Column54]],52,FALSE),"0")</f>
        <v>3</v>
      </c>
      <c r="BB140" s="67">
        <f>AVERAGE(Table1215[[#This Row],[Column52]],Table1215[[#This Row],[Column53]])</f>
        <v>3</v>
      </c>
    </row>
    <row r="141" spans="1:54" ht="23.1" customHeight="1" x14ac:dyDescent="0.3">
      <c r="A141" s="87">
        <v>138</v>
      </c>
      <c r="B141" s="70" t="s">
        <v>281</v>
      </c>
      <c r="C141" s="71" t="s">
        <v>282</v>
      </c>
      <c r="D141" s="70" t="s">
        <v>542</v>
      </c>
      <c r="E141" s="70" t="s">
        <v>161</v>
      </c>
      <c r="F141" s="70" t="str">
        <f>REPT(CHAR(160),10)&amp;Working!$E142</f>
        <v>          B</v>
      </c>
      <c r="G141" s="61">
        <f>IFERROR(VLOOKUP(Table1215[[#This Row],[Column2]],Table12[[Column2]:[Column54]],6,FALSE),"0")</f>
        <v>0</v>
      </c>
      <c r="H141" s="61">
        <f>IFERROR(VLOOKUP(Table1215[[#This Row],[Column2]],Table12[[Column2]:[Column54]],7,FALSE),"0")</f>
        <v>0</v>
      </c>
      <c r="I141" s="61">
        <f>IFERROR(VLOOKUP(Table1215[[#This Row],[Column2]],Table12[[Column2]:[Column54]],8,FALSE),"0")</f>
        <v>1</v>
      </c>
      <c r="J141" s="61">
        <f>IFERROR(VLOOKUP(Table1215[[#This Row],[Column2]],Table12[[Column2]:[Column54]],9,FALSE),"0")</f>
        <v>0</v>
      </c>
      <c r="K141" s="61">
        <f>IFERROR(VLOOKUP(Table1215[[#This Row],[Column2]],Table12[[Column2]:[Column54]],10,FALSE),"0")</f>
        <v>0</v>
      </c>
      <c r="L141" s="67">
        <f>Table1215[[#This Row],[Column9]]</f>
        <v>1</v>
      </c>
      <c r="M141" s="61">
        <f>IFERROR(VLOOKUP(Table1215[[#This Row],[Column2]],Table12[[Column2]:[Column54]],12,FALSE),"0")</f>
        <v>0</v>
      </c>
      <c r="N141" s="61">
        <f>IFERROR(VLOOKUP(Table1215[[#This Row],[Column2]],Table12[[Column2]:[Column54]],13,FALSE),"0")</f>
        <v>4</v>
      </c>
      <c r="O141" s="61">
        <f>IFERROR(VLOOKUP(Table1215[[#This Row],[Column2]],Table12[[Column2]:[Column54]],14,FALSE),"0")</f>
        <v>3</v>
      </c>
      <c r="P141" s="61">
        <f>IFERROR(VLOOKUP(Table1215[[#This Row],[Column2]],Table12[[Column2]:[Column54]],10,FALSE),"0")</f>
        <v>0</v>
      </c>
      <c r="Q141" s="61">
        <f>IFERROR(VLOOKUP(Table1215[[#This Row],[Column2]],Table12[[Column2]:[Column54]],16,FALSE),"0")</f>
        <v>3</v>
      </c>
      <c r="R141" s="67">
        <f>AVERAGE(Table1215[[#This Row],[Column14]],Table1215[[#This Row],[Column15]],Table1215[[#This Row],[Column17]])</f>
        <v>3.3333333333333335</v>
      </c>
      <c r="S141" s="61">
        <f>IFERROR(VLOOKUP(Table1215[[#This Row],[Column2]],Table12[[Column2]:[Column54]],18,FALSE),"0")</f>
        <v>0</v>
      </c>
      <c r="T141" s="61">
        <f>IFERROR(VLOOKUP(Table1215[[#This Row],[Column2]],Table12[[Column2]:[Column54]],19,FALSE),"0")</f>
        <v>0</v>
      </c>
      <c r="U141" s="61">
        <f>IFERROR(VLOOKUP(Table1215[[#This Row],[Column2]],Table12[[Column2]:[Column54]],20,FALSE),"0")</f>
        <v>0</v>
      </c>
      <c r="V141" s="61">
        <f>IFERROR(VLOOKUP(Table1215[[#This Row],[Column2]],Table12[[Column2]:[Column54]],21,FALSE),"0")</f>
        <v>0</v>
      </c>
      <c r="W141" s="61">
        <f>IFERROR(VLOOKUP(Table1215[[#This Row],[Column2]],Table12[[Column2]:[Column54]],22,FALSE),"0")</f>
        <v>0</v>
      </c>
      <c r="X141" s="67">
        <f>Table1215[[#This Row],[Column19]]</f>
        <v>0</v>
      </c>
      <c r="Y141" s="61">
        <f>IFERROR(VLOOKUP(Table1215[[#This Row],[Column2]],Table12[[Column2]:[Column54]],24,FALSE),"0")</f>
        <v>3</v>
      </c>
      <c r="Z141" s="61">
        <f>IFERROR(VLOOKUP(Table1215[[#This Row],[Column2]],Table12[[Column2]:[Column54]],25,FALSE),"0")</f>
        <v>0</v>
      </c>
      <c r="AA141" s="61">
        <f>IFERROR(VLOOKUP(Table1215[[#This Row],[Column2]],Table12[[Column2]:[Column54]],26,FALSE),"0")</f>
        <v>0</v>
      </c>
      <c r="AB141" s="61">
        <f>IFERROR(VLOOKUP(Table1215[[#This Row],[Column2]],Table12[[Column2]:[Column54]],27,FALSE),"0")</f>
        <v>0</v>
      </c>
      <c r="AC141" s="61">
        <f>IFERROR(VLOOKUP(Table1215[[#This Row],[Column2]],Table12[[Column2]:[Column54]],28,FALSE),"0")</f>
        <v>0</v>
      </c>
      <c r="AD141" s="67">
        <f>Table1215[[#This Row],[Column25]]</f>
        <v>3</v>
      </c>
      <c r="AE141" s="61">
        <f>IFERROR(VLOOKUP(Table1215[[#This Row],[Column2]],Table12[[Column2]:[Column54]],30,FALSE),"0")</f>
        <v>0</v>
      </c>
      <c r="AF141" s="61">
        <f>IFERROR(VLOOKUP(Table1215[[#This Row],[Column2]],Table12[[Column2]:[Column54]],31,FALSE),"0")</f>
        <v>0</v>
      </c>
      <c r="AG141" s="61">
        <f>IFERROR(VLOOKUP(Table1215[[#This Row],[Column2]],Table12[[Column2]:[Column54]],32,FALSE),"0")</f>
        <v>0</v>
      </c>
      <c r="AH141" s="61">
        <f>IFERROR(VLOOKUP(Table1215[[#This Row],[Column2]],Table12[[Column2]:[Column54]],33,FALSE),"0")</f>
        <v>0</v>
      </c>
      <c r="AI141" s="61">
        <f>IFERROR(VLOOKUP(Table1215[[#This Row],[Column2]],Table12[[Column2]:[Column54]],34,FALSE),"0")</f>
        <v>0</v>
      </c>
      <c r="AJ141" s="67">
        <f>AVERAGE(Table1215[[#This Row],[Column31]],Table1215[[#This Row],[Column32]],Table1215[[#This Row],[Column33]])</f>
        <v>0</v>
      </c>
      <c r="AK141" s="61">
        <f>IFERROR(VLOOKUP(Table1215[[#This Row],[Column2]],Table12[[Column2]:[Column54]],36,FALSE),"0")</f>
        <v>2</v>
      </c>
      <c r="AL141" s="61">
        <f>IFERROR(VLOOKUP(Table1215[[#This Row],[Column2]],Table12[[Column2]:[Column54]],37,FALSE),"0")</f>
        <v>2</v>
      </c>
      <c r="AM141" s="61">
        <f>IFERROR(VLOOKUP(Table1215[[#This Row],[Column2]],Table12[[Column2]:[Column54]],38,FALSE),"0")</f>
        <v>0</v>
      </c>
      <c r="AN141" s="61">
        <f>IFERROR(VLOOKUP(Table1215[[#This Row],[Column2]],Table12[[Column2]:[Column54]],39,FALSE),"0")</f>
        <v>4</v>
      </c>
      <c r="AO141" s="61">
        <f>IFERROR(VLOOKUP(Table1215[[#This Row],[Column2]],Table12[[Column2]:[Column54]],40,FALSE),"0")</f>
        <v>0</v>
      </c>
      <c r="AP141" s="67">
        <f>AVERAGE(Table1215[[#This Row],[Column37]],Table1215[[#This Row],[Column38]],Table1215[[#This Row],[Column40]])</f>
        <v>2.6666666666666665</v>
      </c>
      <c r="AQ141" s="61">
        <f>IFERROR(VLOOKUP(Table1215[[#This Row],[Column2]],Table12[[Column2]:[Column54]],42,FALSE),"0")</f>
        <v>1</v>
      </c>
      <c r="AR141" s="61">
        <f>IFERROR(VLOOKUP(Table1215[[#This Row],[Column2]],Table12[[Column2]:[Column54]],43,FALSE),"0")</f>
        <v>0</v>
      </c>
      <c r="AS141" s="61">
        <f>IFERROR(VLOOKUP(Table1215[[#This Row],[Column2]],Table12[[Column2]:[Column54]],44,FALSE),"0")</f>
        <v>0</v>
      </c>
      <c r="AT141" s="61">
        <f>IFERROR(VLOOKUP(Table1215[[#This Row],[Column2]],Table12[[Column2]:[Column54]],45,FALSE),"0")</f>
        <v>0</v>
      </c>
      <c r="AU141" s="61">
        <f>IFERROR(VLOOKUP(Table1215[[#This Row],[Column2]],Table12[[Column2]:[Column54]],46,FALSE),"0")</f>
        <v>0</v>
      </c>
      <c r="AV141" s="67">
        <f>Table1215[[#This Row],[Column43]]</f>
        <v>1</v>
      </c>
      <c r="AW141" s="61">
        <f>IFERROR(VLOOKUP(Table1215[[#This Row],[Column2]],Table12[[Column2]:[Column54]],48,FALSE),"0")</f>
        <v>0</v>
      </c>
      <c r="AX141" s="61">
        <f>IFERROR(VLOOKUP(Table1215[[#This Row],[Column2]],Table12[[Column2]:[Column54]],49,FALSE),"0")</f>
        <v>0</v>
      </c>
      <c r="AY141" s="61">
        <f>IFERROR(VLOOKUP(Table1215[[#This Row],[Column2]],Table12[[Column2]:[Column54]],50,FALSE),"0")</f>
        <v>0</v>
      </c>
      <c r="AZ141" s="61">
        <f>IFERROR(VLOOKUP(Table1215[[#This Row],[Column2]],Table12[[Column2]:[Column54]],51,FALSE),"0")</f>
        <v>2</v>
      </c>
      <c r="BA141" s="61">
        <f>IFERROR(VLOOKUP(Table1215[[#This Row],[Column2]],Table12[[Column2]:[Column54]],52,FALSE),"0")</f>
        <v>3</v>
      </c>
      <c r="BB141" s="67">
        <f>AVERAGE(Table1215[[#This Row],[Column52]],Table1215[[#This Row],[Column53]])</f>
        <v>2.5</v>
      </c>
    </row>
    <row r="142" spans="1:54" ht="23.1" customHeight="1" x14ac:dyDescent="0.3">
      <c r="A142" s="86">
        <v>139</v>
      </c>
      <c r="B142" s="63" t="s">
        <v>152</v>
      </c>
      <c r="C142" s="64" t="s">
        <v>153</v>
      </c>
      <c r="D142" s="63" t="s">
        <v>450</v>
      </c>
      <c r="E142" s="63" t="s">
        <v>35</v>
      </c>
      <c r="F142" s="63" t="str">
        <f>REPT(CHAR(160),10)&amp;Working!$E143</f>
        <v>          A</v>
      </c>
      <c r="G142" s="65">
        <f>IFERROR(VLOOKUP(Table1215[[#This Row],[Column2]],Table12[[Column2]:[Column54]],6,FALSE),"0")</f>
        <v>0</v>
      </c>
      <c r="H142" s="65">
        <f>IFERROR(VLOOKUP(Table1215[[#This Row],[Column2]],Table12[[Column2]:[Column54]],7,FALSE),"0")</f>
        <v>0</v>
      </c>
      <c r="I142" s="65">
        <f>IFERROR(VLOOKUP(Table1215[[#This Row],[Column2]],Table12[[Column2]:[Column54]],8,FALSE),"0")</f>
        <v>3</v>
      </c>
      <c r="J142" s="65">
        <f>IFERROR(VLOOKUP(Table1215[[#This Row],[Column2]],Table12[[Column2]:[Column54]],9,FALSE),"0")</f>
        <v>0</v>
      </c>
      <c r="K142" s="65">
        <f>IFERROR(VLOOKUP(Table1215[[#This Row],[Column2]],Table12[[Column2]:[Column54]],10,FALSE),"0")</f>
        <v>0</v>
      </c>
      <c r="L142" s="67">
        <f>Table1215[[#This Row],[Column9]]</f>
        <v>3</v>
      </c>
      <c r="M142" s="65">
        <f>IFERROR(VLOOKUP(Table1215[[#This Row],[Column2]],Table12[[Column2]:[Column54]],12,FALSE),"0")</f>
        <v>0</v>
      </c>
      <c r="N142" s="65">
        <f>IFERROR(VLOOKUP(Table1215[[#This Row],[Column2]],Table12[[Column2]:[Column54]],13,FALSE),"0")</f>
        <v>4</v>
      </c>
      <c r="O142" s="65">
        <f>IFERROR(VLOOKUP(Table1215[[#This Row],[Column2]],Table12[[Column2]:[Column54]],14,FALSE),"0")</f>
        <v>4</v>
      </c>
      <c r="P142" s="65">
        <f>IFERROR(VLOOKUP(Table1215[[#This Row],[Column2]],Table12[[Column2]:[Column54]],10,FALSE),"0")</f>
        <v>0</v>
      </c>
      <c r="Q142" s="65">
        <f>IFERROR(VLOOKUP(Table1215[[#This Row],[Column2]],Table12[[Column2]:[Column54]],16,FALSE),"0")</f>
        <v>4</v>
      </c>
      <c r="R142" s="67">
        <f>AVERAGE(Table1215[[#This Row],[Column14]],Table1215[[#This Row],[Column15]],Table1215[[#This Row],[Column17]])</f>
        <v>4</v>
      </c>
      <c r="S142" s="65">
        <f>IFERROR(VLOOKUP(Table1215[[#This Row],[Column2]],Table12[[Column2]:[Column54]],18,FALSE),"0")</f>
        <v>0</v>
      </c>
      <c r="T142" s="65">
        <f>IFERROR(VLOOKUP(Table1215[[#This Row],[Column2]],Table12[[Column2]:[Column54]],19,FALSE),"0")</f>
        <v>0</v>
      </c>
      <c r="U142" s="65">
        <f>IFERROR(VLOOKUP(Table1215[[#This Row],[Column2]],Table12[[Column2]:[Column54]],20,FALSE),"0")</f>
        <v>0</v>
      </c>
      <c r="V142" s="65">
        <f>IFERROR(VLOOKUP(Table1215[[#This Row],[Column2]],Table12[[Column2]:[Column54]],21,FALSE),"0")</f>
        <v>0</v>
      </c>
      <c r="W142" s="65">
        <f>IFERROR(VLOOKUP(Table1215[[#This Row],[Column2]],Table12[[Column2]:[Column54]],22,FALSE),"0")</f>
        <v>0</v>
      </c>
      <c r="X142" s="67">
        <f>Table1215[[#This Row],[Column19]]</f>
        <v>0</v>
      </c>
      <c r="Y142" s="65">
        <f>IFERROR(VLOOKUP(Table1215[[#This Row],[Column2]],Table12[[Column2]:[Column54]],24,FALSE),"0")</f>
        <v>4</v>
      </c>
      <c r="Z142" s="65">
        <f>IFERROR(VLOOKUP(Table1215[[#This Row],[Column2]],Table12[[Column2]:[Column54]],25,FALSE),"0")</f>
        <v>0</v>
      </c>
      <c r="AA142" s="65">
        <f>IFERROR(VLOOKUP(Table1215[[#This Row],[Column2]],Table12[[Column2]:[Column54]],26,FALSE),"0")</f>
        <v>0</v>
      </c>
      <c r="AB142" s="65">
        <f>IFERROR(VLOOKUP(Table1215[[#This Row],[Column2]],Table12[[Column2]:[Column54]],27,FALSE),"0")</f>
        <v>0</v>
      </c>
      <c r="AC142" s="65">
        <f>IFERROR(VLOOKUP(Table1215[[#This Row],[Column2]],Table12[[Column2]:[Column54]],28,FALSE),"0")</f>
        <v>0</v>
      </c>
      <c r="AD142" s="67">
        <f>Table1215[[#This Row],[Column25]]</f>
        <v>4</v>
      </c>
      <c r="AE142" s="65">
        <f>IFERROR(VLOOKUP(Table1215[[#This Row],[Column2]],Table12[[Column2]:[Column54]],30,FALSE),"0")</f>
        <v>0</v>
      </c>
      <c r="AF142" s="65">
        <f>IFERROR(VLOOKUP(Table1215[[#This Row],[Column2]],Table12[[Column2]:[Column54]],31,FALSE),"0")</f>
        <v>0</v>
      </c>
      <c r="AG142" s="65">
        <f>IFERROR(VLOOKUP(Table1215[[#This Row],[Column2]],Table12[[Column2]:[Column54]],32,FALSE),"0")</f>
        <v>0</v>
      </c>
      <c r="AH142" s="65">
        <f>IFERROR(VLOOKUP(Table1215[[#This Row],[Column2]],Table12[[Column2]:[Column54]],33,FALSE),"0")</f>
        <v>0</v>
      </c>
      <c r="AI142" s="65">
        <f>IFERROR(VLOOKUP(Table1215[[#This Row],[Column2]],Table12[[Column2]:[Column54]],34,FALSE),"0")</f>
        <v>0</v>
      </c>
      <c r="AJ142" s="67">
        <f>AVERAGE(Table1215[[#This Row],[Column31]],Table1215[[#This Row],[Column32]],Table1215[[#This Row],[Column33]])</f>
        <v>0</v>
      </c>
      <c r="AK142" s="65">
        <f>IFERROR(VLOOKUP(Table1215[[#This Row],[Column2]],Table12[[Column2]:[Column54]],36,FALSE),"0")</f>
        <v>3</v>
      </c>
      <c r="AL142" s="65">
        <f>IFERROR(VLOOKUP(Table1215[[#This Row],[Column2]],Table12[[Column2]:[Column54]],37,FALSE),"0")</f>
        <v>2</v>
      </c>
      <c r="AM142" s="65">
        <f>IFERROR(VLOOKUP(Table1215[[#This Row],[Column2]],Table12[[Column2]:[Column54]],38,FALSE),"0")</f>
        <v>0</v>
      </c>
      <c r="AN142" s="65">
        <f>IFERROR(VLOOKUP(Table1215[[#This Row],[Column2]],Table12[[Column2]:[Column54]],39,FALSE),"0")</f>
        <v>3</v>
      </c>
      <c r="AO142" s="65">
        <f>IFERROR(VLOOKUP(Table1215[[#This Row],[Column2]],Table12[[Column2]:[Column54]],40,FALSE),"0")</f>
        <v>0</v>
      </c>
      <c r="AP142" s="67">
        <f>AVERAGE(Table1215[[#This Row],[Column37]],Table1215[[#This Row],[Column38]],Table1215[[#This Row],[Column40]])</f>
        <v>2.6666666666666665</v>
      </c>
      <c r="AQ142" s="65">
        <f>IFERROR(VLOOKUP(Table1215[[#This Row],[Column2]],Table12[[Column2]:[Column54]],42,FALSE),"0")</f>
        <v>2</v>
      </c>
      <c r="AR142" s="65">
        <f>IFERROR(VLOOKUP(Table1215[[#This Row],[Column2]],Table12[[Column2]:[Column54]],43,FALSE),"0")</f>
        <v>0</v>
      </c>
      <c r="AS142" s="65">
        <f>IFERROR(VLOOKUP(Table1215[[#This Row],[Column2]],Table12[[Column2]:[Column54]],44,FALSE),"0")</f>
        <v>0</v>
      </c>
      <c r="AT142" s="65">
        <f>IFERROR(VLOOKUP(Table1215[[#This Row],[Column2]],Table12[[Column2]:[Column54]],45,FALSE),"0")</f>
        <v>0</v>
      </c>
      <c r="AU142" s="65">
        <f>IFERROR(VLOOKUP(Table1215[[#This Row],[Column2]],Table12[[Column2]:[Column54]],46,FALSE),"0")</f>
        <v>0</v>
      </c>
      <c r="AV142" s="67">
        <f>Table1215[[#This Row],[Column43]]</f>
        <v>2</v>
      </c>
      <c r="AW142" s="65">
        <f>IFERROR(VLOOKUP(Table1215[[#This Row],[Column2]],Table12[[Column2]:[Column54]],48,FALSE),"0")</f>
        <v>0</v>
      </c>
      <c r="AX142" s="65">
        <f>IFERROR(VLOOKUP(Table1215[[#This Row],[Column2]],Table12[[Column2]:[Column54]],49,FALSE),"0")</f>
        <v>0</v>
      </c>
      <c r="AY142" s="65">
        <f>IFERROR(VLOOKUP(Table1215[[#This Row],[Column2]],Table12[[Column2]:[Column54]],50,FALSE),"0")</f>
        <v>0</v>
      </c>
      <c r="AZ142" s="65">
        <f>IFERROR(VLOOKUP(Table1215[[#This Row],[Column2]],Table12[[Column2]:[Column54]],51,FALSE),"0")</f>
        <v>3</v>
      </c>
      <c r="BA142" s="65">
        <f>IFERROR(VLOOKUP(Table1215[[#This Row],[Column2]],Table12[[Column2]:[Column54]],52,FALSE),"0")</f>
        <v>3</v>
      </c>
      <c r="BB142" s="67">
        <f>AVERAGE(Table1215[[#This Row],[Column52]],Table1215[[#This Row],[Column53]])</f>
        <v>3</v>
      </c>
    </row>
    <row r="143" spans="1:54" ht="23.1" customHeight="1" x14ac:dyDescent="0.3">
      <c r="A143" s="87">
        <v>140</v>
      </c>
      <c r="B143" s="70" t="s">
        <v>374</v>
      </c>
      <c r="C143" s="71" t="s">
        <v>375</v>
      </c>
      <c r="D143" s="70" t="s">
        <v>450</v>
      </c>
      <c r="E143" s="70" t="s">
        <v>493</v>
      </c>
      <c r="F143" s="70" t="str">
        <f>REPT(CHAR(160),10)&amp;Working!$E144</f>
        <v>          C</v>
      </c>
      <c r="G143" s="61">
        <f>IFERROR(VLOOKUP(Table1215[[#This Row],[Column2]],Table12[[Column2]:[Column54]],6,FALSE),"0")</f>
        <v>0</v>
      </c>
      <c r="H143" s="61">
        <f>IFERROR(VLOOKUP(Table1215[[#This Row],[Column2]],Table12[[Column2]:[Column54]],7,FALSE),"0")</f>
        <v>0</v>
      </c>
      <c r="I143" s="61">
        <f>IFERROR(VLOOKUP(Table1215[[#This Row],[Column2]],Table12[[Column2]:[Column54]],8,FALSE),"0")</f>
        <v>3</v>
      </c>
      <c r="J143" s="61">
        <f>IFERROR(VLOOKUP(Table1215[[#This Row],[Column2]],Table12[[Column2]:[Column54]],9,FALSE),"0")</f>
        <v>0</v>
      </c>
      <c r="K143" s="61">
        <f>IFERROR(VLOOKUP(Table1215[[#This Row],[Column2]],Table12[[Column2]:[Column54]],10,FALSE),"0")</f>
        <v>0</v>
      </c>
      <c r="L143" s="67">
        <f>Table1215[[#This Row],[Column9]]</f>
        <v>3</v>
      </c>
      <c r="M143" s="61">
        <f>IFERROR(VLOOKUP(Table1215[[#This Row],[Column2]],Table12[[Column2]:[Column54]],12,FALSE),"0")</f>
        <v>0</v>
      </c>
      <c r="N143" s="61">
        <f>IFERROR(VLOOKUP(Table1215[[#This Row],[Column2]],Table12[[Column2]:[Column54]],13,FALSE),"0")</f>
        <v>4</v>
      </c>
      <c r="O143" s="61">
        <f>IFERROR(VLOOKUP(Table1215[[#This Row],[Column2]],Table12[[Column2]:[Column54]],14,FALSE),"0")</f>
        <v>3</v>
      </c>
      <c r="P143" s="61">
        <f>IFERROR(VLOOKUP(Table1215[[#This Row],[Column2]],Table12[[Column2]:[Column54]],10,FALSE),"0")</f>
        <v>0</v>
      </c>
      <c r="Q143" s="61">
        <f>IFERROR(VLOOKUP(Table1215[[#This Row],[Column2]],Table12[[Column2]:[Column54]],16,FALSE),"0")</f>
        <v>3</v>
      </c>
      <c r="R143" s="67">
        <f>AVERAGE(Table1215[[#This Row],[Column14]],Table1215[[#This Row],[Column15]],Table1215[[#This Row],[Column17]])</f>
        <v>3.3333333333333335</v>
      </c>
      <c r="S143" s="61">
        <f>IFERROR(VLOOKUP(Table1215[[#This Row],[Column2]],Table12[[Column2]:[Column54]],18,FALSE),"0")</f>
        <v>0</v>
      </c>
      <c r="T143" s="61">
        <f>IFERROR(VLOOKUP(Table1215[[#This Row],[Column2]],Table12[[Column2]:[Column54]],19,FALSE),"0")</f>
        <v>0</v>
      </c>
      <c r="U143" s="61">
        <f>IFERROR(VLOOKUP(Table1215[[#This Row],[Column2]],Table12[[Column2]:[Column54]],20,FALSE),"0")</f>
        <v>0</v>
      </c>
      <c r="V143" s="61">
        <f>IFERROR(VLOOKUP(Table1215[[#This Row],[Column2]],Table12[[Column2]:[Column54]],21,FALSE),"0")</f>
        <v>0</v>
      </c>
      <c r="W143" s="61">
        <f>IFERROR(VLOOKUP(Table1215[[#This Row],[Column2]],Table12[[Column2]:[Column54]],22,FALSE),"0")</f>
        <v>0</v>
      </c>
      <c r="X143" s="67">
        <f>Table1215[[#This Row],[Column19]]</f>
        <v>0</v>
      </c>
      <c r="Y143" s="61">
        <f>IFERROR(VLOOKUP(Table1215[[#This Row],[Column2]],Table12[[Column2]:[Column54]],24,FALSE),"0")</f>
        <v>4</v>
      </c>
      <c r="Z143" s="61">
        <f>IFERROR(VLOOKUP(Table1215[[#This Row],[Column2]],Table12[[Column2]:[Column54]],25,FALSE),"0")</f>
        <v>0</v>
      </c>
      <c r="AA143" s="61">
        <f>IFERROR(VLOOKUP(Table1215[[#This Row],[Column2]],Table12[[Column2]:[Column54]],26,FALSE),"0")</f>
        <v>0</v>
      </c>
      <c r="AB143" s="61">
        <f>IFERROR(VLOOKUP(Table1215[[#This Row],[Column2]],Table12[[Column2]:[Column54]],27,FALSE),"0")</f>
        <v>0</v>
      </c>
      <c r="AC143" s="61">
        <f>IFERROR(VLOOKUP(Table1215[[#This Row],[Column2]],Table12[[Column2]:[Column54]],28,FALSE),"0")</f>
        <v>0</v>
      </c>
      <c r="AD143" s="67">
        <f>Table1215[[#This Row],[Column25]]</f>
        <v>4</v>
      </c>
      <c r="AE143" s="61">
        <f>IFERROR(VLOOKUP(Table1215[[#This Row],[Column2]],Table12[[Column2]:[Column54]],30,FALSE),"0")</f>
        <v>0</v>
      </c>
      <c r="AF143" s="61">
        <f>IFERROR(VLOOKUP(Table1215[[#This Row],[Column2]],Table12[[Column2]:[Column54]],31,FALSE),"0")</f>
        <v>0</v>
      </c>
      <c r="AG143" s="61">
        <f>IFERROR(VLOOKUP(Table1215[[#This Row],[Column2]],Table12[[Column2]:[Column54]],32,FALSE),"0")</f>
        <v>0</v>
      </c>
      <c r="AH143" s="61">
        <f>IFERROR(VLOOKUP(Table1215[[#This Row],[Column2]],Table12[[Column2]:[Column54]],33,FALSE),"0")</f>
        <v>0</v>
      </c>
      <c r="AI143" s="61">
        <f>IFERROR(VLOOKUP(Table1215[[#This Row],[Column2]],Table12[[Column2]:[Column54]],34,FALSE),"0")</f>
        <v>0</v>
      </c>
      <c r="AJ143" s="67">
        <f>AVERAGE(Table1215[[#This Row],[Column31]],Table1215[[#This Row],[Column32]],Table1215[[#This Row],[Column33]])</f>
        <v>0</v>
      </c>
      <c r="AK143" s="61">
        <f>IFERROR(VLOOKUP(Table1215[[#This Row],[Column2]],Table12[[Column2]:[Column54]],36,FALSE),"0")</f>
        <v>3</v>
      </c>
      <c r="AL143" s="61">
        <f>IFERROR(VLOOKUP(Table1215[[#This Row],[Column2]],Table12[[Column2]:[Column54]],37,FALSE),"0")</f>
        <v>3</v>
      </c>
      <c r="AM143" s="61">
        <f>IFERROR(VLOOKUP(Table1215[[#This Row],[Column2]],Table12[[Column2]:[Column54]],38,FALSE),"0")</f>
        <v>0</v>
      </c>
      <c r="AN143" s="61">
        <f>IFERROR(VLOOKUP(Table1215[[#This Row],[Column2]],Table12[[Column2]:[Column54]],39,FALSE),"0")</f>
        <v>3</v>
      </c>
      <c r="AO143" s="61">
        <f>IFERROR(VLOOKUP(Table1215[[#This Row],[Column2]],Table12[[Column2]:[Column54]],40,FALSE),"0")</f>
        <v>0</v>
      </c>
      <c r="AP143" s="67">
        <f>AVERAGE(Table1215[[#This Row],[Column37]],Table1215[[#This Row],[Column38]],Table1215[[#This Row],[Column40]])</f>
        <v>3</v>
      </c>
      <c r="AQ143" s="61">
        <f>IFERROR(VLOOKUP(Table1215[[#This Row],[Column2]],Table12[[Column2]:[Column54]],42,FALSE),"0")</f>
        <v>1</v>
      </c>
      <c r="AR143" s="61">
        <f>IFERROR(VLOOKUP(Table1215[[#This Row],[Column2]],Table12[[Column2]:[Column54]],43,FALSE),"0")</f>
        <v>0</v>
      </c>
      <c r="AS143" s="61">
        <f>IFERROR(VLOOKUP(Table1215[[#This Row],[Column2]],Table12[[Column2]:[Column54]],44,FALSE),"0")</f>
        <v>0</v>
      </c>
      <c r="AT143" s="61">
        <f>IFERROR(VLOOKUP(Table1215[[#This Row],[Column2]],Table12[[Column2]:[Column54]],45,FALSE),"0")</f>
        <v>0</v>
      </c>
      <c r="AU143" s="61">
        <f>IFERROR(VLOOKUP(Table1215[[#This Row],[Column2]],Table12[[Column2]:[Column54]],46,FALSE),"0")</f>
        <v>0</v>
      </c>
      <c r="AV143" s="67">
        <f>Table1215[[#This Row],[Column43]]</f>
        <v>1</v>
      </c>
      <c r="AW143" s="61">
        <f>IFERROR(VLOOKUP(Table1215[[#This Row],[Column2]],Table12[[Column2]:[Column54]],48,FALSE),"0")</f>
        <v>0</v>
      </c>
      <c r="AX143" s="61">
        <f>IFERROR(VLOOKUP(Table1215[[#This Row],[Column2]],Table12[[Column2]:[Column54]],49,FALSE),"0")</f>
        <v>0</v>
      </c>
      <c r="AY143" s="61">
        <f>IFERROR(VLOOKUP(Table1215[[#This Row],[Column2]],Table12[[Column2]:[Column54]],50,FALSE),"0")</f>
        <v>0</v>
      </c>
      <c r="AZ143" s="61">
        <f>IFERROR(VLOOKUP(Table1215[[#This Row],[Column2]],Table12[[Column2]:[Column54]],51,FALSE),"0")</f>
        <v>3</v>
      </c>
      <c r="BA143" s="61">
        <f>IFERROR(VLOOKUP(Table1215[[#This Row],[Column2]],Table12[[Column2]:[Column54]],52,FALSE),"0")</f>
        <v>2</v>
      </c>
      <c r="BB143" s="67">
        <f>AVERAGE(Table1215[[#This Row],[Column52]],Table1215[[#This Row],[Column53]])</f>
        <v>2.5</v>
      </c>
    </row>
    <row r="144" spans="1:54" ht="23.1" customHeight="1" x14ac:dyDescent="0.3">
      <c r="A144" s="86">
        <v>141</v>
      </c>
      <c r="B144" s="63" t="s">
        <v>269</v>
      </c>
      <c r="C144" s="64" t="s">
        <v>270</v>
      </c>
      <c r="D144" s="63" t="s">
        <v>450</v>
      </c>
      <c r="E144" s="63" t="s">
        <v>161</v>
      </c>
      <c r="F144" s="63" t="str">
        <f>REPT(CHAR(160),10)&amp;Working!$E145</f>
        <v>          B</v>
      </c>
      <c r="G144" s="65">
        <f>IFERROR(VLOOKUP(Table1215[[#This Row],[Column2]],Table12[[Column2]:[Column54]],6,FALSE),"0")</f>
        <v>0</v>
      </c>
      <c r="H144" s="65">
        <f>IFERROR(VLOOKUP(Table1215[[#This Row],[Column2]],Table12[[Column2]:[Column54]],7,FALSE),"0")</f>
        <v>0</v>
      </c>
      <c r="I144" s="65">
        <f>IFERROR(VLOOKUP(Table1215[[#This Row],[Column2]],Table12[[Column2]:[Column54]],8,FALSE),"0")</f>
        <v>5</v>
      </c>
      <c r="J144" s="65">
        <f>IFERROR(VLOOKUP(Table1215[[#This Row],[Column2]],Table12[[Column2]:[Column54]],9,FALSE),"0")</f>
        <v>0</v>
      </c>
      <c r="K144" s="65">
        <f>IFERROR(VLOOKUP(Table1215[[#This Row],[Column2]],Table12[[Column2]:[Column54]],10,FALSE),"0")</f>
        <v>0</v>
      </c>
      <c r="L144" s="67">
        <f>Table1215[[#This Row],[Column9]]</f>
        <v>5</v>
      </c>
      <c r="M144" s="65">
        <f>IFERROR(VLOOKUP(Table1215[[#This Row],[Column2]],Table12[[Column2]:[Column54]],12,FALSE),"0")</f>
        <v>0</v>
      </c>
      <c r="N144" s="65">
        <f>IFERROR(VLOOKUP(Table1215[[#This Row],[Column2]],Table12[[Column2]:[Column54]],13,FALSE),"0")</f>
        <v>3</v>
      </c>
      <c r="O144" s="65">
        <f>IFERROR(VLOOKUP(Table1215[[#This Row],[Column2]],Table12[[Column2]:[Column54]],14,FALSE),"0")</f>
        <v>4</v>
      </c>
      <c r="P144" s="65">
        <f>IFERROR(VLOOKUP(Table1215[[#This Row],[Column2]],Table12[[Column2]:[Column54]],10,FALSE),"0")</f>
        <v>0</v>
      </c>
      <c r="Q144" s="65">
        <f>IFERROR(VLOOKUP(Table1215[[#This Row],[Column2]],Table12[[Column2]:[Column54]],16,FALSE),"0")</f>
        <v>4</v>
      </c>
      <c r="R144" s="67">
        <f>AVERAGE(Table1215[[#This Row],[Column14]],Table1215[[#This Row],[Column15]],Table1215[[#This Row],[Column17]])</f>
        <v>3.6666666666666665</v>
      </c>
      <c r="S144" s="65">
        <f>IFERROR(VLOOKUP(Table1215[[#This Row],[Column2]],Table12[[Column2]:[Column54]],18,FALSE),"0")</f>
        <v>0</v>
      </c>
      <c r="T144" s="65">
        <f>IFERROR(VLOOKUP(Table1215[[#This Row],[Column2]],Table12[[Column2]:[Column54]],19,FALSE),"0")</f>
        <v>0</v>
      </c>
      <c r="U144" s="65">
        <f>IFERROR(VLOOKUP(Table1215[[#This Row],[Column2]],Table12[[Column2]:[Column54]],20,FALSE),"0")</f>
        <v>0</v>
      </c>
      <c r="V144" s="65">
        <f>IFERROR(VLOOKUP(Table1215[[#This Row],[Column2]],Table12[[Column2]:[Column54]],21,FALSE),"0")</f>
        <v>0</v>
      </c>
      <c r="W144" s="65">
        <f>IFERROR(VLOOKUP(Table1215[[#This Row],[Column2]],Table12[[Column2]:[Column54]],22,FALSE),"0")</f>
        <v>0</v>
      </c>
      <c r="X144" s="67">
        <f>Table1215[[#This Row],[Column19]]</f>
        <v>0</v>
      </c>
      <c r="Y144" s="65">
        <f>IFERROR(VLOOKUP(Table1215[[#This Row],[Column2]],Table12[[Column2]:[Column54]],24,FALSE),"0")</f>
        <v>3</v>
      </c>
      <c r="Z144" s="65">
        <f>IFERROR(VLOOKUP(Table1215[[#This Row],[Column2]],Table12[[Column2]:[Column54]],25,FALSE),"0")</f>
        <v>0</v>
      </c>
      <c r="AA144" s="65">
        <f>IFERROR(VLOOKUP(Table1215[[#This Row],[Column2]],Table12[[Column2]:[Column54]],26,FALSE),"0")</f>
        <v>0</v>
      </c>
      <c r="AB144" s="65">
        <f>IFERROR(VLOOKUP(Table1215[[#This Row],[Column2]],Table12[[Column2]:[Column54]],27,FALSE),"0")</f>
        <v>0</v>
      </c>
      <c r="AC144" s="65">
        <f>IFERROR(VLOOKUP(Table1215[[#This Row],[Column2]],Table12[[Column2]:[Column54]],28,FALSE),"0")</f>
        <v>0</v>
      </c>
      <c r="AD144" s="67">
        <f>Table1215[[#This Row],[Column25]]</f>
        <v>3</v>
      </c>
      <c r="AE144" s="65">
        <f>IFERROR(VLOOKUP(Table1215[[#This Row],[Column2]],Table12[[Column2]:[Column54]],30,FALSE),"0")</f>
        <v>0</v>
      </c>
      <c r="AF144" s="65">
        <f>IFERROR(VLOOKUP(Table1215[[#This Row],[Column2]],Table12[[Column2]:[Column54]],31,FALSE),"0")</f>
        <v>0</v>
      </c>
      <c r="AG144" s="65">
        <f>IFERROR(VLOOKUP(Table1215[[#This Row],[Column2]],Table12[[Column2]:[Column54]],32,FALSE),"0")</f>
        <v>0</v>
      </c>
      <c r="AH144" s="65">
        <f>IFERROR(VLOOKUP(Table1215[[#This Row],[Column2]],Table12[[Column2]:[Column54]],33,FALSE),"0")</f>
        <v>0</v>
      </c>
      <c r="AI144" s="65">
        <f>IFERROR(VLOOKUP(Table1215[[#This Row],[Column2]],Table12[[Column2]:[Column54]],34,FALSE),"0")</f>
        <v>0</v>
      </c>
      <c r="AJ144" s="67">
        <f>AVERAGE(Table1215[[#This Row],[Column31]],Table1215[[#This Row],[Column32]],Table1215[[#This Row],[Column33]])</f>
        <v>0</v>
      </c>
      <c r="AK144" s="65">
        <f>IFERROR(VLOOKUP(Table1215[[#This Row],[Column2]],Table12[[Column2]:[Column54]],36,FALSE),"0")</f>
        <v>4</v>
      </c>
      <c r="AL144" s="65">
        <f>IFERROR(VLOOKUP(Table1215[[#This Row],[Column2]],Table12[[Column2]:[Column54]],37,FALSE),"0")</f>
        <v>3</v>
      </c>
      <c r="AM144" s="65">
        <f>IFERROR(VLOOKUP(Table1215[[#This Row],[Column2]],Table12[[Column2]:[Column54]],38,FALSE),"0")</f>
        <v>0</v>
      </c>
      <c r="AN144" s="65">
        <f>IFERROR(VLOOKUP(Table1215[[#This Row],[Column2]],Table12[[Column2]:[Column54]],39,FALSE),"0")</f>
        <v>5</v>
      </c>
      <c r="AO144" s="65">
        <f>IFERROR(VLOOKUP(Table1215[[#This Row],[Column2]],Table12[[Column2]:[Column54]],40,FALSE),"0")</f>
        <v>0</v>
      </c>
      <c r="AP144" s="67">
        <f>AVERAGE(Table1215[[#This Row],[Column37]],Table1215[[#This Row],[Column38]],Table1215[[#This Row],[Column40]])</f>
        <v>4</v>
      </c>
      <c r="AQ144" s="65">
        <f>IFERROR(VLOOKUP(Table1215[[#This Row],[Column2]],Table12[[Column2]:[Column54]],42,FALSE),"0")</f>
        <v>5</v>
      </c>
      <c r="AR144" s="65">
        <f>IFERROR(VLOOKUP(Table1215[[#This Row],[Column2]],Table12[[Column2]:[Column54]],43,FALSE),"0")</f>
        <v>0</v>
      </c>
      <c r="AS144" s="65">
        <f>IFERROR(VLOOKUP(Table1215[[#This Row],[Column2]],Table12[[Column2]:[Column54]],44,FALSE),"0")</f>
        <v>0</v>
      </c>
      <c r="AT144" s="65">
        <f>IFERROR(VLOOKUP(Table1215[[#This Row],[Column2]],Table12[[Column2]:[Column54]],45,FALSE),"0")</f>
        <v>0</v>
      </c>
      <c r="AU144" s="65">
        <f>IFERROR(VLOOKUP(Table1215[[#This Row],[Column2]],Table12[[Column2]:[Column54]],46,FALSE),"0")</f>
        <v>0</v>
      </c>
      <c r="AV144" s="67">
        <f>Table1215[[#This Row],[Column43]]</f>
        <v>5</v>
      </c>
      <c r="AW144" s="65">
        <f>IFERROR(VLOOKUP(Table1215[[#This Row],[Column2]],Table12[[Column2]:[Column54]],48,FALSE),"0")</f>
        <v>0</v>
      </c>
      <c r="AX144" s="65">
        <f>IFERROR(VLOOKUP(Table1215[[#This Row],[Column2]],Table12[[Column2]:[Column54]],49,FALSE),"0")</f>
        <v>0</v>
      </c>
      <c r="AY144" s="65">
        <f>IFERROR(VLOOKUP(Table1215[[#This Row],[Column2]],Table12[[Column2]:[Column54]],50,FALSE),"0")</f>
        <v>0</v>
      </c>
      <c r="AZ144" s="65">
        <f>IFERROR(VLOOKUP(Table1215[[#This Row],[Column2]],Table12[[Column2]:[Column54]],51,FALSE),"0")</f>
        <v>5</v>
      </c>
      <c r="BA144" s="65">
        <f>IFERROR(VLOOKUP(Table1215[[#This Row],[Column2]],Table12[[Column2]:[Column54]],52,FALSE),"0")</f>
        <v>4</v>
      </c>
      <c r="BB144" s="67">
        <f>AVERAGE(Table1215[[#This Row],[Column52]],Table1215[[#This Row],[Column53]])</f>
        <v>4.5</v>
      </c>
    </row>
    <row r="145" spans="1:54" ht="23.1" customHeight="1" x14ac:dyDescent="0.3">
      <c r="A145" s="87">
        <v>142</v>
      </c>
      <c r="B145" s="70" t="s">
        <v>170</v>
      </c>
      <c r="C145" s="71" t="s">
        <v>171</v>
      </c>
      <c r="D145" s="70" t="s">
        <v>542</v>
      </c>
      <c r="E145" s="70" t="s">
        <v>161</v>
      </c>
      <c r="F145" s="70" t="str">
        <f>REPT(CHAR(160),10)&amp;Working!$E146</f>
        <v>          B</v>
      </c>
      <c r="G145" s="61">
        <f>IFERROR(VLOOKUP(Table1215[[#This Row],[Column2]],Table12[[Column2]:[Column54]],6,FALSE),"0")</f>
        <v>0</v>
      </c>
      <c r="H145" s="61">
        <f>IFERROR(VLOOKUP(Table1215[[#This Row],[Column2]],Table12[[Column2]:[Column54]],7,FALSE),"0")</f>
        <v>0</v>
      </c>
      <c r="I145" s="61">
        <f>IFERROR(VLOOKUP(Table1215[[#This Row],[Column2]],Table12[[Column2]:[Column54]],8,FALSE),"0")</f>
        <v>2</v>
      </c>
      <c r="J145" s="61">
        <f>IFERROR(VLOOKUP(Table1215[[#This Row],[Column2]],Table12[[Column2]:[Column54]],9,FALSE),"0")</f>
        <v>0</v>
      </c>
      <c r="K145" s="61">
        <f>IFERROR(VLOOKUP(Table1215[[#This Row],[Column2]],Table12[[Column2]:[Column54]],10,FALSE),"0")</f>
        <v>0</v>
      </c>
      <c r="L145" s="67">
        <f>Table1215[[#This Row],[Column9]]</f>
        <v>2</v>
      </c>
      <c r="M145" s="61">
        <f>IFERROR(VLOOKUP(Table1215[[#This Row],[Column2]],Table12[[Column2]:[Column54]],12,FALSE),"0")</f>
        <v>0</v>
      </c>
      <c r="N145" s="61">
        <f>IFERROR(VLOOKUP(Table1215[[#This Row],[Column2]],Table12[[Column2]:[Column54]],13,FALSE),"0")</f>
        <v>3</v>
      </c>
      <c r="O145" s="61">
        <f>IFERROR(VLOOKUP(Table1215[[#This Row],[Column2]],Table12[[Column2]:[Column54]],14,FALSE),"0")</f>
        <v>4</v>
      </c>
      <c r="P145" s="61">
        <f>IFERROR(VLOOKUP(Table1215[[#This Row],[Column2]],Table12[[Column2]:[Column54]],10,FALSE),"0")</f>
        <v>0</v>
      </c>
      <c r="Q145" s="61">
        <f>IFERROR(VLOOKUP(Table1215[[#This Row],[Column2]],Table12[[Column2]:[Column54]],16,FALSE),"0")</f>
        <v>4</v>
      </c>
      <c r="R145" s="67">
        <f>AVERAGE(Table1215[[#This Row],[Column14]],Table1215[[#This Row],[Column15]],Table1215[[#This Row],[Column17]])</f>
        <v>3.6666666666666665</v>
      </c>
      <c r="S145" s="61">
        <f>IFERROR(VLOOKUP(Table1215[[#This Row],[Column2]],Table12[[Column2]:[Column54]],18,FALSE),"0")</f>
        <v>0</v>
      </c>
      <c r="T145" s="61">
        <f>IFERROR(VLOOKUP(Table1215[[#This Row],[Column2]],Table12[[Column2]:[Column54]],19,FALSE),"0")</f>
        <v>0</v>
      </c>
      <c r="U145" s="61">
        <f>IFERROR(VLOOKUP(Table1215[[#This Row],[Column2]],Table12[[Column2]:[Column54]],20,FALSE),"0")</f>
        <v>0</v>
      </c>
      <c r="V145" s="61">
        <f>IFERROR(VLOOKUP(Table1215[[#This Row],[Column2]],Table12[[Column2]:[Column54]],21,FALSE),"0")</f>
        <v>0</v>
      </c>
      <c r="W145" s="61">
        <f>IFERROR(VLOOKUP(Table1215[[#This Row],[Column2]],Table12[[Column2]:[Column54]],22,FALSE),"0")</f>
        <v>0</v>
      </c>
      <c r="X145" s="67">
        <f>Table1215[[#This Row],[Column19]]</f>
        <v>0</v>
      </c>
      <c r="Y145" s="61">
        <f>IFERROR(VLOOKUP(Table1215[[#This Row],[Column2]],Table12[[Column2]:[Column54]],24,FALSE),"0")</f>
        <v>2</v>
      </c>
      <c r="Z145" s="61">
        <f>IFERROR(VLOOKUP(Table1215[[#This Row],[Column2]],Table12[[Column2]:[Column54]],25,FALSE),"0")</f>
        <v>0</v>
      </c>
      <c r="AA145" s="61">
        <f>IFERROR(VLOOKUP(Table1215[[#This Row],[Column2]],Table12[[Column2]:[Column54]],26,FALSE),"0")</f>
        <v>0</v>
      </c>
      <c r="AB145" s="61">
        <f>IFERROR(VLOOKUP(Table1215[[#This Row],[Column2]],Table12[[Column2]:[Column54]],27,FALSE),"0")</f>
        <v>0</v>
      </c>
      <c r="AC145" s="61">
        <f>IFERROR(VLOOKUP(Table1215[[#This Row],[Column2]],Table12[[Column2]:[Column54]],28,FALSE),"0")</f>
        <v>0</v>
      </c>
      <c r="AD145" s="67">
        <f>Table1215[[#This Row],[Column25]]</f>
        <v>2</v>
      </c>
      <c r="AE145" s="61">
        <f>IFERROR(VLOOKUP(Table1215[[#This Row],[Column2]],Table12[[Column2]:[Column54]],30,FALSE),"0")</f>
        <v>0</v>
      </c>
      <c r="AF145" s="61">
        <f>IFERROR(VLOOKUP(Table1215[[#This Row],[Column2]],Table12[[Column2]:[Column54]],31,FALSE),"0")</f>
        <v>0</v>
      </c>
      <c r="AG145" s="61">
        <f>IFERROR(VLOOKUP(Table1215[[#This Row],[Column2]],Table12[[Column2]:[Column54]],32,FALSE),"0")</f>
        <v>0</v>
      </c>
      <c r="AH145" s="61">
        <f>IFERROR(VLOOKUP(Table1215[[#This Row],[Column2]],Table12[[Column2]:[Column54]],33,FALSE),"0")</f>
        <v>0</v>
      </c>
      <c r="AI145" s="61">
        <f>IFERROR(VLOOKUP(Table1215[[#This Row],[Column2]],Table12[[Column2]:[Column54]],34,FALSE),"0")</f>
        <v>0</v>
      </c>
      <c r="AJ145" s="67">
        <f>AVERAGE(Table1215[[#This Row],[Column31]],Table1215[[#This Row],[Column32]],Table1215[[#This Row],[Column33]])</f>
        <v>0</v>
      </c>
      <c r="AK145" s="61">
        <f>IFERROR(VLOOKUP(Table1215[[#This Row],[Column2]],Table12[[Column2]:[Column54]],36,FALSE),"0")</f>
        <v>2</v>
      </c>
      <c r="AL145" s="61">
        <f>IFERROR(VLOOKUP(Table1215[[#This Row],[Column2]],Table12[[Column2]:[Column54]],37,FALSE),"0")</f>
        <v>4</v>
      </c>
      <c r="AM145" s="61">
        <f>IFERROR(VLOOKUP(Table1215[[#This Row],[Column2]],Table12[[Column2]:[Column54]],38,FALSE),"0")</f>
        <v>0</v>
      </c>
      <c r="AN145" s="61">
        <f>IFERROR(VLOOKUP(Table1215[[#This Row],[Column2]],Table12[[Column2]:[Column54]],39,FALSE),"0")</f>
        <v>3</v>
      </c>
      <c r="AO145" s="61">
        <f>IFERROR(VLOOKUP(Table1215[[#This Row],[Column2]],Table12[[Column2]:[Column54]],40,FALSE),"0")</f>
        <v>0</v>
      </c>
      <c r="AP145" s="67">
        <f>AVERAGE(Table1215[[#This Row],[Column37]],Table1215[[#This Row],[Column38]],Table1215[[#This Row],[Column40]])</f>
        <v>3</v>
      </c>
      <c r="AQ145" s="61">
        <f>IFERROR(VLOOKUP(Table1215[[#This Row],[Column2]],Table12[[Column2]:[Column54]],42,FALSE),"0")</f>
        <v>4</v>
      </c>
      <c r="AR145" s="61">
        <f>IFERROR(VLOOKUP(Table1215[[#This Row],[Column2]],Table12[[Column2]:[Column54]],43,FALSE),"0")</f>
        <v>0</v>
      </c>
      <c r="AS145" s="61">
        <f>IFERROR(VLOOKUP(Table1215[[#This Row],[Column2]],Table12[[Column2]:[Column54]],44,FALSE),"0")</f>
        <v>0</v>
      </c>
      <c r="AT145" s="61">
        <f>IFERROR(VLOOKUP(Table1215[[#This Row],[Column2]],Table12[[Column2]:[Column54]],45,FALSE),"0")</f>
        <v>0</v>
      </c>
      <c r="AU145" s="61">
        <f>IFERROR(VLOOKUP(Table1215[[#This Row],[Column2]],Table12[[Column2]:[Column54]],46,FALSE),"0")</f>
        <v>0</v>
      </c>
      <c r="AV145" s="67">
        <f>Table1215[[#This Row],[Column43]]</f>
        <v>4</v>
      </c>
      <c r="AW145" s="61">
        <f>IFERROR(VLOOKUP(Table1215[[#This Row],[Column2]],Table12[[Column2]:[Column54]],48,FALSE),"0")</f>
        <v>0</v>
      </c>
      <c r="AX145" s="61">
        <f>IFERROR(VLOOKUP(Table1215[[#This Row],[Column2]],Table12[[Column2]:[Column54]],49,FALSE),"0")</f>
        <v>0</v>
      </c>
      <c r="AY145" s="61">
        <f>IFERROR(VLOOKUP(Table1215[[#This Row],[Column2]],Table12[[Column2]:[Column54]],50,FALSE),"0")</f>
        <v>0</v>
      </c>
      <c r="AZ145" s="61">
        <f>IFERROR(VLOOKUP(Table1215[[#This Row],[Column2]],Table12[[Column2]:[Column54]],51,FALSE),"0")</f>
        <v>2</v>
      </c>
      <c r="BA145" s="61">
        <f>IFERROR(VLOOKUP(Table1215[[#This Row],[Column2]],Table12[[Column2]:[Column54]],52,FALSE),"0")</f>
        <v>3</v>
      </c>
      <c r="BB145" s="67">
        <f>AVERAGE(Table1215[[#This Row],[Column52]],Table1215[[#This Row],[Column53]])</f>
        <v>2.5</v>
      </c>
    </row>
    <row r="146" spans="1:54" ht="23.1" customHeight="1" x14ac:dyDescent="0.3">
      <c r="A146" s="86">
        <v>143</v>
      </c>
      <c r="B146" s="63" t="s">
        <v>283</v>
      </c>
      <c r="C146" s="64" t="s">
        <v>284</v>
      </c>
      <c r="D146" s="63" t="s">
        <v>450</v>
      </c>
      <c r="E146" s="63" t="s">
        <v>161</v>
      </c>
      <c r="F146" s="63" t="str">
        <f>REPT(CHAR(160),10)&amp;Working!$E147</f>
        <v>          B</v>
      </c>
      <c r="G146" s="65">
        <f>IFERROR(VLOOKUP(Table1215[[#This Row],[Column2]],Table12[[Column2]:[Column54]],6,FALSE),"0")</f>
        <v>0</v>
      </c>
      <c r="H146" s="65">
        <f>IFERROR(VLOOKUP(Table1215[[#This Row],[Column2]],Table12[[Column2]:[Column54]],7,FALSE),"0")</f>
        <v>0</v>
      </c>
      <c r="I146" s="65">
        <f>IFERROR(VLOOKUP(Table1215[[#This Row],[Column2]],Table12[[Column2]:[Column54]],8,FALSE),"0")</f>
        <v>2</v>
      </c>
      <c r="J146" s="65">
        <f>IFERROR(VLOOKUP(Table1215[[#This Row],[Column2]],Table12[[Column2]:[Column54]],9,FALSE),"0")</f>
        <v>0</v>
      </c>
      <c r="K146" s="65">
        <f>IFERROR(VLOOKUP(Table1215[[#This Row],[Column2]],Table12[[Column2]:[Column54]],10,FALSE),"0")</f>
        <v>0</v>
      </c>
      <c r="L146" s="67">
        <f>Table1215[[#This Row],[Column9]]</f>
        <v>2</v>
      </c>
      <c r="M146" s="65">
        <f>IFERROR(VLOOKUP(Table1215[[#This Row],[Column2]],Table12[[Column2]:[Column54]],12,FALSE),"0")</f>
        <v>0</v>
      </c>
      <c r="N146" s="65">
        <f>IFERROR(VLOOKUP(Table1215[[#This Row],[Column2]],Table12[[Column2]:[Column54]],13,FALSE),"0")</f>
        <v>3</v>
      </c>
      <c r="O146" s="65">
        <f>IFERROR(VLOOKUP(Table1215[[#This Row],[Column2]],Table12[[Column2]:[Column54]],14,FALSE),"0")</f>
        <v>3</v>
      </c>
      <c r="P146" s="65">
        <f>IFERROR(VLOOKUP(Table1215[[#This Row],[Column2]],Table12[[Column2]:[Column54]],10,FALSE),"0")</f>
        <v>0</v>
      </c>
      <c r="Q146" s="65">
        <f>IFERROR(VLOOKUP(Table1215[[#This Row],[Column2]],Table12[[Column2]:[Column54]],16,FALSE),"0")</f>
        <v>3</v>
      </c>
      <c r="R146" s="67">
        <f>AVERAGE(Table1215[[#This Row],[Column14]],Table1215[[#This Row],[Column15]],Table1215[[#This Row],[Column17]])</f>
        <v>3</v>
      </c>
      <c r="S146" s="65">
        <f>IFERROR(VLOOKUP(Table1215[[#This Row],[Column2]],Table12[[Column2]:[Column54]],18,FALSE),"0")</f>
        <v>0</v>
      </c>
      <c r="T146" s="65">
        <f>IFERROR(VLOOKUP(Table1215[[#This Row],[Column2]],Table12[[Column2]:[Column54]],19,FALSE),"0")</f>
        <v>0</v>
      </c>
      <c r="U146" s="65">
        <f>IFERROR(VLOOKUP(Table1215[[#This Row],[Column2]],Table12[[Column2]:[Column54]],20,FALSE),"0")</f>
        <v>0</v>
      </c>
      <c r="V146" s="65">
        <f>IFERROR(VLOOKUP(Table1215[[#This Row],[Column2]],Table12[[Column2]:[Column54]],21,FALSE),"0")</f>
        <v>0</v>
      </c>
      <c r="W146" s="65">
        <f>IFERROR(VLOOKUP(Table1215[[#This Row],[Column2]],Table12[[Column2]:[Column54]],22,FALSE),"0")</f>
        <v>0</v>
      </c>
      <c r="X146" s="67">
        <f>Table1215[[#This Row],[Column19]]</f>
        <v>0</v>
      </c>
      <c r="Y146" s="65">
        <f>IFERROR(VLOOKUP(Table1215[[#This Row],[Column2]],Table12[[Column2]:[Column54]],24,FALSE),"0")</f>
        <v>0</v>
      </c>
      <c r="Z146" s="65">
        <f>IFERROR(VLOOKUP(Table1215[[#This Row],[Column2]],Table12[[Column2]:[Column54]],25,FALSE),"0")</f>
        <v>0</v>
      </c>
      <c r="AA146" s="65">
        <f>IFERROR(VLOOKUP(Table1215[[#This Row],[Column2]],Table12[[Column2]:[Column54]],26,FALSE),"0")</f>
        <v>0</v>
      </c>
      <c r="AB146" s="65">
        <f>IFERROR(VLOOKUP(Table1215[[#This Row],[Column2]],Table12[[Column2]:[Column54]],27,FALSE),"0")</f>
        <v>0</v>
      </c>
      <c r="AC146" s="65">
        <f>IFERROR(VLOOKUP(Table1215[[#This Row],[Column2]],Table12[[Column2]:[Column54]],28,FALSE),"0")</f>
        <v>0</v>
      </c>
      <c r="AD146" s="67">
        <f>Table1215[[#This Row],[Column25]]</f>
        <v>0</v>
      </c>
      <c r="AE146" s="65">
        <f>IFERROR(VLOOKUP(Table1215[[#This Row],[Column2]],Table12[[Column2]:[Column54]],30,FALSE),"0")</f>
        <v>0</v>
      </c>
      <c r="AF146" s="65">
        <f>IFERROR(VLOOKUP(Table1215[[#This Row],[Column2]],Table12[[Column2]:[Column54]],31,FALSE),"0")</f>
        <v>0</v>
      </c>
      <c r="AG146" s="65">
        <f>IFERROR(VLOOKUP(Table1215[[#This Row],[Column2]],Table12[[Column2]:[Column54]],32,FALSE),"0")</f>
        <v>0</v>
      </c>
      <c r="AH146" s="65">
        <f>IFERROR(VLOOKUP(Table1215[[#This Row],[Column2]],Table12[[Column2]:[Column54]],33,FALSE),"0")</f>
        <v>0</v>
      </c>
      <c r="AI146" s="65">
        <f>IFERROR(VLOOKUP(Table1215[[#This Row],[Column2]],Table12[[Column2]:[Column54]],34,FALSE),"0")</f>
        <v>0</v>
      </c>
      <c r="AJ146" s="67">
        <f>AVERAGE(Table1215[[#This Row],[Column31]],Table1215[[#This Row],[Column32]],Table1215[[#This Row],[Column33]])</f>
        <v>0</v>
      </c>
      <c r="AK146" s="65">
        <f>IFERROR(VLOOKUP(Table1215[[#This Row],[Column2]],Table12[[Column2]:[Column54]],36,FALSE),"0")</f>
        <v>2</v>
      </c>
      <c r="AL146" s="65">
        <f>IFERROR(VLOOKUP(Table1215[[#This Row],[Column2]],Table12[[Column2]:[Column54]],37,FALSE),"0")</f>
        <v>2</v>
      </c>
      <c r="AM146" s="65">
        <f>IFERROR(VLOOKUP(Table1215[[#This Row],[Column2]],Table12[[Column2]:[Column54]],38,FALSE),"0")</f>
        <v>0</v>
      </c>
      <c r="AN146" s="65">
        <f>IFERROR(VLOOKUP(Table1215[[#This Row],[Column2]],Table12[[Column2]:[Column54]],39,FALSE),"0")</f>
        <v>3</v>
      </c>
      <c r="AO146" s="65">
        <f>IFERROR(VLOOKUP(Table1215[[#This Row],[Column2]],Table12[[Column2]:[Column54]],40,FALSE),"0")</f>
        <v>0</v>
      </c>
      <c r="AP146" s="67">
        <f>AVERAGE(Table1215[[#This Row],[Column37]],Table1215[[#This Row],[Column38]],Table1215[[#This Row],[Column40]])</f>
        <v>2.3333333333333335</v>
      </c>
      <c r="AQ146" s="65">
        <f>IFERROR(VLOOKUP(Table1215[[#This Row],[Column2]],Table12[[Column2]:[Column54]],42,FALSE),"0")</f>
        <v>3</v>
      </c>
      <c r="AR146" s="65">
        <f>IFERROR(VLOOKUP(Table1215[[#This Row],[Column2]],Table12[[Column2]:[Column54]],43,FALSE),"0")</f>
        <v>0</v>
      </c>
      <c r="AS146" s="65">
        <f>IFERROR(VLOOKUP(Table1215[[#This Row],[Column2]],Table12[[Column2]:[Column54]],44,FALSE),"0")</f>
        <v>0</v>
      </c>
      <c r="AT146" s="65">
        <f>IFERROR(VLOOKUP(Table1215[[#This Row],[Column2]],Table12[[Column2]:[Column54]],45,FALSE),"0")</f>
        <v>0</v>
      </c>
      <c r="AU146" s="65">
        <f>IFERROR(VLOOKUP(Table1215[[#This Row],[Column2]],Table12[[Column2]:[Column54]],46,FALSE),"0")</f>
        <v>0</v>
      </c>
      <c r="AV146" s="67">
        <f>Table1215[[#This Row],[Column43]]</f>
        <v>3</v>
      </c>
      <c r="AW146" s="65">
        <f>IFERROR(VLOOKUP(Table1215[[#This Row],[Column2]],Table12[[Column2]:[Column54]],48,FALSE),"0")</f>
        <v>0</v>
      </c>
      <c r="AX146" s="65">
        <f>IFERROR(VLOOKUP(Table1215[[#This Row],[Column2]],Table12[[Column2]:[Column54]],49,FALSE),"0")</f>
        <v>0</v>
      </c>
      <c r="AY146" s="65">
        <f>IFERROR(VLOOKUP(Table1215[[#This Row],[Column2]],Table12[[Column2]:[Column54]],50,FALSE),"0")</f>
        <v>0</v>
      </c>
      <c r="AZ146" s="65">
        <f>IFERROR(VLOOKUP(Table1215[[#This Row],[Column2]],Table12[[Column2]:[Column54]],51,FALSE),"0")</f>
        <v>2</v>
      </c>
      <c r="BA146" s="65">
        <f>IFERROR(VLOOKUP(Table1215[[#This Row],[Column2]],Table12[[Column2]:[Column54]],52,FALSE),"0")</f>
        <v>3</v>
      </c>
      <c r="BB146" s="67">
        <f>AVERAGE(Table1215[[#This Row],[Column52]],Table1215[[#This Row],[Column53]])</f>
        <v>2.5</v>
      </c>
    </row>
    <row r="147" spans="1:54" ht="23.1" customHeight="1" x14ac:dyDescent="0.3">
      <c r="A147" s="87">
        <v>144</v>
      </c>
      <c r="B147" s="70" t="s">
        <v>172</v>
      </c>
      <c r="C147" s="71" t="s">
        <v>173</v>
      </c>
      <c r="D147" s="70" t="s">
        <v>450</v>
      </c>
      <c r="E147" s="70" t="s">
        <v>161</v>
      </c>
      <c r="F147" s="70" t="str">
        <f>REPT(CHAR(160),10)&amp;Working!$E148</f>
        <v>          B</v>
      </c>
      <c r="G147" s="61">
        <f>IFERROR(VLOOKUP(Table1215[[#This Row],[Column2]],Table12[[Column2]:[Column54]],6,FALSE),"0")</f>
        <v>0</v>
      </c>
      <c r="H147" s="61">
        <f>IFERROR(VLOOKUP(Table1215[[#This Row],[Column2]],Table12[[Column2]:[Column54]],7,FALSE),"0")</f>
        <v>0</v>
      </c>
      <c r="I147" s="61">
        <f>IFERROR(VLOOKUP(Table1215[[#This Row],[Column2]],Table12[[Column2]:[Column54]],8,FALSE),"0")</f>
        <v>3</v>
      </c>
      <c r="J147" s="61">
        <f>IFERROR(VLOOKUP(Table1215[[#This Row],[Column2]],Table12[[Column2]:[Column54]],9,FALSE),"0")</f>
        <v>0</v>
      </c>
      <c r="K147" s="61">
        <f>IFERROR(VLOOKUP(Table1215[[#This Row],[Column2]],Table12[[Column2]:[Column54]],10,FALSE),"0")</f>
        <v>0</v>
      </c>
      <c r="L147" s="67">
        <f>Table1215[[#This Row],[Column9]]</f>
        <v>3</v>
      </c>
      <c r="M147" s="61">
        <f>IFERROR(VLOOKUP(Table1215[[#This Row],[Column2]],Table12[[Column2]:[Column54]],12,FALSE),"0")</f>
        <v>0</v>
      </c>
      <c r="N147" s="61">
        <f>IFERROR(VLOOKUP(Table1215[[#This Row],[Column2]],Table12[[Column2]:[Column54]],13,FALSE),"0")</f>
        <v>5</v>
      </c>
      <c r="O147" s="61">
        <f>IFERROR(VLOOKUP(Table1215[[#This Row],[Column2]],Table12[[Column2]:[Column54]],14,FALSE),"0")</f>
        <v>4</v>
      </c>
      <c r="P147" s="61">
        <f>IFERROR(VLOOKUP(Table1215[[#This Row],[Column2]],Table12[[Column2]:[Column54]],10,FALSE),"0")</f>
        <v>0</v>
      </c>
      <c r="Q147" s="61">
        <f>IFERROR(VLOOKUP(Table1215[[#This Row],[Column2]],Table12[[Column2]:[Column54]],16,FALSE),"0")</f>
        <v>4</v>
      </c>
      <c r="R147" s="67">
        <f>AVERAGE(Table1215[[#This Row],[Column14]],Table1215[[#This Row],[Column15]],Table1215[[#This Row],[Column17]])</f>
        <v>4.333333333333333</v>
      </c>
      <c r="S147" s="61">
        <f>IFERROR(VLOOKUP(Table1215[[#This Row],[Column2]],Table12[[Column2]:[Column54]],18,FALSE),"0")</f>
        <v>0</v>
      </c>
      <c r="T147" s="61">
        <f>IFERROR(VLOOKUP(Table1215[[#This Row],[Column2]],Table12[[Column2]:[Column54]],19,FALSE),"0")</f>
        <v>0</v>
      </c>
      <c r="U147" s="61">
        <f>IFERROR(VLOOKUP(Table1215[[#This Row],[Column2]],Table12[[Column2]:[Column54]],20,FALSE),"0")</f>
        <v>0</v>
      </c>
      <c r="V147" s="61">
        <f>IFERROR(VLOOKUP(Table1215[[#This Row],[Column2]],Table12[[Column2]:[Column54]],21,FALSE),"0")</f>
        <v>0</v>
      </c>
      <c r="W147" s="61">
        <f>IFERROR(VLOOKUP(Table1215[[#This Row],[Column2]],Table12[[Column2]:[Column54]],22,FALSE),"0")</f>
        <v>0</v>
      </c>
      <c r="X147" s="67">
        <f>Table1215[[#This Row],[Column19]]</f>
        <v>0</v>
      </c>
      <c r="Y147" s="61">
        <f>IFERROR(VLOOKUP(Table1215[[#This Row],[Column2]],Table12[[Column2]:[Column54]],24,FALSE),"0")</f>
        <v>5</v>
      </c>
      <c r="Z147" s="61">
        <f>IFERROR(VLOOKUP(Table1215[[#This Row],[Column2]],Table12[[Column2]:[Column54]],25,FALSE),"0")</f>
        <v>0</v>
      </c>
      <c r="AA147" s="61">
        <f>IFERROR(VLOOKUP(Table1215[[#This Row],[Column2]],Table12[[Column2]:[Column54]],26,FALSE),"0")</f>
        <v>0</v>
      </c>
      <c r="AB147" s="61">
        <f>IFERROR(VLOOKUP(Table1215[[#This Row],[Column2]],Table12[[Column2]:[Column54]],27,FALSE),"0")</f>
        <v>0</v>
      </c>
      <c r="AC147" s="61">
        <f>IFERROR(VLOOKUP(Table1215[[#This Row],[Column2]],Table12[[Column2]:[Column54]],28,FALSE),"0")</f>
        <v>0</v>
      </c>
      <c r="AD147" s="67">
        <f>Table1215[[#This Row],[Column25]]</f>
        <v>5</v>
      </c>
      <c r="AE147" s="61">
        <f>IFERROR(VLOOKUP(Table1215[[#This Row],[Column2]],Table12[[Column2]:[Column54]],30,FALSE),"0")</f>
        <v>0</v>
      </c>
      <c r="AF147" s="61">
        <f>IFERROR(VLOOKUP(Table1215[[#This Row],[Column2]],Table12[[Column2]:[Column54]],31,FALSE),"0")</f>
        <v>0</v>
      </c>
      <c r="AG147" s="61">
        <f>IFERROR(VLOOKUP(Table1215[[#This Row],[Column2]],Table12[[Column2]:[Column54]],32,FALSE),"0")</f>
        <v>0</v>
      </c>
      <c r="AH147" s="61">
        <f>IFERROR(VLOOKUP(Table1215[[#This Row],[Column2]],Table12[[Column2]:[Column54]],33,FALSE),"0")</f>
        <v>0</v>
      </c>
      <c r="AI147" s="61">
        <f>IFERROR(VLOOKUP(Table1215[[#This Row],[Column2]],Table12[[Column2]:[Column54]],34,FALSE),"0")</f>
        <v>0</v>
      </c>
      <c r="AJ147" s="67">
        <f>AVERAGE(Table1215[[#This Row],[Column31]],Table1215[[#This Row],[Column32]],Table1215[[#This Row],[Column33]])</f>
        <v>0</v>
      </c>
      <c r="AK147" s="61">
        <f>IFERROR(VLOOKUP(Table1215[[#This Row],[Column2]],Table12[[Column2]:[Column54]],36,FALSE),"0")</f>
        <v>3</v>
      </c>
      <c r="AL147" s="61">
        <f>IFERROR(VLOOKUP(Table1215[[#This Row],[Column2]],Table12[[Column2]:[Column54]],37,FALSE),"0")</f>
        <v>3</v>
      </c>
      <c r="AM147" s="61">
        <f>IFERROR(VLOOKUP(Table1215[[#This Row],[Column2]],Table12[[Column2]:[Column54]],38,FALSE),"0")</f>
        <v>0</v>
      </c>
      <c r="AN147" s="61">
        <f>IFERROR(VLOOKUP(Table1215[[#This Row],[Column2]],Table12[[Column2]:[Column54]],39,FALSE),"0")</f>
        <v>3</v>
      </c>
      <c r="AO147" s="61">
        <f>IFERROR(VLOOKUP(Table1215[[#This Row],[Column2]],Table12[[Column2]:[Column54]],40,FALSE),"0")</f>
        <v>0</v>
      </c>
      <c r="AP147" s="67">
        <f>AVERAGE(Table1215[[#This Row],[Column37]],Table1215[[#This Row],[Column38]],Table1215[[#This Row],[Column40]])</f>
        <v>3</v>
      </c>
      <c r="AQ147" s="61">
        <f>IFERROR(VLOOKUP(Table1215[[#This Row],[Column2]],Table12[[Column2]:[Column54]],42,FALSE),"0")</f>
        <v>3</v>
      </c>
      <c r="AR147" s="61">
        <f>IFERROR(VLOOKUP(Table1215[[#This Row],[Column2]],Table12[[Column2]:[Column54]],43,FALSE),"0")</f>
        <v>0</v>
      </c>
      <c r="AS147" s="61">
        <f>IFERROR(VLOOKUP(Table1215[[#This Row],[Column2]],Table12[[Column2]:[Column54]],44,FALSE),"0")</f>
        <v>0</v>
      </c>
      <c r="AT147" s="61">
        <f>IFERROR(VLOOKUP(Table1215[[#This Row],[Column2]],Table12[[Column2]:[Column54]],45,FALSE),"0")</f>
        <v>0</v>
      </c>
      <c r="AU147" s="61">
        <f>IFERROR(VLOOKUP(Table1215[[#This Row],[Column2]],Table12[[Column2]:[Column54]],46,FALSE),"0")</f>
        <v>0</v>
      </c>
      <c r="AV147" s="67">
        <f>Table1215[[#This Row],[Column43]]</f>
        <v>3</v>
      </c>
      <c r="AW147" s="61">
        <f>IFERROR(VLOOKUP(Table1215[[#This Row],[Column2]],Table12[[Column2]:[Column54]],48,FALSE),"0")</f>
        <v>0</v>
      </c>
      <c r="AX147" s="61">
        <f>IFERROR(VLOOKUP(Table1215[[#This Row],[Column2]],Table12[[Column2]:[Column54]],49,FALSE),"0")</f>
        <v>0</v>
      </c>
      <c r="AY147" s="61">
        <f>IFERROR(VLOOKUP(Table1215[[#This Row],[Column2]],Table12[[Column2]:[Column54]],50,FALSE),"0")</f>
        <v>0</v>
      </c>
      <c r="AZ147" s="61">
        <f>IFERROR(VLOOKUP(Table1215[[#This Row],[Column2]],Table12[[Column2]:[Column54]],51,FALSE),"0")</f>
        <v>3</v>
      </c>
      <c r="BA147" s="61">
        <f>IFERROR(VLOOKUP(Table1215[[#This Row],[Column2]],Table12[[Column2]:[Column54]],52,FALSE),"0")</f>
        <v>4</v>
      </c>
      <c r="BB147" s="67">
        <f>AVERAGE(Table1215[[#This Row],[Column52]],Table1215[[#This Row],[Column53]])</f>
        <v>3.5</v>
      </c>
    </row>
    <row r="148" spans="1:54" ht="23.1" customHeight="1" x14ac:dyDescent="0.3">
      <c r="A148" s="86">
        <v>145</v>
      </c>
      <c r="B148" s="63" t="s">
        <v>376</v>
      </c>
      <c r="C148" s="64" t="s">
        <v>377</v>
      </c>
      <c r="D148" s="63" t="s">
        <v>542</v>
      </c>
      <c r="E148" s="63" t="s">
        <v>493</v>
      </c>
      <c r="F148" s="63" t="str">
        <f>REPT(CHAR(160),10)&amp;Working!$E149</f>
        <v>          C</v>
      </c>
      <c r="G148" s="65">
        <f>IFERROR(VLOOKUP(Table1215[[#This Row],[Column2]],Table12[[Column2]:[Column54]],6,FALSE),"0")</f>
        <v>0</v>
      </c>
      <c r="H148" s="65">
        <f>IFERROR(VLOOKUP(Table1215[[#This Row],[Column2]],Table12[[Column2]:[Column54]],7,FALSE),"0")</f>
        <v>0</v>
      </c>
      <c r="I148" s="65">
        <f>IFERROR(VLOOKUP(Table1215[[#This Row],[Column2]],Table12[[Column2]:[Column54]],8,FALSE),"0")</f>
        <v>2</v>
      </c>
      <c r="J148" s="65">
        <f>IFERROR(VLOOKUP(Table1215[[#This Row],[Column2]],Table12[[Column2]:[Column54]],9,FALSE),"0")</f>
        <v>0</v>
      </c>
      <c r="K148" s="65">
        <f>IFERROR(VLOOKUP(Table1215[[#This Row],[Column2]],Table12[[Column2]:[Column54]],10,FALSE),"0")</f>
        <v>0</v>
      </c>
      <c r="L148" s="67">
        <f>Table1215[[#This Row],[Column9]]</f>
        <v>2</v>
      </c>
      <c r="M148" s="65">
        <f>IFERROR(VLOOKUP(Table1215[[#This Row],[Column2]],Table12[[Column2]:[Column54]],12,FALSE),"0")</f>
        <v>0</v>
      </c>
      <c r="N148" s="65">
        <f>IFERROR(VLOOKUP(Table1215[[#This Row],[Column2]],Table12[[Column2]:[Column54]],13,FALSE),"0")</f>
        <v>3</v>
      </c>
      <c r="O148" s="65">
        <f>IFERROR(VLOOKUP(Table1215[[#This Row],[Column2]],Table12[[Column2]:[Column54]],14,FALSE),"0")</f>
        <v>3</v>
      </c>
      <c r="P148" s="65">
        <f>IFERROR(VLOOKUP(Table1215[[#This Row],[Column2]],Table12[[Column2]:[Column54]],10,FALSE),"0")</f>
        <v>0</v>
      </c>
      <c r="Q148" s="65">
        <f>IFERROR(VLOOKUP(Table1215[[#This Row],[Column2]],Table12[[Column2]:[Column54]],16,FALSE),"0")</f>
        <v>3</v>
      </c>
      <c r="R148" s="67">
        <f>AVERAGE(Table1215[[#This Row],[Column14]],Table1215[[#This Row],[Column15]],Table1215[[#This Row],[Column17]])</f>
        <v>3</v>
      </c>
      <c r="S148" s="65">
        <f>IFERROR(VLOOKUP(Table1215[[#This Row],[Column2]],Table12[[Column2]:[Column54]],18,FALSE),"0")</f>
        <v>0</v>
      </c>
      <c r="T148" s="65">
        <f>IFERROR(VLOOKUP(Table1215[[#This Row],[Column2]],Table12[[Column2]:[Column54]],19,FALSE),"0")</f>
        <v>0</v>
      </c>
      <c r="U148" s="65">
        <f>IFERROR(VLOOKUP(Table1215[[#This Row],[Column2]],Table12[[Column2]:[Column54]],20,FALSE),"0")</f>
        <v>0</v>
      </c>
      <c r="V148" s="65">
        <f>IFERROR(VLOOKUP(Table1215[[#This Row],[Column2]],Table12[[Column2]:[Column54]],21,FALSE),"0")</f>
        <v>0</v>
      </c>
      <c r="W148" s="65">
        <f>IFERROR(VLOOKUP(Table1215[[#This Row],[Column2]],Table12[[Column2]:[Column54]],22,FALSE),"0")</f>
        <v>0</v>
      </c>
      <c r="X148" s="67">
        <f>Table1215[[#This Row],[Column19]]</f>
        <v>0</v>
      </c>
      <c r="Y148" s="65">
        <f>IFERROR(VLOOKUP(Table1215[[#This Row],[Column2]],Table12[[Column2]:[Column54]],24,FALSE),"0")</f>
        <v>3</v>
      </c>
      <c r="Z148" s="65">
        <f>IFERROR(VLOOKUP(Table1215[[#This Row],[Column2]],Table12[[Column2]:[Column54]],25,FALSE),"0")</f>
        <v>0</v>
      </c>
      <c r="AA148" s="65">
        <f>IFERROR(VLOOKUP(Table1215[[#This Row],[Column2]],Table12[[Column2]:[Column54]],26,FALSE),"0")</f>
        <v>0</v>
      </c>
      <c r="AB148" s="65">
        <f>IFERROR(VLOOKUP(Table1215[[#This Row],[Column2]],Table12[[Column2]:[Column54]],27,FALSE),"0")</f>
        <v>0</v>
      </c>
      <c r="AC148" s="65">
        <f>IFERROR(VLOOKUP(Table1215[[#This Row],[Column2]],Table12[[Column2]:[Column54]],28,FALSE),"0")</f>
        <v>0</v>
      </c>
      <c r="AD148" s="67">
        <f>Table1215[[#This Row],[Column25]]</f>
        <v>3</v>
      </c>
      <c r="AE148" s="65">
        <f>IFERROR(VLOOKUP(Table1215[[#This Row],[Column2]],Table12[[Column2]:[Column54]],30,FALSE),"0")</f>
        <v>0</v>
      </c>
      <c r="AF148" s="65">
        <f>IFERROR(VLOOKUP(Table1215[[#This Row],[Column2]],Table12[[Column2]:[Column54]],31,FALSE),"0")</f>
        <v>0</v>
      </c>
      <c r="AG148" s="65">
        <f>IFERROR(VLOOKUP(Table1215[[#This Row],[Column2]],Table12[[Column2]:[Column54]],32,FALSE),"0")</f>
        <v>0</v>
      </c>
      <c r="AH148" s="65">
        <f>IFERROR(VLOOKUP(Table1215[[#This Row],[Column2]],Table12[[Column2]:[Column54]],33,FALSE),"0")</f>
        <v>0</v>
      </c>
      <c r="AI148" s="65">
        <f>IFERROR(VLOOKUP(Table1215[[#This Row],[Column2]],Table12[[Column2]:[Column54]],34,FALSE),"0")</f>
        <v>0</v>
      </c>
      <c r="AJ148" s="67">
        <f>AVERAGE(Table1215[[#This Row],[Column31]],Table1215[[#This Row],[Column32]],Table1215[[#This Row],[Column33]])</f>
        <v>0</v>
      </c>
      <c r="AK148" s="65">
        <f>IFERROR(VLOOKUP(Table1215[[#This Row],[Column2]],Table12[[Column2]:[Column54]],36,FALSE),"0")</f>
        <v>3</v>
      </c>
      <c r="AL148" s="65">
        <f>IFERROR(VLOOKUP(Table1215[[#This Row],[Column2]],Table12[[Column2]:[Column54]],37,FALSE),"0")</f>
        <v>4</v>
      </c>
      <c r="AM148" s="65">
        <f>IFERROR(VLOOKUP(Table1215[[#This Row],[Column2]],Table12[[Column2]:[Column54]],38,FALSE),"0")</f>
        <v>0</v>
      </c>
      <c r="AN148" s="65">
        <f>IFERROR(VLOOKUP(Table1215[[#This Row],[Column2]],Table12[[Column2]:[Column54]],39,FALSE),"0")</f>
        <v>3</v>
      </c>
      <c r="AO148" s="65">
        <f>IFERROR(VLOOKUP(Table1215[[#This Row],[Column2]],Table12[[Column2]:[Column54]],40,FALSE),"0")</f>
        <v>0</v>
      </c>
      <c r="AP148" s="67">
        <f>AVERAGE(Table1215[[#This Row],[Column37]],Table1215[[#This Row],[Column38]],Table1215[[#This Row],[Column40]])</f>
        <v>3.3333333333333335</v>
      </c>
      <c r="AQ148" s="65">
        <f>IFERROR(VLOOKUP(Table1215[[#This Row],[Column2]],Table12[[Column2]:[Column54]],42,FALSE),"0")</f>
        <v>3</v>
      </c>
      <c r="AR148" s="65">
        <f>IFERROR(VLOOKUP(Table1215[[#This Row],[Column2]],Table12[[Column2]:[Column54]],43,FALSE),"0")</f>
        <v>0</v>
      </c>
      <c r="AS148" s="65">
        <f>IFERROR(VLOOKUP(Table1215[[#This Row],[Column2]],Table12[[Column2]:[Column54]],44,FALSE),"0")</f>
        <v>0</v>
      </c>
      <c r="AT148" s="65">
        <f>IFERROR(VLOOKUP(Table1215[[#This Row],[Column2]],Table12[[Column2]:[Column54]],45,FALSE),"0")</f>
        <v>0</v>
      </c>
      <c r="AU148" s="65">
        <f>IFERROR(VLOOKUP(Table1215[[#This Row],[Column2]],Table12[[Column2]:[Column54]],46,FALSE),"0")</f>
        <v>0</v>
      </c>
      <c r="AV148" s="67">
        <f>Table1215[[#This Row],[Column43]]</f>
        <v>3</v>
      </c>
      <c r="AW148" s="65">
        <f>IFERROR(VLOOKUP(Table1215[[#This Row],[Column2]],Table12[[Column2]:[Column54]],48,FALSE),"0")</f>
        <v>0</v>
      </c>
      <c r="AX148" s="65">
        <f>IFERROR(VLOOKUP(Table1215[[#This Row],[Column2]],Table12[[Column2]:[Column54]],49,FALSE),"0")</f>
        <v>0</v>
      </c>
      <c r="AY148" s="65">
        <f>IFERROR(VLOOKUP(Table1215[[#This Row],[Column2]],Table12[[Column2]:[Column54]],50,FALSE),"0")</f>
        <v>0</v>
      </c>
      <c r="AZ148" s="65">
        <f>IFERROR(VLOOKUP(Table1215[[#This Row],[Column2]],Table12[[Column2]:[Column54]],51,FALSE),"0")</f>
        <v>2</v>
      </c>
      <c r="BA148" s="65">
        <f>IFERROR(VLOOKUP(Table1215[[#This Row],[Column2]],Table12[[Column2]:[Column54]],52,FALSE),"0")</f>
        <v>4</v>
      </c>
      <c r="BB148" s="67">
        <f>AVERAGE(Table1215[[#This Row],[Column52]],Table1215[[#This Row],[Column53]])</f>
        <v>3</v>
      </c>
    </row>
    <row r="149" spans="1:54" ht="23.1" customHeight="1" x14ac:dyDescent="0.3">
      <c r="A149" s="87">
        <v>146</v>
      </c>
      <c r="B149" s="70" t="s">
        <v>378</v>
      </c>
      <c r="C149" s="71" t="s">
        <v>379</v>
      </c>
      <c r="D149" s="70" t="s">
        <v>542</v>
      </c>
      <c r="E149" s="70" t="s">
        <v>493</v>
      </c>
      <c r="F149" s="70" t="str">
        <f>REPT(CHAR(160),10)&amp;Working!$E150</f>
        <v>          C</v>
      </c>
      <c r="G149" s="61">
        <f>IFERROR(VLOOKUP(Table1215[[#This Row],[Column2]],Table12[[Column2]:[Column54]],6,FALSE),"0")</f>
        <v>0</v>
      </c>
      <c r="H149" s="61">
        <f>IFERROR(VLOOKUP(Table1215[[#This Row],[Column2]],Table12[[Column2]:[Column54]],7,FALSE),"0")</f>
        <v>0</v>
      </c>
      <c r="I149" s="61">
        <f>IFERROR(VLOOKUP(Table1215[[#This Row],[Column2]],Table12[[Column2]:[Column54]],8,FALSE),"0")</f>
        <v>5</v>
      </c>
      <c r="J149" s="61">
        <f>IFERROR(VLOOKUP(Table1215[[#This Row],[Column2]],Table12[[Column2]:[Column54]],9,FALSE),"0")</f>
        <v>0</v>
      </c>
      <c r="K149" s="61">
        <f>IFERROR(VLOOKUP(Table1215[[#This Row],[Column2]],Table12[[Column2]:[Column54]],10,FALSE),"0")</f>
        <v>0</v>
      </c>
      <c r="L149" s="67">
        <f>Table1215[[#This Row],[Column9]]</f>
        <v>5</v>
      </c>
      <c r="M149" s="61">
        <f>IFERROR(VLOOKUP(Table1215[[#This Row],[Column2]],Table12[[Column2]:[Column54]],12,FALSE),"0")</f>
        <v>0</v>
      </c>
      <c r="N149" s="61">
        <f>IFERROR(VLOOKUP(Table1215[[#This Row],[Column2]],Table12[[Column2]:[Column54]],13,FALSE),"0")</f>
        <v>5</v>
      </c>
      <c r="O149" s="61">
        <f>IFERROR(VLOOKUP(Table1215[[#This Row],[Column2]],Table12[[Column2]:[Column54]],14,FALSE),"0")</f>
        <v>5</v>
      </c>
      <c r="P149" s="61">
        <f>IFERROR(VLOOKUP(Table1215[[#This Row],[Column2]],Table12[[Column2]:[Column54]],10,FALSE),"0")</f>
        <v>0</v>
      </c>
      <c r="Q149" s="61">
        <f>IFERROR(VLOOKUP(Table1215[[#This Row],[Column2]],Table12[[Column2]:[Column54]],16,FALSE),"0")</f>
        <v>5</v>
      </c>
      <c r="R149" s="67">
        <f>AVERAGE(Table1215[[#This Row],[Column14]],Table1215[[#This Row],[Column15]],Table1215[[#This Row],[Column17]])</f>
        <v>5</v>
      </c>
      <c r="S149" s="61">
        <f>IFERROR(VLOOKUP(Table1215[[#This Row],[Column2]],Table12[[Column2]:[Column54]],18,FALSE),"0")</f>
        <v>0</v>
      </c>
      <c r="T149" s="61">
        <f>IFERROR(VLOOKUP(Table1215[[#This Row],[Column2]],Table12[[Column2]:[Column54]],19,FALSE),"0")</f>
        <v>0</v>
      </c>
      <c r="U149" s="61">
        <f>IFERROR(VLOOKUP(Table1215[[#This Row],[Column2]],Table12[[Column2]:[Column54]],20,FALSE),"0")</f>
        <v>0</v>
      </c>
      <c r="V149" s="61">
        <f>IFERROR(VLOOKUP(Table1215[[#This Row],[Column2]],Table12[[Column2]:[Column54]],21,FALSE),"0")</f>
        <v>0</v>
      </c>
      <c r="W149" s="61">
        <f>IFERROR(VLOOKUP(Table1215[[#This Row],[Column2]],Table12[[Column2]:[Column54]],22,FALSE),"0")</f>
        <v>0</v>
      </c>
      <c r="X149" s="67">
        <f>Table1215[[#This Row],[Column19]]</f>
        <v>0</v>
      </c>
      <c r="Y149" s="61">
        <f>IFERROR(VLOOKUP(Table1215[[#This Row],[Column2]],Table12[[Column2]:[Column54]],24,FALSE),"0")</f>
        <v>5</v>
      </c>
      <c r="Z149" s="61">
        <f>IFERROR(VLOOKUP(Table1215[[#This Row],[Column2]],Table12[[Column2]:[Column54]],25,FALSE),"0")</f>
        <v>0</v>
      </c>
      <c r="AA149" s="61">
        <f>IFERROR(VLOOKUP(Table1215[[#This Row],[Column2]],Table12[[Column2]:[Column54]],26,FALSE),"0")</f>
        <v>0</v>
      </c>
      <c r="AB149" s="61">
        <f>IFERROR(VLOOKUP(Table1215[[#This Row],[Column2]],Table12[[Column2]:[Column54]],27,FALSE),"0")</f>
        <v>0</v>
      </c>
      <c r="AC149" s="61">
        <f>IFERROR(VLOOKUP(Table1215[[#This Row],[Column2]],Table12[[Column2]:[Column54]],28,FALSE),"0")</f>
        <v>0</v>
      </c>
      <c r="AD149" s="67">
        <f>Table1215[[#This Row],[Column25]]</f>
        <v>5</v>
      </c>
      <c r="AE149" s="61">
        <f>IFERROR(VLOOKUP(Table1215[[#This Row],[Column2]],Table12[[Column2]:[Column54]],30,FALSE),"0")</f>
        <v>0</v>
      </c>
      <c r="AF149" s="61">
        <f>IFERROR(VLOOKUP(Table1215[[#This Row],[Column2]],Table12[[Column2]:[Column54]],31,FALSE),"0")</f>
        <v>0</v>
      </c>
      <c r="AG149" s="61">
        <f>IFERROR(VLOOKUP(Table1215[[#This Row],[Column2]],Table12[[Column2]:[Column54]],32,FALSE),"0")</f>
        <v>0</v>
      </c>
      <c r="AH149" s="61">
        <f>IFERROR(VLOOKUP(Table1215[[#This Row],[Column2]],Table12[[Column2]:[Column54]],33,FALSE),"0")</f>
        <v>0</v>
      </c>
      <c r="AI149" s="61">
        <f>IFERROR(VLOOKUP(Table1215[[#This Row],[Column2]],Table12[[Column2]:[Column54]],34,FALSE),"0")</f>
        <v>0</v>
      </c>
      <c r="AJ149" s="67">
        <f>AVERAGE(Table1215[[#This Row],[Column31]],Table1215[[#This Row],[Column32]],Table1215[[#This Row],[Column33]])</f>
        <v>0</v>
      </c>
      <c r="AK149" s="61">
        <f>IFERROR(VLOOKUP(Table1215[[#This Row],[Column2]],Table12[[Column2]:[Column54]],36,FALSE),"0")</f>
        <v>5</v>
      </c>
      <c r="AL149" s="61">
        <f>IFERROR(VLOOKUP(Table1215[[#This Row],[Column2]],Table12[[Column2]:[Column54]],37,FALSE),"0")</f>
        <v>5</v>
      </c>
      <c r="AM149" s="61">
        <f>IFERROR(VLOOKUP(Table1215[[#This Row],[Column2]],Table12[[Column2]:[Column54]],38,FALSE),"0")</f>
        <v>0</v>
      </c>
      <c r="AN149" s="61">
        <f>IFERROR(VLOOKUP(Table1215[[#This Row],[Column2]],Table12[[Column2]:[Column54]],39,FALSE),"0")</f>
        <v>5</v>
      </c>
      <c r="AO149" s="61">
        <f>IFERROR(VLOOKUP(Table1215[[#This Row],[Column2]],Table12[[Column2]:[Column54]],40,FALSE),"0")</f>
        <v>0</v>
      </c>
      <c r="AP149" s="67">
        <f>AVERAGE(Table1215[[#This Row],[Column37]],Table1215[[#This Row],[Column38]],Table1215[[#This Row],[Column40]])</f>
        <v>5</v>
      </c>
      <c r="AQ149" s="61">
        <f>IFERROR(VLOOKUP(Table1215[[#This Row],[Column2]],Table12[[Column2]:[Column54]],42,FALSE),"0")</f>
        <v>5</v>
      </c>
      <c r="AR149" s="61">
        <f>IFERROR(VLOOKUP(Table1215[[#This Row],[Column2]],Table12[[Column2]:[Column54]],43,FALSE),"0")</f>
        <v>0</v>
      </c>
      <c r="AS149" s="61">
        <f>IFERROR(VLOOKUP(Table1215[[#This Row],[Column2]],Table12[[Column2]:[Column54]],44,FALSE),"0")</f>
        <v>0</v>
      </c>
      <c r="AT149" s="61">
        <f>IFERROR(VLOOKUP(Table1215[[#This Row],[Column2]],Table12[[Column2]:[Column54]],45,FALSE),"0")</f>
        <v>0</v>
      </c>
      <c r="AU149" s="61">
        <f>IFERROR(VLOOKUP(Table1215[[#This Row],[Column2]],Table12[[Column2]:[Column54]],46,FALSE),"0")</f>
        <v>0</v>
      </c>
      <c r="AV149" s="67">
        <f>Table1215[[#This Row],[Column43]]</f>
        <v>5</v>
      </c>
      <c r="AW149" s="61">
        <f>IFERROR(VLOOKUP(Table1215[[#This Row],[Column2]],Table12[[Column2]:[Column54]],48,FALSE),"0")</f>
        <v>0</v>
      </c>
      <c r="AX149" s="61">
        <f>IFERROR(VLOOKUP(Table1215[[#This Row],[Column2]],Table12[[Column2]:[Column54]],49,FALSE),"0")</f>
        <v>0</v>
      </c>
      <c r="AY149" s="61">
        <f>IFERROR(VLOOKUP(Table1215[[#This Row],[Column2]],Table12[[Column2]:[Column54]],50,FALSE),"0")</f>
        <v>0</v>
      </c>
      <c r="AZ149" s="61">
        <f>IFERROR(VLOOKUP(Table1215[[#This Row],[Column2]],Table12[[Column2]:[Column54]],51,FALSE),"0")</f>
        <v>5</v>
      </c>
      <c r="BA149" s="61">
        <f>IFERROR(VLOOKUP(Table1215[[#This Row],[Column2]],Table12[[Column2]:[Column54]],52,FALSE),"0")</f>
        <v>5</v>
      </c>
      <c r="BB149" s="67">
        <f>AVERAGE(Table1215[[#This Row],[Column52]],Table1215[[#This Row],[Column53]])</f>
        <v>5</v>
      </c>
    </row>
    <row r="150" spans="1:54" ht="23.1" customHeight="1" x14ac:dyDescent="0.3">
      <c r="A150" s="86">
        <v>147</v>
      </c>
      <c r="B150" s="63" t="s">
        <v>154</v>
      </c>
      <c r="C150" s="64" t="s">
        <v>155</v>
      </c>
      <c r="D150" s="63" t="s">
        <v>450</v>
      </c>
      <c r="E150" s="63" t="s">
        <v>35</v>
      </c>
      <c r="F150" s="63" t="str">
        <f>REPT(CHAR(160),10)&amp;Working!$E151</f>
        <v>          A</v>
      </c>
      <c r="G150" s="65">
        <f>IFERROR(VLOOKUP(Table1215[[#This Row],[Column2]],Table12[[Column2]:[Column54]],6,FALSE),"0")</f>
        <v>0</v>
      </c>
      <c r="H150" s="65">
        <f>IFERROR(VLOOKUP(Table1215[[#This Row],[Column2]],Table12[[Column2]:[Column54]],7,FALSE),"0")</f>
        <v>0</v>
      </c>
      <c r="I150" s="65">
        <f>IFERROR(VLOOKUP(Table1215[[#This Row],[Column2]],Table12[[Column2]:[Column54]],8,FALSE),"0")</f>
        <v>3</v>
      </c>
      <c r="J150" s="65">
        <f>IFERROR(VLOOKUP(Table1215[[#This Row],[Column2]],Table12[[Column2]:[Column54]],9,FALSE),"0")</f>
        <v>0</v>
      </c>
      <c r="K150" s="65">
        <f>IFERROR(VLOOKUP(Table1215[[#This Row],[Column2]],Table12[[Column2]:[Column54]],10,FALSE),"0")</f>
        <v>0</v>
      </c>
      <c r="L150" s="67">
        <f>Table1215[[#This Row],[Column9]]</f>
        <v>3</v>
      </c>
      <c r="M150" s="65">
        <f>IFERROR(VLOOKUP(Table1215[[#This Row],[Column2]],Table12[[Column2]:[Column54]],12,FALSE),"0")</f>
        <v>0</v>
      </c>
      <c r="N150" s="65">
        <f>IFERROR(VLOOKUP(Table1215[[#This Row],[Column2]],Table12[[Column2]:[Column54]],13,FALSE),"0")</f>
        <v>4</v>
      </c>
      <c r="O150" s="65">
        <f>IFERROR(VLOOKUP(Table1215[[#This Row],[Column2]],Table12[[Column2]:[Column54]],14,FALSE),"0")</f>
        <v>3</v>
      </c>
      <c r="P150" s="65">
        <f>IFERROR(VLOOKUP(Table1215[[#This Row],[Column2]],Table12[[Column2]:[Column54]],10,FALSE),"0")</f>
        <v>0</v>
      </c>
      <c r="Q150" s="65">
        <f>IFERROR(VLOOKUP(Table1215[[#This Row],[Column2]],Table12[[Column2]:[Column54]],16,FALSE),"0")</f>
        <v>3</v>
      </c>
      <c r="R150" s="67">
        <f>AVERAGE(Table1215[[#This Row],[Column14]],Table1215[[#This Row],[Column15]],Table1215[[#This Row],[Column17]])</f>
        <v>3.3333333333333335</v>
      </c>
      <c r="S150" s="65">
        <f>IFERROR(VLOOKUP(Table1215[[#This Row],[Column2]],Table12[[Column2]:[Column54]],18,FALSE),"0")</f>
        <v>0</v>
      </c>
      <c r="T150" s="65">
        <f>IFERROR(VLOOKUP(Table1215[[#This Row],[Column2]],Table12[[Column2]:[Column54]],19,FALSE),"0")</f>
        <v>0</v>
      </c>
      <c r="U150" s="65">
        <f>IFERROR(VLOOKUP(Table1215[[#This Row],[Column2]],Table12[[Column2]:[Column54]],20,FALSE),"0")</f>
        <v>0</v>
      </c>
      <c r="V150" s="65">
        <f>IFERROR(VLOOKUP(Table1215[[#This Row],[Column2]],Table12[[Column2]:[Column54]],21,FALSE),"0")</f>
        <v>0</v>
      </c>
      <c r="W150" s="65">
        <f>IFERROR(VLOOKUP(Table1215[[#This Row],[Column2]],Table12[[Column2]:[Column54]],22,FALSE),"0")</f>
        <v>0</v>
      </c>
      <c r="X150" s="67">
        <f>Table1215[[#This Row],[Column19]]</f>
        <v>0</v>
      </c>
      <c r="Y150" s="65">
        <f>IFERROR(VLOOKUP(Table1215[[#This Row],[Column2]],Table12[[Column2]:[Column54]],24,FALSE),"0")</f>
        <v>3</v>
      </c>
      <c r="Z150" s="65">
        <f>IFERROR(VLOOKUP(Table1215[[#This Row],[Column2]],Table12[[Column2]:[Column54]],25,FALSE),"0")</f>
        <v>0</v>
      </c>
      <c r="AA150" s="65">
        <f>IFERROR(VLOOKUP(Table1215[[#This Row],[Column2]],Table12[[Column2]:[Column54]],26,FALSE),"0")</f>
        <v>0</v>
      </c>
      <c r="AB150" s="65">
        <f>IFERROR(VLOOKUP(Table1215[[#This Row],[Column2]],Table12[[Column2]:[Column54]],27,FALSE),"0")</f>
        <v>0</v>
      </c>
      <c r="AC150" s="65">
        <f>IFERROR(VLOOKUP(Table1215[[#This Row],[Column2]],Table12[[Column2]:[Column54]],28,FALSE),"0")</f>
        <v>0</v>
      </c>
      <c r="AD150" s="67">
        <f>Table1215[[#This Row],[Column25]]</f>
        <v>3</v>
      </c>
      <c r="AE150" s="65">
        <f>IFERROR(VLOOKUP(Table1215[[#This Row],[Column2]],Table12[[Column2]:[Column54]],30,FALSE),"0")</f>
        <v>0</v>
      </c>
      <c r="AF150" s="65">
        <f>IFERROR(VLOOKUP(Table1215[[#This Row],[Column2]],Table12[[Column2]:[Column54]],31,FALSE),"0")</f>
        <v>0</v>
      </c>
      <c r="AG150" s="65">
        <f>IFERROR(VLOOKUP(Table1215[[#This Row],[Column2]],Table12[[Column2]:[Column54]],32,FALSE),"0")</f>
        <v>0</v>
      </c>
      <c r="AH150" s="65">
        <f>IFERROR(VLOOKUP(Table1215[[#This Row],[Column2]],Table12[[Column2]:[Column54]],33,FALSE),"0")</f>
        <v>0</v>
      </c>
      <c r="AI150" s="65">
        <f>IFERROR(VLOOKUP(Table1215[[#This Row],[Column2]],Table12[[Column2]:[Column54]],34,FALSE),"0")</f>
        <v>0</v>
      </c>
      <c r="AJ150" s="67">
        <f>AVERAGE(Table1215[[#This Row],[Column31]],Table1215[[#This Row],[Column32]],Table1215[[#This Row],[Column33]])</f>
        <v>0</v>
      </c>
      <c r="AK150" s="65">
        <f>IFERROR(VLOOKUP(Table1215[[#This Row],[Column2]],Table12[[Column2]:[Column54]],36,FALSE),"0")</f>
        <v>4</v>
      </c>
      <c r="AL150" s="65">
        <f>IFERROR(VLOOKUP(Table1215[[#This Row],[Column2]],Table12[[Column2]:[Column54]],37,FALSE),"0")</f>
        <v>3</v>
      </c>
      <c r="AM150" s="65">
        <f>IFERROR(VLOOKUP(Table1215[[#This Row],[Column2]],Table12[[Column2]:[Column54]],38,FALSE),"0")</f>
        <v>0</v>
      </c>
      <c r="AN150" s="65">
        <f>IFERROR(VLOOKUP(Table1215[[#This Row],[Column2]],Table12[[Column2]:[Column54]],39,FALSE),"0")</f>
        <v>4</v>
      </c>
      <c r="AO150" s="65">
        <f>IFERROR(VLOOKUP(Table1215[[#This Row],[Column2]],Table12[[Column2]:[Column54]],40,FALSE),"0")</f>
        <v>0</v>
      </c>
      <c r="AP150" s="67">
        <f>AVERAGE(Table1215[[#This Row],[Column37]],Table1215[[#This Row],[Column38]],Table1215[[#This Row],[Column40]])</f>
        <v>3.6666666666666665</v>
      </c>
      <c r="AQ150" s="65">
        <f>IFERROR(VLOOKUP(Table1215[[#This Row],[Column2]],Table12[[Column2]:[Column54]],42,FALSE),"0")</f>
        <v>2</v>
      </c>
      <c r="AR150" s="65">
        <f>IFERROR(VLOOKUP(Table1215[[#This Row],[Column2]],Table12[[Column2]:[Column54]],43,FALSE),"0")</f>
        <v>0</v>
      </c>
      <c r="AS150" s="65">
        <f>IFERROR(VLOOKUP(Table1215[[#This Row],[Column2]],Table12[[Column2]:[Column54]],44,FALSE),"0")</f>
        <v>0</v>
      </c>
      <c r="AT150" s="65">
        <f>IFERROR(VLOOKUP(Table1215[[#This Row],[Column2]],Table12[[Column2]:[Column54]],45,FALSE),"0")</f>
        <v>0</v>
      </c>
      <c r="AU150" s="65">
        <f>IFERROR(VLOOKUP(Table1215[[#This Row],[Column2]],Table12[[Column2]:[Column54]],46,FALSE),"0")</f>
        <v>0</v>
      </c>
      <c r="AV150" s="67">
        <f>Table1215[[#This Row],[Column43]]</f>
        <v>2</v>
      </c>
      <c r="AW150" s="65">
        <f>IFERROR(VLOOKUP(Table1215[[#This Row],[Column2]],Table12[[Column2]:[Column54]],48,FALSE),"0")</f>
        <v>0</v>
      </c>
      <c r="AX150" s="65">
        <f>IFERROR(VLOOKUP(Table1215[[#This Row],[Column2]],Table12[[Column2]:[Column54]],49,FALSE),"0")</f>
        <v>0</v>
      </c>
      <c r="AY150" s="65">
        <f>IFERROR(VLOOKUP(Table1215[[#This Row],[Column2]],Table12[[Column2]:[Column54]],50,FALSE),"0")</f>
        <v>0</v>
      </c>
      <c r="AZ150" s="65">
        <f>IFERROR(VLOOKUP(Table1215[[#This Row],[Column2]],Table12[[Column2]:[Column54]],51,FALSE),"0")</f>
        <v>3</v>
      </c>
      <c r="BA150" s="65">
        <f>IFERROR(VLOOKUP(Table1215[[#This Row],[Column2]],Table12[[Column2]:[Column54]],52,FALSE),"0")</f>
        <v>3</v>
      </c>
      <c r="BB150" s="67">
        <f>AVERAGE(Table1215[[#This Row],[Column52]],Table1215[[#This Row],[Column53]])</f>
        <v>3</v>
      </c>
    </row>
    <row r="151" spans="1:54" ht="23.1" customHeight="1" x14ac:dyDescent="0.3">
      <c r="A151" s="87">
        <v>148</v>
      </c>
      <c r="B151" s="70" t="s">
        <v>380</v>
      </c>
      <c r="C151" s="71" t="s">
        <v>381</v>
      </c>
      <c r="D151" s="70" t="s">
        <v>450</v>
      </c>
      <c r="E151" s="70" t="s">
        <v>493</v>
      </c>
      <c r="F151" s="70" t="str">
        <f>REPT(CHAR(160),10)&amp;Working!$E152</f>
        <v>          C</v>
      </c>
      <c r="G151" s="61">
        <f>IFERROR(VLOOKUP(Table1215[[#This Row],[Column2]],Table12[[Column2]:[Column54]],6,FALSE),"0")</f>
        <v>0</v>
      </c>
      <c r="H151" s="61">
        <f>IFERROR(VLOOKUP(Table1215[[#This Row],[Column2]],Table12[[Column2]:[Column54]],7,FALSE),"0")</f>
        <v>0</v>
      </c>
      <c r="I151" s="61">
        <f>IFERROR(VLOOKUP(Table1215[[#This Row],[Column2]],Table12[[Column2]:[Column54]],8,FALSE),"0")</f>
        <v>3</v>
      </c>
      <c r="J151" s="61">
        <f>IFERROR(VLOOKUP(Table1215[[#This Row],[Column2]],Table12[[Column2]:[Column54]],9,FALSE),"0")</f>
        <v>0</v>
      </c>
      <c r="K151" s="61">
        <f>IFERROR(VLOOKUP(Table1215[[#This Row],[Column2]],Table12[[Column2]:[Column54]],10,FALSE),"0")</f>
        <v>0</v>
      </c>
      <c r="L151" s="67">
        <f>Table1215[[#This Row],[Column9]]</f>
        <v>3</v>
      </c>
      <c r="M151" s="61">
        <f>IFERROR(VLOOKUP(Table1215[[#This Row],[Column2]],Table12[[Column2]:[Column54]],12,FALSE),"0")</f>
        <v>0</v>
      </c>
      <c r="N151" s="61">
        <f>IFERROR(VLOOKUP(Table1215[[#This Row],[Column2]],Table12[[Column2]:[Column54]],13,FALSE),"0")</f>
        <v>4</v>
      </c>
      <c r="O151" s="61">
        <f>IFERROR(VLOOKUP(Table1215[[#This Row],[Column2]],Table12[[Column2]:[Column54]],14,FALSE),"0")</f>
        <v>3</v>
      </c>
      <c r="P151" s="61">
        <f>IFERROR(VLOOKUP(Table1215[[#This Row],[Column2]],Table12[[Column2]:[Column54]],10,FALSE),"0")</f>
        <v>0</v>
      </c>
      <c r="Q151" s="61">
        <f>IFERROR(VLOOKUP(Table1215[[#This Row],[Column2]],Table12[[Column2]:[Column54]],16,FALSE),"0")</f>
        <v>3</v>
      </c>
      <c r="R151" s="67">
        <f>AVERAGE(Table1215[[#This Row],[Column14]],Table1215[[#This Row],[Column15]],Table1215[[#This Row],[Column17]])</f>
        <v>3.3333333333333335</v>
      </c>
      <c r="S151" s="61">
        <f>IFERROR(VLOOKUP(Table1215[[#This Row],[Column2]],Table12[[Column2]:[Column54]],18,FALSE),"0")</f>
        <v>0</v>
      </c>
      <c r="T151" s="61">
        <f>IFERROR(VLOOKUP(Table1215[[#This Row],[Column2]],Table12[[Column2]:[Column54]],19,FALSE),"0")</f>
        <v>0</v>
      </c>
      <c r="U151" s="61">
        <f>IFERROR(VLOOKUP(Table1215[[#This Row],[Column2]],Table12[[Column2]:[Column54]],20,FALSE),"0")</f>
        <v>0</v>
      </c>
      <c r="V151" s="61">
        <f>IFERROR(VLOOKUP(Table1215[[#This Row],[Column2]],Table12[[Column2]:[Column54]],21,FALSE),"0")</f>
        <v>0</v>
      </c>
      <c r="W151" s="61">
        <f>IFERROR(VLOOKUP(Table1215[[#This Row],[Column2]],Table12[[Column2]:[Column54]],22,FALSE),"0")</f>
        <v>0</v>
      </c>
      <c r="X151" s="67">
        <f>Table1215[[#This Row],[Column19]]</f>
        <v>0</v>
      </c>
      <c r="Y151" s="61">
        <f>IFERROR(VLOOKUP(Table1215[[#This Row],[Column2]],Table12[[Column2]:[Column54]],24,FALSE),"0")</f>
        <v>4</v>
      </c>
      <c r="Z151" s="61">
        <f>IFERROR(VLOOKUP(Table1215[[#This Row],[Column2]],Table12[[Column2]:[Column54]],25,FALSE),"0")</f>
        <v>0</v>
      </c>
      <c r="AA151" s="61">
        <f>IFERROR(VLOOKUP(Table1215[[#This Row],[Column2]],Table12[[Column2]:[Column54]],26,FALSE),"0")</f>
        <v>0</v>
      </c>
      <c r="AB151" s="61">
        <f>IFERROR(VLOOKUP(Table1215[[#This Row],[Column2]],Table12[[Column2]:[Column54]],27,FALSE),"0")</f>
        <v>0</v>
      </c>
      <c r="AC151" s="61">
        <f>IFERROR(VLOOKUP(Table1215[[#This Row],[Column2]],Table12[[Column2]:[Column54]],28,FALSE),"0")</f>
        <v>0</v>
      </c>
      <c r="AD151" s="67">
        <f>Table1215[[#This Row],[Column25]]</f>
        <v>4</v>
      </c>
      <c r="AE151" s="61">
        <f>IFERROR(VLOOKUP(Table1215[[#This Row],[Column2]],Table12[[Column2]:[Column54]],30,FALSE),"0")</f>
        <v>0</v>
      </c>
      <c r="AF151" s="61">
        <f>IFERROR(VLOOKUP(Table1215[[#This Row],[Column2]],Table12[[Column2]:[Column54]],31,FALSE),"0")</f>
        <v>0</v>
      </c>
      <c r="AG151" s="61">
        <f>IFERROR(VLOOKUP(Table1215[[#This Row],[Column2]],Table12[[Column2]:[Column54]],32,FALSE),"0")</f>
        <v>0</v>
      </c>
      <c r="AH151" s="61">
        <f>IFERROR(VLOOKUP(Table1215[[#This Row],[Column2]],Table12[[Column2]:[Column54]],33,FALSE),"0")</f>
        <v>0</v>
      </c>
      <c r="AI151" s="61">
        <f>IFERROR(VLOOKUP(Table1215[[#This Row],[Column2]],Table12[[Column2]:[Column54]],34,FALSE),"0")</f>
        <v>0</v>
      </c>
      <c r="AJ151" s="67">
        <f>AVERAGE(Table1215[[#This Row],[Column31]],Table1215[[#This Row],[Column32]],Table1215[[#This Row],[Column33]])</f>
        <v>0</v>
      </c>
      <c r="AK151" s="61">
        <f>IFERROR(VLOOKUP(Table1215[[#This Row],[Column2]],Table12[[Column2]:[Column54]],36,FALSE),"0")</f>
        <v>3</v>
      </c>
      <c r="AL151" s="61">
        <f>IFERROR(VLOOKUP(Table1215[[#This Row],[Column2]],Table12[[Column2]:[Column54]],37,FALSE),"0")</f>
        <v>3</v>
      </c>
      <c r="AM151" s="61">
        <f>IFERROR(VLOOKUP(Table1215[[#This Row],[Column2]],Table12[[Column2]:[Column54]],38,FALSE),"0")</f>
        <v>0</v>
      </c>
      <c r="AN151" s="61">
        <f>IFERROR(VLOOKUP(Table1215[[#This Row],[Column2]],Table12[[Column2]:[Column54]],39,FALSE),"0")</f>
        <v>3</v>
      </c>
      <c r="AO151" s="61">
        <f>IFERROR(VLOOKUP(Table1215[[#This Row],[Column2]],Table12[[Column2]:[Column54]],40,FALSE),"0")</f>
        <v>0</v>
      </c>
      <c r="AP151" s="67">
        <f>AVERAGE(Table1215[[#This Row],[Column37]],Table1215[[#This Row],[Column38]],Table1215[[#This Row],[Column40]])</f>
        <v>3</v>
      </c>
      <c r="AQ151" s="61">
        <f>IFERROR(VLOOKUP(Table1215[[#This Row],[Column2]],Table12[[Column2]:[Column54]],42,FALSE),"0")</f>
        <v>1</v>
      </c>
      <c r="AR151" s="61">
        <f>IFERROR(VLOOKUP(Table1215[[#This Row],[Column2]],Table12[[Column2]:[Column54]],43,FALSE),"0")</f>
        <v>0</v>
      </c>
      <c r="AS151" s="61">
        <f>IFERROR(VLOOKUP(Table1215[[#This Row],[Column2]],Table12[[Column2]:[Column54]],44,FALSE),"0")</f>
        <v>0</v>
      </c>
      <c r="AT151" s="61">
        <f>IFERROR(VLOOKUP(Table1215[[#This Row],[Column2]],Table12[[Column2]:[Column54]],45,FALSE),"0")</f>
        <v>0</v>
      </c>
      <c r="AU151" s="61">
        <f>IFERROR(VLOOKUP(Table1215[[#This Row],[Column2]],Table12[[Column2]:[Column54]],46,FALSE),"0")</f>
        <v>0</v>
      </c>
      <c r="AV151" s="67">
        <f>Table1215[[#This Row],[Column43]]</f>
        <v>1</v>
      </c>
      <c r="AW151" s="61">
        <f>IFERROR(VLOOKUP(Table1215[[#This Row],[Column2]],Table12[[Column2]:[Column54]],48,FALSE),"0")</f>
        <v>0</v>
      </c>
      <c r="AX151" s="61">
        <f>IFERROR(VLOOKUP(Table1215[[#This Row],[Column2]],Table12[[Column2]:[Column54]],49,FALSE),"0")</f>
        <v>0</v>
      </c>
      <c r="AY151" s="61">
        <f>IFERROR(VLOOKUP(Table1215[[#This Row],[Column2]],Table12[[Column2]:[Column54]],50,FALSE),"0")</f>
        <v>0</v>
      </c>
      <c r="AZ151" s="61">
        <f>IFERROR(VLOOKUP(Table1215[[#This Row],[Column2]],Table12[[Column2]:[Column54]],51,FALSE),"0")</f>
        <v>3</v>
      </c>
      <c r="BA151" s="61">
        <f>IFERROR(VLOOKUP(Table1215[[#This Row],[Column2]],Table12[[Column2]:[Column54]],52,FALSE),"0")</f>
        <v>2</v>
      </c>
      <c r="BB151" s="67">
        <f>AVERAGE(Table1215[[#This Row],[Column52]],Table1215[[#This Row],[Column53]])</f>
        <v>2.5</v>
      </c>
    </row>
    <row r="152" spans="1:54" ht="23.1" customHeight="1" x14ac:dyDescent="0.3">
      <c r="A152" s="86">
        <v>149</v>
      </c>
      <c r="B152" s="63" t="s">
        <v>156</v>
      </c>
      <c r="C152" s="64" t="s">
        <v>382</v>
      </c>
      <c r="D152" s="63" t="s">
        <v>450</v>
      </c>
      <c r="E152" s="63" t="s">
        <v>35</v>
      </c>
      <c r="F152" s="63" t="str">
        <f>REPT(CHAR(160),10)&amp;Working!$E153</f>
        <v>          A</v>
      </c>
      <c r="G152" s="65">
        <f>IFERROR(VLOOKUP(Table1215[[#This Row],[Column2]],Table12[[Column2]:[Column54]],6,FALSE),"0")</f>
        <v>0</v>
      </c>
      <c r="H152" s="65">
        <f>IFERROR(VLOOKUP(Table1215[[#This Row],[Column2]],Table12[[Column2]:[Column54]],7,FALSE),"0")</f>
        <v>0</v>
      </c>
      <c r="I152" s="65">
        <f>IFERROR(VLOOKUP(Table1215[[#This Row],[Column2]],Table12[[Column2]:[Column54]],8,FALSE),"0")</f>
        <v>3</v>
      </c>
      <c r="J152" s="65">
        <f>IFERROR(VLOOKUP(Table1215[[#This Row],[Column2]],Table12[[Column2]:[Column54]],9,FALSE),"0")</f>
        <v>0</v>
      </c>
      <c r="K152" s="65">
        <f>IFERROR(VLOOKUP(Table1215[[#This Row],[Column2]],Table12[[Column2]:[Column54]],10,FALSE),"0")</f>
        <v>0</v>
      </c>
      <c r="L152" s="67">
        <f>Table1215[[#This Row],[Column9]]</f>
        <v>3</v>
      </c>
      <c r="M152" s="65">
        <f>IFERROR(VLOOKUP(Table1215[[#This Row],[Column2]],Table12[[Column2]:[Column54]],12,FALSE),"0")</f>
        <v>0</v>
      </c>
      <c r="N152" s="65">
        <f>IFERROR(VLOOKUP(Table1215[[#This Row],[Column2]],Table12[[Column2]:[Column54]],13,FALSE),"0")</f>
        <v>5</v>
      </c>
      <c r="O152" s="65">
        <f>IFERROR(VLOOKUP(Table1215[[#This Row],[Column2]],Table12[[Column2]:[Column54]],14,FALSE),"0")</f>
        <v>3</v>
      </c>
      <c r="P152" s="65">
        <f>IFERROR(VLOOKUP(Table1215[[#This Row],[Column2]],Table12[[Column2]:[Column54]],10,FALSE),"0")</f>
        <v>0</v>
      </c>
      <c r="Q152" s="65">
        <f>IFERROR(VLOOKUP(Table1215[[#This Row],[Column2]],Table12[[Column2]:[Column54]],16,FALSE),"0")</f>
        <v>3</v>
      </c>
      <c r="R152" s="67">
        <f>AVERAGE(Table1215[[#This Row],[Column14]],Table1215[[#This Row],[Column15]],Table1215[[#This Row],[Column17]])</f>
        <v>3.6666666666666665</v>
      </c>
      <c r="S152" s="65">
        <f>IFERROR(VLOOKUP(Table1215[[#This Row],[Column2]],Table12[[Column2]:[Column54]],18,FALSE),"0")</f>
        <v>0</v>
      </c>
      <c r="T152" s="65">
        <f>IFERROR(VLOOKUP(Table1215[[#This Row],[Column2]],Table12[[Column2]:[Column54]],19,FALSE),"0")</f>
        <v>0</v>
      </c>
      <c r="U152" s="65">
        <f>IFERROR(VLOOKUP(Table1215[[#This Row],[Column2]],Table12[[Column2]:[Column54]],20,FALSE),"0")</f>
        <v>0</v>
      </c>
      <c r="V152" s="65">
        <f>IFERROR(VLOOKUP(Table1215[[#This Row],[Column2]],Table12[[Column2]:[Column54]],21,FALSE),"0")</f>
        <v>0</v>
      </c>
      <c r="W152" s="65">
        <f>IFERROR(VLOOKUP(Table1215[[#This Row],[Column2]],Table12[[Column2]:[Column54]],22,FALSE),"0")</f>
        <v>0</v>
      </c>
      <c r="X152" s="67">
        <f>Table1215[[#This Row],[Column19]]</f>
        <v>0</v>
      </c>
      <c r="Y152" s="65">
        <f>IFERROR(VLOOKUP(Table1215[[#This Row],[Column2]],Table12[[Column2]:[Column54]],24,FALSE),"0")</f>
        <v>3</v>
      </c>
      <c r="Z152" s="65">
        <f>IFERROR(VLOOKUP(Table1215[[#This Row],[Column2]],Table12[[Column2]:[Column54]],25,FALSE),"0")</f>
        <v>0</v>
      </c>
      <c r="AA152" s="65">
        <f>IFERROR(VLOOKUP(Table1215[[#This Row],[Column2]],Table12[[Column2]:[Column54]],26,FALSE),"0")</f>
        <v>0</v>
      </c>
      <c r="AB152" s="65">
        <f>IFERROR(VLOOKUP(Table1215[[#This Row],[Column2]],Table12[[Column2]:[Column54]],27,FALSE),"0")</f>
        <v>0</v>
      </c>
      <c r="AC152" s="65">
        <f>IFERROR(VLOOKUP(Table1215[[#This Row],[Column2]],Table12[[Column2]:[Column54]],28,FALSE),"0")</f>
        <v>0</v>
      </c>
      <c r="AD152" s="67">
        <f>Table1215[[#This Row],[Column25]]</f>
        <v>3</v>
      </c>
      <c r="AE152" s="65">
        <f>IFERROR(VLOOKUP(Table1215[[#This Row],[Column2]],Table12[[Column2]:[Column54]],30,FALSE),"0")</f>
        <v>0</v>
      </c>
      <c r="AF152" s="65">
        <f>IFERROR(VLOOKUP(Table1215[[#This Row],[Column2]],Table12[[Column2]:[Column54]],31,FALSE),"0")</f>
        <v>0</v>
      </c>
      <c r="AG152" s="65">
        <f>IFERROR(VLOOKUP(Table1215[[#This Row],[Column2]],Table12[[Column2]:[Column54]],32,FALSE),"0")</f>
        <v>0</v>
      </c>
      <c r="AH152" s="65">
        <f>IFERROR(VLOOKUP(Table1215[[#This Row],[Column2]],Table12[[Column2]:[Column54]],33,FALSE),"0")</f>
        <v>0</v>
      </c>
      <c r="AI152" s="65">
        <f>IFERROR(VLOOKUP(Table1215[[#This Row],[Column2]],Table12[[Column2]:[Column54]],34,FALSE),"0")</f>
        <v>0</v>
      </c>
      <c r="AJ152" s="67">
        <f>AVERAGE(Table1215[[#This Row],[Column31]],Table1215[[#This Row],[Column32]],Table1215[[#This Row],[Column33]])</f>
        <v>0</v>
      </c>
      <c r="AK152" s="65">
        <f>IFERROR(VLOOKUP(Table1215[[#This Row],[Column2]],Table12[[Column2]:[Column54]],36,FALSE),"0")</f>
        <v>3</v>
      </c>
      <c r="AL152" s="65">
        <f>IFERROR(VLOOKUP(Table1215[[#This Row],[Column2]],Table12[[Column2]:[Column54]],37,FALSE),"0")</f>
        <v>3</v>
      </c>
      <c r="AM152" s="65">
        <f>IFERROR(VLOOKUP(Table1215[[#This Row],[Column2]],Table12[[Column2]:[Column54]],38,FALSE),"0")</f>
        <v>0</v>
      </c>
      <c r="AN152" s="65">
        <f>IFERROR(VLOOKUP(Table1215[[#This Row],[Column2]],Table12[[Column2]:[Column54]],39,FALSE),"0")</f>
        <v>4</v>
      </c>
      <c r="AO152" s="65">
        <f>IFERROR(VLOOKUP(Table1215[[#This Row],[Column2]],Table12[[Column2]:[Column54]],40,FALSE),"0")</f>
        <v>0</v>
      </c>
      <c r="AP152" s="67">
        <f>AVERAGE(Table1215[[#This Row],[Column37]],Table1215[[#This Row],[Column38]],Table1215[[#This Row],[Column40]])</f>
        <v>3.3333333333333335</v>
      </c>
      <c r="AQ152" s="65">
        <f>IFERROR(VLOOKUP(Table1215[[#This Row],[Column2]],Table12[[Column2]:[Column54]],42,FALSE),"0")</f>
        <v>3</v>
      </c>
      <c r="AR152" s="65">
        <f>IFERROR(VLOOKUP(Table1215[[#This Row],[Column2]],Table12[[Column2]:[Column54]],43,FALSE),"0")</f>
        <v>0</v>
      </c>
      <c r="AS152" s="65">
        <f>IFERROR(VLOOKUP(Table1215[[#This Row],[Column2]],Table12[[Column2]:[Column54]],44,FALSE),"0")</f>
        <v>0</v>
      </c>
      <c r="AT152" s="65">
        <f>IFERROR(VLOOKUP(Table1215[[#This Row],[Column2]],Table12[[Column2]:[Column54]],45,FALSE),"0")</f>
        <v>0</v>
      </c>
      <c r="AU152" s="65">
        <f>IFERROR(VLOOKUP(Table1215[[#This Row],[Column2]],Table12[[Column2]:[Column54]],46,FALSE),"0")</f>
        <v>0</v>
      </c>
      <c r="AV152" s="67">
        <f>Table1215[[#This Row],[Column43]]</f>
        <v>3</v>
      </c>
      <c r="AW152" s="65">
        <f>IFERROR(VLOOKUP(Table1215[[#This Row],[Column2]],Table12[[Column2]:[Column54]],48,FALSE),"0")</f>
        <v>0</v>
      </c>
      <c r="AX152" s="65">
        <f>IFERROR(VLOOKUP(Table1215[[#This Row],[Column2]],Table12[[Column2]:[Column54]],49,FALSE),"0")</f>
        <v>0</v>
      </c>
      <c r="AY152" s="65">
        <f>IFERROR(VLOOKUP(Table1215[[#This Row],[Column2]],Table12[[Column2]:[Column54]],50,FALSE),"0")</f>
        <v>0</v>
      </c>
      <c r="AZ152" s="65">
        <f>IFERROR(VLOOKUP(Table1215[[#This Row],[Column2]],Table12[[Column2]:[Column54]],51,FALSE),"0")</f>
        <v>4</v>
      </c>
      <c r="BA152" s="65">
        <f>IFERROR(VLOOKUP(Table1215[[#This Row],[Column2]],Table12[[Column2]:[Column54]],52,FALSE),"0")</f>
        <v>3</v>
      </c>
      <c r="BB152" s="67">
        <f>AVERAGE(Table1215[[#This Row],[Column52]],Table1215[[#This Row],[Column53]])</f>
        <v>3.5</v>
      </c>
    </row>
    <row r="153" spans="1:54" ht="23.1" customHeight="1" x14ac:dyDescent="0.3">
      <c r="A153" s="87">
        <v>150</v>
      </c>
      <c r="B153" s="70" t="s">
        <v>383</v>
      </c>
      <c r="C153" s="71" t="s">
        <v>384</v>
      </c>
      <c r="D153" s="70" t="s">
        <v>542</v>
      </c>
      <c r="E153" s="70" t="s">
        <v>493</v>
      </c>
      <c r="F153" s="70" t="str">
        <f>REPT(CHAR(160),10)&amp;Working!$E154</f>
        <v>          C</v>
      </c>
      <c r="G153" s="61">
        <f>IFERROR(VLOOKUP(Table1215[[#This Row],[Column2]],Table12[[Column2]:[Column54]],6,FALSE),"0")</f>
        <v>0</v>
      </c>
      <c r="H153" s="61">
        <f>IFERROR(VLOOKUP(Table1215[[#This Row],[Column2]],Table12[[Column2]:[Column54]],7,FALSE),"0")</f>
        <v>0</v>
      </c>
      <c r="I153" s="61">
        <f>IFERROR(VLOOKUP(Table1215[[#This Row],[Column2]],Table12[[Column2]:[Column54]],8,FALSE),"0")</f>
        <v>4</v>
      </c>
      <c r="J153" s="61">
        <f>IFERROR(VLOOKUP(Table1215[[#This Row],[Column2]],Table12[[Column2]:[Column54]],9,FALSE),"0")</f>
        <v>0</v>
      </c>
      <c r="K153" s="61">
        <f>IFERROR(VLOOKUP(Table1215[[#This Row],[Column2]],Table12[[Column2]:[Column54]],10,FALSE),"0")</f>
        <v>0</v>
      </c>
      <c r="L153" s="67">
        <f>Table1215[[#This Row],[Column9]]</f>
        <v>4</v>
      </c>
      <c r="M153" s="61">
        <f>IFERROR(VLOOKUP(Table1215[[#This Row],[Column2]],Table12[[Column2]:[Column54]],12,FALSE),"0")</f>
        <v>0</v>
      </c>
      <c r="N153" s="61">
        <f>IFERROR(VLOOKUP(Table1215[[#This Row],[Column2]],Table12[[Column2]:[Column54]],13,FALSE),"0")</f>
        <v>3</v>
      </c>
      <c r="O153" s="61">
        <f>IFERROR(VLOOKUP(Table1215[[#This Row],[Column2]],Table12[[Column2]:[Column54]],14,FALSE),"0")</f>
        <v>4</v>
      </c>
      <c r="P153" s="61">
        <f>IFERROR(VLOOKUP(Table1215[[#This Row],[Column2]],Table12[[Column2]:[Column54]],10,FALSE),"0")</f>
        <v>0</v>
      </c>
      <c r="Q153" s="61">
        <f>IFERROR(VLOOKUP(Table1215[[#This Row],[Column2]],Table12[[Column2]:[Column54]],16,FALSE),"0")</f>
        <v>4</v>
      </c>
      <c r="R153" s="67">
        <f>AVERAGE(Table1215[[#This Row],[Column14]],Table1215[[#This Row],[Column15]],Table1215[[#This Row],[Column17]])</f>
        <v>3.6666666666666665</v>
      </c>
      <c r="S153" s="61">
        <f>IFERROR(VLOOKUP(Table1215[[#This Row],[Column2]],Table12[[Column2]:[Column54]],18,FALSE),"0")</f>
        <v>0</v>
      </c>
      <c r="T153" s="61">
        <f>IFERROR(VLOOKUP(Table1215[[#This Row],[Column2]],Table12[[Column2]:[Column54]],19,FALSE),"0")</f>
        <v>0</v>
      </c>
      <c r="U153" s="61">
        <f>IFERROR(VLOOKUP(Table1215[[#This Row],[Column2]],Table12[[Column2]:[Column54]],20,FALSE),"0")</f>
        <v>0</v>
      </c>
      <c r="V153" s="61">
        <f>IFERROR(VLOOKUP(Table1215[[#This Row],[Column2]],Table12[[Column2]:[Column54]],21,FALSE),"0")</f>
        <v>0</v>
      </c>
      <c r="W153" s="61">
        <f>IFERROR(VLOOKUP(Table1215[[#This Row],[Column2]],Table12[[Column2]:[Column54]],22,FALSE),"0")</f>
        <v>0</v>
      </c>
      <c r="X153" s="67">
        <f>Table1215[[#This Row],[Column19]]</f>
        <v>0</v>
      </c>
      <c r="Y153" s="61">
        <f>IFERROR(VLOOKUP(Table1215[[#This Row],[Column2]],Table12[[Column2]:[Column54]],24,FALSE),"0")</f>
        <v>4</v>
      </c>
      <c r="Z153" s="61">
        <f>IFERROR(VLOOKUP(Table1215[[#This Row],[Column2]],Table12[[Column2]:[Column54]],25,FALSE),"0")</f>
        <v>0</v>
      </c>
      <c r="AA153" s="61">
        <f>IFERROR(VLOOKUP(Table1215[[#This Row],[Column2]],Table12[[Column2]:[Column54]],26,FALSE),"0")</f>
        <v>0</v>
      </c>
      <c r="AB153" s="61">
        <f>IFERROR(VLOOKUP(Table1215[[#This Row],[Column2]],Table12[[Column2]:[Column54]],27,FALSE),"0")</f>
        <v>0</v>
      </c>
      <c r="AC153" s="61">
        <f>IFERROR(VLOOKUP(Table1215[[#This Row],[Column2]],Table12[[Column2]:[Column54]],28,FALSE),"0")</f>
        <v>0</v>
      </c>
      <c r="AD153" s="67">
        <f>Table1215[[#This Row],[Column25]]</f>
        <v>4</v>
      </c>
      <c r="AE153" s="61">
        <f>IFERROR(VLOOKUP(Table1215[[#This Row],[Column2]],Table12[[Column2]:[Column54]],30,FALSE),"0")</f>
        <v>0</v>
      </c>
      <c r="AF153" s="61">
        <f>IFERROR(VLOOKUP(Table1215[[#This Row],[Column2]],Table12[[Column2]:[Column54]],31,FALSE),"0")</f>
        <v>0</v>
      </c>
      <c r="AG153" s="61">
        <f>IFERROR(VLOOKUP(Table1215[[#This Row],[Column2]],Table12[[Column2]:[Column54]],32,FALSE),"0")</f>
        <v>0</v>
      </c>
      <c r="AH153" s="61">
        <f>IFERROR(VLOOKUP(Table1215[[#This Row],[Column2]],Table12[[Column2]:[Column54]],33,FALSE),"0")</f>
        <v>0</v>
      </c>
      <c r="AI153" s="61">
        <f>IFERROR(VLOOKUP(Table1215[[#This Row],[Column2]],Table12[[Column2]:[Column54]],34,FALSE),"0")</f>
        <v>0</v>
      </c>
      <c r="AJ153" s="67">
        <f>AVERAGE(Table1215[[#This Row],[Column31]],Table1215[[#This Row],[Column32]],Table1215[[#This Row],[Column33]])</f>
        <v>0</v>
      </c>
      <c r="AK153" s="61">
        <f>IFERROR(VLOOKUP(Table1215[[#This Row],[Column2]],Table12[[Column2]:[Column54]],36,FALSE),"0")</f>
        <v>3</v>
      </c>
      <c r="AL153" s="61">
        <f>IFERROR(VLOOKUP(Table1215[[#This Row],[Column2]],Table12[[Column2]:[Column54]],37,FALSE),"0")</f>
        <v>4</v>
      </c>
      <c r="AM153" s="61">
        <f>IFERROR(VLOOKUP(Table1215[[#This Row],[Column2]],Table12[[Column2]:[Column54]],38,FALSE),"0")</f>
        <v>0</v>
      </c>
      <c r="AN153" s="61">
        <f>IFERROR(VLOOKUP(Table1215[[#This Row],[Column2]],Table12[[Column2]:[Column54]],39,FALSE),"0")</f>
        <v>4</v>
      </c>
      <c r="AO153" s="61">
        <f>IFERROR(VLOOKUP(Table1215[[#This Row],[Column2]],Table12[[Column2]:[Column54]],40,FALSE),"0")</f>
        <v>0</v>
      </c>
      <c r="AP153" s="67">
        <f>AVERAGE(Table1215[[#This Row],[Column37]],Table1215[[#This Row],[Column38]],Table1215[[#This Row],[Column40]])</f>
        <v>3.6666666666666665</v>
      </c>
      <c r="AQ153" s="61">
        <f>IFERROR(VLOOKUP(Table1215[[#This Row],[Column2]],Table12[[Column2]:[Column54]],42,FALSE),"0")</f>
        <v>5</v>
      </c>
      <c r="AR153" s="61">
        <f>IFERROR(VLOOKUP(Table1215[[#This Row],[Column2]],Table12[[Column2]:[Column54]],43,FALSE),"0")</f>
        <v>0</v>
      </c>
      <c r="AS153" s="61">
        <f>IFERROR(VLOOKUP(Table1215[[#This Row],[Column2]],Table12[[Column2]:[Column54]],44,FALSE),"0")</f>
        <v>0</v>
      </c>
      <c r="AT153" s="61">
        <f>IFERROR(VLOOKUP(Table1215[[#This Row],[Column2]],Table12[[Column2]:[Column54]],45,FALSE),"0")</f>
        <v>0</v>
      </c>
      <c r="AU153" s="61">
        <f>IFERROR(VLOOKUP(Table1215[[#This Row],[Column2]],Table12[[Column2]:[Column54]],46,FALSE),"0")</f>
        <v>0</v>
      </c>
      <c r="AV153" s="67">
        <f>Table1215[[#This Row],[Column43]]</f>
        <v>5</v>
      </c>
      <c r="AW153" s="61">
        <f>IFERROR(VLOOKUP(Table1215[[#This Row],[Column2]],Table12[[Column2]:[Column54]],48,FALSE),"0")</f>
        <v>0</v>
      </c>
      <c r="AX153" s="61">
        <f>IFERROR(VLOOKUP(Table1215[[#This Row],[Column2]],Table12[[Column2]:[Column54]],49,FALSE),"0")</f>
        <v>0</v>
      </c>
      <c r="AY153" s="61">
        <f>IFERROR(VLOOKUP(Table1215[[#This Row],[Column2]],Table12[[Column2]:[Column54]],50,FALSE),"0")</f>
        <v>0</v>
      </c>
      <c r="AZ153" s="61">
        <f>IFERROR(VLOOKUP(Table1215[[#This Row],[Column2]],Table12[[Column2]:[Column54]],51,FALSE),"0")</f>
        <v>4</v>
      </c>
      <c r="BA153" s="61">
        <f>IFERROR(VLOOKUP(Table1215[[#This Row],[Column2]],Table12[[Column2]:[Column54]],52,FALSE),"0")</f>
        <v>4</v>
      </c>
      <c r="BB153" s="67">
        <f>AVERAGE(Table1215[[#This Row],[Column52]],Table1215[[#This Row],[Column53]])</f>
        <v>4</v>
      </c>
    </row>
    <row r="154" spans="1:54" ht="23.1" customHeight="1" x14ac:dyDescent="0.3">
      <c r="A154" s="86">
        <v>151</v>
      </c>
      <c r="B154" s="63" t="s">
        <v>46</v>
      </c>
      <c r="C154" s="64" t="s">
        <v>47</v>
      </c>
      <c r="D154" s="63" t="s">
        <v>450</v>
      </c>
      <c r="E154" s="63" t="s">
        <v>35</v>
      </c>
      <c r="F154" s="63" t="str">
        <f>REPT(CHAR(160),10)&amp;Working!$E155</f>
        <v>          A</v>
      </c>
      <c r="G154" s="65">
        <f>IFERROR(VLOOKUP(Table1215[[#This Row],[Column2]],Table12[[Column2]:[Column54]],6,FALSE),"0")</f>
        <v>0</v>
      </c>
      <c r="H154" s="65">
        <f>IFERROR(VLOOKUP(Table1215[[#This Row],[Column2]],Table12[[Column2]:[Column54]],7,FALSE),"0")</f>
        <v>0</v>
      </c>
      <c r="I154" s="65">
        <f>IFERROR(VLOOKUP(Table1215[[#This Row],[Column2]],Table12[[Column2]:[Column54]],8,FALSE),"0")</f>
        <v>5</v>
      </c>
      <c r="J154" s="65">
        <f>IFERROR(VLOOKUP(Table1215[[#This Row],[Column2]],Table12[[Column2]:[Column54]],9,FALSE),"0")</f>
        <v>0</v>
      </c>
      <c r="K154" s="65">
        <f>IFERROR(VLOOKUP(Table1215[[#This Row],[Column2]],Table12[[Column2]:[Column54]],10,FALSE),"0")</f>
        <v>0</v>
      </c>
      <c r="L154" s="67">
        <f>Table1215[[#This Row],[Column9]]</f>
        <v>5</v>
      </c>
      <c r="M154" s="65">
        <f>IFERROR(VLOOKUP(Table1215[[#This Row],[Column2]],Table12[[Column2]:[Column54]],12,FALSE),"0")</f>
        <v>0</v>
      </c>
      <c r="N154" s="65">
        <f>IFERROR(VLOOKUP(Table1215[[#This Row],[Column2]],Table12[[Column2]:[Column54]],13,FALSE),"0")</f>
        <v>5</v>
      </c>
      <c r="O154" s="65">
        <f>IFERROR(VLOOKUP(Table1215[[#This Row],[Column2]],Table12[[Column2]:[Column54]],14,FALSE),"0")</f>
        <v>5</v>
      </c>
      <c r="P154" s="65">
        <f>IFERROR(VLOOKUP(Table1215[[#This Row],[Column2]],Table12[[Column2]:[Column54]],10,FALSE),"0")</f>
        <v>0</v>
      </c>
      <c r="Q154" s="65">
        <f>IFERROR(VLOOKUP(Table1215[[#This Row],[Column2]],Table12[[Column2]:[Column54]],16,FALSE),"0")</f>
        <v>5</v>
      </c>
      <c r="R154" s="67">
        <f>AVERAGE(Table1215[[#This Row],[Column14]],Table1215[[#This Row],[Column15]],Table1215[[#This Row],[Column17]])</f>
        <v>5</v>
      </c>
      <c r="S154" s="65">
        <f>IFERROR(VLOOKUP(Table1215[[#This Row],[Column2]],Table12[[Column2]:[Column54]],18,FALSE),"0")</f>
        <v>0</v>
      </c>
      <c r="T154" s="65">
        <f>IFERROR(VLOOKUP(Table1215[[#This Row],[Column2]],Table12[[Column2]:[Column54]],19,FALSE),"0")</f>
        <v>0</v>
      </c>
      <c r="U154" s="65">
        <f>IFERROR(VLOOKUP(Table1215[[#This Row],[Column2]],Table12[[Column2]:[Column54]],20,FALSE),"0")</f>
        <v>0</v>
      </c>
      <c r="V154" s="65">
        <f>IFERROR(VLOOKUP(Table1215[[#This Row],[Column2]],Table12[[Column2]:[Column54]],21,FALSE),"0")</f>
        <v>0</v>
      </c>
      <c r="W154" s="65">
        <f>IFERROR(VLOOKUP(Table1215[[#This Row],[Column2]],Table12[[Column2]:[Column54]],22,FALSE),"0")</f>
        <v>0</v>
      </c>
      <c r="X154" s="67">
        <f>Table1215[[#This Row],[Column19]]</f>
        <v>0</v>
      </c>
      <c r="Y154" s="65">
        <f>IFERROR(VLOOKUP(Table1215[[#This Row],[Column2]],Table12[[Column2]:[Column54]],24,FALSE),"0")</f>
        <v>4</v>
      </c>
      <c r="Z154" s="65">
        <f>IFERROR(VLOOKUP(Table1215[[#This Row],[Column2]],Table12[[Column2]:[Column54]],25,FALSE),"0")</f>
        <v>0</v>
      </c>
      <c r="AA154" s="65">
        <f>IFERROR(VLOOKUP(Table1215[[#This Row],[Column2]],Table12[[Column2]:[Column54]],26,FALSE),"0")</f>
        <v>0</v>
      </c>
      <c r="AB154" s="65">
        <f>IFERROR(VLOOKUP(Table1215[[#This Row],[Column2]],Table12[[Column2]:[Column54]],27,FALSE),"0")</f>
        <v>0</v>
      </c>
      <c r="AC154" s="65">
        <f>IFERROR(VLOOKUP(Table1215[[#This Row],[Column2]],Table12[[Column2]:[Column54]],28,FALSE),"0")</f>
        <v>0</v>
      </c>
      <c r="AD154" s="67">
        <f>Table1215[[#This Row],[Column25]]</f>
        <v>4</v>
      </c>
      <c r="AE154" s="65">
        <f>IFERROR(VLOOKUP(Table1215[[#This Row],[Column2]],Table12[[Column2]:[Column54]],30,FALSE),"0")</f>
        <v>0</v>
      </c>
      <c r="AF154" s="65">
        <f>IFERROR(VLOOKUP(Table1215[[#This Row],[Column2]],Table12[[Column2]:[Column54]],31,FALSE),"0")</f>
        <v>0</v>
      </c>
      <c r="AG154" s="65">
        <f>IFERROR(VLOOKUP(Table1215[[#This Row],[Column2]],Table12[[Column2]:[Column54]],32,FALSE),"0")</f>
        <v>0</v>
      </c>
      <c r="AH154" s="65">
        <f>IFERROR(VLOOKUP(Table1215[[#This Row],[Column2]],Table12[[Column2]:[Column54]],33,FALSE),"0")</f>
        <v>0</v>
      </c>
      <c r="AI154" s="65">
        <f>IFERROR(VLOOKUP(Table1215[[#This Row],[Column2]],Table12[[Column2]:[Column54]],34,FALSE),"0")</f>
        <v>0</v>
      </c>
      <c r="AJ154" s="67">
        <f>AVERAGE(Table1215[[#This Row],[Column31]],Table1215[[#This Row],[Column32]],Table1215[[#This Row],[Column33]])</f>
        <v>0</v>
      </c>
      <c r="AK154" s="65">
        <f>IFERROR(VLOOKUP(Table1215[[#This Row],[Column2]],Table12[[Column2]:[Column54]],36,FALSE),"0")</f>
        <v>5</v>
      </c>
      <c r="AL154" s="65">
        <f>IFERROR(VLOOKUP(Table1215[[#This Row],[Column2]],Table12[[Column2]:[Column54]],37,FALSE),"0")</f>
        <v>5</v>
      </c>
      <c r="AM154" s="65">
        <f>IFERROR(VLOOKUP(Table1215[[#This Row],[Column2]],Table12[[Column2]:[Column54]],38,FALSE),"0")</f>
        <v>0</v>
      </c>
      <c r="AN154" s="65">
        <f>IFERROR(VLOOKUP(Table1215[[#This Row],[Column2]],Table12[[Column2]:[Column54]],39,FALSE),"0")</f>
        <v>5</v>
      </c>
      <c r="AO154" s="65">
        <f>IFERROR(VLOOKUP(Table1215[[#This Row],[Column2]],Table12[[Column2]:[Column54]],40,FALSE),"0")</f>
        <v>0</v>
      </c>
      <c r="AP154" s="67">
        <f>AVERAGE(Table1215[[#This Row],[Column37]],Table1215[[#This Row],[Column38]],Table1215[[#This Row],[Column40]])</f>
        <v>5</v>
      </c>
      <c r="AQ154" s="65">
        <f>IFERROR(VLOOKUP(Table1215[[#This Row],[Column2]],Table12[[Column2]:[Column54]],42,FALSE),"0")</f>
        <v>5</v>
      </c>
      <c r="AR154" s="65">
        <f>IFERROR(VLOOKUP(Table1215[[#This Row],[Column2]],Table12[[Column2]:[Column54]],43,FALSE),"0")</f>
        <v>0</v>
      </c>
      <c r="AS154" s="65">
        <f>IFERROR(VLOOKUP(Table1215[[#This Row],[Column2]],Table12[[Column2]:[Column54]],44,FALSE),"0")</f>
        <v>0</v>
      </c>
      <c r="AT154" s="65">
        <f>IFERROR(VLOOKUP(Table1215[[#This Row],[Column2]],Table12[[Column2]:[Column54]],45,FALSE),"0")</f>
        <v>0</v>
      </c>
      <c r="AU154" s="65">
        <f>IFERROR(VLOOKUP(Table1215[[#This Row],[Column2]],Table12[[Column2]:[Column54]],46,FALSE),"0")</f>
        <v>0</v>
      </c>
      <c r="AV154" s="67">
        <f>Table1215[[#This Row],[Column43]]</f>
        <v>5</v>
      </c>
      <c r="AW154" s="65">
        <f>IFERROR(VLOOKUP(Table1215[[#This Row],[Column2]],Table12[[Column2]:[Column54]],48,FALSE),"0")</f>
        <v>0</v>
      </c>
      <c r="AX154" s="65">
        <f>IFERROR(VLOOKUP(Table1215[[#This Row],[Column2]],Table12[[Column2]:[Column54]],49,FALSE),"0")</f>
        <v>0</v>
      </c>
      <c r="AY154" s="65">
        <f>IFERROR(VLOOKUP(Table1215[[#This Row],[Column2]],Table12[[Column2]:[Column54]],50,FALSE),"0")</f>
        <v>0</v>
      </c>
      <c r="AZ154" s="65">
        <f>IFERROR(VLOOKUP(Table1215[[#This Row],[Column2]],Table12[[Column2]:[Column54]],51,FALSE),"0")</f>
        <v>5</v>
      </c>
      <c r="BA154" s="65">
        <f>IFERROR(VLOOKUP(Table1215[[#This Row],[Column2]],Table12[[Column2]:[Column54]],52,FALSE),"0")</f>
        <v>5</v>
      </c>
      <c r="BB154" s="67">
        <f>AVERAGE(Table1215[[#This Row],[Column52]],Table1215[[#This Row],[Column53]])</f>
        <v>5</v>
      </c>
    </row>
    <row r="155" spans="1:54" ht="23.1" customHeight="1" x14ac:dyDescent="0.3">
      <c r="A155" s="87">
        <v>152</v>
      </c>
      <c r="B155" s="70" t="s">
        <v>83</v>
      </c>
      <c r="C155" s="71" t="s">
        <v>84</v>
      </c>
      <c r="D155" s="70" t="s">
        <v>450</v>
      </c>
      <c r="E155" s="70" t="s">
        <v>35</v>
      </c>
      <c r="F155" s="70" t="str">
        <f>REPT(CHAR(160),10)&amp;Working!$E156</f>
        <v>          A</v>
      </c>
      <c r="G155" s="61">
        <f>IFERROR(VLOOKUP(Table1215[[#This Row],[Column2]],Table12[[Column2]:[Column54]],6,FALSE),"0")</f>
        <v>0</v>
      </c>
      <c r="H155" s="61">
        <f>IFERROR(VLOOKUP(Table1215[[#This Row],[Column2]],Table12[[Column2]:[Column54]],7,FALSE),"0")</f>
        <v>0</v>
      </c>
      <c r="I155" s="61">
        <f>IFERROR(VLOOKUP(Table1215[[#This Row],[Column2]],Table12[[Column2]:[Column54]],8,FALSE),"0")</f>
        <v>5</v>
      </c>
      <c r="J155" s="61">
        <f>IFERROR(VLOOKUP(Table1215[[#This Row],[Column2]],Table12[[Column2]:[Column54]],9,FALSE),"0")</f>
        <v>0</v>
      </c>
      <c r="K155" s="61">
        <f>IFERROR(VLOOKUP(Table1215[[#This Row],[Column2]],Table12[[Column2]:[Column54]],10,FALSE),"0")</f>
        <v>0</v>
      </c>
      <c r="L155" s="67">
        <f>Table1215[[#This Row],[Column9]]</f>
        <v>5</v>
      </c>
      <c r="M155" s="61">
        <f>IFERROR(VLOOKUP(Table1215[[#This Row],[Column2]],Table12[[Column2]:[Column54]],12,FALSE),"0")</f>
        <v>0</v>
      </c>
      <c r="N155" s="61">
        <f>IFERROR(VLOOKUP(Table1215[[#This Row],[Column2]],Table12[[Column2]:[Column54]],13,FALSE),"0")</f>
        <v>5</v>
      </c>
      <c r="O155" s="61">
        <f>IFERROR(VLOOKUP(Table1215[[#This Row],[Column2]],Table12[[Column2]:[Column54]],14,FALSE),"0")</f>
        <v>5</v>
      </c>
      <c r="P155" s="61">
        <f>IFERROR(VLOOKUP(Table1215[[#This Row],[Column2]],Table12[[Column2]:[Column54]],10,FALSE),"0")</f>
        <v>0</v>
      </c>
      <c r="Q155" s="61">
        <f>IFERROR(VLOOKUP(Table1215[[#This Row],[Column2]],Table12[[Column2]:[Column54]],16,FALSE),"0")</f>
        <v>5</v>
      </c>
      <c r="R155" s="67">
        <f>AVERAGE(Table1215[[#This Row],[Column14]],Table1215[[#This Row],[Column15]],Table1215[[#This Row],[Column17]])</f>
        <v>5</v>
      </c>
      <c r="S155" s="61">
        <f>IFERROR(VLOOKUP(Table1215[[#This Row],[Column2]],Table12[[Column2]:[Column54]],18,FALSE),"0")</f>
        <v>0</v>
      </c>
      <c r="T155" s="61">
        <f>IFERROR(VLOOKUP(Table1215[[#This Row],[Column2]],Table12[[Column2]:[Column54]],19,FALSE),"0")</f>
        <v>0</v>
      </c>
      <c r="U155" s="61">
        <f>IFERROR(VLOOKUP(Table1215[[#This Row],[Column2]],Table12[[Column2]:[Column54]],20,FALSE),"0")</f>
        <v>0</v>
      </c>
      <c r="V155" s="61">
        <f>IFERROR(VLOOKUP(Table1215[[#This Row],[Column2]],Table12[[Column2]:[Column54]],21,FALSE),"0")</f>
        <v>0</v>
      </c>
      <c r="W155" s="61">
        <f>IFERROR(VLOOKUP(Table1215[[#This Row],[Column2]],Table12[[Column2]:[Column54]],22,FALSE),"0")</f>
        <v>0</v>
      </c>
      <c r="X155" s="67">
        <f>Table1215[[#This Row],[Column19]]</f>
        <v>0</v>
      </c>
      <c r="Y155" s="61">
        <f>IFERROR(VLOOKUP(Table1215[[#This Row],[Column2]],Table12[[Column2]:[Column54]],24,FALSE),"0")</f>
        <v>5</v>
      </c>
      <c r="Z155" s="61">
        <f>IFERROR(VLOOKUP(Table1215[[#This Row],[Column2]],Table12[[Column2]:[Column54]],25,FALSE),"0")</f>
        <v>0</v>
      </c>
      <c r="AA155" s="61">
        <f>IFERROR(VLOOKUP(Table1215[[#This Row],[Column2]],Table12[[Column2]:[Column54]],26,FALSE),"0")</f>
        <v>0</v>
      </c>
      <c r="AB155" s="61">
        <f>IFERROR(VLOOKUP(Table1215[[#This Row],[Column2]],Table12[[Column2]:[Column54]],27,FALSE),"0")</f>
        <v>0</v>
      </c>
      <c r="AC155" s="61">
        <f>IFERROR(VLOOKUP(Table1215[[#This Row],[Column2]],Table12[[Column2]:[Column54]],28,FALSE),"0")</f>
        <v>0</v>
      </c>
      <c r="AD155" s="67">
        <f>Table1215[[#This Row],[Column25]]</f>
        <v>5</v>
      </c>
      <c r="AE155" s="61">
        <f>IFERROR(VLOOKUP(Table1215[[#This Row],[Column2]],Table12[[Column2]:[Column54]],30,FALSE),"0")</f>
        <v>0</v>
      </c>
      <c r="AF155" s="61">
        <f>IFERROR(VLOOKUP(Table1215[[#This Row],[Column2]],Table12[[Column2]:[Column54]],31,FALSE),"0")</f>
        <v>0</v>
      </c>
      <c r="AG155" s="61">
        <f>IFERROR(VLOOKUP(Table1215[[#This Row],[Column2]],Table12[[Column2]:[Column54]],32,FALSE),"0")</f>
        <v>0</v>
      </c>
      <c r="AH155" s="61">
        <f>IFERROR(VLOOKUP(Table1215[[#This Row],[Column2]],Table12[[Column2]:[Column54]],33,FALSE),"0")</f>
        <v>0</v>
      </c>
      <c r="AI155" s="61">
        <f>IFERROR(VLOOKUP(Table1215[[#This Row],[Column2]],Table12[[Column2]:[Column54]],34,FALSE),"0")</f>
        <v>0</v>
      </c>
      <c r="AJ155" s="67">
        <f>AVERAGE(Table1215[[#This Row],[Column31]],Table1215[[#This Row],[Column32]],Table1215[[#This Row],[Column33]])</f>
        <v>0</v>
      </c>
      <c r="AK155" s="61">
        <f>IFERROR(VLOOKUP(Table1215[[#This Row],[Column2]],Table12[[Column2]:[Column54]],36,FALSE),"0")</f>
        <v>5</v>
      </c>
      <c r="AL155" s="61">
        <f>IFERROR(VLOOKUP(Table1215[[#This Row],[Column2]],Table12[[Column2]:[Column54]],37,FALSE),"0")</f>
        <v>5</v>
      </c>
      <c r="AM155" s="61">
        <f>IFERROR(VLOOKUP(Table1215[[#This Row],[Column2]],Table12[[Column2]:[Column54]],38,FALSE),"0")</f>
        <v>0</v>
      </c>
      <c r="AN155" s="61">
        <f>IFERROR(VLOOKUP(Table1215[[#This Row],[Column2]],Table12[[Column2]:[Column54]],39,FALSE),"0")</f>
        <v>5</v>
      </c>
      <c r="AO155" s="61">
        <f>IFERROR(VLOOKUP(Table1215[[#This Row],[Column2]],Table12[[Column2]:[Column54]],40,FALSE),"0")</f>
        <v>0</v>
      </c>
      <c r="AP155" s="67">
        <f>AVERAGE(Table1215[[#This Row],[Column37]],Table1215[[#This Row],[Column38]],Table1215[[#This Row],[Column40]])</f>
        <v>5</v>
      </c>
      <c r="AQ155" s="61">
        <f>IFERROR(VLOOKUP(Table1215[[#This Row],[Column2]],Table12[[Column2]:[Column54]],42,FALSE),"0")</f>
        <v>5</v>
      </c>
      <c r="AR155" s="61">
        <f>IFERROR(VLOOKUP(Table1215[[#This Row],[Column2]],Table12[[Column2]:[Column54]],43,FALSE),"0")</f>
        <v>0</v>
      </c>
      <c r="AS155" s="61">
        <f>IFERROR(VLOOKUP(Table1215[[#This Row],[Column2]],Table12[[Column2]:[Column54]],44,FALSE),"0")</f>
        <v>0</v>
      </c>
      <c r="AT155" s="61">
        <f>IFERROR(VLOOKUP(Table1215[[#This Row],[Column2]],Table12[[Column2]:[Column54]],45,FALSE),"0")</f>
        <v>0</v>
      </c>
      <c r="AU155" s="61">
        <f>IFERROR(VLOOKUP(Table1215[[#This Row],[Column2]],Table12[[Column2]:[Column54]],46,FALSE),"0")</f>
        <v>0</v>
      </c>
      <c r="AV155" s="67">
        <f>Table1215[[#This Row],[Column43]]</f>
        <v>5</v>
      </c>
      <c r="AW155" s="61">
        <f>IFERROR(VLOOKUP(Table1215[[#This Row],[Column2]],Table12[[Column2]:[Column54]],48,FALSE),"0")</f>
        <v>0</v>
      </c>
      <c r="AX155" s="61">
        <f>IFERROR(VLOOKUP(Table1215[[#This Row],[Column2]],Table12[[Column2]:[Column54]],49,FALSE),"0")</f>
        <v>0</v>
      </c>
      <c r="AY155" s="61">
        <f>IFERROR(VLOOKUP(Table1215[[#This Row],[Column2]],Table12[[Column2]:[Column54]],50,FALSE),"0")</f>
        <v>0</v>
      </c>
      <c r="AZ155" s="61">
        <f>IFERROR(VLOOKUP(Table1215[[#This Row],[Column2]],Table12[[Column2]:[Column54]],51,FALSE),"0")</f>
        <v>5</v>
      </c>
      <c r="BA155" s="61">
        <f>IFERROR(VLOOKUP(Table1215[[#This Row],[Column2]],Table12[[Column2]:[Column54]],52,FALSE),"0")</f>
        <v>5</v>
      </c>
      <c r="BB155" s="67">
        <f>AVERAGE(Table1215[[#This Row],[Column52]],Table1215[[#This Row],[Column53]])</f>
        <v>5</v>
      </c>
    </row>
    <row r="156" spans="1:54" ht="23.1" customHeight="1" x14ac:dyDescent="0.3">
      <c r="A156" s="86">
        <v>153</v>
      </c>
      <c r="B156" s="63" t="s">
        <v>385</v>
      </c>
      <c r="C156" s="64" t="s">
        <v>386</v>
      </c>
      <c r="D156" s="63" t="s">
        <v>450</v>
      </c>
      <c r="E156" s="63" t="s">
        <v>493</v>
      </c>
      <c r="F156" s="63" t="str">
        <f>REPT(CHAR(160),10)&amp;Working!$E157</f>
        <v>          C</v>
      </c>
      <c r="G156" s="65">
        <f>IFERROR(VLOOKUP(Table1215[[#This Row],[Column2]],Table12[[Column2]:[Column54]],6,FALSE),"0")</f>
        <v>0</v>
      </c>
      <c r="H156" s="65">
        <f>IFERROR(VLOOKUP(Table1215[[#This Row],[Column2]],Table12[[Column2]:[Column54]],7,FALSE),"0")</f>
        <v>0</v>
      </c>
      <c r="I156" s="65">
        <f>IFERROR(VLOOKUP(Table1215[[#This Row],[Column2]],Table12[[Column2]:[Column54]],8,FALSE),"0")</f>
        <v>4</v>
      </c>
      <c r="J156" s="65">
        <f>IFERROR(VLOOKUP(Table1215[[#This Row],[Column2]],Table12[[Column2]:[Column54]],9,FALSE),"0")</f>
        <v>0</v>
      </c>
      <c r="K156" s="65">
        <f>IFERROR(VLOOKUP(Table1215[[#This Row],[Column2]],Table12[[Column2]:[Column54]],10,FALSE),"0")</f>
        <v>0</v>
      </c>
      <c r="L156" s="67">
        <f>Table1215[[#This Row],[Column9]]</f>
        <v>4</v>
      </c>
      <c r="M156" s="65">
        <f>IFERROR(VLOOKUP(Table1215[[#This Row],[Column2]],Table12[[Column2]:[Column54]],12,FALSE),"0")</f>
        <v>0</v>
      </c>
      <c r="N156" s="65">
        <f>IFERROR(VLOOKUP(Table1215[[#This Row],[Column2]],Table12[[Column2]:[Column54]],13,FALSE),"0")</f>
        <v>5</v>
      </c>
      <c r="O156" s="65">
        <f>IFERROR(VLOOKUP(Table1215[[#This Row],[Column2]],Table12[[Column2]:[Column54]],14,FALSE),"0")</f>
        <v>5</v>
      </c>
      <c r="P156" s="65">
        <f>IFERROR(VLOOKUP(Table1215[[#This Row],[Column2]],Table12[[Column2]:[Column54]],10,FALSE),"0")</f>
        <v>0</v>
      </c>
      <c r="Q156" s="65">
        <f>IFERROR(VLOOKUP(Table1215[[#This Row],[Column2]],Table12[[Column2]:[Column54]],16,FALSE),"0")</f>
        <v>5</v>
      </c>
      <c r="R156" s="67">
        <f>AVERAGE(Table1215[[#This Row],[Column14]],Table1215[[#This Row],[Column15]],Table1215[[#This Row],[Column17]])</f>
        <v>5</v>
      </c>
      <c r="S156" s="65">
        <f>IFERROR(VLOOKUP(Table1215[[#This Row],[Column2]],Table12[[Column2]:[Column54]],18,FALSE),"0")</f>
        <v>0</v>
      </c>
      <c r="T156" s="65">
        <f>IFERROR(VLOOKUP(Table1215[[#This Row],[Column2]],Table12[[Column2]:[Column54]],19,FALSE),"0")</f>
        <v>0</v>
      </c>
      <c r="U156" s="65">
        <f>IFERROR(VLOOKUP(Table1215[[#This Row],[Column2]],Table12[[Column2]:[Column54]],20,FALSE),"0")</f>
        <v>0</v>
      </c>
      <c r="V156" s="65">
        <f>IFERROR(VLOOKUP(Table1215[[#This Row],[Column2]],Table12[[Column2]:[Column54]],21,FALSE),"0")</f>
        <v>0</v>
      </c>
      <c r="W156" s="65">
        <f>IFERROR(VLOOKUP(Table1215[[#This Row],[Column2]],Table12[[Column2]:[Column54]],22,FALSE),"0")</f>
        <v>0</v>
      </c>
      <c r="X156" s="67">
        <f>Table1215[[#This Row],[Column19]]</f>
        <v>0</v>
      </c>
      <c r="Y156" s="65">
        <f>IFERROR(VLOOKUP(Table1215[[#This Row],[Column2]],Table12[[Column2]:[Column54]],24,FALSE),"0")</f>
        <v>4</v>
      </c>
      <c r="Z156" s="65">
        <f>IFERROR(VLOOKUP(Table1215[[#This Row],[Column2]],Table12[[Column2]:[Column54]],25,FALSE),"0")</f>
        <v>0</v>
      </c>
      <c r="AA156" s="65">
        <f>IFERROR(VLOOKUP(Table1215[[#This Row],[Column2]],Table12[[Column2]:[Column54]],26,FALSE),"0")</f>
        <v>0</v>
      </c>
      <c r="AB156" s="65">
        <f>IFERROR(VLOOKUP(Table1215[[#This Row],[Column2]],Table12[[Column2]:[Column54]],27,FALSE),"0")</f>
        <v>0</v>
      </c>
      <c r="AC156" s="65">
        <f>IFERROR(VLOOKUP(Table1215[[#This Row],[Column2]],Table12[[Column2]:[Column54]],28,FALSE),"0")</f>
        <v>0</v>
      </c>
      <c r="AD156" s="67">
        <f>Table1215[[#This Row],[Column25]]</f>
        <v>4</v>
      </c>
      <c r="AE156" s="65">
        <f>IFERROR(VLOOKUP(Table1215[[#This Row],[Column2]],Table12[[Column2]:[Column54]],30,FALSE),"0")</f>
        <v>0</v>
      </c>
      <c r="AF156" s="65">
        <f>IFERROR(VLOOKUP(Table1215[[#This Row],[Column2]],Table12[[Column2]:[Column54]],31,FALSE),"0")</f>
        <v>0</v>
      </c>
      <c r="AG156" s="65">
        <f>IFERROR(VLOOKUP(Table1215[[#This Row],[Column2]],Table12[[Column2]:[Column54]],32,FALSE),"0")</f>
        <v>0</v>
      </c>
      <c r="AH156" s="65">
        <f>IFERROR(VLOOKUP(Table1215[[#This Row],[Column2]],Table12[[Column2]:[Column54]],33,FALSE),"0")</f>
        <v>0</v>
      </c>
      <c r="AI156" s="65">
        <f>IFERROR(VLOOKUP(Table1215[[#This Row],[Column2]],Table12[[Column2]:[Column54]],34,FALSE),"0")</f>
        <v>0</v>
      </c>
      <c r="AJ156" s="67">
        <f>AVERAGE(Table1215[[#This Row],[Column31]],Table1215[[#This Row],[Column32]],Table1215[[#This Row],[Column33]])</f>
        <v>0</v>
      </c>
      <c r="AK156" s="65">
        <f>IFERROR(VLOOKUP(Table1215[[#This Row],[Column2]],Table12[[Column2]:[Column54]],36,FALSE),"0")</f>
        <v>4</v>
      </c>
      <c r="AL156" s="65">
        <f>IFERROR(VLOOKUP(Table1215[[#This Row],[Column2]],Table12[[Column2]:[Column54]],37,FALSE),"0")</f>
        <v>3</v>
      </c>
      <c r="AM156" s="65">
        <f>IFERROR(VLOOKUP(Table1215[[#This Row],[Column2]],Table12[[Column2]:[Column54]],38,FALSE),"0")</f>
        <v>0</v>
      </c>
      <c r="AN156" s="65">
        <f>IFERROR(VLOOKUP(Table1215[[#This Row],[Column2]],Table12[[Column2]:[Column54]],39,FALSE),"0")</f>
        <v>4</v>
      </c>
      <c r="AO156" s="65">
        <f>IFERROR(VLOOKUP(Table1215[[#This Row],[Column2]],Table12[[Column2]:[Column54]],40,FALSE),"0")</f>
        <v>0</v>
      </c>
      <c r="AP156" s="67">
        <f>AVERAGE(Table1215[[#This Row],[Column37]],Table1215[[#This Row],[Column38]],Table1215[[#This Row],[Column40]])</f>
        <v>3.6666666666666665</v>
      </c>
      <c r="AQ156" s="65">
        <f>IFERROR(VLOOKUP(Table1215[[#This Row],[Column2]],Table12[[Column2]:[Column54]],42,FALSE),"0")</f>
        <v>4</v>
      </c>
      <c r="AR156" s="65">
        <f>IFERROR(VLOOKUP(Table1215[[#This Row],[Column2]],Table12[[Column2]:[Column54]],43,FALSE),"0")</f>
        <v>0</v>
      </c>
      <c r="AS156" s="65">
        <f>IFERROR(VLOOKUP(Table1215[[#This Row],[Column2]],Table12[[Column2]:[Column54]],44,FALSE),"0")</f>
        <v>0</v>
      </c>
      <c r="AT156" s="65">
        <f>IFERROR(VLOOKUP(Table1215[[#This Row],[Column2]],Table12[[Column2]:[Column54]],45,FALSE),"0")</f>
        <v>0</v>
      </c>
      <c r="AU156" s="65">
        <f>IFERROR(VLOOKUP(Table1215[[#This Row],[Column2]],Table12[[Column2]:[Column54]],46,FALSE),"0")</f>
        <v>0</v>
      </c>
      <c r="AV156" s="67">
        <f>Table1215[[#This Row],[Column43]]</f>
        <v>4</v>
      </c>
      <c r="AW156" s="65">
        <f>IFERROR(VLOOKUP(Table1215[[#This Row],[Column2]],Table12[[Column2]:[Column54]],48,FALSE),"0")</f>
        <v>0</v>
      </c>
      <c r="AX156" s="65">
        <f>IFERROR(VLOOKUP(Table1215[[#This Row],[Column2]],Table12[[Column2]:[Column54]],49,FALSE),"0")</f>
        <v>0</v>
      </c>
      <c r="AY156" s="65">
        <f>IFERROR(VLOOKUP(Table1215[[#This Row],[Column2]],Table12[[Column2]:[Column54]],50,FALSE),"0")</f>
        <v>0</v>
      </c>
      <c r="AZ156" s="65">
        <f>IFERROR(VLOOKUP(Table1215[[#This Row],[Column2]],Table12[[Column2]:[Column54]],51,FALSE),"0")</f>
        <v>4</v>
      </c>
      <c r="BA156" s="65">
        <f>IFERROR(VLOOKUP(Table1215[[#This Row],[Column2]],Table12[[Column2]:[Column54]],52,FALSE),"0")</f>
        <v>4</v>
      </c>
      <c r="BB156" s="67">
        <f>AVERAGE(Table1215[[#This Row],[Column52]],Table1215[[#This Row],[Column53]])</f>
        <v>4</v>
      </c>
    </row>
    <row r="157" spans="1:54" ht="23.1" customHeight="1" x14ac:dyDescent="0.3">
      <c r="A157" s="87">
        <v>154</v>
      </c>
      <c r="B157" s="70" t="s">
        <v>93</v>
      </c>
      <c r="C157" s="71" t="s">
        <v>94</v>
      </c>
      <c r="D157" s="70" t="s">
        <v>542</v>
      </c>
      <c r="E157" s="70" t="s">
        <v>35</v>
      </c>
      <c r="F157" s="70" t="str">
        <f>REPT(CHAR(160),10)&amp;Working!$E158</f>
        <v>          A</v>
      </c>
      <c r="G157" s="61">
        <f>IFERROR(VLOOKUP(Table1215[[#This Row],[Column2]],Table12[[Column2]:[Column54]],6,FALSE),"0")</f>
        <v>0</v>
      </c>
      <c r="H157" s="61">
        <f>IFERROR(VLOOKUP(Table1215[[#This Row],[Column2]],Table12[[Column2]:[Column54]],7,FALSE),"0")</f>
        <v>0</v>
      </c>
      <c r="I157" s="61">
        <f>IFERROR(VLOOKUP(Table1215[[#This Row],[Column2]],Table12[[Column2]:[Column54]],8,FALSE),"0")</f>
        <v>2</v>
      </c>
      <c r="J157" s="61">
        <f>IFERROR(VLOOKUP(Table1215[[#This Row],[Column2]],Table12[[Column2]:[Column54]],9,FALSE),"0")</f>
        <v>0</v>
      </c>
      <c r="K157" s="61">
        <f>IFERROR(VLOOKUP(Table1215[[#This Row],[Column2]],Table12[[Column2]:[Column54]],10,FALSE),"0")</f>
        <v>0</v>
      </c>
      <c r="L157" s="67">
        <f>Table1215[[#This Row],[Column9]]</f>
        <v>2</v>
      </c>
      <c r="M157" s="61">
        <f>IFERROR(VLOOKUP(Table1215[[#This Row],[Column2]],Table12[[Column2]:[Column54]],12,FALSE),"0")</f>
        <v>0</v>
      </c>
      <c r="N157" s="61">
        <f>IFERROR(VLOOKUP(Table1215[[#This Row],[Column2]],Table12[[Column2]:[Column54]],13,FALSE),"0")</f>
        <v>4</v>
      </c>
      <c r="O157" s="61">
        <f>IFERROR(VLOOKUP(Table1215[[#This Row],[Column2]],Table12[[Column2]:[Column54]],14,FALSE),"0")</f>
        <v>4</v>
      </c>
      <c r="P157" s="61">
        <f>IFERROR(VLOOKUP(Table1215[[#This Row],[Column2]],Table12[[Column2]:[Column54]],10,FALSE),"0")</f>
        <v>0</v>
      </c>
      <c r="Q157" s="61">
        <f>IFERROR(VLOOKUP(Table1215[[#This Row],[Column2]],Table12[[Column2]:[Column54]],16,FALSE),"0")</f>
        <v>4</v>
      </c>
      <c r="R157" s="67">
        <f>AVERAGE(Table1215[[#This Row],[Column14]],Table1215[[#This Row],[Column15]],Table1215[[#This Row],[Column17]])</f>
        <v>4</v>
      </c>
      <c r="S157" s="61">
        <f>IFERROR(VLOOKUP(Table1215[[#This Row],[Column2]],Table12[[Column2]:[Column54]],18,FALSE),"0")</f>
        <v>0</v>
      </c>
      <c r="T157" s="61">
        <f>IFERROR(VLOOKUP(Table1215[[#This Row],[Column2]],Table12[[Column2]:[Column54]],19,FALSE),"0")</f>
        <v>0</v>
      </c>
      <c r="U157" s="61">
        <f>IFERROR(VLOOKUP(Table1215[[#This Row],[Column2]],Table12[[Column2]:[Column54]],20,FALSE),"0")</f>
        <v>0</v>
      </c>
      <c r="V157" s="61">
        <f>IFERROR(VLOOKUP(Table1215[[#This Row],[Column2]],Table12[[Column2]:[Column54]],21,FALSE),"0")</f>
        <v>0</v>
      </c>
      <c r="W157" s="61">
        <f>IFERROR(VLOOKUP(Table1215[[#This Row],[Column2]],Table12[[Column2]:[Column54]],22,FALSE),"0")</f>
        <v>0</v>
      </c>
      <c r="X157" s="67">
        <f>Table1215[[#This Row],[Column19]]</f>
        <v>0</v>
      </c>
      <c r="Y157" s="61">
        <f>IFERROR(VLOOKUP(Table1215[[#This Row],[Column2]],Table12[[Column2]:[Column54]],24,FALSE),"0")</f>
        <v>4</v>
      </c>
      <c r="Z157" s="61">
        <f>IFERROR(VLOOKUP(Table1215[[#This Row],[Column2]],Table12[[Column2]:[Column54]],25,FALSE),"0")</f>
        <v>0</v>
      </c>
      <c r="AA157" s="61">
        <f>IFERROR(VLOOKUP(Table1215[[#This Row],[Column2]],Table12[[Column2]:[Column54]],26,FALSE),"0")</f>
        <v>0</v>
      </c>
      <c r="AB157" s="61">
        <f>IFERROR(VLOOKUP(Table1215[[#This Row],[Column2]],Table12[[Column2]:[Column54]],27,FALSE),"0")</f>
        <v>0</v>
      </c>
      <c r="AC157" s="61">
        <f>IFERROR(VLOOKUP(Table1215[[#This Row],[Column2]],Table12[[Column2]:[Column54]],28,FALSE),"0")</f>
        <v>0</v>
      </c>
      <c r="AD157" s="67">
        <f>Table1215[[#This Row],[Column25]]</f>
        <v>4</v>
      </c>
      <c r="AE157" s="61">
        <f>IFERROR(VLOOKUP(Table1215[[#This Row],[Column2]],Table12[[Column2]:[Column54]],30,FALSE),"0")</f>
        <v>0</v>
      </c>
      <c r="AF157" s="61">
        <f>IFERROR(VLOOKUP(Table1215[[#This Row],[Column2]],Table12[[Column2]:[Column54]],31,FALSE),"0")</f>
        <v>0</v>
      </c>
      <c r="AG157" s="61">
        <f>IFERROR(VLOOKUP(Table1215[[#This Row],[Column2]],Table12[[Column2]:[Column54]],32,FALSE),"0")</f>
        <v>0</v>
      </c>
      <c r="AH157" s="61">
        <f>IFERROR(VLOOKUP(Table1215[[#This Row],[Column2]],Table12[[Column2]:[Column54]],33,FALSE),"0")</f>
        <v>0</v>
      </c>
      <c r="AI157" s="61">
        <f>IFERROR(VLOOKUP(Table1215[[#This Row],[Column2]],Table12[[Column2]:[Column54]],34,FALSE),"0")</f>
        <v>0</v>
      </c>
      <c r="AJ157" s="67">
        <f>AVERAGE(Table1215[[#This Row],[Column31]],Table1215[[#This Row],[Column32]],Table1215[[#This Row],[Column33]])</f>
        <v>0</v>
      </c>
      <c r="AK157" s="61">
        <f>IFERROR(VLOOKUP(Table1215[[#This Row],[Column2]],Table12[[Column2]:[Column54]],36,FALSE),"0")</f>
        <v>3</v>
      </c>
      <c r="AL157" s="61">
        <f>IFERROR(VLOOKUP(Table1215[[#This Row],[Column2]],Table12[[Column2]:[Column54]],37,FALSE),"0")</f>
        <v>3</v>
      </c>
      <c r="AM157" s="61">
        <f>IFERROR(VLOOKUP(Table1215[[#This Row],[Column2]],Table12[[Column2]:[Column54]],38,FALSE),"0")</f>
        <v>0</v>
      </c>
      <c r="AN157" s="61">
        <f>IFERROR(VLOOKUP(Table1215[[#This Row],[Column2]],Table12[[Column2]:[Column54]],39,FALSE),"0")</f>
        <v>3</v>
      </c>
      <c r="AO157" s="61">
        <f>IFERROR(VLOOKUP(Table1215[[#This Row],[Column2]],Table12[[Column2]:[Column54]],40,FALSE),"0")</f>
        <v>0</v>
      </c>
      <c r="AP157" s="67">
        <f>AVERAGE(Table1215[[#This Row],[Column37]],Table1215[[#This Row],[Column38]],Table1215[[#This Row],[Column40]])</f>
        <v>3</v>
      </c>
      <c r="AQ157" s="61">
        <f>IFERROR(VLOOKUP(Table1215[[#This Row],[Column2]],Table12[[Column2]:[Column54]],42,FALSE),"0")</f>
        <v>1</v>
      </c>
      <c r="AR157" s="61">
        <f>IFERROR(VLOOKUP(Table1215[[#This Row],[Column2]],Table12[[Column2]:[Column54]],43,FALSE),"0")</f>
        <v>0</v>
      </c>
      <c r="AS157" s="61">
        <f>IFERROR(VLOOKUP(Table1215[[#This Row],[Column2]],Table12[[Column2]:[Column54]],44,FALSE),"0")</f>
        <v>0</v>
      </c>
      <c r="AT157" s="61">
        <f>IFERROR(VLOOKUP(Table1215[[#This Row],[Column2]],Table12[[Column2]:[Column54]],45,FALSE),"0")</f>
        <v>0</v>
      </c>
      <c r="AU157" s="61">
        <f>IFERROR(VLOOKUP(Table1215[[#This Row],[Column2]],Table12[[Column2]:[Column54]],46,FALSE),"0")</f>
        <v>0</v>
      </c>
      <c r="AV157" s="67">
        <f>Table1215[[#This Row],[Column43]]</f>
        <v>1</v>
      </c>
      <c r="AW157" s="61">
        <f>IFERROR(VLOOKUP(Table1215[[#This Row],[Column2]],Table12[[Column2]:[Column54]],48,FALSE),"0")</f>
        <v>0</v>
      </c>
      <c r="AX157" s="61">
        <f>IFERROR(VLOOKUP(Table1215[[#This Row],[Column2]],Table12[[Column2]:[Column54]],49,FALSE),"0")</f>
        <v>0</v>
      </c>
      <c r="AY157" s="61">
        <f>IFERROR(VLOOKUP(Table1215[[#This Row],[Column2]],Table12[[Column2]:[Column54]],50,FALSE),"0")</f>
        <v>0</v>
      </c>
      <c r="AZ157" s="61">
        <f>IFERROR(VLOOKUP(Table1215[[#This Row],[Column2]],Table12[[Column2]:[Column54]],51,FALSE),"0")</f>
        <v>3</v>
      </c>
      <c r="BA157" s="61">
        <f>IFERROR(VLOOKUP(Table1215[[#This Row],[Column2]],Table12[[Column2]:[Column54]],52,FALSE),"0")</f>
        <v>3</v>
      </c>
      <c r="BB157" s="67">
        <f>AVERAGE(Table1215[[#This Row],[Column52]],Table1215[[#This Row],[Column53]])</f>
        <v>3</v>
      </c>
    </row>
    <row r="158" spans="1:54" ht="23.1" customHeight="1" x14ac:dyDescent="0.3">
      <c r="A158" s="86">
        <v>155</v>
      </c>
      <c r="B158" s="63" t="s">
        <v>188</v>
      </c>
      <c r="C158" s="64" t="s">
        <v>189</v>
      </c>
      <c r="D158" s="63" t="s">
        <v>542</v>
      </c>
      <c r="E158" s="63" t="s">
        <v>161</v>
      </c>
      <c r="F158" s="63" t="str">
        <f>REPT(CHAR(160),10)&amp;Working!$E159</f>
        <v>          B</v>
      </c>
      <c r="G158" s="65">
        <f>IFERROR(VLOOKUP(Table1215[[#This Row],[Column2]],Table12[[Column2]:[Column54]],6,FALSE),"0")</f>
        <v>0</v>
      </c>
      <c r="H158" s="65">
        <f>IFERROR(VLOOKUP(Table1215[[#This Row],[Column2]],Table12[[Column2]:[Column54]],7,FALSE),"0")</f>
        <v>0</v>
      </c>
      <c r="I158" s="65">
        <f>IFERROR(VLOOKUP(Table1215[[#This Row],[Column2]],Table12[[Column2]:[Column54]],8,FALSE),"0")</f>
        <v>4</v>
      </c>
      <c r="J158" s="65">
        <f>IFERROR(VLOOKUP(Table1215[[#This Row],[Column2]],Table12[[Column2]:[Column54]],9,FALSE),"0")</f>
        <v>0</v>
      </c>
      <c r="K158" s="65">
        <f>IFERROR(VLOOKUP(Table1215[[#This Row],[Column2]],Table12[[Column2]:[Column54]],10,FALSE),"0")</f>
        <v>0</v>
      </c>
      <c r="L158" s="67">
        <f>Table1215[[#This Row],[Column9]]</f>
        <v>4</v>
      </c>
      <c r="M158" s="65">
        <f>IFERROR(VLOOKUP(Table1215[[#This Row],[Column2]],Table12[[Column2]:[Column54]],12,FALSE),"0")</f>
        <v>0</v>
      </c>
      <c r="N158" s="65">
        <f>IFERROR(VLOOKUP(Table1215[[#This Row],[Column2]],Table12[[Column2]:[Column54]],13,FALSE),"0")</f>
        <v>3</v>
      </c>
      <c r="O158" s="65">
        <f>IFERROR(VLOOKUP(Table1215[[#This Row],[Column2]],Table12[[Column2]:[Column54]],14,FALSE),"0")</f>
        <v>3</v>
      </c>
      <c r="P158" s="65">
        <f>IFERROR(VLOOKUP(Table1215[[#This Row],[Column2]],Table12[[Column2]:[Column54]],10,FALSE),"0")</f>
        <v>0</v>
      </c>
      <c r="Q158" s="65">
        <f>IFERROR(VLOOKUP(Table1215[[#This Row],[Column2]],Table12[[Column2]:[Column54]],16,FALSE),"0")</f>
        <v>3</v>
      </c>
      <c r="R158" s="67">
        <f>AVERAGE(Table1215[[#This Row],[Column14]],Table1215[[#This Row],[Column15]],Table1215[[#This Row],[Column17]])</f>
        <v>3</v>
      </c>
      <c r="S158" s="65">
        <f>IFERROR(VLOOKUP(Table1215[[#This Row],[Column2]],Table12[[Column2]:[Column54]],18,FALSE),"0")</f>
        <v>0</v>
      </c>
      <c r="T158" s="65">
        <f>IFERROR(VLOOKUP(Table1215[[#This Row],[Column2]],Table12[[Column2]:[Column54]],19,FALSE),"0")</f>
        <v>0</v>
      </c>
      <c r="U158" s="65">
        <f>IFERROR(VLOOKUP(Table1215[[#This Row],[Column2]],Table12[[Column2]:[Column54]],20,FALSE),"0")</f>
        <v>0</v>
      </c>
      <c r="V158" s="65">
        <f>IFERROR(VLOOKUP(Table1215[[#This Row],[Column2]],Table12[[Column2]:[Column54]],21,FALSE),"0")</f>
        <v>0</v>
      </c>
      <c r="W158" s="65">
        <f>IFERROR(VLOOKUP(Table1215[[#This Row],[Column2]],Table12[[Column2]:[Column54]],22,FALSE),"0")</f>
        <v>0</v>
      </c>
      <c r="X158" s="67">
        <f>Table1215[[#This Row],[Column19]]</f>
        <v>0</v>
      </c>
      <c r="Y158" s="65">
        <f>IFERROR(VLOOKUP(Table1215[[#This Row],[Column2]],Table12[[Column2]:[Column54]],24,FALSE),"0")</f>
        <v>4</v>
      </c>
      <c r="Z158" s="65">
        <f>IFERROR(VLOOKUP(Table1215[[#This Row],[Column2]],Table12[[Column2]:[Column54]],25,FALSE),"0")</f>
        <v>0</v>
      </c>
      <c r="AA158" s="65">
        <f>IFERROR(VLOOKUP(Table1215[[#This Row],[Column2]],Table12[[Column2]:[Column54]],26,FALSE),"0")</f>
        <v>0</v>
      </c>
      <c r="AB158" s="65">
        <f>IFERROR(VLOOKUP(Table1215[[#This Row],[Column2]],Table12[[Column2]:[Column54]],27,FALSE),"0")</f>
        <v>0</v>
      </c>
      <c r="AC158" s="65">
        <f>IFERROR(VLOOKUP(Table1215[[#This Row],[Column2]],Table12[[Column2]:[Column54]],28,FALSE),"0")</f>
        <v>0</v>
      </c>
      <c r="AD158" s="67">
        <f>Table1215[[#This Row],[Column25]]</f>
        <v>4</v>
      </c>
      <c r="AE158" s="65">
        <f>IFERROR(VLOOKUP(Table1215[[#This Row],[Column2]],Table12[[Column2]:[Column54]],30,FALSE),"0")</f>
        <v>0</v>
      </c>
      <c r="AF158" s="65">
        <f>IFERROR(VLOOKUP(Table1215[[#This Row],[Column2]],Table12[[Column2]:[Column54]],31,FALSE),"0")</f>
        <v>0</v>
      </c>
      <c r="AG158" s="65">
        <f>IFERROR(VLOOKUP(Table1215[[#This Row],[Column2]],Table12[[Column2]:[Column54]],32,FALSE),"0")</f>
        <v>0</v>
      </c>
      <c r="AH158" s="65">
        <f>IFERROR(VLOOKUP(Table1215[[#This Row],[Column2]],Table12[[Column2]:[Column54]],33,FALSE),"0")</f>
        <v>0</v>
      </c>
      <c r="AI158" s="65">
        <f>IFERROR(VLOOKUP(Table1215[[#This Row],[Column2]],Table12[[Column2]:[Column54]],34,FALSE),"0")</f>
        <v>0</v>
      </c>
      <c r="AJ158" s="67">
        <f>AVERAGE(Table1215[[#This Row],[Column31]],Table1215[[#This Row],[Column32]],Table1215[[#This Row],[Column33]])</f>
        <v>0</v>
      </c>
      <c r="AK158" s="65">
        <f>IFERROR(VLOOKUP(Table1215[[#This Row],[Column2]],Table12[[Column2]:[Column54]],36,FALSE),"0")</f>
        <v>3</v>
      </c>
      <c r="AL158" s="65">
        <f>IFERROR(VLOOKUP(Table1215[[#This Row],[Column2]],Table12[[Column2]:[Column54]],37,FALSE),"0")</f>
        <v>2</v>
      </c>
      <c r="AM158" s="65">
        <f>IFERROR(VLOOKUP(Table1215[[#This Row],[Column2]],Table12[[Column2]:[Column54]],38,FALSE),"0")</f>
        <v>0</v>
      </c>
      <c r="AN158" s="65">
        <f>IFERROR(VLOOKUP(Table1215[[#This Row],[Column2]],Table12[[Column2]:[Column54]],39,FALSE),"0")</f>
        <v>3</v>
      </c>
      <c r="AO158" s="65">
        <f>IFERROR(VLOOKUP(Table1215[[#This Row],[Column2]],Table12[[Column2]:[Column54]],40,FALSE),"0")</f>
        <v>0</v>
      </c>
      <c r="AP158" s="67">
        <f>AVERAGE(Table1215[[#This Row],[Column37]],Table1215[[#This Row],[Column38]],Table1215[[#This Row],[Column40]])</f>
        <v>2.6666666666666665</v>
      </c>
      <c r="AQ158" s="65">
        <f>IFERROR(VLOOKUP(Table1215[[#This Row],[Column2]],Table12[[Column2]:[Column54]],42,FALSE),"0")</f>
        <v>4</v>
      </c>
      <c r="AR158" s="65">
        <f>IFERROR(VLOOKUP(Table1215[[#This Row],[Column2]],Table12[[Column2]:[Column54]],43,FALSE),"0")</f>
        <v>0</v>
      </c>
      <c r="AS158" s="65">
        <f>IFERROR(VLOOKUP(Table1215[[#This Row],[Column2]],Table12[[Column2]:[Column54]],44,FALSE),"0")</f>
        <v>0</v>
      </c>
      <c r="AT158" s="65">
        <f>IFERROR(VLOOKUP(Table1215[[#This Row],[Column2]],Table12[[Column2]:[Column54]],45,FALSE),"0")</f>
        <v>0</v>
      </c>
      <c r="AU158" s="65">
        <f>IFERROR(VLOOKUP(Table1215[[#This Row],[Column2]],Table12[[Column2]:[Column54]],46,FALSE),"0")</f>
        <v>0</v>
      </c>
      <c r="AV158" s="67">
        <f>Table1215[[#This Row],[Column43]]</f>
        <v>4</v>
      </c>
      <c r="AW158" s="65">
        <f>IFERROR(VLOOKUP(Table1215[[#This Row],[Column2]],Table12[[Column2]:[Column54]],48,FALSE),"0")</f>
        <v>0</v>
      </c>
      <c r="AX158" s="65">
        <f>IFERROR(VLOOKUP(Table1215[[#This Row],[Column2]],Table12[[Column2]:[Column54]],49,FALSE),"0")</f>
        <v>0</v>
      </c>
      <c r="AY158" s="65">
        <f>IFERROR(VLOOKUP(Table1215[[#This Row],[Column2]],Table12[[Column2]:[Column54]],50,FALSE),"0")</f>
        <v>0</v>
      </c>
      <c r="AZ158" s="65">
        <f>IFERROR(VLOOKUP(Table1215[[#This Row],[Column2]],Table12[[Column2]:[Column54]],51,FALSE),"0")</f>
        <v>5</v>
      </c>
      <c r="BA158" s="65">
        <f>IFERROR(VLOOKUP(Table1215[[#This Row],[Column2]],Table12[[Column2]:[Column54]],52,FALSE),"0")</f>
        <v>3</v>
      </c>
      <c r="BB158" s="67">
        <f>AVERAGE(Table1215[[#This Row],[Column52]],Table1215[[#This Row],[Column53]])</f>
        <v>4</v>
      </c>
    </row>
    <row r="159" spans="1:54" ht="23.1" customHeight="1" x14ac:dyDescent="0.3">
      <c r="A159" s="87">
        <v>156</v>
      </c>
      <c r="B159" s="70" t="s">
        <v>174</v>
      </c>
      <c r="C159" s="71" t="s">
        <v>175</v>
      </c>
      <c r="D159" s="70" t="s">
        <v>450</v>
      </c>
      <c r="E159" s="70" t="s">
        <v>161</v>
      </c>
      <c r="F159" s="70" t="str">
        <f>REPT(CHAR(160),10)&amp;Working!$E160</f>
        <v>          B</v>
      </c>
      <c r="G159" s="61">
        <f>IFERROR(VLOOKUP(Table1215[[#This Row],[Column2]],Table12[[Column2]:[Column54]],6,FALSE),"0")</f>
        <v>0</v>
      </c>
      <c r="H159" s="61">
        <f>IFERROR(VLOOKUP(Table1215[[#This Row],[Column2]],Table12[[Column2]:[Column54]],7,FALSE),"0")</f>
        <v>0</v>
      </c>
      <c r="I159" s="61">
        <f>IFERROR(VLOOKUP(Table1215[[#This Row],[Column2]],Table12[[Column2]:[Column54]],8,FALSE),"0")</f>
        <v>3</v>
      </c>
      <c r="J159" s="61">
        <f>IFERROR(VLOOKUP(Table1215[[#This Row],[Column2]],Table12[[Column2]:[Column54]],9,FALSE),"0")</f>
        <v>0</v>
      </c>
      <c r="K159" s="61">
        <f>IFERROR(VLOOKUP(Table1215[[#This Row],[Column2]],Table12[[Column2]:[Column54]],10,FALSE),"0")</f>
        <v>0</v>
      </c>
      <c r="L159" s="67">
        <f>Table1215[[#This Row],[Column9]]</f>
        <v>3</v>
      </c>
      <c r="M159" s="61">
        <f>IFERROR(VLOOKUP(Table1215[[#This Row],[Column2]],Table12[[Column2]:[Column54]],12,FALSE),"0")</f>
        <v>0</v>
      </c>
      <c r="N159" s="61">
        <f>IFERROR(VLOOKUP(Table1215[[#This Row],[Column2]],Table12[[Column2]:[Column54]],13,FALSE),"0")</f>
        <v>4</v>
      </c>
      <c r="O159" s="61">
        <f>IFERROR(VLOOKUP(Table1215[[#This Row],[Column2]],Table12[[Column2]:[Column54]],14,FALSE),"0")</f>
        <v>3</v>
      </c>
      <c r="P159" s="61">
        <f>IFERROR(VLOOKUP(Table1215[[#This Row],[Column2]],Table12[[Column2]:[Column54]],10,FALSE),"0")</f>
        <v>0</v>
      </c>
      <c r="Q159" s="61">
        <f>IFERROR(VLOOKUP(Table1215[[#This Row],[Column2]],Table12[[Column2]:[Column54]],16,FALSE),"0")</f>
        <v>3</v>
      </c>
      <c r="R159" s="67">
        <f>AVERAGE(Table1215[[#This Row],[Column14]],Table1215[[#This Row],[Column15]],Table1215[[#This Row],[Column17]])</f>
        <v>3.3333333333333335</v>
      </c>
      <c r="S159" s="61">
        <f>IFERROR(VLOOKUP(Table1215[[#This Row],[Column2]],Table12[[Column2]:[Column54]],18,FALSE),"0")</f>
        <v>0</v>
      </c>
      <c r="T159" s="61">
        <f>IFERROR(VLOOKUP(Table1215[[#This Row],[Column2]],Table12[[Column2]:[Column54]],19,FALSE),"0")</f>
        <v>0</v>
      </c>
      <c r="U159" s="61">
        <f>IFERROR(VLOOKUP(Table1215[[#This Row],[Column2]],Table12[[Column2]:[Column54]],20,FALSE),"0")</f>
        <v>0</v>
      </c>
      <c r="V159" s="61">
        <f>IFERROR(VLOOKUP(Table1215[[#This Row],[Column2]],Table12[[Column2]:[Column54]],21,FALSE),"0")</f>
        <v>0</v>
      </c>
      <c r="W159" s="61">
        <f>IFERROR(VLOOKUP(Table1215[[#This Row],[Column2]],Table12[[Column2]:[Column54]],22,FALSE),"0")</f>
        <v>0</v>
      </c>
      <c r="X159" s="67">
        <f>Table1215[[#This Row],[Column19]]</f>
        <v>0</v>
      </c>
      <c r="Y159" s="61">
        <f>IFERROR(VLOOKUP(Table1215[[#This Row],[Column2]],Table12[[Column2]:[Column54]],24,FALSE),"0")</f>
        <v>4</v>
      </c>
      <c r="Z159" s="61">
        <f>IFERROR(VLOOKUP(Table1215[[#This Row],[Column2]],Table12[[Column2]:[Column54]],25,FALSE),"0")</f>
        <v>0</v>
      </c>
      <c r="AA159" s="61">
        <f>IFERROR(VLOOKUP(Table1215[[#This Row],[Column2]],Table12[[Column2]:[Column54]],26,FALSE),"0")</f>
        <v>0</v>
      </c>
      <c r="AB159" s="61">
        <f>IFERROR(VLOOKUP(Table1215[[#This Row],[Column2]],Table12[[Column2]:[Column54]],27,FALSE),"0")</f>
        <v>0</v>
      </c>
      <c r="AC159" s="61">
        <f>IFERROR(VLOOKUP(Table1215[[#This Row],[Column2]],Table12[[Column2]:[Column54]],28,FALSE),"0")</f>
        <v>0</v>
      </c>
      <c r="AD159" s="67">
        <f>Table1215[[#This Row],[Column25]]</f>
        <v>4</v>
      </c>
      <c r="AE159" s="61">
        <f>IFERROR(VLOOKUP(Table1215[[#This Row],[Column2]],Table12[[Column2]:[Column54]],30,FALSE),"0")</f>
        <v>0</v>
      </c>
      <c r="AF159" s="61">
        <f>IFERROR(VLOOKUP(Table1215[[#This Row],[Column2]],Table12[[Column2]:[Column54]],31,FALSE),"0")</f>
        <v>0</v>
      </c>
      <c r="AG159" s="61">
        <f>IFERROR(VLOOKUP(Table1215[[#This Row],[Column2]],Table12[[Column2]:[Column54]],32,FALSE),"0")</f>
        <v>0</v>
      </c>
      <c r="AH159" s="61">
        <f>IFERROR(VLOOKUP(Table1215[[#This Row],[Column2]],Table12[[Column2]:[Column54]],33,FALSE),"0")</f>
        <v>0</v>
      </c>
      <c r="AI159" s="61">
        <f>IFERROR(VLOOKUP(Table1215[[#This Row],[Column2]],Table12[[Column2]:[Column54]],34,FALSE),"0")</f>
        <v>0</v>
      </c>
      <c r="AJ159" s="67">
        <f>AVERAGE(Table1215[[#This Row],[Column31]],Table1215[[#This Row],[Column32]],Table1215[[#This Row],[Column33]])</f>
        <v>0</v>
      </c>
      <c r="AK159" s="61">
        <f>IFERROR(VLOOKUP(Table1215[[#This Row],[Column2]],Table12[[Column2]:[Column54]],36,FALSE),"0")</f>
        <v>3</v>
      </c>
      <c r="AL159" s="61">
        <f>IFERROR(VLOOKUP(Table1215[[#This Row],[Column2]],Table12[[Column2]:[Column54]],37,FALSE),"0")</f>
        <v>3</v>
      </c>
      <c r="AM159" s="61">
        <f>IFERROR(VLOOKUP(Table1215[[#This Row],[Column2]],Table12[[Column2]:[Column54]],38,FALSE),"0")</f>
        <v>0</v>
      </c>
      <c r="AN159" s="61">
        <f>IFERROR(VLOOKUP(Table1215[[#This Row],[Column2]],Table12[[Column2]:[Column54]],39,FALSE),"0")</f>
        <v>4</v>
      </c>
      <c r="AO159" s="61">
        <f>IFERROR(VLOOKUP(Table1215[[#This Row],[Column2]],Table12[[Column2]:[Column54]],40,FALSE),"0")</f>
        <v>0</v>
      </c>
      <c r="AP159" s="67">
        <f>AVERAGE(Table1215[[#This Row],[Column37]],Table1215[[#This Row],[Column38]],Table1215[[#This Row],[Column40]])</f>
        <v>3.3333333333333335</v>
      </c>
      <c r="AQ159" s="61">
        <f>IFERROR(VLOOKUP(Table1215[[#This Row],[Column2]],Table12[[Column2]:[Column54]],42,FALSE),"0")</f>
        <v>3</v>
      </c>
      <c r="AR159" s="61">
        <f>IFERROR(VLOOKUP(Table1215[[#This Row],[Column2]],Table12[[Column2]:[Column54]],43,FALSE),"0")</f>
        <v>0</v>
      </c>
      <c r="AS159" s="61">
        <f>IFERROR(VLOOKUP(Table1215[[#This Row],[Column2]],Table12[[Column2]:[Column54]],44,FALSE),"0")</f>
        <v>0</v>
      </c>
      <c r="AT159" s="61">
        <f>IFERROR(VLOOKUP(Table1215[[#This Row],[Column2]],Table12[[Column2]:[Column54]],45,FALSE),"0")</f>
        <v>0</v>
      </c>
      <c r="AU159" s="61">
        <f>IFERROR(VLOOKUP(Table1215[[#This Row],[Column2]],Table12[[Column2]:[Column54]],46,FALSE),"0")</f>
        <v>0</v>
      </c>
      <c r="AV159" s="67">
        <f>Table1215[[#This Row],[Column43]]</f>
        <v>3</v>
      </c>
      <c r="AW159" s="61">
        <f>IFERROR(VLOOKUP(Table1215[[#This Row],[Column2]],Table12[[Column2]:[Column54]],48,FALSE),"0")</f>
        <v>0</v>
      </c>
      <c r="AX159" s="61">
        <f>IFERROR(VLOOKUP(Table1215[[#This Row],[Column2]],Table12[[Column2]:[Column54]],49,FALSE),"0")</f>
        <v>0</v>
      </c>
      <c r="AY159" s="61">
        <f>IFERROR(VLOOKUP(Table1215[[#This Row],[Column2]],Table12[[Column2]:[Column54]],50,FALSE),"0")</f>
        <v>0</v>
      </c>
      <c r="AZ159" s="61">
        <f>IFERROR(VLOOKUP(Table1215[[#This Row],[Column2]],Table12[[Column2]:[Column54]],51,FALSE),"0")</f>
        <v>4</v>
      </c>
      <c r="BA159" s="61">
        <f>IFERROR(VLOOKUP(Table1215[[#This Row],[Column2]],Table12[[Column2]:[Column54]],52,FALSE),"0")</f>
        <v>3</v>
      </c>
      <c r="BB159" s="67">
        <f>AVERAGE(Table1215[[#This Row],[Column52]],Table1215[[#This Row],[Column53]])</f>
        <v>3.5</v>
      </c>
    </row>
    <row r="160" spans="1:54" ht="23.1" customHeight="1" x14ac:dyDescent="0.3">
      <c r="A160" s="86">
        <v>157</v>
      </c>
      <c r="B160" s="63" t="s">
        <v>205</v>
      </c>
      <c r="C160" s="64" t="s">
        <v>206</v>
      </c>
      <c r="D160" s="63" t="s">
        <v>450</v>
      </c>
      <c r="E160" s="63" t="s">
        <v>161</v>
      </c>
      <c r="F160" s="63" t="str">
        <f>REPT(CHAR(160),10)&amp;Working!$E161</f>
        <v>          B</v>
      </c>
      <c r="G160" s="65">
        <f>IFERROR(VLOOKUP(Table1215[[#This Row],[Column2]],Table12[[Column2]:[Column54]],6,FALSE),"0")</f>
        <v>0</v>
      </c>
      <c r="H160" s="65">
        <f>IFERROR(VLOOKUP(Table1215[[#This Row],[Column2]],Table12[[Column2]:[Column54]],7,FALSE),"0")</f>
        <v>0</v>
      </c>
      <c r="I160" s="65">
        <f>IFERROR(VLOOKUP(Table1215[[#This Row],[Column2]],Table12[[Column2]:[Column54]],8,FALSE),"0")</f>
        <v>5</v>
      </c>
      <c r="J160" s="65">
        <f>IFERROR(VLOOKUP(Table1215[[#This Row],[Column2]],Table12[[Column2]:[Column54]],9,FALSE),"0")</f>
        <v>0</v>
      </c>
      <c r="K160" s="65">
        <f>IFERROR(VLOOKUP(Table1215[[#This Row],[Column2]],Table12[[Column2]:[Column54]],10,FALSE),"0")</f>
        <v>0</v>
      </c>
      <c r="L160" s="67">
        <f>Table1215[[#This Row],[Column9]]</f>
        <v>5</v>
      </c>
      <c r="M160" s="65">
        <f>IFERROR(VLOOKUP(Table1215[[#This Row],[Column2]],Table12[[Column2]:[Column54]],12,FALSE),"0")</f>
        <v>0</v>
      </c>
      <c r="N160" s="65">
        <f>IFERROR(VLOOKUP(Table1215[[#This Row],[Column2]],Table12[[Column2]:[Column54]],13,FALSE),"0")</f>
        <v>3</v>
      </c>
      <c r="O160" s="65">
        <f>IFERROR(VLOOKUP(Table1215[[#This Row],[Column2]],Table12[[Column2]:[Column54]],14,FALSE),"0")</f>
        <v>5</v>
      </c>
      <c r="P160" s="65">
        <f>IFERROR(VLOOKUP(Table1215[[#This Row],[Column2]],Table12[[Column2]:[Column54]],10,FALSE),"0")</f>
        <v>0</v>
      </c>
      <c r="Q160" s="65">
        <f>IFERROR(VLOOKUP(Table1215[[#This Row],[Column2]],Table12[[Column2]:[Column54]],16,FALSE),"0")</f>
        <v>5</v>
      </c>
      <c r="R160" s="67">
        <f>AVERAGE(Table1215[[#This Row],[Column14]],Table1215[[#This Row],[Column15]],Table1215[[#This Row],[Column17]])</f>
        <v>4.333333333333333</v>
      </c>
      <c r="S160" s="65">
        <f>IFERROR(VLOOKUP(Table1215[[#This Row],[Column2]],Table12[[Column2]:[Column54]],18,FALSE),"0")</f>
        <v>0</v>
      </c>
      <c r="T160" s="65">
        <f>IFERROR(VLOOKUP(Table1215[[#This Row],[Column2]],Table12[[Column2]:[Column54]],19,FALSE),"0")</f>
        <v>0</v>
      </c>
      <c r="U160" s="65">
        <f>IFERROR(VLOOKUP(Table1215[[#This Row],[Column2]],Table12[[Column2]:[Column54]],20,FALSE),"0")</f>
        <v>0</v>
      </c>
      <c r="V160" s="65">
        <f>IFERROR(VLOOKUP(Table1215[[#This Row],[Column2]],Table12[[Column2]:[Column54]],21,FALSE),"0")</f>
        <v>0</v>
      </c>
      <c r="W160" s="65">
        <f>IFERROR(VLOOKUP(Table1215[[#This Row],[Column2]],Table12[[Column2]:[Column54]],22,FALSE),"0")</f>
        <v>0</v>
      </c>
      <c r="X160" s="67">
        <f>Table1215[[#This Row],[Column19]]</f>
        <v>0</v>
      </c>
      <c r="Y160" s="65">
        <f>IFERROR(VLOOKUP(Table1215[[#This Row],[Column2]],Table12[[Column2]:[Column54]],24,FALSE),"0")</f>
        <v>3</v>
      </c>
      <c r="Z160" s="65">
        <f>IFERROR(VLOOKUP(Table1215[[#This Row],[Column2]],Table12[[Column2]:[Column54]],25,FALSE),"0")</f>
        <v>0</v>
      </c>
      <c r="AA160" s="65">
        <f>IFERROR(VLOOKUP(Table1215[[#This Row],[Column2]],Table12[[Column2]:[Column54]],26,FALSE),"0")</f>
        <v>0</v>
      </c>
      <c r="AB160" s="65">
        <f>IFERROR(VLOOKUP(Table1215[[#This Row],[Column2]],Table12[[Column2]:[Column54]],27,FALSE),"0")</f>
        <v>0</v>
      </c>
      <c r="AC160" s="65">
        <f>IFERROR(VLOOKUP(Table1215[[#This Row],[Column2]],Table12[[Column2]:[Column54]],28,FALSE),"0")</f>
        <v>0</v>
      </c>
      <c r="AD160" s="67">
        <f>Table1215[[#This Row],[Column25]]</f>
        <v>3</v>
      </c>
      <c r="AE160" s="65">
        <f>IFERROR(VLOOKUP(Table1215[[#This Row],[Column2]],Table12[[Column2]:[Column54]],30,FALSE),"0")</f>
        <v>0</v>
      </c>
      <c r="AF160" s="65">
        <f>IFERROR(VLOOKUP(Table1215[[#This Row],[Column2]],Table12[[Column2]:[Column54]],31,FALSE),"0")</f>
        <v>0</v>
      </c>
      <c r="AG160" s="65">
        <f>IFERROR(VLOOKUP(Table1215[[#This Row],[Column2]],Table12[[Column2]:[Column54]],32,FALSE),"0")</f>
        <v>0</v>
      </c>
      <c r="AH160" s="65">
        <f>IFERROR(VLOOKUP(Table1215[[#This Row],[Column2]],Table12[[Column2]:[Column54]],33,FALSE),"0")</f>
        <v>0</v>
      </c>
      <c r="AI160" s="65">
        <f>IFERROR(VLOOKUP(Table1215[[#This Row],[Column2]],Table12[[Column2]:[Column54]],34,FALSE),"0")</f>
        <v>0</v>
      </c>
      <c r="AJ160" s="67">
        <f>AVERAGE(Table1215[[#This Row],[Column31]],Table1215[[#This Row],[Column32]],Table1215[[#This Row],[Column33]])</f>
        <v>0</v>
      </c>
      <c r="AK160" s="65">
        <f>IFERROR(VLOOKUP(Table1215[[#This Row],[Column2]],Table12[[Column2]:[Column54]],36,FALSE),"0")</f>
        <v>4</v>
      </c>
      <c r="AL160" s="65">
        <f>IFERROR(VLOOKUP(Table1215[[#This Row],[Column2]],Table12[[Column2]:[Column54]],37,FALSE),"0")</f>
        <v>4</v>
      </c>
      <c r="AM160" s="65">
        <f>IFERROR(VLOOKUP(Table1215[[#This Row],[Column2]],Table12[[Column2]:[Column54]],38,FALSE),"0")</f>
        <v>0</v>
      </c>
      <c r="AN160" s="65">
        <f>IFERROR(VLOOKUP(Table1215[[#This Row],[Column2]],Table12[[Column2]:[Column54]],39,FALSE),"0")</f>
        <v>4</v>
      </c>
      <c r="AO160" s="65">
        <f>IFERROR(VLOOKUP(Table1215[[#This Row],[Column2]],Table12[[Column2]:[Column54]],40,FALSE),"0")</f>
        <v>0</v>
      </c>
      <c r="AP160" s="67">
        <f>AVERAGE(Table1215[[#This Row],[Column37]],Table1215[[#This Row],[Column38]],Table1215[[#This Row],[Column40]])</f>
        <v>4</v>
      </c>
      <c r="AQ160" s="65">
        <f>IFERROR(VLOOKUP(Table1215[[#This Row],[Column2]],Table12[[Column2]:[Column54]],42,FALSE),"0")</f>
        <v>4</v>
      </c>
      <c r="AR160" s="65">
        <f>IFERROR(VLOOKUP(Table1215[[#This Row],[Column2]],Table12[[Column2]:[Column54]],43,FALSE),"0")</f>
        <v>0</v>
      </c>
      <c r="AS160" s="65">
        <f>IFERROR(VLOOKUP(Table1215[[#This Row],[Column2]],Table12[[Column2]:[Column54]],44,FALSE),"0")</f>
        <v>0</v>
      </c>
      <c r="AT160" s="65">
        <f>IFERROR(VLOOKUP(Table1215[[#This Row],[Column2]],Table12[[Column2]:[Column54]],45,FALSE),"0")</f>
        <v>0</v>
      </c>
      <c r="AU160" s="65">
        <f>IFERROR(VLOOKUP(Table1215[[#This Row],[Column2]],Table12[[Column2]:[Column54]],46,FALSE),"0")</f>
        <v>0</v>
      </c>
      <c r="AV160" s="67">
        <f>Table1215[[#This Row],[Column43]]</f>
        <v>4</v>
      </c>
      <c r="AW160" s="65">
        <f>IFERROR(VLOOKUP(Table1215[[#This Row],[Column2]],Table12[[Column2]:[Column54]],48,FALSE),"0")</f>
        <v>0</v>
      </c>
      <c r="AX160" s="65">
        <f>IFERROR(VLOOKUP(Table1215[[#This Row],[Column2]],Table12[[Column2]:[Column54]],49,FALSE),"0")</f>
        <v>0</v>
      </c>
      <c r="AY160" s="65">
        <f>IFERROR(VLOOKUP(Table1215[[#This Row],[Column2]],Table12[[Column2]:[Column54]],50,FALSE),"0")</f>
        <v>0</v>
      </c>
      <c r="AZ160" s="65">
        <f>IFERROR(VLOOKUP(Table1215[[#This Row],[Column2]],Table12[[Column2]:[Column54]],51,FALSE),"0")</f>
        <v>5</v>
      </c>
      <c r="BA160" s="65">
        <f>IFERROR(VLOOKUP(Table1215[[#This Row],[Column2]],Table12[[Column2]:[Column54]],52,FALSE),"0")</f>
        <v>5</v>
      </c>
      <c r="BB160" s="67">
        <f>AVERAGE(Table1215[[#This Row],[Column52]],Table1215[[#This Row],[Column53]])</f>
        <v>5</v>
      </c>
    </row>
    <row r="161" spans="1:54" ht="23.1" customHeight="1" x14ac:dyDescent="0.3">
      <c r="A161" s="87">
        <v>158</v>
      </c>
      <c r="B161" s="70" t="s">
        <v>387</v>
      </c>
      <c r="C161" s="71" t="s">
        <v>388</v>
      </c>
      <c r="D161" s="70" t="s">
        <v>450</v>
      </c>
      <c r="E161" s="70" t="s">
        <v>493</v>
      </c>
      <c r="F161" s="70" t="str">
        <f>REPT(CHAR(160),10)&amp;Working!$E162</f>
        <v>          C</v>
      </c>
      <c r="G161" s="61">
        <f>IFERROR(VLOOKUP(Table1215[[#This Row],[Column2]],Table12[[Column2]:[Column54]],6,FALSE),"0")</f>
        <v>0</v>
      </c>
      <c r="H161" s="61">
        <f>IFERROR(VLOOKUP(Table1215[[#This Row],[Column2]],Table12[[Column2]:[Column54]],7,FALSE),"0")</f>
        <v>0</v>
      </c>
      <c r="I161" s="61">
        <f>IFERROR(VLOOKUP(Table1215[[#This Row],[Column2]],Table12[[Column2]:[Column54]],8,FALSE),"0")</f>
        <v>3</v>
      </c>
      <c r="J161" s="61">
        <f>IFERROR(VLOOKUP(Table1215[[#This Row],[Column2]],Table12[[Column2]:[Column54]],9,FALSE),"0")</f>
        <v>0</v>
      </c>
      <c r="K161" s="61">
        <f>IFERROR(VLOOKUP(Table1215[[#This Row],[Column2]],Table12[[Column2]:[Column54]],10,FALSE),"0")</f>
        <v>0</v>
      </c>
      <c r="L161" s="67">
        <f>Table1215[[#This Row],[Column9]]</f>
        <v>3</v>
      </c>
      <c r="M161" s="61">
        <f>IFERROR(VLOOKUP(Table1215[[#This Row],[Column2]],Table12[[Column2]:[Column54]],12,FALSE),"0")</f>
        <v>0</v>
      </c>
      <c r="N161" s="61">
        <f>IFERROR(VLOOKUP(Table1215[[#This Row],[Column2]],Table12[[Column2]:[Column54]],13,FALSE),"0")</f>
        <v>4</v>
      </c>
      <c r="O161" s="61">
        <f>IFERROR(VLOOKUP(Table1215[[#This Row],[Column2]],Table12[[Column2]:[Column54]],14,FALSE),"0")</f>
        <v>4</v>
      </c>
      <c r="P161" s="61">
        <f>IFERROR(VLOOKUP(Table1215[[#This Row],[Column2]],Table12[[Column2]:[Column54]],10,FALSE),"0")</f>
        <v>0</v>
      </c>
      <c r="Q161" s="61">
        <f>IFERROR(VLOOKUP(Table1215[[#This Row],[Column2]],Table12[[Column2]:[Column54]],16,FALSE),"0")</f>
        <v>4</v>
      </c>
      <c r="R161" s="67">
        <f>AVERAGE(Table1215[[#This Row],[Column14]],Table1215[[#This Row],[Column15]],Table1215[[#This Row],[Column17]])</f>
        <v>4</v>
      </c>
      <c r="S161" s="61">
        <f>IFERROR(VLOOKUP(Table1215[[#This Row],[Column2]],Table12[[Column2]:[Column54]],18,FALSE),"0")</f>
        <v>0</v>
      </c>
      <c r="T161" s="61">
        <f>IFERROR(VLOOKUP(Table1215[[#This Row],[Column2]],Table12[[Column2]:[Column54]],19,FALSE),"0")</f>
        <v>0</v>
      </c>
      <c r="U161" s="61">
        <f>IFERROR(VLOOKUP(Table1215[[#This Row],[Column2]],Table12[[Column2]:[Column54]],20,FALSE),"0")</f>
        <v>0</v>
      </c>
      <c r="V161" s="61">
        <f>IFERROR(VLOOKUP(Table1215[[#This Row],[Column2]],Table12[[Column2]:[Column54]],21,FALSE),"0")</f>
        <v>0</v>
      </c>
      <c r="W161" s="61">
        <f>IFERROR(VLOOKUP(Table1215[[#This Row],[Column2]],Table12[[Column2]:[Column54]],22,FALSE),"0")</f>
        <v>0</v>
      </c>
      <c r="X161" s="67">
        <f>Table1215[[#This Row],[Column19]]</f>
        <v>0</v>
      </c>
      <c r="Y161" s="61">
        <f>IFERROR(VLOOKUP(Table1215[[#This Row],[Column2]],Table12[[Column2]:[Column54]],24,FALSE),"0")</f>
        <v>4</v>
      </c>
      <c r="Z161" s="61">
        <f>IFERROR(VLOOKUP(Table1215[[#This Row],[Column2]],Table12[[Column2]:[Column54]],25,FALSE),"0")</f>
        <v>0</v>
      </c>
      <c r="AA161" s="61">
        <f>IFERROR(VLOOKUP(Table1215[[#This Row],[Column2]],Table12[[Column2]:[Column54]],26,FALSE),"0")</f>
        <v>0</v>
      </c>
      <c r="AB161" s="61">
        <f>IFERROR(VLOOKUP(Table1215[[#This Row],[Column2]],Table12[[Column2]:[Column54]],27,FALSE),"0")</f>
        <v>0</v>
      </c>
      <c r="AC161" s="61">
        <f>IFERROR(VLOOKUP(Table1215[[#This Row],[Column2]],Table12[[Column2]:[Column54]],28,FALSE),"0")</f>
        <v>0</v>
      </c>
      <c r="AD161" s="67">
        <f>Table1215[[#This Row],[Column25]]</f>
        <v>4</v>
      </c>
      <c r="AE161" s="61">
        <f>IFERROR(VLOOKUP(Table1215[[#This Row],[Column2]],Table12[[Column2]:[Column54]],30,FALSE),"0")</f>
        <v>0</v>
      </c>
      <c r="AF161" s="61">
        <f>IFERROR(VLOOKUP(Table1215[[#This Row],[Column2]],Table12[[Column2]:[Column54]],31,FALSE),"0")</f>
        <v>0</v>
      </c>
      <c r="AG161" s="61">
        <f>IFERROR(VLOOKUP(Table1215[[#This Row],[Column2]],Table12[[Column2]:[Column54]],32,FALSE),"0")</f>
        <v>0</v>
      </c>
      <c r="AH161" s="61">
        <f>IFERROR(VLOOKUP(Table1215[[#This Row],[Column2]],Table12[[Column2]:[Column54]],33,FALSE),"0")</f>
        <v>0</v>
      </c>
      <c r="AI161" s="61">
        <f>IFERROR(VLOOKUP(Table1215[[#This Row],[Column2]],Table12[[Column2]:[Column54]],34,FALSE),"0")</f>
        <v>0</v>
      </c>
      <c r="AJ161" s="67">
        <f>AVERAGE(Table1215[[#This Row],[Column31]],Table1215[[#This Row],[Column32]],Table1215[[#This Row],[Column33]])</f>
        <v>0</v>
      </c>
      <c r="AK161" s="61">
        <f>IFERROR(VLOOKUP(Table1215[[#This Row],[Column2]],Table12[[Column2]:[Column54]],36,FALSE),"0")</f>
        <v>4</v>
      </c>
      <c r="AL161" s="61">
        <f>IFERROR(VLOOKUP(Table1215[[#This Row],[Column2]],Table12[[Column2]:[Column54]],37,FALSE),"0")</f>
        <v>3</v>
      </c>
      <c r="AM161" s="61">
        <f>IFERROR(VLOOKUP(Table1215[[#This Row],[Column2]],Table12[[Column2]:[Column54]],38,FALSE),"0")</f>
        <v>0</v>
      </c>
      <c r="AN161" s="61">
        <f>IFERROR(VLOOKUP(Table1215[[#This Row],[Column2]],Table12[[Column2]:[Column54]],39,FALSE),"0")</f>
        <v>4</v>
      </c>
      <c r="AO161" s="61">
        <f>IFERROR(VLOOKUP(Table1215[[#This Row],[Column2]],Table12[[Column2]:[Column54]],40,FALSE),"0")</f>
        <v>0</v>
      </c>
      <c r="AP161" s="67">
        <f>AVERAGE(Table1215[[#This Row],[Column37]],Table1215[[#This Row],[Column38]],Table1215[[#This Row],[Column40]])</f>
        <v>3.6666666666666665</v>
      </c>
      <c r="AQ161" s="61">
        <f>IFERROR(VLOOKUP(Table1215[[#This Row],[Column2]],Table12[[Column2]:[Column54]],42,FALSE),"0")</f>
        <v>3</v>
      </c>
      <c r="AR161" s="61">
        <f>IFERROR(VLOOKUP(Table1215[[#This Row],[Column2]],Table12[[Column2]:[Column54]],43,FALSE),"0")</f>
        <v>0</v>
      </c>
      <c r="AS161" s="61">
        <f>IFERROR(VLOOKUP(Table1215[[#This Row],[Column2]],Table12[[Column2]:[Column54]],44,FALSE),"0")</f>
        <v>0</v>
      </c>
      <c r="AT161" s="61">
        <f>IFERROR(VLOOKUP(Table1215[[#This Row],[Column2]],Table12[[Column2]:[Column54]],45,FALSE),"0")</f>
        <v>0</v>
      </c>
      <c r="AU161" s="61">
        <f>IFERROR(VLOOKUP(Table1215[[#This Row],[Column2]],Table12[[Column2]:[Column54]],46,FALSE),"0")</f>
        <v>0</v>
      </c>
      <c r="AV161" s="67">
        <f>Table1215[[#This Row],[Column43]]</f>
        <v>3</v>
      </c>
      <c r="AW161" s="61">
        <f>IFERROR(VLOOKUP(Table1215[[#This Row],[Column2]],Table12[[Column2]:[Column54]],48,FALSE),"0")</f>
        <v>0</v>
      </c>
      <c r="AX161" s="61">
        <f>IFERROR(VLOOKUP(Table1215[[#This Row],[Column2]],Table12[[Column2]:[Column54]],49,FALSE),"0")</f>
        <v>0</v>
      </c>
      <c r="AY161" s="61">
        <f>IFERROR(VLOOKUP(Table1215[[#This Row],[Column2]],Table12[[Column2]:[Column54]],50,FALSE),"0")</f>
        <v>0</v>
      </c>
      <c r="AZ161" s="61">
        <f>IFERROR(VLOOKUP(Table1215[[#This Row],[Column2]],Table12[[Column2]:[Column54]],51,FALSE),"0")</f>
        <v>4</v>
      </c>
      <c r="BA161" s="61">
        <f>IFERROR(VLOOKUP(Table1215[[#This Row],[Column2]],Table12[[Column2]:[Column54]],52,FALSE),"0")</f>
        <v>3</v>
      </c>
      <c r="BB161" s="67">
        <f>AVERAGE(Table1215[[#This Row],[Column52]],Table1215[[#This Row],[Column53]])</f>
        <v>3.5</v>
      </c>
    </row>
    <row r="162" spans="1:54" ht="23.1" customHeight="1" x14ac:dyDescent="0.3">
      <c r="A162" s="86">
        <v>159</v>
      </c>
      <c r="B162" s="63" t="s">
        <v>190</v>
      </c>
      <c r="C162" s="64" t="s">
        <v>191</v>
      </c>
      <c r="D162" s="63" t="s">
        <v>450</v>
      </c>
      <c r="E162" s="63" t="s">
        <v>161</v>
      </c>
      <c r="F162" s="63" t="str">
        <f>REPT(CHAR(160),10)&amp;Working!$E163</f>
        <v>          B</v>
      </c>
      <c r="G162" s="65">
        <f>IFERROR(VLOOKUP(Table1215[[#This Row],[Column2]],Table12[[Column2]:[Column54]],6,FALSE),"0")</f>
        <v>0</v>
      </c>
      <c r="H162" s="65">
        <f>IFERROR(VLOOKUP(Table1215[[#This Row],[Column2]],Table12[[Column2]:[Column54]],7,FALSE),"0")</f>
        <v>0</v>
      </c>
      <c r="I162" s="65">
        <f>IFERROR(VLOOKUP(Table1215[[#This Row],[Column2]],Table12[[Column2]:[Column54]],8,FALSE),"0")</f>
        <v>1</v>
      </c>
      <c r="J162" s="65">
        <f>IFERROR(VLOOKUP(Table1215[[#This Row],[Column2]],Table12[[Column2]:[Column54]],9,FALSE),"0")</f>
        <v>0</v>
      </c>
      <c r="K162" s="65">
        <f>IFERROR(VLOOKUP(Table1215[[#This Row],[Column2]],Table12[[Column2]:[Column54]],10,FALSE),"0")</f>
        <v>0</v>
      </c>
      <c r="L162" s="67">
        <f>Table1215[[#This Row],[Column9]]</f>
        <v>1</v>
      </c>
      <c r="M162" s="65">
        <f>IFERROR(VLOOKUP(Table1215[[#This Row],[Column2]],Table12[[Column2]:[Column54]],12,FALSE),"0")</f>
        <v>0</v>
      </c>
      <c r="N162" s="65">
        <f>IFERROR(VLOOKUP(Table1215[[#This Row],[Column2]],Table12[[Column2]:[Column54]],13,FALSE),"0")</f>
        <v>2</v>
      </c>
      <c r="O162" s="65">
        <f>IFERROR(VLOOKUP(Table1215[[#This Row],[Column2]],Table12[[Column2]:[Column54]],14,FALSE),"0")</f>
        <v>2</v>
      </c>
      <c r="P162" s="65">
        <f>IFERROR(VLOOKUP(Table1215[[#This Row],[Column2]],Table12[[Column2]:[Column54]],10,FALSE),"0")</f>
        <v>0</v>
      </c>
      <c r="Q162" s="65">
        <f>IFERROR(VLOOKUP(Table1215[[#This Row],[Column2]],Table12[[Column2]:[Column54]],16,FALSE),"0")</f>
        <v>2</v>
      </c>
      <c r="R162" s="67">
        <f>AVERAGE(Table1215[[#This Row],[Column14]],Table1215[[#This Row],[Column15]],Table1215[[#This Row],[Column17]])</f>
        <v>2</v>
      </c>
      <c r="S162" s="65">
        <f>IFERROR(VLOOKUP(Table1215[[#This Row],[Column2]],Table12[[Column2]:[Column54]],18,FALSE),"0")</f>
        <v>0</v>
      </c>
      <c r="T162" s="65">
        <f>IFERROR(VLOOKUP(Table1215[[#This Row],[Column2]],Table12[[Column2]:[Column54]],19,FALSE),"0")</f>
        <v>0</v>
      </c>
      <c r="U162" s="65">
        <f>IFERROR(VLOOKUP(Table1215[[#This Row],[Column2]],Table12[[Column2]:[Column54]],20,FALSE),"0")</f>
        <v>0</v>
      </c>
      <c r="V162" s="65">
        <f>IFERROR(VLOOKUP(Table1215[[#This Row],[Column2]],Table12[[Column2]:[Column54]],21,FALSE),"0")</f>
        <v>0</v>
      </c>
      <c r="W162" s="65">
        <f>IFERROR(VLOOKUP(Table1215[[#This Row],[Column2]],Table12[[Column2]:[Column54]],22,FALSE),"0")</f>
        <v>0</v>
      </c>
      <c r="X162" s="67">
        <f>Table1215[[#This Row],[Column19]]</f>
        <v>0</v>
      </c>
      <c r="Y162" s="65">
        <f>IFERROR(VLOOKUP(Table1215[[#This Row],[Column2]],Table12[[Column2]:[Column54]],24,FALSE),"0")</f>
        <v>2</v>
      </c>
      <c r="Z162" s="65">
        <f>IFERROR(VLOOKUP(Table1215[[#This Row],[Column2]],Table12[[Column2]:[Column54]],25,FALSE),"0")</f>
        <v>0</v>
      </c>
      <c r="AA162" s="65">
        <f>IFERROR(VLOOKUP(Table1215[[#This Row],[Column2]],Table12[[Column2]:[Column54]],26,FALSE),"0")</f>
        <v>0</v>
      </c>
      <c r="AB162" s="65">
        <f>IFERROR(VLOOKUP(Table1215[[#This Row],[Column2]],Table12[[Column2]:[Column54]],27,FALSE),"0")</f>
        <v>0</v>
      </c>
      <c r="AC162" s="65">
        <f>IFERROR(VLOOKUP(Table1215[[#This Row],[Column2]],Table12[[Column2]:[Column54]],28,FALSE),"0")</f>
        <v>0</v>
      </c>
      <c r="AD162" s="67">
        <f>Table1215[[#This Row],[Column25]]</f>
        <v>2</v>
      </c>
      <c r="AE162" s="65">
        <f>IFERROR(VLOOKUP(Table1215[[#This Row],[Column2]],Table12[[Column2]:[Column54]],30,FALSE),"0")</f>
        <v>0</v>
      </c>
      <c r="AF162" s="65">
        <f>IFERROR(VLOOKUP(Table1215[[#This Row],[Column2]],Table12[[Column2]:[Column54]],31,FALSE),"0")</f>
        <v>0</v>
      </c>
      <c r="AG162" s="65">
        <f>IFERROR(VLOOKUP(Table1215[[#This Row],[Column2]],Table12[[Column2]:[Column54]],32,FALSE),"0")</f>
        <v>0</v>
      </c>
      <c r="AH162" s="65">
        <f>IFERROR(VLOOKUP(Table1215[[#This Row],[Column2]],Table12[[Column2]:[Column54]],33,FALSE),"0")</f>
        <v>0</v>
      </c>
      <c r="AI162" s="65">
        <f>IFERROR(VLOOKUP(Table1215[[#This Row],[Column2]],Table12[[Column2]:[Column54]],34,FALSE),"0")</f>
        <v>0</v>
      </c>
      <c r="AJ162" s="67">
        <f>AVERAGE(Table1215[[#This Row],[Column31]],Table1215[[#This Row],[Column32]],Table1215[[#This Row],[Column33]])</f>
        <v>0</v>
      </c>
      <c r="AK162" s="65">
        <f>IFERROR(VLOOKUP(Table1215[[#This Row],[Column2]],Table12[[Column2]:[Column54]],36,FALSE),"0")</f>
        <v>2</v>
      </c>
      <c r="AL162" s="65">
        <f>IFERROR(VLOOKUP(Table1215[[#This Row],[Column2]],Table12[[Column2]:[Column54]],37,FALSE),"0")</f>
        <v>1</v>
      </c>
      <c r="AM162" s="65">
        <f>IFERROR(VLOOKUP(Table1215[[#This Row],[Column2]],Table12[[Column2]:[Column54]],38,FALSE),"0")</f>
        <v>0</v>
      </c>
      <c r="AN162" s="65">
        <f>IFERROR(VLOOKUP(Table1215[[#This Row],[Column2]],Table12[[Column2]:[Column54]],39,FALSE),"0")</f>
        <v>2</v>
      </c>
      <c r="AO162" s="65">
        <f>IFERROR(VLOOKUP(Table1215[[#This Row],[Column2]],Table12[[Column2]:[Column54]],40,FALSE),"0")</f>
        <v>0</v>
      </c>
      <c r="AP162" s="67">
        <f>AVERAGE(Table1215[[#This Row],[Column37]],Table1215[[#This Row],[Column38]],Table1215[[#This Row],[Column40]])</f>
        <v>1.6666666666666667</v>
      </c>
      <c r="AQ162" s="65">
        <f>IFERROR(VLOOKUP(Table1215[[#This Row],[Column2]],Table12[[Column2]:[Column54]],42,FALSE),"0")</f>
        <v>1</v>
      </c>
      <c r="AR162" s="65">
        <f>IFERROR(VLOOKUP(Table1215[[#This Row],[Column2]],Table12[[Column2]:[Column54]],43,FALSE),"0")</f>
        <v>0</v>
      </c>
      <c r="AS162" s="65">
        <f>IFERROR(VLOOKUP(Table1215[[#This Row],[Column2]],Table12[[Column2]:[Column54]],44,FALSE),"0")</f>
        <v>0</v>
      </c>
      <c r="AT162" s="65">
        <f>IFERROR(VLOOKUP(Table1215[[#This Row],[Column2]],Table12[[Column2]:[Column54]],45,FALSE),"0")</f>
        <v>0</v>
      </c>
      <c r="AU162" s="65">
        <f>IFERROR(VLOOKUP(Table1215[[#This Row],[Column2]],Table12[[Column2]:[Column54]],46,FALSE),"0")</f>
        <v>0</v>
      </c>
      <c r="AV162" s="67">
        <f>Table1215[[#This Row],[Column43]]</f>
        <v>1</v>
      </c>
      <c r="AW162" s="65">
        <f>IFERROR(VLOOKUP(Table1215[[#This Row],[Column2]],Table12[[Column2]:[Column54]],48,FALSE),"0")</f>
        <v>0</v>
      </c>
      <c r="AX162" s="65">
        <f>IFERROR(VLOOKUP(Table1215[[#This Row],[Column2]],Table12[[Column2]:[Column54]],49,FALSE),"0")</f>
        <v>0</v>
      </c>
      <c r="AY162" s="65">
        <f>IFERROR(VLOOKUP(Table1215[[#This Row],[Column2]],Table12[[Column2]:[Column54]],50,FALSE),"0")</f>
        <v>0</v>
      </c>
      <c r="AZ162" s="65">
        <f>IFERROR(VLOOKUP(Table1215[[#This Row],[Column2]],Table12[[Column2]:[Column54]],51,FALSE),"0")</f>
        <v>2</v>
      </c>
      <c r="BA162" s="65">
        <f>IFERROR(VLOOKUP(Table1215[[#This Row],[Column2]],Table12[[Column2]:[Column54]],52,FALSE),"0")</f>
        <v>2</v>
      </c>
      <c r="BB162" s="67">
        <f>AVERAGE(Table1215[[#This Row],[Column52]],Table1215[[#This Row],[Column53]])</f>
        <v>2</v>
      </c>
    </row>
    <row r="163" spans="1:54" ht="23.1" customHeight="1" x14ac:dyDescent="0.3">
      <c r="A163" s="87">
        <v>160</v>
      </c>
      <c r="B163" s="70" t="s">
        <v>157</v>
      </c>
      <c r="C163" s="71" t="s">
        <v>158</v>
      </c>
      <c r="D163" s="70" t="s">
        <v>542</v>
      </c>
      <c r="E163" s="70" t="s">
        <v>35</v>
      </c>
      <c r="F163" s="70" t="str">
        <f>REPT(CHAR(160),10)&amp;Working!$E164</f>
        <v>          A</v>
      </c>
      <c r="G163" s="61">
        <f>IFERROR(VLOOKUP(Table1215[[#This Row],[Column2]],Table12[[Column2]:[Column54]],6,FALSE),"0")</f>
        <v>0</v>
      </c>
      <c r="H163" s="61">
        <f>IFERROR(VLOOKUP(Table1215[[#This Row],[Column2]],Table12[[Column2]:[Column54]],7,FALSE),"0")</f>
        <v>0</v>
      </c>
      <c r="I163" s="61">
        <f>IFERROR(VLOOKUP(Table1215[[#This Row],[Column2]],Table12[[Column2]:[Column54]],8,FALSE),"0")</f>
        <v>3</v>
      </c>
      <c r="J163" s="61">
        <f>IFERROR(VLOOKUP(Table1215[[#This Row],[Column2]],Table12[[Column2]:[Column54]],9,FALSE),"0")</f>
        <v>0</v>
      </c>
      <c r="K163" s="61">
        <f>IFERROR(VLOOKUP(Table1215[[#This Row],[Column2]],Table12[[Column2]:[Column54]],10,FALSE),"0")</f>
        <v>0</v>
      </c>
      <c r="L163" s="67">
        <f>Table1215[[#This Row],[Column9]]</f>
        <v>3</v>
      </c>
      <c r="M163" s="61">
        <f>IFERROR(VLOOKUP(Table1215[[#This Row],[Column2]],Table12[[Column2]:[Column54]],12,FALSE),"0")</f>
        <v>0</v>
      </c>
      <c r="N163" s="61">
        <f>IFERROR(VLOOKUP(Table1215[[#This Row],[Column2]],Table12[[Column2]:[Column54]],13,FALSE),"0")</f>
        <v>3</v>
      </c>
      <c r="O163" s="61">
        <f>IFERROR(VLOOKUP(Table1215[[#This Row],[Column2]],Table12[[Column2]:[Column54]],14,FALSE),"0")</f>
        <v>3</v>
      </c>
      <c r="P163" s="61">
        <f>IFERROR(VLOOKUP(Table1215[[#This Row],[Column2]],Table12[[Column2]:[Column54]],10,FALSE),"0")</f>
        <v>0</v>
      </c>
      <c r="Q163" s="61">
        <f>IFERROR(VLOOKUP(Table1215[[#This Row],[Column2]],Table12[[Column2]:[Column54]],16,FALSE),"0")</f>
        <v>3</v>
      </c>
      <c r="R163" s="67">
        <f>AVERAGE(Table1215[[#This Row],[Column14]],Table1215[[#This Row],[Column15]],Table1215[[#This Row],[Column17]])</f>
        <v>3</v>
      </c>
      <c r="S163" s="61">
        <f>IFERROR(VLOOKUP(Table1215[[#This Row],[Column2]],Table12[[Column2]:[Column54]],18,FALSE),"0")</f>
        <v>0</v>
      </c>
      <c r="T163" s="61">
        <f>IFERROR(VLOOKUP(Table1215[[#This Row],[Column2]],Table12[[Column2]:[Column54]],19,FALSE),"0")</f>
        <v>0</v>
      </c>
      <c r="U163" s="61">
        <f>IFERROR(VLOOKUP(Table1215[[#This Row],[Column2]],Table12[[Column2]:[Column54]],20,FALSE),"0")</f>
        <v>0</v>
      </c>
      <c r="V163" s="61">
        <f>IFERROR(VLOOKUP(Table1215[[#This Row],[Column2]],Table12[[Column2]:[Column54]],21,FALSE),"0")</f>
        <v>0</v>
      </c>
      <c r="W163" s="61">
        <f>IFERROR(VLOOKUP(Table1215[[#This Row],[Column2]],Table12[[Column2]:[Column54]],22,FALSE),"0")</f>
        <v>0</v>
      </c>
      <c r="X163" s="67">
        <f>Table1215[[#This Row],[Column19]]</f>
        <v>0</v>
      </c>
      <c r="Y163" s="61">
        <f>IFERROR(VLOOKUP(Table1215[[#This Row],[Column2]],Table12[[Column2]:[Column54]],24,FALSE),"0")</f>
        <v>3</v>
      </c>
      <c r="Z163" s="61">
        <f>IFERROR(VLOOKUP(Table1215[[#This Row],[Column2]],Table12[[Column2]:[Column54]],25,FALSE),"0")</f>
        <v>0</v>
      </c>
      <c r="AA163" s="61">
        <f>IFERROR(VLOOKUP(Table1215[[#This Row],[Column2]],Table12[[Column2]:[Column54]],26,FALSE),"0")</f>
        <v>0</v>
      </c>
      <c r="AB163" s="61">
        <f>IFERROR(VLOOKUP(Table1215[[#This Row],[Column2]],Table12[[Column2]:[Column54]],27,FALSE),"0")</f>
        <v>0</v>
      </c>
      <c r="AC163" s="61">
        <f>IFERROR(VLOOKUP(Table1215[[#This Row],[Column2]],Table12[[Column2]:[Column54]],28,FALSE),"0")</f>
        <v>0</v>
      </c>
      <c r="AD163" s="67">
        <f>Table1215[[#This Row],[Column25]]</f>
        <v>3</v>
      </c>
      <c r="AE163" s="61">
        <f>IFERROR(VLOOKUP(Table1215[[#This Row],[Column2]],Table12[[Column2]:[Column54]],30,FALSE),"0")</f>
        <v>0</v>
      </c>
      <c r="AF163" s="61">
        <f>IFERROR(VLOOKUP(Table1215[[#This Row],[Column2]],Table12[[Column2]:[Column54]],31,FALSE),"0")</f>
        <v>0</v>
      </c>
      <c r="AG163" s="61">
        <f>IFERROR(VLOOKUP(Table1215[[#This Row],[Column2]],Table12[[Column2]:[Column54]],32,FALSE),"0")</f>
        <v>0</v>
      </c>
      <c r="AH163" s="61">
        <f>IFERROR(VLOOKUP(Table1215[[#This Row],[Column2]],Table12[[Column2]:[Column54]],33,FALSE),"0")</f>
        <v>0</v>
      </c>
      <c r="AI163" s="61">
        <f>IFERROR(VLOOKUP(Table1215[[#This Row],[Column2]],Table12[[Column2]:[Column54]],34,FALSE),"0")</f>
        <v>0</v>
      </c>
      <c r="AJ163" s="67">
        <f>AVERAGE(Table1215[[#This Row],[Column31]],Table1215[[#This Row],[Column32]],Table1215[[#This Row],[Column33]])</f>
        <v>0</v>
      </c>
      <c r="AK163" s="61">
        <f>IFERROR(VLOOKUP(Table1215[[#This Row],[Column2]],Table12[[Column2]:[Column54]],36,FALSE),"0")</f>
        <v>3</v>
      </c>
      <c r="AL163" s="61">
        <f>IFERROR(VLOOKUP(Table1215[[#This Row],[Column2]],Table12[[Column2]:[Column54]],37,FALSE),"0")</f>
        <v>3</v>
      </c>
      <c r="AM163" s="61">
        <f>IFERROR(VLOOKUP(Table1215[[#This Row],[Column2]],Table12[[Column2]:[Column54]],38,FALSE),"0")</f>
        <v>0</v>
      </c>
      <c r="AN163" s="61">
        <f>IFERROR(VLOOKUP(Table1215[[#This Row],[Column2]],Table12[[Column2]:[Column54]],39,FALSE),"0")</f>
        <v>3</v>
      </c>
      <c r="AO163" s="61">
        <f>IFERROR(VLOOKUP(Table1215[[#This Row],[Column2]],Table12[[Column2]:[Column54]],40,FALSE),"0")</f>
        <v>0</v>
      </c>
      <c r="AP163" s="67">
        <f>AVERAGE(Table1215[[#This Row],[Column37]],Table1215[[#This Row],[Column38]],Table1215[[#This Row],[Column40]])</f>
        <v>3</v>
      </c>
      <c r="AQ163" s="61">
        <f>IFERROR(VLOOKUP(Table1215[[#This Row],[Column2]],Table12[[Column2]:[Column54]],42,FALSE),"0")</f>
        <v>5</v>
      </c>
      <c r="AR163" s="61">
        <f>IFERROR(VLOOKUP(Table1215[[#This Row],[Column2]],Table12[[Column2]:[Column54]],43,FALSE),"0")</f>
        <v>0</v>
      </c>
      <c r="AS163" s="61">
        <f>IFERROR(VLOOKUP(Table1215[[#This Row],[Column2]],Table12[[Column2]:[Column54]],44,FALSE),"0")</f>
        <v>0</v>
      </c>
      <c r="AT163" s="61">
        <f>IFERROR(VLOOKUP(Table1215[[#This Row],[Column2]],Table12[[Column2]:[Column54]],45,FALSE),"0")</f>
        <v>0</v>
      </c>
      <c r="AU163" s="61">
        <f>IFERROR(VLOOKUP(Table1215[[#This Row],[Column2]],Table12[[Column2]:[Column54]],46,FALSE),"0")</f>
        <v>0</v>
      </c>
      <c r="AV163" s="67">
        <f>Table1215[[#This Row],[Column43]]</f>
        <v>5</v>
      </c>
      <c r="AW163" s="61">
        <f>IFERROR(VLOOKUP(Table1215[[#This Row],[Column2]],Table12[[Column2]:[Column54]],48,FALSE),"0")</f>
        <v>0</v>
      </c>
      <c r="AX163" s="61">
        <f>IFERROR(VLOOKUP(Table1215[[#This Row],[Column2]],Table12[[Column2]:[Column54]],49,FALSE),"0")</f>
        <v>0</v>
      </c>
      <c r="AY163" s="61">
        <f>IFERROR(VLOOKUP(Table1215[[#This Row],[Column2]],Table12[[Column2]:[Column54]],50,FALSE),"0")</f>
        <v>0</v>
      </c>
      <c r="AZ163" s="61">
        <f>IFERROR(VLOOKUP(Table1215[[#This Row],[Column2]],Table12[[Column2]:[Column54]],51,FALSE),"0")</f>
        <v>4</v>
      </c>
      <c r="BA163" s="61">
        <f>IFERROR(VLOOKUP(Table1215[[#This Row],[Column2]],Table12[[Column2]:[Column54]],52,FALSE),"0")</f>
        <v>3</v>
      </c>
      <c r="BB163" s="67">
        <f>AVERAGE(Table1215[[#This Row],[Column52]],Table1215[[#This Row],[Column53]])</f>
        <v>3.5</v>
      </c>
    </row>
    <row r="164" spans="1:54" ht="23.1" customHeight="1" x14ac:dyDescent="0.3">
      <c r="A164" s="86">
        <v>161</v>
      </c>
      <c r="B164" s="63" t="s">
        <v>389</v>
      </c>
      <c r="C164" s="64" t="s">
        <v>390</v>
      </c>
      <c r="D164" s="63" t="s">
        <v>450</v>
      </c>
      <c r="E164" s="63" t="s">
        <v>493</v>
      </c>
      <c r="F164" s="63" t="str">
        <f>REPT(CHAR(160),10)&amp;Working!$E165</f>
        <v>          C</v>
      </c>
      <c r="G164" s="65">
        <f>IFERROR(VLOOKUP(Table1215[[#This Row],[Column2]],Table12[[Column2]:[Column54]],6,FALSE),"0")</f>
        <v>0</v>
      </c>
      <c r="H164" s="65">
        <f>IFERROR(VLOOKUP(Table1215[[#This Row],[Column2]],Table12[[Column2]:[Column54]],7,FALSE),"0")</f>
        <v>0</v>
      </c>
      <c r="I164" s="65">
        <f>IFERROR(VLOOKUP(Table1215[[#This Row],[Column2]],Table12[[Column2]:[Column54]],8,FALSE),"0")</f>
        <v>4</v>
      </c>
      <c r="J164" s="65">
        <f>IFERROR(VLOOKUP(Table1215[[#This Row],[Column2]],Table12[[Column2]:[Column54]],9,FALSE),"0")</f>
        <v>0</v>
      </c>
      <c r="K164" s="65">
        <f>IFERROR(VLOOKUP(Table1215[[#This Row],[Column2]],Table12[[Column2]:[Column54]],10,FALSE),"0")</f>
        <v>0</v>
      </c>
      <c r="L164" s="67">
        <f>Table1215[[#This Row],[Column9]]</f>
        <v>4</v>
      </c>
      <c r="M164" s="65">
        <f>IFERROR(VLOOKUP(Table1215[[#This Row],[Column2]],Table12[[Column2]:[Column54]],12,FALSE),"0")</f>
        <v>0</v>
      </c>
      <c r="N164" s="65">
        <f>IFERROR(VLOOKUP(Table1215[[#This Row],[Column2]],Table12[[Column2]:[Column54]],13,FALSE),"0")</f>
        <v>2</v>
      </c>
      <c r="O164" s="65">
        <f>IFERROR(VLOOKUP(Table1215[[#This Row],[Column2]],Table12[[Column2]:[Column54]],14,FALSE),"0")</f>
        <v>3</v>
      </c>
      <c r="P164" s="65">
        <f>IFERROR(VLOOKUP(Table1215[[#This Row],[Column2]],Table12[[Column2]:[Column54]],10,FALSE),"0")</f>
        <v>0</v>
      </c>
      <c r="Q164" s="65">
        <f>IFERROR(VLOOKUP(Table1215[[#This Row],[Column2]],Table12[[Column2]:[Column54]],16,FALSE),"0")</f>
        <v>3</v>
      </c>
      <c r="R164" s="67">
        <f>AVERAGE(Table1215[[#This Row],[Column14]],Table1215[[#This Row],[Column15]],Table1215[[#This Row],[Column17]])</f>
        <v>2.6666666666666665</v>
      </c>
      <c r="S164" s="65">
        <f>IFERROR(VLOOKUP(Table1215[[#This Row],[Column2]],Table12[[Column2]:[Column54]],18,FALSE),"0")</f>
        <v>0</v>
      </c>
      <c r="T164" s="65">
        <f>IFERROR(VLOOKUP(Table1215[[#This Row],[Column2]],Table12[[Column2]:[Column54]],19,FALSE),"0")</f>
        <v>0</v>
      </c>
      <c r="U164" s="65">
        <f>IFERROR(VLOOKUP(Table1215[[#This Row],[Column2]],Table12[[Column2]:[Column54]],20,FALSE),"0")</f>
        <v>0</v>
      </c>
      <c r="V164" s="65">
        <f>IFERROR(VLOOKUP(Table1215[[#This Row],[Column2]],Table12[[Column2]:[Column54]],21,FALSE),"0")</f>
        <v>0</v>
      </c>
      <c r="W164" s="65">
        <f>IFERROR(VLOOKUP(Table1215[[#This Row],[Column2]],Table12[[Column2]:[Column54]],22,FALSE),"0")</f>
        <v>0</v>
      </c>
      <c r="X164" s="67">
        <f>Table1215[[#This Row],[Column19]]</f>
        <v>0</v>
      </c>
      <c r="Y164" s="65">
        <f>IFERROR(VLOOKUP(Table1215[[#This Row],[Column2]],Table12[[Column2]:[Column54]],24,FALSE),"0")</f>
        <v>3</v>
      </c>
      <c r="Z164" s="65">
        <f>IFERROR(VLOOKUP(Table1215[[#This Row],[Column2]],Table12[[Column2]:[Column54]],25,FALSE),"0")</f>
        <v>0</v>
      </c>
      <c r="AA164" s="65">
        <f>IFERROR(VLOOKUP(Table1215[[#This Row],[Column2]],Table12[[Column2]:[Column54]],26,FALSE),"0")</f>
        <v>0</v>
      </c>
      <c r="AB164" s="65">
        <f>IFERROR(VLOOKUP(Table1215[[#This Row],[Column2]],Table12[[Column2]:[Column54]],27,FALSE),"0")</f>
        <v>0</v>
      </c>
      <c r="AC164" s="65">
        <f>IFERROR(VLOOKUP(Table1215[[#This Row],[Column2]],Table12[[Column2]:[Column54]],28,FALSE),"0")</f>
        <v>0</v>
      </c>
      <c r="AD164" s="67">
        <f>Table1215[[#This Row],[Column25]]</f>
        <v>3</v>
      </c>
      <c r="AE164" s="65">
        <f>IFERROR(VLOOKUP(Table1215[[#This Row],[Column2]],Table12[[Column2]:[Column54]],30,FALSE),"0")</f>
        <v>0</v>
      </c>
      <c r="AF164" s="65">
        <f>IFERROR(VLOOKUP(Table1215[[#This Row],[Column2]],Table12[[Column2]:[Column54]],31,FALSE),"0")</f>
        <v>0</v>
      </c>
      <c r="AG164" s="65">
        <f>IFERROR(VLOOKUP(Table1215[[#This Row],[Column2]],Table12[[Column2]:[Column54]],32,FALSE),"0")</f>
        <v>0</v>
      </c>
      <c r="AH164" s="65">
        <f>IFERROR(VLOOKUP(Table1215[[#This Row],[Column2]],Table12[[Column2]:[Column54]],33,FALSE),"0")</f>
        <v>0</v>
      </c>
      <c r="AI164" s="65">
        <f>IFERROR(VLOOKUP(Table1215[[#This Row],[Column2]],Table12[[Column2]:[Column54]],34,FALSE),"0")</f>
        <v>0</v>
      </c>
      <c r="AJ164" s="67">
        <f>AVERAGE(Table1215[[#This Row],[Column31]],Table1215[[#This Row],[Column32]],Table1215[[#This Row],[Column33]])</f>
        <v>0</v>
      </c>
      <c r="AK164" s="65">
        <f>IFERROR(VLOOKUP(Table1215[[#This Row],[Column2]],Table12[[Column2]:[Column54]],36,FALSE),"0")</f>
        <v>3</v>
      </c>
      <c r="AL164" s="65">
        <f>IFERROR(VLOOKUP(Table1215[[#This Row],[Column2]],Table12[[Column2]:[Column54]],37,FALSE),"0")</f>
        <v>2</v>
      </c>
      <c r="AM164" s="65">
        <f>IFERROR(VLOOKUP(Table1215[[#This Row],[Column2]],Table12[[Column2]:[Column54]],38,FALSE),"0")</f>
        <v>0</v>
      </c>
      <c r="AN164" s="65">
        <f>IFERROR(VLOOKUP(Table1215[[#This Row],[Column2]],Table12[[Column2]:[Column54]],39,FALSE),"0")</f>
        <v>3</v>
      </c>
      <c r="AO164" s="65">
        <f>IFERROR(VLOOKUP(Table1215[[#This Row],[Column2]],Table12[[Column2]:[Column54]],40,FALSE),"0")</f>
        <v>0</v>
      </c>
      <c r="AP164" s="67">
        <f>AVERAGE(Table1215[[#This Row],[Column37]],Table1215[[#This Row],[Column38]],Table1215[[#This Row],[Column40]])</f>
        <v>2.6666666666666665</v>
      </c>
      <c r="AQ164" s="65">
        <f>IFERROR(VLOOKUP(Table1215[[#This Row],[Column2]],Table12[[Column2]:[Column54]],42,FALSE),"0")</f>
        <v>5</v>
      </c>
      <c r="AR164" s="65">
        <f>IFERROR(VLOOKUP(Table1215[[#This Row],[Column2]],Table12[[Column2]:[Column54]],43,FALSE),"0")</f>
        <v>0</v>
      </c>
      <c r="AS164" s="65">
        <f>IFERROR(VLOOKUP(Table1215[[#This Row],[Column2]],Table12[[Column2]:[Column54]],44,FALSE),"0")</f>
        <v>0</v>
      </c>
      <c r="AT164" s="65">
        <f>IFERROR(VLOOKUP(Table1215[[#This Row],[Column2]],Table12[[Column2]:[Column54]],45,FALSE),"0")</f>
        <v>0</v>
      </c>
      <c r="AU164" s="65">
        <f>IFERROR(VLOOKUP(Table1215[[#This Row],[Column2]],Table12[[Column2]:[Column54]],46,FALSE),"0")</f>
        <v>0</v>
      </c>
      <c r="AV164" s="67">
        <f>Table1215[[#This Row],[Column43]]</f>
        <v>5</v>
      </c>
      <c r="AW164" s="65">
        <f>IFERROR(VLOOKUP(Table1215[[#This Row],[Column2]],Table12[[Column2]:[Column54]],48,FALSE),"0")</f>
        <v>0</v>
      </c>
      <c r="AX164" s="65">
        <f>IFERROR(VLOOKUP(Table1215[[#This Row],[Column2]],Table12[[Column2]:[Column54]],49,FALSE),"0")</f>
        <v>0</v>
      </c>
      <c r="AY164" s="65">
        <f>IFERROR(VLOOKUP(Table1215[[#This Row],[Column2]],Table12[[Column2]:[Column54]],50,FALSE),"0")</f>
        <v>0</v>
      </c>
      <c r="AZ164" s="65">
        <f>IFERROR(VLOOKUP(Table1215[[#This Row],[Column2]],Table12[[Column2]:[Column54]],51,FALSE),"0")</f>
        <v>5</v>
      </c>
      <c r="BA164" s="65">
        <f>IFERROR(VLOOKUP(Table1215[[#This Row],[Column2]],Table12[[Column2]:[Column54]],52,FALSE),"0")</f>
        <v>3</v>
      </c>
      <c r="BB164" s="67">
        <f>AVERAGE(Table1215[[#This Row],[Column52]],Table1215[[#This Row],[Column53]])</f>
        <v>4</v>
      </c>
    </row>
    <row r="165" spans="1:54" ht="23.1" customHeight="1" x14ac:dyDescent="0.3">
      <c r="A165" s="87">
        <v>162</v>
      </c>
      <c r="B165" s="70" t="s">
        <v>391</v>
      </c>
      <c r="C165" s="71" t="s">
        <v>392</v>
      </c>
      <c r="D165" s="70" t="s">
        <v>450</v>
      </c>
      <c r="E165" s="70" t="s">
        <v>493</v>
      </c>
      <c r="F165" s="70" t="str">
        <f>REPT(CHAR(160),10)&amp;Working!$E166</f>
        <v>          C</v>
      </c>
      <c r="G165" s="61">
        <f>IFERROR(VLOOKUP(Table1215[[#This Row],[Column2]],Table12[[Column2]:[Column54]],6,FALSE),"0")</f>
        <v>0</v>
      </c>
      <c r="H165" s="61">
        <f>IFERROR(VLOOKUP(Table1215[[#This Row],[Column2]],Table12[[Column2]:[Column54]],7,FALSE),"0")</f>
        <v>0</v>
      </c>
      <c r="I165" s="61">
        <f>IFERROR(VLOOKUP(Table1215[[#This Row],[Column2]],Table12[[Column2]:[Column54]],8,FALSE),"0")</f>
        <v>2</v>
      </c>
      <c r="J165" s="61">
        <f>IFERROR(VLOOKUP(Table1215[[#This Row],[Column2]],Table12[[Column2]:[Column54]],9,FALSE),"0")</f>
        <v>0</v>
      </c>
      <c r="K165" s="61">
        <f>IFERROR(VLOOKUP(Table1215[[#This Row],[Column2]],Table12[[Column2]:[Column54]],10,FALSE),"0")</f>
        <v>0</v>
      </c>
      <c r="L165" s="67">
        <f>Table1215[[#This Row],[Column9]]</f>
        <v>2</v>
      </c>
      <c r="M165" s="61">
        <f>IFERROR(VLOOKUP(Table1215[[#This Row],[Column2]],Table12[[Column2]:[Column54]],12,FALSE),"0")</f>
        <v>0</v>
      </c>
      <c r="N165" s="61">
        <f>IFERROR(VLOOKUP(Table1215[[#This Row],[Column2]],Table12[[Column2]:[Column54]],13,FALSE),"0")</f>
        <v>3</v>
      </c>
      <c r="O165" s="61">
        <f>IFERROR(VLOOKUP(Table1215[[#This Row],[Column2]],Table12[[Column2]:[Column54]],14,FALSE),"0")</f>
        <v>0</v>
      </c>
      <c r="P165" s="61">
        <f>IFERROR(VLOOKUP(Table1215[[#This Row],[Column2]],Table12[[Column2]:[Column54]],10,FALSE),"0")</f>
        <v>0</v>
      </c>
      <c r="Q165" s="61">
        <f>IFERROR(VLOOKUP(Table1215[[#This Row],[Column2]],Table12[[Column2]:[Column54]],16,FALSE),"0")</f>
        <v>0</v>
      </c>
      <c r="R165" s="67">
        <f>AVERAGE(Table1215[[#This Row],[Column14]],Table1215[[#This Row],[Column15]],Table1215[[#This Row],[Column17]])</f>
        <v>1</v>
      </c>
      <c r="S165" s="61">
        <f>IFERROR(VLOOKUP(Table1215[[#This Row],[Column2]],Table12[[Column2]:[Column54]],18,FALSE),"0")</f>
        <v>0</v>
      </c>
      <c r="T165" s="61">
        <f>IFERROR(VLOOKUP(Table1215[[#This Row],[Column2]],Table12[[Column2]:[Column54]],19,FALSE),"0")</f>
        <v>0</v>
      </c>
      <c r="U165" s="61">
        <f>IFERROR(VLOOKUP(Table1215[[#This Row],[Column2]],Table12[[Column2]:[Column54]],20,FALSE),"0")</f>
        <v>0</v>
      </c>
      <c r="V165" s="61">
        <f>IFERROR(VLOOKUP(Table1215[[#This Row],[Column2]],Table12[[Column2]:[Column54]],21,FALSE),"0")</f>
        <v>0</v>
      </c>
      <c r="W165" s="61">
        <f>IFERROR(VLOOKUP(Table1215[[#This Row],[Column2]],Table12[[Column2]:[Column54]],22,FALSE),"0")</f>
        <v>0</v>
      </c>
      <c r="X165" s="67">
        <f>Table1215[[#This Row],[Column19]]</f>
        <v>0</v>
      </c>
      <c r="Y165" s="61">
        <f>IFERROR(VLOOKUP(Table1215[[#This Row],[Column2]],Table12[[Column2]:[Column54]],24,FALSE),"0")</f>
        <v>2</v>
      </c>
      <c r="Z165" s="61">
        <f>IFERROR(VLOOKUP(Table1215[[#This Row],[Column2]],Table12[[Column2]:[Column54]],25,FALSE),"0")</f>
        <v>0</v>
      </c>
      <c r="AA165" s="61">
        <f>IFERROR(VLOOKUP(Table1215[[#This Row],[Column2]],Table12[[Column2]:[Column54]],26,FALSE),"0")</f>
        <v>0</v>
      </c>
      <c r="AB165" s="61">
        <f>IFERROR(VLOOKUP(Table1215[[#This Row],[Column2]],Table12[[Column2]:[Column54]],27,FALSE),"0")</f>
        <v>0</v>
      </c>
      <c r="AC165" s="61">
        <f>IFERROR(VLOOKUP(Table1215[[#This Row],[Column2]],Table12[[Column2]:[Column54]],28,FALSE),"0")</f>
        <v>0</v>
      </c>
      <c r="AD165" s="67">
        <f>Table1215[[#This Row],[Column25]]</f>
        <v>2</v>
      </c>
      <c r="AE165" s="61">
        <f>IFERROR(VLOOKUP(Table1215[[#This Row],[Column2]],Table12[[Column2]:[Column54]],30,FALSE),"0")</f>
        <v>0</v>
      </c>
      <c r="AF165" s="61">
        <f>IFERROR(VLOOKUP(Table1215[[#This Row],[Column2]],Table12[[Column2]:[Column54]],31,FALSE),"0")</f>
        <v>0</v>
      </c>
      <c r="AG165" s="61">
        <f>IFERROR(VLOOKUP(Table1215[[#This Row],[Column2]],Table12[[Column2]:[Column54]],32,FALSE),"0")</f>
        <v>0</v>
      </c>
      <c r="AH165" s="61">
        <f>IFERROR(VLOOKUP(Table1215[[#This Row],[Column2]],Table12[[Column2]:[Column54]],33,FALSE),"0")</f>
        <v>0</v>
      </c>
      <c r="AI165" s="61">
        <f>IFERROR(VLOOKUP(Table1215[[#This Row],[Column2]],Table12[[Column2]:[Column54]],34,FALSE),"0")</f>
        <v>0</v>
      </c>
      <c r="AJ165" s="67">
        <f>AVERAGE(Table1215[[#This Row],[Column31]],Table1215[[#This Row],[Column32]],Table1215[[#This Row],[Column33]])</f>
        <v>0</v>
      </c>
      <c r="AK165" s="61">
        <f>IFERROR(VLOOKUP(Table1215[[#This Row],[Column2]],Table12[[Column2]:[Column54]],36,FALSE),"0")</f>
        <v>2</v>
      </c>
      <c r="AL165" s="61">
        <f>IFERROR(VLOOKUP(Table1215[[#This Row],[Column2]],Table12[[Column2]:[Column54]],37,FALSE),"0")</f>
        <v>1</v>
      </c>
      <c r="AM165" s="61">
        <f>IFERROR(VLOOKUP(Table1215[[#This Row],[Column2]],Table12[[Column2]:[Column54]],38,FALSE),"0")</f>
        <v>0</v>
      </c>
      <c r="AN165" s="61">
        <f>IFERROR(VLOOKUP(Table1215[[#This Row],[Column2]],Table12[[Column2]:[Column54]],39,FALSE),"0")</f>
        <v>3</v>
      </c>
      <c r="AO165" s="61">
        <f>IFERROR(VLOOKUP(Table1215[[#This Row],[Column2]],Table12[[Column2]:[Column54]],40,FALSE),"0")</f>
        <v>0</v>
      </c>
      <c r="AP165" s="67">
        <f>AVERAGE(Table1215[[#This Row],[Column37]],Table1215[[#This Row],[Column38]],Table1215[[#This Row],[Column40]])</f>
        <v>2</v>
      </c>
      <c r="AQ165" s="61">
        <f>IFERROR(VLOOKUP(Table1215[[#This Row],[Column2]],Table12[[Column2]:[Column54]],42,FALSE),"0")</f>
        <v>2</v>
      </c>
      <c r="AR165" s="61">
        <f>IFERROR(VLOOKUP(Table1215[[#This Row],[Column2]],Table12[[Column2]:[Column54]],43,FALSE),"0")</f>
        <v>0</v>
      </c>
      <c r="AS165" s="61">
        <f>IFERROR(VLOOKUP(Table1215[[#This Row],[Column2]],Table12[[Column2]:[Column54]],44,FALSE),"0")</f>
        <v>0</v>
      </c>
      <c r="AT165" s="61">
        <f>IFERROR(VLOOKUP(Table1215[[#This Row],[Column2]],Table12[[Column2]:[Column54]],45,FALSE),"0")</f>
        <v>0</v>
      </c>
      <c r="AU165" s="61">
        <f>IFERROR(VLOOKUP(Table1215[[#This Row],[Column2]],Table12[[Column2]:[Column54]],46,FALSE),"0")</f>
        <v>0</v>
      </c>
      <c r="AV165" s="67">
        <f>Table1215[[#This Row],[Column43]]</f>
        <v>2</v>
      </c>
      <c r="AW165" s="61">
        <f>IFERROR(VLOOKUP(Table1215[[#This Row],[Column2]],Table12[[Column2]:[Column54]],48,FALSE),"0")</f>
        <v>0</v>
      </c>
      <c r="AX165" s="61">
        <f>IFERROR(VLOOKUP(Table1215[[#This Row],[Column2]],Table12[[Column2]:[Column54]],49,FALSE),"0")</f>
        <v>0</v>
      </c>
      <c r="AY165" s="61">
        <f>IFERROR(VLOOKUP(Table1215[[#This Row],[Column2]],Table12[[Column2]:[Column54]],50,FALSE),"0")</f>
        <v>0</v>
      </c>
      <c r="AZ165" s="61">
        <f>IFERROR(VLOOKUP(Table1215[[#This Row],[Column2]],Table12[[Column2]:[Column54]],51,FALSE),"0")</f>
        <v>3</v>
      </c>
      <c r="BA165" s="61">
        <f>IFERROR(VLOOKUP(Table1215[[#This Row],[Column2]],Table12[[Column2]:[Column54]],52,FALSE),"0")</f>
        <v>2</v>
      </c>
      <c r="BB165" s="67">
        <f>AVERAGE(Table1215[[#This Row],[Column52]],Table1215[[#This Row],[Column53]])</f>
        <v>2.5</v>
      </c>
    </row>
    <row r="166" spans="1:54" ht="23.1" customHeight="1" x14ac:dyDescent="0.3">
      <c r="A166" s="86">
        <v>163</v>
      </c>
      <c r="B166" s="63" t="s">
        <v>221</v>
      </c>
      <c r="C166" s="64" t="s">
        <v>222</v>
      </c>
      <c r="D166" s="63" t="s">
        <v>450</v>
      </c>
      <c r="E166" s="63" t="s">
        <v>161</v>
      </c>
      <c r="F166" s="63" t="str">
        <f>REPT(CHAR(160),10)&amp;Working!$E167</f>
        <v>          B</v>
      </c>
      <c r="G166" s="65">
        <f>IFERROR(VLOOKUP(Table1215[[#This Row],[Column2]],Table12[[Column2]:[Column54]],6,FALSE),"0")</f>
        <v>0</v>
      </c>
      <c r="H166" s="65">
        <f>IFERROR(VLOOKUP(Table1215[[#This Row],[Column2]],Table12[[Column2]:[Column54]],7,FALSE),"0")</f>
        <v>0</v>
      </c>
      <c r="I166" s="65">
        <f>IFERROR(VLOOKUP(Table1215[[#This Row],[Column2]],Table12[[Column2]:[Column54]],8,FALSE),"0")</f>
        <v>3</v>
      </c>
      <c r="J166" s="65">
        <f>IFERROR(VLOOKUP(Table1215[[#This Row],[Column2]],Table12[[Column2]:[Column54]],9,FALSE),"0")</f>
        <v>0</v>
      </c>
      <c r="K166" s="65">
        <f>IFERROR(VLOOKUP(Table1215[[#This Row],[Column2]],Table12[[Column2]:[Column54]],10,FALSE),"0")</f>
        <v>0</v>
      </c>
      <c r="L166" s="67">
        <f>Table1215[[#This Row],[Column9]]</f>
        <v>3</v>
      </c>
      <c r="M166" s="65">
        <f>IFERROR(VLOOKUP(Table1215[[#This Row],[Column2]],Table12[[Column2]:[Column54]],12,FALSE),"0")</f>
        <v>0</v>
      </c>
      <c r="N166" s="65">
        <f>IFERROR(VLOOKUP(Table1215[[#This Row],[Column2]],Table12[[Column2]:[Column54]],13,FALSE),"0")</f>
        <v>3</v>
      </c>
      <c r="O166" s="65">
        <f>IFERROR(VLOOKUP(Table1215[[#This Row],[Column2]],Table12[[Column2]:[Column54]],14,FALSE),"0")</f>
        <v>3</v>
      </c>
      <c r="P166" s="65">
        <f>IFERROR(VLOOKUP(Table1215[[#This Row],[Column2]],Table12[[Column2]:[Column54]],10,FALSE),"0")</f>
        <v>0</v>
      </c>
      <c r="Q166" s="65">
        <f>IFERROR(VLOOKUP(Table1215[[#This Row],[Column2]],Table12[[Column2]:[Column54]],16,FALSE),"0")</f>
        <v>3</v>
      </c>
      <c r="R166" s="67">
        <f>AVERAGE(Table1215[[#This Row],[Column14]],Table1215[[#This Row],[Column15]],Table1215[[#This Row],[Column17]])</f>
        <v>3</v>
      </c>
      <c r="S166" s="65">
        <f>IFERROR(VLOOKUP(Table1215[[#This Row],[Column2]],Table12[[Column2]:[Column54]],18,FALSE),"0")</f>
        <v>0</v>
      </c>
      <c r="T166" s="65">
        <f>IFERROR(VLOOKUP(Table1215[[#This Row],[Column2]],Table12[[Column2]:[Column54]],19,FALSE),"0")</f>
        <v>0</v>
      </c>
      <c r="U166" s="65">
        <f>IFERROR(VLOOKUP(Table1215[[#This Row],[Column2]],Table12[[Column2]:[Column54]],20,FALSE),"0")</f>
        <v>0</v>
      </c>
      <c r="V166" s="65">
        <f>IFERROR(VLOOKUP(Table1215[[#This Row],[Column2]],Table12[[Column2]:[Column54]],21,FALSE),"0")</f>
        <v>0</v>
      </c>
      <c r="W166" s="65">
        <f>IFERROR(VLOOKUP(Table1215[[#This Row],[Column2]],Table12[[Column2]:[Column54]],22,FALSE),"0")</f>
        <v>0</v>
      </c>
      <c r="X166" s="67">
        <f>Table1215[[#This Row],[Column19]]</f>
        <v>0</v>
      </c>
      <c r="Y166" s="65">
        <f>IFERROR(VLOOKUP(Table1215[[#This Row],[Column2]],Table12[[Column2]:[Column54]],24,FALSE),"0")</f>
        <v>3</v>
      </c>
      <c r="Z166" s="65">
        <f>IFERROR(VLOOKUP(Table1215[[#This Row],[Column2]],Table12[[Column2]:[Column54]],25,FALSE),"0")</f>
        <v>0</v>
      </c>
      <c r="AA166" s="65">
        <f>IFERROR(VLOOKUP(Table1215[[#This Row],[Column2]],Table12[[Column2]:[Column54]],26,FALSE),"0")</f>
        <v>0</v>
      </c>
      <c r="AB166" s="65">
        <f>IFERROR(VLOOKUP(Table1215[[#This Row],[Column2]],Table12[[Column2]:[Column54]],27,FALSE),"0")</f>
        <v>0</v>
      </c>
      <c r="AC166" s="65">
        <f>IFERROR(VLOOKUP(Table1215[[#This Row],[Column2]],Table12[[Column2]:[Column54]],28,FALSE),"0")</f>
        <v>0</v>
      </c>
      <c r="AD166" s="67">
        <f>Table1215[[#This Row],[Column25]]</f>
        <v>3</v>
      </c>
      <c r="AE166" s="65">
        <f>IFERROR(VLOOKUP(Table1215[[#This Row],[Column2]],Table12[[Column2]:[Column54]],30,FALSE),"0")</f>
        <v>0</v>
      </c>
      <c r="AF166" s="65">
        <f>IFERROR(VLOOKUP(Table1215[[#This Row],[Column2]],Table12[[Column2]:[Column54]],31,FALSE),"0")</f>
        <v>0</v>
      </c>
      <c r="AG166" s="65">
        <f>IFERROR(VLOOKUP(Table1215[[#This Row],[Column2]],Table12[[Column2]:[Column54]],32,FALSE),"0")</f>
        <v>0</v>
      </c>
      <c r="AH166" s="65">
        <f>IFERROR(VLOOKUP(Table1215[[#This Row],[Column2]],Table12[[Column2]:[Column54]],33,FALSE),"0")</f>
        <v>0</v>
      </c>
      <c r="AI166" s="65">
        <f>IFERROR(VLOOKUP(Table1215[[#This Row],[Column2]],Table12[[Column2]:[Column54]],34,FALSE),"0")</f>
        <v>0</v>
      </c>
      <c r="AJ166" s="67">
        <f>AVERAGE(Table1215[[#This Row],[Column31]],Table1215[[#This Row],[Column32]],Table1215[[#This Row],[Column33]])</f>
        <v>0</v>
      </c>
      <c r="AK166" s="65">
        <f>IFERROR(VLOOKUP(Table1215[[#This Row],[Column2]],Table12[[Column2]:[Column54]],36,FALSE),"0")</f>
        <v>3</v>
      </c>
      <c r="AL166" s="65">
        <f>IFERROR(VLOOKUP(Table1215[[#This Row],[Column2]],Table12[[Column2]:[Column54]],37,FALSE),"0")</f>
        <v>3</v>
      </c>
      <c r="AM166" s="65">
        <f>IFERROR(VLOOKUP(Table1215[[#This Row],[Column2]],Table12[[Column2]:[Column54]],38,FALSE),"0")</f>
        <v>0</v>
      </c>
      <c r="AN166" s="65">
        <f>IFERROR(VLOOKUP(Table1215[[#This Row],[Column2]],Table12[[Column2]:[Column54]],39,FALSE),"0")</f>
        <v>4</v>
      </c>
      <c r="AO166" s="65">
        <f>IFERROR(VLOOKUP(Table1215[[#This Row],[Column2]],Table12[[Column2]:[Column54]],40,FALSE),"0")</f>
        <v>0</v>
      </c>
      <c r="AP166" s="67">
        <f>AVERAGE(Table1215[[#This Row],[Column37]],Table1215[[#This Row],[Column38]],Table1215[[#This Row],[Column40]])</f>
        <v>3.3333333333333335</v>
      </c>
      <c r="AQ166" s="65">
        <f>IFERROR(VLOOKUP(Table1215[[#This Row],[Column2]],Table12[[Column2]:[Column54]],42,FALSE),"0")</f>
        <v>2</v>
      </c>
      <c r="AR166" s="65">
        <f>IFERROR(VLOOKUP(Table1215[[#This Row],[Column2]],Table12[[Column2]:[Column54]],43,FALSE),"0")</f>
        <v>0</v>
      </c>
      <c r="AS166" s="65">
        <f>IFERROR(VLOOKUP(Table1215[[#This Row],[Column2]],Table12[[Column2]:[Column54]],44,FALSE),"0")</f>
        <v>0</v>
      </c>
      <c r="AT166" s="65">
        <f>IFERROR(VLOOKUP(Table1215[[#This Row],[Column2]],Table12[[Column2]:[Column54]],45,FALSE),"0")</f>
        <v>0</v>
      </c>
      <c r="AU166" s="65">
        <f>IFERROR(VLOOKUP(Table1215[[#This Row],[Column2]],Table12[[Column2]:[Column54]],46,FALSE),"0")</f>
        <v>0</v>
      </c>
      <c r="AV166" s="67">
        <f>Table1215[[#This Row],[Column43]]</f>
        <v>2</v>
      </c>
      <c r="AW166" s="65">
        <f>IFERROR(VLOOKUP(Table1215[[#This Row],[Column2]],Table12[[Column2]:[Column54]],48,FALSE),"0")</f>
        <v>0</v>
      </c>
      <c r="AX166" s="65">
        <f>IFERROR(VLOOKUP(Table1215[[#This Row],[Column2]],Table12[[Column2]:[Column54]],49,FALSE),"0")</f>
        <v>0</v>
      </c>
      <c r="AY166" s="65">
        <f>IFERROR(VLOOKUP(Table1215[[#This Row],[Column2]],Table12[[Column2]:[Column54]],50,FALSE),"0")</f>
        <v>0</v>
      </c>
      <c r="AZ166" s="65">
        <f>IFERROR(VLOOKUP(Table1215[[#This Row],[Column2]],Table12[[Column2]:[Column54]],51,FALSE),"0")</f>
        <v>3</v>
      </c>
      <c r="BA166" s="65">
        <f>IFERROR(VLOOKUP(Table1215[[#This Row],[Column2]],Table12[[Column2]:[Column54]],52,FALSE),"0")</f>
        <v>3</v>
      </c>
      <c r="BB166" s="67">
        <f>AVERAGE(Table1215[[#This Row],[Column52]],Table1215[[#This Row],[Column53]])</f>
        <v>3</v>
      </c>
    </row>
    <row r="167" spans="1:54" ht="23.1" customHeight="1" x14ac:dyDescent="0.3">
      <c r="A167" s="87">
        <v>164</v>
      </c>
      <c r="B167" s="70" t="s">
        <v>207</v>
      </c>
      <c r="C167" s="71" t="s">
        <v>208</v>
      </c>
      <c r="D167" s="70" t="s">
        <v>542</v>
      </c>
      <c r="E167" s="70" t="s">
        <v>161</v>
      </c>
      <c r="F167" s="70" t="str">
        <f>REPT(CHAR(160),10)&amp;Working!$E168</f>
        <v>          B</v>
      </c>
      <c r="G167" s="61">
        <f>IFERROR(VLOOKUP(Table1215[[#This Row],[Column2]],Table12[[Column2]:[Column54]],6,FALSE),"0")</f>
        <v>0</v>
      </c>
      <c r="H167" s="61">
        <f>IFERROR(VLOOKUP(Table1215[[#This Row],[Column2]],Table12[[Column2]:[Column54]],7,FALSE),"0")</f>
        <v>0</v>
      </c>
      <c r="I167" s="61">
        <f>IFERROR(VLOOKUP(Table1215[[#This Row],[Column2]],Table12[[Column2]:[Column54]],8,FALSE),"0")</f>
        <v>4</v>
      </c>
      <c r="J167" s="61">
        <f>IFERROR(VLOOKUP(Table1215[[#This Row],[Column2]],Table12[[Column2]:[Column54]],9,FALSE),"0")</f>
        <v>0</v>
      </c>
      <c r="K167" s="61">
        <f>IFERROR(VLOOKUP(Table1215[[#This Row],[Column2]],Table12[[Column2]:[Column54]],10,FALSE),"0")</f>
        <v>0</v>
      </c>
      <c r="L167" s="67">
        <f>Table1215[[#This Row],[Column9]]</f>
        <v>4</v>
      </c>
      <c r="M167" s="61">
        <f>IFERROR(VLOOKUP(Table1215[[#This Row],[Column2]],Table12[[Column2]:[Column54]],12,FALSE),"0")</f>
        <v>0</v>
      </c>
      <c r="N167" s="61">
        <f>IFERROR(VLOOKUP(Table1215[[#This Row],[Column2]],Table12[[Column2]:[Column54]],13,FALSE),"0")</f>
        <v>4</v>
      </c>
      <c r="O167" s="61">
        <f>IFERROR(VLOOKUP(Table1215[[#This Row],[Column2]],Table12[[Column2]:[Column54]],14,FALSE),"0")</f>
        <v>3</v>
      </c>
      <c r="P167" s="61">
        <f>IFERROR(VLOOKUP(Table1215[[#This Row],[Column2]],Table12[[Column2]:[Column54]],10,FALSE),"0")</f>
        <v>0</v>
      </c>
      <c r="Q167" s="61">
        <f>IFERROR(VLOOKUP(Table1215[[#This Row],[Column2]],Table12[[Column2]:[Column54]],16,FALSE),"0")</f>
        <v>3</v>
      </c>
      <c r="R167" s="67">
        <f>AVERAGE(Table1215[[#This Row],[Column14]],Table1215[[#This Row],[Column15]],Table1215[[#This Row],[Column17]])</f>
        <v>3.3333333333333335</v>
      </c>
      <c r="S167" s="61">
        <f>IFERROR(VLOOKUP(Table1215[[#This Row],[Column2]],Table12[[Column2]:[Column54]],18,FALSE),"0")</f>
        <v>0</v>
      </c>
      <c r="T167" s="61">
        <f>IFERROR(VLOOKUP(Table1215[[#This Row],[Column2]],Table12[[Column2]:[Column54]],19,FALSE),"0")</f>
        <v>0</v>
      </c>
      <c r="U167" s="61">
        <f>IFERROR(VLOOKUP(Table1215[[#This Row],[Column2]],Table12[[Column2]:[Column54]],20,FALSE),"0")</f>
        <v>0</v>
      </c>
      <c r="V167" s="61">
        <f>IFERROR(VLOOKUP(Table1215[[#This Row],[Column2]],Table12[[Column2]:[Column54]],21,FALSE),"0")</f>
        <v>0</v>
      </c>
      <c r="W167" s="61">
        <f>IFERROR(VLOOKUP(Table1215[[#This Row],[Column2]],Table12[[Column2]:[Column54]],22,FALSE),"0")</f>
        <v>0</v>
      </c>
      <c r="X167" s="67">
        <f>Table1215[[#This Row],[Column19]]</f>
        <v>0</v>
      </c>
      <c r="Y167" s="61">
        <f>IFERROR(VLOOKUP(Table1215[[#This Row],[Column2]],Table12[[Column2]:[Column54]],24,FALSE),"0")</f>
        <v>4</v>
      </c>
      <c r="Z167" s="61">
        <f>IFERROR(VLOOKUP(Table1215[[#This Row],[Column2]],Table12[[Column2]:[Column54]],25,FALSE),"0")</f>
        <v>0</v>
      </c>
      <c r="AA167" s="61">
        <f>IFERROR(VLOOKUP(Table1215[[#This Row],[Column2]],Table12[[Column2]:[Column54]],26,FALSE),"0")</f>
        <v>0</v>
      </c>
      <c r="AB167" s="61">
        <f>IFERROR(VLOOKUP(Table1215[[#This Row],[Column2]],Table12[[Column2]:[Column54]],27,FALSE),"0")</f>
        <v>0</v>
      </c>
      <c r="AC167" s="61">
        <f>IFERROR(VLOOKUP(Table1215[[#This Row],[Column2]],Table12[[Column2]:[Column54]],28,FALSE),"0")</f>
        <v>0</v>
      </c>
      <c r="AD167" s="67">
        <f>Table1215[[#This Row],[Column25]]</f>
        <v>4</v>
      </c>
      <c r="AE167" s="61">
        <f>IFERROR(VLOOKUP(Table1215[[#This Row],[Column2]],Table12[[Column2]:[Column54]],30,FALSE),"0")</f>
        <v>0</v>
      </c>
      <c r="AF167" s="61">
        <f>IFERROR(VLOOKUP(Table1215[[#This Row],[Column2]],Table12[[Column2]:[Column54]],31,FALSE),"0")</f>
        <v>0</v>
      </c>
      <c r="AG167" s="61">
        <f>IFERROR(VLOOKUP(Table1215[[#This Row],[Column2]],Table12[[Column2]:[Column54]],32,FALSE),"0")</f>
        <v>0</v>
      </c>
      <c r="AH167" s="61">
        <f>IFERROR(VLOOKUP(Table1215[[#This Row],[Column2]],Table12[[Column2]:[Column54]],33,FALSE),"0")</f>
        <v>0</v>
      </c>
      <c r="AI167" s="61">
        <f>IFERROR(VLOOKUP(Table1215[[#This Row],[Column2]],Table12[[Column2]:[Column54]],34,FALSE),"0")</f>
        <v>0</v>
      </c>
      <c r="AJ167" s="67">
        <f>AVERAGE(Table1215[[#This Row],[Column31]],Table1215[[#This Row],[Column32]],Table1215[[#This Row],[Column33]])</f>
        <v>0</v>
      </c>
      <c r="AK167" s="61">
        <f>IFERROR(VLOOKUP(Table1215[[#This Row],[Column2]],Table12[[Column2]:[Column54]],36,FALSE),"0")</f>
        <v>3</v>
      </c>
      <c r="AL167" s="61">
        <f>IFERROR(VLOOKUP(Table1215[[#This Row],[Column2]],Table12[[Column2]:[Column54]],37,FALSE),"0")</f>
        <v>4</v>
      </c>
      <c r="AM167" s="61">
        <f>IFERROR(VLOOKUP(Table1215[[#This Row],[Column2]],Table12[[Column2]:[Column54]],38,FALSE),"0")</f>
        <v>0</v>
      </c>
      <c r="AN167" s="61">
        <f>IFERROR(VLOOKUP(Table1215[[#This Row],[Column2]],Table12[[Column2]:[Column54]],39,FALSE),"0")</f>
        <v>4</v>
      </c>
      <c r="AO167" s="61">
        <f>IFERROR(VLOOKUP(Table1215[[#This Row],[Column2]],Table12[[Column2]:[Column54]],40,FALSE),"0")</f>
        <v>0</v>
      </c>
      <c r="AP167" s="67">
        <f>AVERAGE(Table1215[[#This Row],[Column37]],Table1215[[#This Row],[Column38]],Table1215[[#This Row],[Column40]])</f>
        <v>3.6666666666666665</v>
      </c>
      <c r="AQ167" s="61">
        <f>IFERROR(VLOOKUP(Table1215[[#This Row],[Column2]],Table12[[Column2]:[Column54]],42,FALSE),"0")</f>
        <v>4</v>
      </c>
      <c r="AR167" s="61">
        <f>IFERROR(VLOOKUP(Table1215[[#This Row],[Column2]],Table12[[Column2]:[Column54]],43,FALSE),"0")</f>
        <v>0</v>
      </c>
      <c r="AS167" s="61">
        <f>IFERROR(VLOOKUP(Table1215[[#This Row],[Column2]],Table12[[Column2]:[Column54]],44,FALSE),"0")</f>
        <v>0</v>
      </c>
      <c r="AT167" s="61">
        <f>IFERROR(VLOOKUP(Table1215[[#This Row],[Column2]],Table12[[Column2]:[Column54]],45,FALSE),"0")</f>
        <v>0</v>
      </c>
      <c r="AU167" s="61">
        <f>IFERROR(VLOOKUP(Table1215[[#This Row],[Column2]],Table12[[Column2]:[Column54]],46,FALSE),"0")</f>
        <v>0</v>
      </c>
      <c r="AV167" s="67">
        <f>Table1215[[#This Row],[Column43]]</f>
        <v>4</v>
      </c>
      <c r="AW167" s="61">
        <f>IFERROR(VLOOKUP(Table1215[[#This Row],[Column2]],Table12[[Column2]:[Column54]],48,FALSE),"0")</f>
        <v>0</v>
      </c>
      <c r="AX167" s="61">
        <f>IFERROR(VLOOKUP(Table1215[[#This Row],[Column2]],Table12[[Column2]:[Column54]],49,FALSE),"0")</f>
        <v>0</v>
      </c>
      <c r="AY167" s="61">
        <f>IFERROR(VLOOKUP(Table1215[[#This Row],[Column2]],Table12[[Column2]:[Column54]],50,FALSE),"0")</f>
        <v>0</v>
      </c>
      <c r="AZ167" s="61">
        <f>IFERROR(VLOOKUP(Table1215[[#This Row],[Column2]],Table12[[Column2]:[Column54]],51,FALSE),"0")</f>
        <v>4</v>
      </c>
      <c r="BA167" s="61">
        <f>IFERROR(VLOOKUP(Table1215[[#This Row],[Column2]],Table12[[Column2]:[Column54]],52,FALSE),"0")</f>
        <v>4</v>
      </c>
      <c r="BB167" s="67">
        <f>AVERAGE(Table1215[[#This Row],[Column52]],Table1215[[#This Row],[Column53]])</f>
        <v>4</v>
      </c>
    </row>
    <row r="168" spans="1:54" ht="23.1" customHeight="1" x14ac:dyDescent="0.3">
      <c r="A168" s="86">
        <v>165</v>
      </c>
      <c r="B168" s="63" t="s">
        <v>48</v>
      </c>
      <c r="C168" s="64" t="s">
        <v>49</v>
      </c>
      <c r="D168" s="63" t="s">
        <v>450</v>
      </c>
      <c r="E168" s="63" t="s">
        <v>35</v>
      </c>
      <c r="F168" s="63" t="str">
        <f>REPT(CHAR(160),10)&amp;Working!$E169</f>
        <v>          A</v>
      </c>
      <c r="G168" s="65">
        <f>IFERROR(VLOOKUP(Table1215[[#This Row],[Column2]],Table12[[Column2]:[Column54]],6,FALSE),"0")</f>
        <v>0</v>
      </c>
      <c r="H168" s="65">
        <f>IFERROR(VLOOKUP(Table1215[[#This Row],[Column2]],Table12[[Column2]:[Column54]],7,FALSE),"0")</f>
        <v>0</v>
      </c>
      <c r="I168" s="65">
        <f>IFERROR(VLOOKUP(Table1215[[#This Row],[Column2]],Table12[[Column2]:[Column54]],8,FALSE),"0")</f>
        <v>4</v>
      </c>
      <c r="J168" s="65">
        <f>IFERROR(VLOOKUP(Table1215[[#This Row],[Column2]],Table12[[Column2]:[Column54]],9,FALSE),"0")</f>
        <v>0</v>
      </c>
      <c r="K168" s="65">
        <f>IFERROR(VLOOKUP(Table1215[[#This Row],[Column2]],Table12[[Column2]:[Column54]],10,FALSE),"0")</f>
        <v>0</v>
      </c>
      <c r="L168" s="67">
        <f>Table1215[[#This Row],[Column9]]</f>
        <v>4</v>
      </c>
      <c r="M168" s="65">
        <f>IFERROR(VLOOKUP(Table1215[[#This Row],[Column2]],Table12[[Column2]:[Column54]],12,FALSE),"0")</f>
        <v>0</v>
      </c>
      <c r="N168" s="65">
        <f>IFERROR(VLOOKUP(Table1215[[#This Row],[Column2]],Table12[[Column2]:[Column54]],13,FALSE),"0")</f>
        <v>4</v>
      </c>
      <c r="O168" s="65">
        <f>IFERROR(VLOOKUP(Table1215[[#This Row],[Column2]],Table12[[Column2]:[Column54]],14,FALSE),"0")</f>
        <v>4</v>
      </c>
      <c r="P168" s="65">
        <f>IFERROR(VLOOKUP(Table1215[[#This Row],[Column2]],Table12[[Column2]:[Column54]],10,FALSE),"0")</f>
        <v>0</v>
      </c>
      <c r="Q168" s="65">
        <f>IFERROR(VLOOKUP(Table1215[[#This Row],[Column2]],Table12[[Column2]:[Column54]],16,FALSE),"0")</f>
        <v>4</v>
      </c>
      <c r="R168" s="67">
        <f>AVERAGE(Table1215[[#This Row],[Column14]],Table1215[[#This Row],[Column15]],Table1215[[#This Row],[Column17]])</f>
        <v>4</v>
      </c>
      <c r="S168" s="65">
        <f>IFERROR(VLOOKUP(Table1215[[#This Row],[Column2]],Table12[[Column2]:[Column54]],18,FALSE),"0")</f>
        <v>0</v>
      </c>
      <c r="T168" s="65">
        <f>IFERROR(VLOOKUP(Table1215[[#This Row],[Column2]],Table12[[Column2]:[Column54]],19,FALSE),"0")</f>
        <v>0</v>
      </c>
      <c r="U168" s="65">
        <f>IFERROR(VLOOKUP(Table1215[[#This Row],[Column2]],Table12[[Column2]:[Column54]],20,FALSE),"0")</f>
        <v>0</v>
      </c>
      <c r="V168" s="65">
        <f>IFERROR(VLOOKUP(Table1215[[#This Row],[Column2]],Table12[[Column2]:[Column54]],21,FALSE),"0")</f>
        <v>0</v>
      </c>
      <c r="W168" s="65">
        <f>IFERROR(VLOOKUP(Table1215[[#This Row],[Column2]],Table12[[Column2]:[Column54]],22,FALSE),"0")</f>
        <v>0</v>
      </c>
      <c r="X168" s="67">
        <f>Table1215[[#This Row],[Column19]]</f>
        <v>0</v>
      </c>
      <c r="Y168" s="65">
        <f>IFERROR(VLOOKUP(Table1215[[#This Row],[Column2]],Table12[[Column2]:[Column54]],24,FALSE),"0")</f>
        <v>4</v>
      </c>
      <c r="Z168" s="65">
        <f>IFERROR(VLOOKUP(Table1215[[#This Row],[Column2]],Table12[[Column2]:[Column54]],25,FALSE),"0")</f>
        <v>0</v>
      </c>
      <c r="AA168" s="65">
        <f>IFERROR(VLOOKUP(Table1215[[#This Row],[Column2]],Table12[[Column2]:[Column54]],26,FALSE),"0")</f>
        <v>0</v>
      </c>
      <c r="AB168" s="65">
        <f>IFERROR(VLOOKUP(Table1215[[#This Row],[Column2]],Table12[[Column2]:[Column54]],27,FALSE),"0")</f>
        <v>0</v>
      </c>
      <c r="AC168" s="65">
        <f>IFERROR(VLOOKUP(Table1215[[#This Row],[Column2]],Table12[[Column2]:[Column54]],28,FALSE),"0")</f>
        <v>0</v>
      </c>
      <c r="AD168" s="67">
        <f>Table1215[[#This Row],[Column25]]</f>
        <v>4</v>
      </c>
      <c r="AE168" s="65">
        <f>IFERROR(VLOOKUP(Table1215[[#This Row],[Column2]],Table12[[Column2]:[Column54]],30,FALSE),"0")</f>
        <v>0</v>
      </c>
      <c r="AF168" s="65">
        <f>IFERROR(VLOOKUP(Table1215[[#This Row],[Column2]],Table12[[Column2]:[Column54]],31,FALSE),"0")</f>
        <v>0</v>
      </c>
      <c r="AG168" s="65">
        <f>IFERROR(VLOOKUP(Table1215[[#This Row],[Column2]],Table12[[Column2]:[Column54]],32,FALSE),"0")</f>
        <v>0</v>
      </c>
      <c r="AH168" s="65">
        <f>IFERROR(VLOOKUP(Table1215[[#This Row],[Column2]],Table12[[Column2]:[Column54]],33,FALSE),"0")</f>
        <v>0</v>
      </c>
      <c r="AI168" s="65">
        <f>IFERROR(VLOOKUP(Table1215[[#This Row],[Column2]],Table12[[Column2]:[Column54]],34,FALSE),"0")</f>
        <v>0</v>
      </c>
      <c r="AJ168" s="67">
        <f>AVERAGE(Table1215[[#This Row],[Column31]],Table1215[[#This Row],[Column32]],Table1215[[#This Row],[Column33]])</f>
        <v>0</v>
      </c>
      <c r="AK168" s="65">
        <f>IFERROR(VLOOKUP(Table1215[[#This Row],[Column2]],Table12[[Column2]:[Column54]],36,FALSE),"0")</f>
        <v>4</v>
      </c>
      <c r="AL168" s="65">
        <f>IFERROR(VLOOKUP(Table1215[[#This Row],[Column2]],Table12[[Column2]:[Column54]],37,FALSE),"0")</f>
        <v>4</v>
      </c>
      <c r="AM168" s="65">
        <f>IFERROR(VLOOKUP(Table1215[[#This Row],[Column2]],Table12[[Column2]:[Column54]],38,FALSE),"0")</f>
        <v>0</v>
      </c>
      <c r="AN168" s="65">
        <f>IFERROR(VLOOKUP(Table1215[[#This Row],[Column2]],Table12[[Column2]:[Column54]],39,FALSE),"0")</f>
        <v>4</v>
      </c>
      <c r="AO168" s="65">
        <f>IFERROR(VLOOKUP(Table1215[[#This Row],[Column2]],Table12[[Column2]:[Column54]],40,FALSE),"0")</f>
        <v>0</v>
      </c>
      <c r="AP168" s="67">
        <f>AVERAGE(Table1215[[#This Row],[Column37]],Table1215[[#This Row],[Column38]],Table1215[[#This Row],[Column40]])</f>
        <v>4</v>
      </c>
      <c r="AQ168" s="65">
        <f>IFERROR(VLOOKUP(Table1215[[#This Row],[Column2]],Table12[[Column2]:[Column54]],42,FALSE),"0")</f>
        <v>2</v>
      </c>
      <c r="AR168" s="65">
        <f>IFERROR(VLOOKUP(Table1215[[#This Row],[Column2]],Table12[[Column2]:[Column54]],43,FALSE),"0")</f>
        <v>0</v>
      </c>
      <c r="AS168" s="65">
        <f>IFERROR(VLOOKUP(Table1215[[#This Row],[Column2]],Table12[[Column2]:[Column54]],44,FALSE),"0")</f>
        <v>0</v>
      </c>
      <c r="AT168" s="65">
        <f>IFERROR(VLOOKUP(Table1215[[#This Row],[Column2]],Table12[[Column2]:[Column54]],45,FALSE),"0")</f>
        <v>0</v>
      </c>
      <c r="AU168" s="65">
        <f>IFERROR(VLOOKUP(Table1215[[#This Row],[Column2]],Table12[[Column2]:[Column54]],46,FALSE),"0")</f>
        <v>0</v>
      </c>
      <c r="AV168" s="67">
        <f>Table1215[[#This Row],[Column43]]</f>
        <v>2</v>
      </c>
      <c r="AW168" s="65">
        <f>IFERROR(VLOOKUP(Table1215[[#This Row],[Column2]],Table12[[Column2]:[Column54]],48,FALSE),"0")</f>
        <v>0</v>
      </c>
      <c r="AX168" s="65">
        <f>IFERROR(VLOOKUP(Table1215[[#This Row],[Column2]],Table12[[Column2]:[Column54]],49,FALSE),"0")</f>
        <v>0</v>
      </c>
      <c r="AY168" s="65">
        <f>IFERROR(VLOOKUP(Table1215[[#This Row],[Column2]],Table12[[Column2]:[Column54]],50,FALSE),"0")</f>
        <v>0</v>
      </c>
      <c r="AZ168" s="65">
        <f>IFERROR(VLOOKUP(Table1215[[#This Row],[Column2]],Table12[[Column2]:[Column54]],51,FALSE),"0")</f>
        <v>4</v>
      </c>
      <c r="BA168" s="65">
        <f>IFERROR(VLOOKUP(Table1215[[#This Row],[Column2]],Table12[[Column2]:[Column54]],52,FALSE),"0")</f>
        <v>4</v>
      </c>
      <c r="BB168" s="67">
        <f>AVERAGE(Table1215[[#This Row],[Column52]],Table1215[[#This Row],[Column53]])</f>
        <v>4</v>
      </c>
    </row>
    <row r="169" spans="1:54" ht="23.1" customHeight="1" x14ac:dyDescent="0.3">
      <c r="A169" s="87">
        <v>166</v>
      </c>
      <c r="B169" s="70" t="s">
        <v>159</v>
      </c>
      <c r="C169" s="71" t="s">
        <v>160</v>
      </c>
      <c r="D169" s="70" t="s">
        <v>450</v>
      </c>
      <c r="E169" s="70" t="s">
        <v>35</v>
      </c>
      <c r="F169" s="70" t="str">
        <f>REPT(CHAR(160),10)&amp;Working!$E170</f>
        <v>          A</v>
      </c>
      <c r="G169" s="61">
        <f>IFERROR(VLOOKUP(Table1215[[#This Row],[Column2]],Table12[[Column2]:[Column54]],6,FALSE),"0")</f>
        <v>0</v>
      </c>
      <c r="H169" s="61">
        <f>IFERROR(VLOOKUP(Table1215[[#This Row],[Column2]],Table12[[Column2]:[Column54]],7,FALSE),"0")</f>
        <v>0</v>
      </c>
      <c r="I169" s="61">
        <f>IFERROR(VLOOKUP(Table1215[[#This Row],[Column2]],Table12[[Column2]:[Column54]],8,FALSE),"0")</f>
        <v>3</v>
      </c>
      <c r="J169" s="61">
        <f>IFERROR(VLOOKUP(Table1215[[#This Row],[Column2]],Table12[[Column2]:[Column54]],9,FALSE),"0")</f>
        <v>0</v>
      </c>
      <c r="K169" s="61">
        <f>IFERROR(VLOOKUP(Table1215[[#This Row],[Column2]],Table12[[Column2]:[Column54]],10,FALSE),"0")</f>
        <v>0</v>
      </c>
      <c r="L169" s="67">
        <f>Table1215[[#This Row],[Column9]]</f>
        <v>3</v>
      </c>
      <c r="M169" s="61">
        <f>IFERROR(VLOOKUP(Table1215[[#This Row],[Column2]],Table12[[Column2]:[Column54]],12,FALSE),"0")</f>
        <v>0</v>
      </c>
      <c r="N169" s="61">
        <f>IFERROR(VLOOKUP(Table1215[[#This Row],[Column2]],Table12[[Column2]:[Column54]],13,FALSE),"0")</f>
        <v>5</v>
      </c>
      <c r="O169" s="61">
        <f>IFERROR(VLOOKUP(Table1215[[#This Row],[Column2]],Table12[[Column2]:[Column54]],14,FALSE),"0")</f>
        <v>4</v>
      </c>
      <c r="P169" s="61">
        <f>IFERROR(VLOOKUP(Table1215[[#This Row],[Column2]],Table12[[Column2]:[Column54]],10,FALSE),"0")</f>
        <v>0</v>
      </c>
      <c r="Q169" s="61">
        <f>IFERROR(VLOOKUP(Table1215[[#This Row],[Column2]],Table12[[Column2]:[Column54]],16,FALSE),"0")</f>
        <v>4</v>
      </c>
      <c r="R169" s="67">
        <f>AVERAGE(Table1215[[#This Row],[Column14]],Table1215[[#This Row],[Column15]],Table1215[[#This Row],[Column17]])</f>
        <v>4.333333333333333</v>
      </c>
      <c r="S169" s="61">
        <f>IFERROR(VLOOKUP(Table1215[[#This Row],[Column2]],Table12[[Column2]:[Column54]],18,FALSE),"0")</f>
        <v>0</v>
      </c>
      <c r="T169" s="61">
        <f>IFERROR(VLOOKUP(Table1215[[#This Row],[Column2]],Table12[[Column2]:[Column54]],19,FALSE),"0")</f>
        <v>0</v>
      </c>
      <c r="U169" s="61">
        <f>IFERROR(VLOOKUP(Table1215[[#This Row],[Column2]],Table12[[Column2]:[Column54]],20,FALSE),"0")</f>
        <v>0</v>
      </c>
      <c r="V169" s="61">
        <f>IFERROR(VLOOKUP(Table1215[[#This Row],[Column2]],Table12[[Column2]:[Column54]],21,FALSE),"0")</f>
        <v>0</v>
      </c>
      <c r="W169" s="61">
        <f>IFERROR(VLOOKUP(Table1215[[#This Row],[Column2]],Table12[[Column2]:[Column54]],22,FALSE),"0")</f>
        <v>0</v>
      </c>
      <c r="X169" s="67">
        <f>Table1215[[#This Row],[Column19]]</f>
        <v>0</v>
      </c>
      <c r="Y169" s="61">
        <f>IFERROR(VLOOKUP(Table1215[[#This Row],[Column2]],Table12[[Column2]:[Column54]],24,FALSE),"0")</f>
        <v>5</v>
      </c>
      <c r="Z169" s="61">
        <f>IFERROR(VLOOKUP(Table1215[[#This Row],[Column2]],Table12[[Column2]:[Column54]],25,FALSE),"0")</f>
        <v>0</v>
      </c>
      <c r="AA169" s="61">
        <f>IFERROR(VLOOKUP(Table1215[[#This Row],[Column2]],Table12[[Column2]:[Column54]],26,FALSE),"0")</f>
        <v>0</v>
      </c>
      <c r="AB169" s="61">
        <f>IFERROR(VLOOKUP(Table1215[[#This Row],[Column2]],Table12[[Column2]:[Column54]],27,FALSE),"0")</f>
        <v>0</v>
      </c>
      <c r="AC169" s="61">
        <f>IFERROR(VLOOKUP(Table1215[[#This Row],[Column2]],Table12[[Column2]:[Column54]],28,FALSE),"0")</f>
        <v>0</v>
      </c>
      <c r="AD169" s="67">
        <f>Table1215[[#This Row],[Column25]]</f>
        <v>5</v>
      </c>
      <c r="AE169" s="61">
        <f>IFERROR(VLOOKUP(Table1215[[#This Row],[Column2]],Table12[[Column2]:[Column54]],30,FALSE),"0")</f>
        <v>0</v>
      </c>
      <c r="AF169" s="61">
        <f>IFERROR(VLOOKUP(Table1215[[#This Row],[Column2]],Table12[[Column2]:[Column54]],31,FALSE),"0")</f>
        <v>0</v>
      </c>
      <c r="AG169" s="61">
        <f>IFERROR(VLOOKUP(Table1215[[#This Row],[Column2]],Table12[[Column2]:[Column54]],32,FALSE),"0")</f>
        <v>0</v>
      </c>
      <c r="AH169" s="61">
        <f>IFERROR(VLOOKUP(Table1215[[#This Row],[Column2]],Table12[[Column2]:[Column54]],33,FALSE),"0")</f>
        <v>0</v>
      </c>
      <c r="AI169" s="61">
        <f>IFERROR(VLOOKUP(Table1215[[#This Row],[Column2]],Table12[[Column2]:[Column54]],34,FALSE),"0")</f>
        <v>0</v>
      </c>
      <c r="AJ169" s="67">
        <f>AVERAGE(Table1215[[#This Row],[Column31]],Table1215[[#This Row],[Column32]],Table1215[[#This Row],[Column33]])</f>
        <v>0</v>
      </c>
      <c r="AK169" s="61">
        <f>IFERROR(VLOOKUP(Table1215[[#This Row],[Column2]],Table12[[Column2]:[Column54]],36,FALSE),"0")</f>
        <v>4</v>
      </c>
      <c r="AL169" s="61">
        <f>IFERROR(VLOOKUP(Table1215[[#This Row],[Column2]],Table12[[Column2]:[Column54]],37,FALSE),"0")</f>
        <v>3</v>
      </c>
      <c r="AM169" s="61">
        <f>IFERROR(VLOOKUP(Table1215[[#This Row],[Column2]],Table12[[Column2]:[Column54]],38,FALSE),"0")</f>
        <v>0</v>
      </c>
      <c r="AN169" s="61">
        <f>IFERROR(VLOOKUP(Table1215[[#This Row],[Column2]],Table12[[Column2]:[Column54]],39,FALSE),"0")</f>
        <v>3</v>
      </c>
      <c r="AO169" s="61">
        <f>IFERROR(VLOOKUP(Table1215[[#This Row],[Column2]],Table12[[Column2]:[Column54]],40,FALSE),"0")</f>
        <v>0</v>
      </c>
      <c r="AP169" s="67">
        <f>AVERAGE(Table1215[[#This Row],[Column37]],Table1215[[#This Row],[Column38]],Table1215[[#This Row],[Column40]])</f>
        <v>3.3333333333333335</v>
      </c>
      <c r="AQ169" s="61">
        <f>IFERROR(VLOOKUP(Table1215[[#This Row],[Column2]],Table12[[Column2]:[Column54]],42,FALSE),"0")</f>
        <v>3</v>
      </c>
      <c r="AR169" s="61">
        <f>IFERROR(VLOOKUP(Table1215[[#This Row],[Column2]],Table12[[Column2]:[Column54]],43,FALSE),"0")</f>
        <v>0</v>
      </c>
      <c r="AS169" s="61">
        <f>IFERROR(VLOOKUP(Table1215[[#This Row],[Column2]],Table12[[Column2]:[Column54]],44,FALSE),"0")</f>
        <v>0</v>
      </c>
      <c r="AT169" s="61">
        <f>IFERROR(VLOOKUP(Table1215[[#This Row],[Column2]],Table12[[Column2]:[Column54]],45,FALSE),"0")</f>
        <v>0</v>
      </c>
      <c r="AU169" s="61">
        <f>IFERROR(VLOOKUP(Table1215[[#This Row],[Column2]],Table12[[Column2]:[Column54]],46,FALSE),"0")</f>
        <v>0</v>
      </c>
      <c r="AV169" s="67">
        <f>Table1215[[#This Row],[Column43]]</f>
        <v>3</v>
      </c>
      <c r="AW169" s="61">
        <f>IFERROR(VLOOKUP(Table1215[[#This Row],[Column2]],Table12[[Column2]:[Column54]],48,FALSE),"0")</f>
        <v>0</v>
      </c>
      <c r="AX169" s="61">
        <f>IFERROR(VLOOKUP(Table1215[[#This Row],[Column2]],Table12[[Column2]:[Column54]],49,FALSE),"0")</f>
        <v>0</v>
      </c>
      <c r="AY169" s="61">
        <f>IFERROR(VLOOKUP(Table1215[[#This Row],[Column2]],Table12[[Column2]:[Column54]],50,FALSE),"0")</f>
        <v>0</v>
      </c>
      <c r="AZ169" s="61">
        <f>IFERROR(VLOOKUP(Table1215[[#This Row],[Column2]],Table12[[Column2]:[Column54]],51,FALSE),"0")</f>
        <v>3</v>
      </c>
      <c r="BA169" s="61">
        <f>IFERROR(VLOOKUP(Table1215[[#This Row],[Column2]],Table12[[Column2]:[Column54]],52,FALSE),"0")</f>
        <v>4</v>
      </c>
      <c r="BB169" s="67">
        <f>AVERAGE(Table1215[[#This Row],[Column52]],Table1215[[#This Row],[Column53]])</f>
        <v>3.5</v>
      </c>
    </row>
    <row r="170" spans="1:54" ht="23.1" customHeight="1" x14ac:dyDescent="0.3">
      <c r="A170" s="86">
        <v>167</v>
      </c>
      <c r="B170" s="63" t="s">
        <v>192</v>
      </c>
      <c r="C170" s="64" t="s">
        <v>193</v>
      </c>
      <c r="D170" s="63" t="s">
        <v>450</v>
      </c>
      <c r="E170" s="63" t="s">
        <v>161</v>
      </c>
      <c r="F170" s="63" t="str">
        <f>REPT(CHAR(160),10)&amp;Working!$E171</f>
        <v>          B</v>
      </c>
      <c r="G170" s="65">
        <f>IFERROR(VLOOKUP(Table1215[[#This Row],[Column2]],Table12[[Column2]:[Column54]],6,FALSE),"0")</f>
        <v>0</v>
      </c>
      <c r="H170" s="65">
        <f>IFERROR(VLOOKUP(Table1215[[#This Row],[Column2]],Table12[[Column2]:[Column54]],7,FALSE),"0")</f>
        <v>0</v>
      </c>
      <c r="I170" s="65">
        <f>IFERROR(VLOOKUP(Table1215[[#This Row],[Column2]],Table12[[Column2]:[Column54]],8,FALSE),"0")</f>
        <v>5</v>
      </c>
      <c r="J170" s="65">
        <f>IFERROR(VLOOKUP(Table1215[[#This Row],[Column2]],Table12[[Column2]:[Column54]],9,FALSE),"0")</f>
        <v>0</v>
      </c>
      <c r="K170" s="65">
        <f>IFERROR(VLOOKUP(Table1215[[#This Row],[Column2]],Table12[[Column2]:[Column54]],10,FALSE),"0")</f>
        <v>0</v>
      </c>
      <c r="L170" s="67">
        <f>Table1215[[#This Row],[Column9]]</f>
        <v>5</v>
      </c>
      <c r="M170" s="65">
        <f>IFERROR(VLOOKUP(Table1215[[#This Row],[Column2]],Table12[[Column2]:[Column54]],12,FALSE),"0")</f>
        <v>0</v>
      </c>
      <c r="N170" s="65">
        <f>IFERROR(VLOOKUP(Table1215[[#This Row],[Column2]],Table12[[Column2]:[Column54]],13,FALSE),"0")</f>
        <v>5</v>
      </c>
      <c r="O170" s="65">
        <f>IFERROR(VLOOKUP(Table1215[[#This Row],[Column2]],Table12[[Column2]:[Column54]],14,FALSE),"0")</f>
        <v>5</v>
      </c>
      <c r="P170" s="65">
        <f>IFERROR(VLOOKUP(Table1215[[#This Row],[Column2]],Table12[[Column2]:[Column54]],10,FALSE),"0")</f>
        <v>0</v>
      </c>
      <c r="Q170" s="65">
        <f>IFERROR(VLOOKUP(Table1215[[#This Row],[Column2]],Table12[[Column2]:[Column54]],16,FALSE),"0")</f>
        <v>5</v>
      </c>
      <c r="R170" s="67">
        <f>AVERAGE(Table1215[[#This Row],[Column14]],Table1215[[#This Row],[Column15]],Table1215[[#This Row],[Column17]])</f>
        <v>5</v>
      </c>
      <c r="S170" s="65">
        <f>IFERROR(VLOOKUP(Table1215[[#This Row],[Column2]],Table12[[Column2]:[Column54]],18,FALSE),"0")</f>
        <v>0</v>
      </c>
      <c r="T170" s="65">
        <f>IFERROR(VLOOKUP(Table1215[[#This Row],[Column2]],Table12[[Column2]:[Column54]],19,FALSE),"0")</f>
        <v>0</v>
      </c>
      <c r="U170" s="65">
        <f>IFERROR(VLOOKUP(Table1215[[#This Row],[Column2]],Table12[[Column2]:[Column54]],20,FALSE),"0")</f>
        <v>0</v>
      </c>
      <c r="V170" s="65">
        <f>IFERROR(VLOOKUP(Table1215[[#This Row],[Column2]],Table12[[Column2]:[Column54]],21,FALSE),"0")</f>
        <v>0</v>
      </c>
      <c r="W170" s="65">
        <f>IFERROR(VLOOKUP(Table1215[[#This Row],[Column2]],Table12[[Column2]:[Column54]],22,FALSE),"0")</f>
        <v>0</v>
      </c>
      <c r="X170" s="67">
        <f>Table1215[[#This Row],[Column19]]</f>
        <v>0</v>
      </c>
      <c r="Y170" s="65">
        <f>IFERROR(VLOOKUP(Table1215[[#This Row],[Column2]],Table12[[Column2]:[Column54]],24,FALSE),"0")</f>
        <v>5</v>
      </c>
      <c r="Z170" s="65">
        <f>IFERROR(VLOOKUP(Table1215[[#This Row],[Column2]],Table12[[Column2]:[Column54]],25,FALSE),"0")</f>
        <v>0</v>
      </c>
      <c r="AA170" s="65">
        <f>IFERROR(VLOOKUP(Table1215[[#This Row],[Column2]],Table12[[Column2]:[Column54]],26,FALSE),"0")</f>
        <v>0</v>
      </c>
      <c r="AB170" s="65">
        <f>IFERROR(VLOOKUP(Table1215[[#This Row],[Column2]],Table12[[Column2]:[Column54]],27,FALSE),"0")</f>
        <v>0</v>
      </c>
      <c r="AC170" s="65">
        <f>IFERROR(VLOOKUP(Table1215[[#This Row],[Column2]],Table12[[Column2]:[Column54]],28,FALSE),"0")</f>
        <v>0</v>
      </c>
      <c r="AD170" s="67">
        <f>Table1215[[#This Row],[Column25]]</f>
        <v>5</v>
      </c>
      <c r="AE170" s="65">
        <f>IFERROR(VLOOKUP(Table1215[[#This Row],[Column2]],Table12[[Column2]:[Column54]],30,FALSE),"0")</f>
        <v>0</v>
      </c>
      <c r="AF170" s="65">
        <f>IFERROR(VLOOKUP(Table1215[[#This Row],[Column2]],Table12[[Column2]:[Column54]],31,FALSE),"0")</f>
        <v>0</v>
      </c>
      <c r="AG170" s="65">
        <f>IFERROR(VLOOKUP(Table1215[[#This Row],[Column2]],Table12[[Column2]:[Column54]],32,FALSE),"0")</f>
        <v>0</v>
      </c>
      <c r="AH170" s="65">
        <f>IFERROR(VLOOKUP(Table1215[[#This Row],[Column2]],Table12[[Column2]:[Column54]],33,FALSE),"0")</f>
        <v>0</v>
      </c>
      <c r="AI170" s="65">
        <f>IFERROR(VLOOKUP(Table1215[[#This Row],[Column2]],Table12[[Column2]:[Column54]],34,FALSE),"0")</f>
        <v>0</v>
      </c>
      <c r="AJ170" s="67">
        <f>AVERAGE(Table1215[[#This Row],[Column31]],Table1215[[#This Row],[Column32]],Table1215[[#This Row],[Column33]])</f>
        <v>0</v>
      </c>
      <c r="AK170" s="65">
        <f>IFERROR(VLOOKUP(Table1215[[#This Row],[Column2]],Table12[[Column2]:[Column54]],36,FALSE),"0")</f>
        <v>5</v>
      </c>
      <c r="AL170" s="65">
        <f>IFERROR(VLOOKUP(Table1215[[#This Row],[Column2]],Table12[[Column2]:[Column54]],37,FALSE),"0")</f>
        <v>5</v>
      </c>
      <c r="AM170" s="65">
        <f>IFERROR(VLOOKUP(Table1215[[#This Row],[Column2]],Table12[[Column2]:[Column54]],38,FALSE),"0")</f>
        <v>0</v>
      </c>
      <c r="AN170" s="65">
        <f>IFERROR(VLOOKUP(Table1215[[#This Row],[Column2]],Table12[[Column2]:[Column54]],39,FALSE),"0")</f>
        <v>5</v>
      </c>
      <c r="AO170" s="65">
        <f>IFERROR(VLOOKUP(Table1215[[#This Row],[Column2]],Table12[[Column2]:[Column54]],40,FALSE),"0")</f>
        <v>0</v>
      </c>
      <c r="AP170" s="67">
        <f>AVERAGE(Table1215[[#This Row],[Column37]],Table1215[[#This Row],[Column38]],Table1215[[#This Row],[Column40]])</f>
        <v>5</v>
      </c>
      <c r="AQ170" s="65">
        <f>IFERROR(VLOOKUP(Table1215[[#This Row],[Column2]],Table12[[Column2]:[Column54]],42,FALSE),"0")</f>
        <v>5</v>
      </c>
      <c r="AR170" s="65">
        <f>IFERROR(VLOOKUP(Table1215[[#This Row],[Column2]],Table12[[Column2]:[Column54]],43,FALSE),"0")</f>
        <v>0</v>
      </c>
      <c r="AS170" s="65">
        <f>IFERROR(VLOOKUP(Table1215[[#This Row],[Column2]],Table12[[Column2]:[Column54]],44,FALSE),"0")</f>
        <v>0</v>
      </c>
      <c r="AT170" s="65">
        <f>IFERROR(VLOOKUP(Table1215[[#This Row],[Column2]],Table12[[Column2]:[Column54]],45,FALSE),"0")</f>
        <v>0</v>
      </c>
      <c r="AU170" s="65">
        <f>IFERROR(VLOOKUP(Table1215[[#This Row],[Column2]],Table12[[Column2]:[Column54]],46,FALSE),"0")</f>
        <v>0</v>
      </c>
      <c r="AV170" s="67">
        <f>Table1215[[#This Row],[Column43]]</f>
        <v>5</v>
      </c>
      <c r="AW170" s="65">
        <f>IFERROR(VLOOKUP(Table1215[[#This Row],[Column2]],Table12[[Column2]:[Column54]],48,FALSE),"0")</f>
        <v>0</v>
      </c>
      <c r="AX170" s="65">
        <f>IFERROR(VLOOKUP(Table1215[[#This Row],[Column2]],Table12[[Column2]:[Column54]],49,FALSE),"0")</f>
        <v>0</v>
      </c>
      <c r="AY170" s="65">
        <f>IFERROR(VLOOKUP(Table1215[[#This Row],[Column2]],Table12[[Column2]:[Column54]],50,FALSE),"0")</f>
        <v>0</v>
      </c>
      <c r="AZ170" s="65">
        <f>IFERROR(VLOOKUP(Table1215[[#This Row],[Column2]],Table12[[Column2]:[Column54]],51,FALSE),"0")</f>
        <v>5</v>
      </c>
      <c r="BA170" s="65">
        <f>IFERROR(VLOOKUP(Table1215[[#This Row],[Column2]],Table12[[Column2]:[Column54]],52,FALSE),"0")</f>
        <v>5</v>
      </c>
      <c r="BB170" s="67">
        <f>AVERAGE(Table1215[[#This Row],[Column52]],Table1215[[#This Row],[Column53]])</f>
        <v>5</v>
      </c>
    </row>
    <row r="171" spans="1:54" ht="23.1" customHeight="1" x14ac:dyDescent="0.3">
      <c r="A171" s="87">
        <v>168</v>
      </c>
      <c r="B171" s="70" t="s">
        <v>223</v>
      </c>
      <c r="C171" s="71" t="s">
        <v>224</v>
      </c>
      <c r="D171" s="70" t="s">
        <v>542</v>
      </c>
      <c r="E171" s="70" t="s">
        <v>161</v>
      </c>
      <c r="F171" s="70" t="str">
        <f>REPT(CHAR(160),10)&amp;Working!$E172</f>
        <v>          B</v>
      </c>
      <c r="G171" s="61">
        <f>IFERROR(VLOOKUP(Table1215[[#This Row],[Column2]],Table12[[Column2]:[Column54]],6,FALSE),"0")</f>
        <v>0</v>
      </c>
      <c r="H171" s="61">
        <f>IFERROR(VLOOKUP(Table1215[[#This Row],[Column2]],Table12[[Column2]:[Column54]],7,FALSE),"0")</f>
        <v>0</v>
      </c>
      <c r="I171" s="61">
        <f>IFERROR(VLOOKUP(Table1215[[#This Row],[Column2]],Table12[[Column2]:[Column54]],8,FALSE),"0")</f>
        <v>5</v>
      </c>
      <c r="J171" s="61">
        <f>IFERROR(VLOOKUP(Table1215[[#This Row],[Column2]],Table12[[Column2]:[Column54]],9,FALSE),"0")</f>
        <v>0</v>
      </c>
      <c r="K171" s="61">
        <f>IFERROR(VLOOKUP(Table1215[[#This Row],[Column2]],Table12[[Column2]:[Column54]],10,FALSE),"0")</f>
        <v>0</v>
      </c>
      <c r="L171" s="67">
        <f>Table1215[[#This Row],[Column9]]</f>
        <v>5</v>
      </c>
      <c r="M171" s="61">
        <f>IFERROR(VLOOKUP(Table1215[[#This Row],[Column2]],Table12[[Column2]:[Column54]],12,FALSE),"0")</f>
        <v>0</v>
      </c>
      <c r="N171" s="61">
        <f>IFERROR(VLOOKUP(Table1215[[#This Row],[Column2]],Table12[[Column2]:[Column54]],13,FALSE),"0")</f>
        <v>5</v>
      </c>
      <c r="O171" s="61">
        <f>IFERROR(VLOOKUP(Table1215[[#This Row],[Column2]],Table12[[Column2]:[Column54]],14,FALSE),"0")</f>
        <v>5</v>
      </c>
      <c r="P171" s="61">
        <f>IFERROR(VLOOKUP(Table1215[[#This Row],[Column2]],Table12[[Column2]:[Column54]],10,FALSE),"0")</f>
        <v>0</v>
      </c>
      <c r="Q171" s="61">
        <f>IFERROR(VLOOKUP(Table1215[[#This Row],[Column2]],Table12[[Column2]:[Column54]],16,FALSE),"0")</f>
        <v>5</v>
      </c>
      <c r="R171" s="67">
        <f>AVERAGE(Table1215[[#This Row],[Column14]],Table1215[[#This Row],[Column15]],Table1215[[#This Row],[Column17]])</f>
        <v>5</v>
      </c>
      <c r="S171" s="61">
        <f>IFERROR(VLOOKUP(Table1215[[#This Row],[Column2]],Table12[[Column2]:[Column54]],18,FALSE),"0")</f>
        <v>0</v>
      </c>
      <c r="T171" s="61">
        <f>IFERROR(VLOOKUP(Table1215[[#This Row],[Column2]],Table12[[Column2]:[Column54]],19,FALSE),"0")</f>
        <v>0</v>
      </c>
      <c r="U171" s="61">
        <f>IFERROR(VLOOKUP(Table1215[[#This Row],[Column2]],Table12[[Column2]:[Column54]],20,FALSE),"0")</f>
        <v>0</v>
      </c>
      <c r="V171" s="61">
        <f>IFERROR(VLOOKUP(Table1215[[#This Row],[Column2]],Table12[[Column2]:[Column54]],21,FALSE),"0")</f>
        <v>0</v>
      </c>
      <c r="W171" s="61">
        <f>IFERROR(VLOOKUP(Table1215[[#This Row],[Column2]],Table12[[Column2]:[Column54]],22,FALSE),"0")</f>
        <v>0</v>
      </c>
      <c r="X171" s="67">
        <f>Table1215[[#This Row],[Column19]]</f>
        <v>0</v>
      </c>
      <c r="Y171" s="61">
        <f>IFERROR(VLOOKUP(Table1215[[#This Row],[Column2]],Table12[[Column2]:[Column54]],24,FALSE),"0")</f>
        <v>5</v>
      </c>
      <c r="Z171" s="61">
        <f>IFERROR(VLOOKUP(Table1215[[#This Row],[Column2]],Table12[[Column2]:[Column54]],25,FALSE),"0")</f>
        <v>0</v>
      </c>
      <c r="AA171" s="61">
        <f>IFERROR(VLOOKUP(Table1215[[#This Row],[Column2]],Table12[[Column2]:[Column54]],26,FALSE),"0")</f>
        <v>0</v>
      </c>
      <c r="AB171" s="61">
        <f>IFERROR(VLOOKUP(Table1215[[#This Row],[Column2]],Table12[[Column2]:[Column54]],27,FALSE),"0")</f>
        <v>0</v>
      </c>
      <c r="AC171" s="61">
        <f>IFERROR(VLOOKUP(Table1215[[#This Row],[Column2]],Table12[[Column2]:[Column54]],28,FALSE),"0")</f>
        <v>0</v>
      </c>
      <c r="AD171" s="67">
        <f>Table1215[[#This Row],[Column25]]</f>
        <v>5</v>
      </c>
      <c r="AE171" s="61">
        <f>IFERROR(VLOOKUP(Table1215[[#This Row],[Column2]],Table12[[Column2]:[Column54]],30,FALSE),"0")</f>
        <v>0</v>
      </c>
      <c r="AF171" s="61">
        <f>IFERROR(VLOOKUP(Table1215[[#This Row],[Column2]],Table12[[Column2]:[Column54]],31,FALSE),"0")</f>
        <v>0</v>
      </c>
      <c r="AG171" s="61">
        <f>IFERROR(VLOOKUP(Table1215[[#This Row],[Column2]],Table12[[Column2]:[Column54]],32,FALSE),"0")</f>
        <v>0</v>
      </c>
      <c r="AH171" s="61">
        <f>IFERROR(VLOOKUP(Table1215[[#This Row],[Column2]],Table12[[Column2]:[Column54]],33,FALSE),"0")</f>
        <v>0</v>
      </c>
      <c r="AI171" s="61">
        <f>IFERROR(VLOOKUP(Table1215[[#This Row],[Column2]],Table12[[Column2]:[Column54]],34,FALSE),"0")</f>
        <v>0</v>
      </c>
      <c r="AJ171" s="67">
        <f>AVERAGE(Table1215[[#This Row],[Column31]],Table1215[[#This Row],[Column32]],Table1215[[#This Row],[Column33]])</f>
        <v>0</v>
      </c>
      <c r="AK171" s="61">
        <f>IFERROR(VLOOKUP(Table1215[[#This Row],[Column2]],Table12[[Column2]:[Column54]],36,FALSE),"0")</f>
        <v>5</v>
      </c>
      <c r="AL171" s="61">
        <f>IFERROR(VLOOKUP(Table1215[[#This Row],[Column2]],Table12[[Column2]:[Column54]],37,FALSE),"0")</f>
        <v>5</v>
      </c>
      <c r="AM171" s="61">
        <f>IFERROR(VLOOKUP(Table1215[[#This Row],[Column2]],Table12[[Column2]:[Column54]],38,FALSE),"0")</f>
        <v>0</v>
      </c>
      <c r="AN171" s="61">
        <f>IFERROR(VLOOKUP(Table1215[[#This Row],[Column2]],Table12[[Column2]:[Column54]],39,FALSE),"0")</f>
        <v>5</v>
      </c>
      <c r="AO171" s="61">
        <f>IFERROR(VLOOKUP(Table1215[[#This Row],[Column2]],Table12[[Column2]:[Column54]],40,FALSE),"0")</f>
        <v>0</v>
      </c>
      <c r="AP171" s="67">
        <f>AVERAGE(Table1215[[#This Row],[Column37]],Table1215[[#This Row],[Column38]],Table1215[[#This Row],[Column40]])</f>
        <v>5</v>
      </c>
      <c r="AQ171" s="61">
        <f>IFERROR(VLOOKUP(Table1215[[#This Row],[Column2]],Table12[[Column2]:[Column54]],42,FALSE),"0")</f>
        <v>1</v>
      </c>
      <c r="AR171" s="61">
        <f>IFERROR(VLOOKUP(Table1215[[#This Row],[Column2]],Table12[[Column2]:[Column54]],43,FALSE),"0")</f>
        <v>0</v>
      </c>
      <c r="AS171" s="61">
        <f>IFERROR(VLOOKUP(Table1215[[#This Row],[Column2]],Table12[[Column2]:[Column54]],44,FALSE),"0")</f>
        <v>0</v>
      </c>
      <c r="AT171" s="61">
        <f>IFERROR(VLOOKUP(Table1215[[#This Row],[Column2]],Table12[[Column2]:[Column54]],45,FALSE),"0")</f>
        <v>0</v>
      </c>
      <c r="AU171" s="61">
        <f>IFERROR(VLOOKUP(Table1215[[#This Row],[Column2]],Table12[[Column2]:[Column54]],46,FALSE),"0")</f>
        <v>0</v>
      </c>
      <c r="AV171" s="67">
        <f>Table1215[[#This Row],[Column43]]</f>
        <v>1</v>
      </c>
      <c r="AW171" s="61">
        <f>IFERROR(VLOOKUP(Table1215[[#This Row],[Column2]],Table12[[Column2]:[Column54]],48,FALSE),"0")</f>
        <v>0</v>
      </c>
      <c r="AX171" s="61">
        <f>IFERROR(VLOOKUP(Table1215[[#This Row],[Column2]],Table12[[Column2]:[Column54]],49,FALSE),"0")</f>
        <v>0</v>
      </c>
      <c r="AY171" s="61">
        <f>IFERROR(VLOOKUP(Table1215[[#This Row],[Column2]],Table12[[Column2]:[Column54]],50,FALSE),"0")</f>
        <v>0</v>
      </c>
      <c r="AZ171" s="61">
        <f>IFERROR(VLOOKUP(Table1215[[#This Row],[Column2]],Table12[[Column2]:[Column54]],51,FALSE),"0")</f>
        <v>4</v>
      </c>
      <c r="BA171" s="61">
        <f>IFERROR(VLOOKUP(Table1215[[#This Row],[Column2]],Table12[[Column2]:[Column54]],52,FALSE),"0")</f>
        <v>5</v>
      </c>
      <c r="BB171" s="67">
        <f>AVERAGE(Table1215[[#This Row],[Column52]],Table1215[[#This Row],[Column53]])</f>
        <v>4.5</v>
      </c>
    </row>
    <row r="172" spans="1:54" ht="23.1" customHeight="1" x14ac:dyDescent="0.3">
      <c r="A172" s="86">
        <v>169</v>
      </c>
      <c r="B172" s="63" t="s">
        <v>393</v>
      </c>
      <c r="C172" s="64" t="s">
        <v>394</v>
      </c>
      <c r="D172" s="63" t="s">
        <v>450</v>
      </c>
      <c r="E172" s="63" t="s">
        <v>493</v>
      </c>
      <c r="F172" s="63" t="str">
        <f>REPT(CHAR(160),10)&amp;Working!$E173</f>
        <v>          C</v>
      </c>
      <c r="G172" s="65">
        <f>IFERROR(VLOOKUP(Table1215[[#This Row],[Column2]],Table12[[Column2]:[Column54]],6,FALSE),"0")</f>
        <v>0</v>
      </c>
      <c r="H172" s="65">
        <f>IFERROR(VLOOKUP(Table1215[[#This Row],[Column2]],Table12[[Column2]:[Column54]],7,FALSE),"0")</f>
        <v>0</v>
      </c>
      <c r="I172" s="65">
        <f>IFERROR(VLOOKUP(Table1215[[#This Row],[Column2]],Table12[[Column2]:[Column54]],8,FALSE),"0")</f>
        <v>4</v>
      </c>
      <c r="J172" s="65">
        <f>IFERROR(VLOOKUP(Table1215[[#This Row],[Column2]],Table12[[Column2]:[Column54]],9,FALSE),"0")</f>
        <v>0</v>
      </c>
      <c r="K172" s="65">
        <f>IFERROR(VLOOKUP(Table1215[[#This Row],[Column2]],Table12[[Column2]:[Column54]],10,FALSE),"0")</f>
        <v>0</v>
      </c>
      <c r="L172" s="67">
        <f>Table1215[[#This Row],[Column9]]</f>
        <v>4</v>
      </c>
      <c r="M172" s="65">
        <f>IFERROR(VLOOKUP(Table1215[[#This Row],[Column2]],Table12[[Column2]:[Column54]],12,FALSE),"0")</f>
        <v>0</v>
      </c>
      <c r="N172" s="65">
        <f>IFERROR(VLOOKUP(Table1215[[#This Row],[Column2]],Table12[[Column2]:[Column54]],13,FALSE),"0")</f>
        <v>3</v>
      </c>
      <c r="O172" s="65">
        <f>IFERROR(VLOOKUP(Table1215[[#This Row],[Column2]],Table12[[Column2]:[Column54]],14,FALSE),"0")</f>
        <v>3</v>
      </c>
      <c r="P172" s="65">
        <f>IFERROR(VLOOKUP(Table1215[[#This Row],[Column2]],Table12[[Column2]:[Column54]],10,FALSE),"0")</f>
        <v>0</v>
      </c>
      <c r="Q172" s="65">
        <f>IFERROR(VLOOKUP(Table1215[[#This Row],[Column2]],Table12[[Column2]:[Column54]],16,FALSE),"0")</f>
        <v>3</v>
      </c>
      <c r="R172" s="67">
        <f>AVERAGE(Table1215[[#This Row],[Column14]],Table1215[[#This Row],[Column15]],Table1215[[#This Row],[Column17]])</f>
        <v>3</v>
      </c>
      <c r="S172" s="65">
        <f>IFERROR(VLOOKUP(Table1215[[#This Row],[Column2]],Table12[[Column2]:[Column54]],18,FALSE),"0")</f>
        <v>0</v>
      </c>
      <c r="T172" s="65">
        <f>IFERROR(VLOOKUP(Table1215[[#This Row],[Column2]],Table12[[Column2]:[Column54]],19,FALSE),"0")</f>
        <v>0</v>
      </c>
      <c r="U172" s="65">
        <f>IFERROR(VLOOKUP(Table1215[[#This Row],[Column2]],Table12[[Column2]:[Column54]],20,FALSE),"0")</f>
        <v>0</v>
      </c>
      <c r="V172" s="65">
        <f>IFERROR(VLOOKUP(Table1215[[#This Row],[Column2]],Table12[[Column2]:[Column54]],21,FALSE),"0")</f>
        <v>0</v>
      </c>
      <c r="W172" s="65">
        <f>IFERROR(VLOOKUP(Table1215[[#This Row],[Column2]],Table12[[Column2]:[Column54]],22,FALSE),"0")</f>
        <v>0</v>
      </c>
      <c r="X172" s="67">
        <f>Table1215[[#This Row],[Column19]]</f>
        <v>0</v>
      </c>
      <c r="Y172" s="65">
        <f>IFERROR(VLOOKUP(Table1215[[#This Row],[Column2]],Table12[[Column2]:[Column54]],24,FALSE),"0")</f>
        <v>3</v>
      </c>
      <c r="Z172" s="65">
        <f>IFERROR(VLOOKUP(Table1215[[#This Row],[Column2]],Table12[[Column2]:[Column54]],25,FALSE),"0")</f>
        <v>0</v>
      </c>
      <c r="AA172" s="65">
        <f>IFERROR(VLOOKUP(Table1215[[#This Row],[Column2]],Table12[[Column2]:[Column54]],26,FALSE),"0")</f>
        <v>0</v>
      </c>
      <c r="AB172" s="65">
        <f>IFERROR(VLOOKUP(Table1215[[#This Row],[Column2]],Table12[[Column2]:[Column54]],27,FALSE),"0")</f>
        <v>0</v>
      </c>
      <c r="AC172" s="65">
        <f>IFERROR(VLOOKUP(Table1215[[#This Row],[Column2]],Table12[[Column2]:[Column54]],28,FALSE),"0")</f>
        <v>0</v>
      </c>
      <c r="AD172" s="67">
        <f>Table1215[[#This Row],[Column25]]</f>
        <v>3</v>
      </c>
      <c r="AE172" s="65">
        <f>IFERROR(VLOOKUP(Table1215[[#This Row],[Column2]],Table12[[Column2]:[Column54]],30,FALSE),"0")</f>
        <v>0</v>
      </c>
      <c r="AF172" s="65">
        <f>IFERROR(VLOOKUP(Table1215[[#This Row],[Column2]],Table12[[Column2]:[Column54]],31,FALSE),"0")</f>
        <v>0</v>
      </c>
      <c r="AG172" s="65">
        <f>IFERROR(VLOOKUP(Table1215[[#This Row],[Column2]],Table12[[Column2]:[Column54]],32,FALSE),"0")</f>
        <v>0</v>
      </c>
      <c r="AH172" s="65">
        <f>IFERROR(VLOOKUP(Table1215[[#This Row],[Column2]],Table12[[Column2]:[Column54]],33,FALSE),"0")</f>
        <v>0</v>
      </c>
      <c r="AI172" s="65">
        <f>IFERROR(VLOOKUP(Table1215[[#This Row],[Column2]],Table12[[Column2]:[Column54]],34,FALSE),"0")</f>
        <v>0</v>
      </c>
      <c r="AJ172" s="67">
        <f>AVERAGE(Table1215[[#This Row],[Column31]],Table1215[[#This Row],[Column32]],Table1215[[#This Row],[Column33]])</f>
        <v>0</v>
      </c>
      <c r="AK172" s="65">
        <f>IFERROR(VLOOKUP(Table1215[[#This Row],[Column2]],Table12[[Column2]:[Column54]],36,FALSE),"0")</f>
        <v>3</v>
      </c>
      <c r="AL172" s="65">
        <f>IFERROR(VLOOKUP(Table1215[[#This Row],[Column2]],Table12[[Column2]:[Column54]],37,FALSE),"0")</f>
        <v>3</v>
      </c>
      <c r="AM172" s="65">
        <f>IFERROR(VLOOKUP(Table1215[[#This Row],[Column2]],Table12[[Column2]:[Column54]],38,FALSE),"0")</f>
        <v>0</v>
      </c>
      <c r="AN172" s="65">
        <f>IFERROR(VLOOKUP(Table1215[[#This Row],[Column2]],Table12[[Column2]:[Column54]],39,FALSE),"0")</f>
        <v>4</v>
      </c>
      <c r="AO172" s="65">
        <f>IFERROR(VLOOKUP(Table1215[[#This Row],[Column2]],Table12[[Column2]:[Column54]],40,FALSE),"0")</f>
        <v>0</v>
      </c>
      <c r="AP172" s="67">
        <f>AVERAGE(Table1215[[#This Row],[Column37]],Table1215[[#This Row],[Column38]],Table1215[[#This Row],[Column40]])</f>
        <v>3.3333333333333335</v>
      </c>
      <c r="AQ172" s="65">
        <f>IFERROR(VLOOKUP(Table1215[[#This Row],[Column2]],Table12[[Column2]:[Column54]],42,FALSE),"0")</f>
        <v>1</v>
      </c>
      <c r="AR172" s="65">
        <f>IFERROR(VLOOKUP(Table1215[[#This Row],[Column2]],Table12[[Column2]:[Column54]],43,FALSE),"0")</f>
        <v>0</v>
      </c>
      <c r="AS172" s="65">
        <f>IFERROR(VLOOKUP(Table1215[[#This Row],[Column2]],Table12[[Column2]:[Column54]],44,FALSE),"0")</f>
        <v>0</v>
      </c>
      <c r="AT172" s="65">
        <f>IFERROR(VLOOKUP(Table1215[[#This Row],[Column2]],Table12[[Column2]:[Column54]],45,FALSE),"0")</f>
        <v>0</v>
      </c>
      <c r="AU172" s="65">
        <f>IFERROR(VLOOKUP(Table1215[[#This Row],[Column2]],Table12[[Column2]:[Column54]],46,FALSE),"0")</f>
        <v>0</v>
      </c>
      <c r="AV172" s="67">
        <f>Table1215[[#This Row],[Column43]]</f>
        <v>1</v>
      </c>
      <c r="AW172" s="65">
        <f>IFERROR(VLOOKUP(Table1215[[#This Row],[Column2]],Table12[[Column2]:[Column54]],48,FALSE),"0")</f>
        <v>0</v>
      </c>
      <c r="AX172" s="65">
        <f>IFERROR(VLOOKUP(Table1215[[#This Row],[Column2]],Table12[[Column2]:[Column54]],49,FALSE),"0")</f>
        <v>0</v>
      </c>
      <c r="AY172" s="65">
        <f>IFERROR(VLOOKUP(Table1215[[#This Row],[Column2]],Table12[[Column2]:[Column54]],50,FALSE),"0")</f>
        <v>0</v>
      </c>
      <c r="AZ172" s="65">
        <f>IFERROR(VLOOKUP(Table1215[[#This Row],[Column2]],Table12[[Column2]:[Column54]],51,FALSE),"0")</f>
        <v>4</v>
      </c>
      <c r="BA172" s="65">
        <f>IFERROR(VLOOKUP(Table1215[[#This Row],[Column2]],Table12[[Column2]:[Column54]],52,FALSE),"0")</f>
        <v>4</v>
      </c>
      <c r="BB172" s="67">
        <f>AVERAGE(Table1215[[#This Row],[Column52]],Table1215[[#This Row],[Column53]])</f>
        <v>4</v>
      </c>
    </row>
    <row r="173" spans="1:54" ht="23.1" customHeight="1" x14ac:dyDescent="0.3">
      <c r="A173" s="87">
        <v>170</v>
      </c>
      <c r="B173" s="70" t="s">
        <v>395</v>
      </c>
      <c r="C173" s="71" t="s">
        <v>396</v>
      </c>
      <c r="D173" s="70" t="s">
        <v>542</v>
      </c>
      <c r="E173" s="70" t="s">
        <v>493</v>
      </c>
      <c r="F173" s="70" t="str">
        <f>REPT(CHAR(160),10)&amp;Working!$E174</f>
        <v>          C</v>
      </c>
      <c r="G173" s="61">
        <f>IFERROR(VLOOKUP(Table1215[[#This Row],[Column2]],Table12[[Column2]:[Column54]],6,FALSE),"0")</f>
        <v>0</v>
      </c>
      <c r="H173" s="61">
        <f>IFERROR(VLOOKUP(Table1215[[#This Row],[Column2]],Table12[[Column2]:[Column54]],7,FALSE),"0")</f>
        <v>0</v>
      </c>
      <c r="I173" s="61">
        <f>IFERROR(VLOOKUP(Table1215[[#This Row],[Column2]],Table12[[Column2]:[Column54]],8,FALSE),"0")</f>
        <v>4</v>
      </c>
      <c r="J173" s="61">
        <f>IFERROR(VLOOKUP(Table1215[[#This Row],[Column2]],Table12[[Column2]:[Column54]],9,FALSE),"0")</f>
        <v>0</v>
      </c>
      <c r="K173" s="61">
        <f>IFERROR(VLOOKUP(Table1215[[#This Row],[Column2]],Table12[[Column2]:[Column54]],10,FALSE),"0")</f>
        <v>0</v>
      </c>
      <c r="L173" s="67">
        <f>Table1215[[#This Row],[Column9]]</f>
        <v>4</v>
      </c>
      <c r="M173" s="61">
        <f>IFERROR(VLOOKUP(Table1215[[#This Row],[Column2]],Table12[[Column2]:[Column54]],12,FALSE),"0")</f>
        <v>0</v>
      </c>
      <c r="N173" s="61">
        <f>IFERROR(VLOOKUP(Table1215[[#This Row],[Column2]],Table12[[Column2]:[Column54]],13,FALSE),"0")</f>
        <v>4</v>
      </c>
      <c r="O173" s="61">
        <f>IFERROR(VLOOKUP(Table1215[[#This Row],[Column2]],Table12[[Column2]:[Column54]],14,FALSE),"0")</f>
        <v>4</v>
      </c>
      <c r="P173" s="61">
        <f>IFERROR(VLOOKUP(Table1215[[#This Row],[Column2]],Table12[[Column2]:[Column54]],10,FALSE),"0")</f>
        <v>0</v>
      </c>
      <c r="Q173" s="61">
        <f>IFERROR(VLOOKUP(Table1215[[#This Row],[Column2]],Table12[[Column2]:[Column54]],16,FALSE),"0")</f>
        <v>4</v>
      </c>
      <c r="R173" s="67">
        <f>AVERAGE(Table1215[[#This Row],[Column14]],Table1215[[#This Row],[Column15]],Table1215[[#This Row],[Column17]])</f>
        <v>4</v>
      </c>
      <c r="S173" s="61">
        <f>IFERROR(VLOOKUP(Table1215[[#This Row],[Column2]],Table12[[Column2]:[Column54]],18,FALSE),"0")</f>
        <v>0</v>
      </c>
      <c r="T173" s="61">
        <f>IFERROR(VLOOKUP(Table1215[[#This Row],[Column2]],Table12[[Column2]:[Column54]],19,FALSE),"0")</f>
        <v>0</v>
      </c>
      <c r="U173" s="61">
        <f>IFERROR(VLOOKUP(Table1215[[#This Row],[Column2]],Table12[[Column2]:[Column54]],20,FALSE),"0")</f>
        <v>0</v>
      </c>
      <c r="V173" s="61">
        <f>IFERROR(VLOOKUP(Table1215[[#This Row],[Column2]],Table12[[Column2]:[Column54]],21,FALSE),"0")</f>
        <v>0</v>
      </c>
      <c r="W173" s="61">
        <f>IFERROR(VLOOKUP(Table1215[[#This Row],[Column2]],Table12[[Column2]:[Column54]],22,FALSE),"0")</f>
        <v>0</v>
      </c>
      <c r="X173" s="67">
        <f>Table1215[[#This Row],[Column19]]</f>
        <v>0</v>
      </c>
      <c r="Y173" s="61">
        <f>IFERROR(VLOOKUP(Table1215[[#This Row],[Column2]],Table12[[Column2]:[Column54]],24,FALSE),"0")</f>
        <v>4</v>
      </c>
      <c r="Z173" s="61">
        <f>IFERROR(VLOOKUP(Table1215[[#This Row],[Column2]],Table12[[Column2]:[Column54]],25,FALSE),"0")</f>
        <v>0</v>
      </c>
      <c r="AA173" s="61">
        <f>IFERROR(VLOOKUP(Table1215[[#This Row],[Column2]],Table12[[Column2]:[Column54]],26,FALSE),"0")</f>
        <v>0</v>
      </c>
      <c r="AB173" s="61">
        <f>IFERROR(VLOOKUP(Table1215[[#This Row],[Column2]],Table12[[Column2]:[Column54]],27,FALSE),"0")</f>
        <v>0</v>
      </c>
      <c r="AC173" s="61">
        <f>IFERROR(VLOOKUP(Table1215[[#This Row],[Column2]],Table12[[Column2]:[Column54]],28,FALSE),"0")</f>
        <v>0</v>
      </c>
      <c r="AD173" s="67">
        <f>Table1215[[#This Row],[Column25]]</f>
        <v>4</v>
      </c>
      <c r="AE173" s="61">
        <f>IFERROR(VLOOKUP(Table1215[[#This Row],[Column2]],Table12[[Column2]:[Column54]],30,FALSE),"0")</f>
        <v>0</v>
      </c>
      <c r="AF173" s="61">
        <f>IFERROR(VLOOKUP(Table1215[[#This Row],[Column2]],Table12[[Column2]:[Column54]],31,FALSE),"0")</f>
        <v>0</v>
      </c>
      <c r="AG173" s="61">
        <f>IFERROR(VLOOKUP(Table1215[[#This Row],[Column2]],Table12[[Column2]:[Column54]],32,FALSE),"0")</f>
        <v>0</v>
      </c>
      <c r="AH173" s="61">
        <f>IFERROR(VLOOKUP(Table1215[[#This Row],[Column2]],Table12[[Column2]:[Column54]],33,FALSE),"0")</f>
        <v>0</v>
      </c>
      <c r="AI173" s="61">
        <f>IFERROR(VLOOKUP(Table1215[[#This Row],[Column2]],Table12[[Column2]:[Column54]],34,FALSE),"0")</f>
        <v>0</v>
      </c>
      <c r="AJ173" s="67">
        <f>AVERAGE(Table1215[[#This Row],[Column31]],Table1215[[#This Row],[Column32]],Table1215[[#This Row],[Column33]])</f>
        <v>0</v>
      </c>
      <c r="AK173" s="61">
        <f>IFERROR(VLOOKUP(Table1215[[#This Row],[Column2]],Table12[[Column2]:[Column54]],36,FALSE),"0")</f>
        <v>3</v>
      </c>
      <c r="AL173" s="61">
        <f>IFERROR(VLOOKUP(Table1215[[#This Row],[Column2]],Table12[[Column2]:[Column54]],37,FALSE),"0")</f>
        <v>2</v>
      </c>
      <c r="AM173" s="61">
        <f>IFERROR(VLOOKUP(Table1215[[#This Row],[Column2]],Table12[[Column2]:[Column54]],38,FALSE),"0")</f>
        <v>0</v>
      </c>
      <c r="AN173" s="61">
        <f>IFERROR(VLOOKUP(Table1215[[#This Row],[Column2]],Table12[[Column2]:[Column54]],39,FALSE),"0")</f>
        <v>4</v>
      </c>
      <c r="AO173" s="61">
        <f>IFERROR(VLOOKUP(Table1215[[#This Row],[Column2]],Table12[[Column2]:[Column54]],40,FALSE),"0")</f>
        <v>0</v>
      </c>
      <c r="AP173" s="67">
        <f>AVERAGE(Table1215[[#This Row],[Column37]],Table1215[[#This Row],[Column38]],Table1215[[#This Row],[Column40]])</f>
        <v>3</v>
      </c>
      <c r="AQ173" s="61">
        <f>IFERROR(VLOOKUP(Table1215[[#This Row],[Column2]],Table12[[Column2]:[Column54]],42,FALSE),"0")</f>
        <v>4</v>
      </c>
      <c r="AR173" s="61">
        <f>IFERROR(VLOOKUP(Table1215[[#This Row],[Column2]],Table12[[Column2]:[Column54]],43,FALSE),"0")</f>
        <v>0</v>
      </c>
      <c r="AS173" s="61">
        <f>IFERROR(VLOOKUP(Table1215[[#This Row],[Column2]],Table12[[Column2]:[Column54]],44,FALSE),"0")</f>
        <v>0</v>
      </c>
      <c r="AT173" s="61">
        <f>IFERROR(VLOOKUP(Table1215[[#This Row],[Column2]],Table12[[Column2]:[Column54]],45,FALSE),"0")</f>
        <v>0</v>
      </c>
      <c r="AU173" s="61">
        <f>IFERROR(VLOOKUP(Table1215[[#This Row],[Column2]],Table12[[Column2]:[Column54]],46,FALSE),"0")</f>
        <v>0</v>
      </c>
      <c r="AV173" s="67">
        <f>Table1215[[#This Row],[Column43]]</f>
        <v>4</v>
      </c>
      <c r="AW173" s="61">
        <f>IFERROR(VLOOKUP(Table1215[[#This Row],[Column2]],Table12[[Column2]:[Column54]],48,FALSE),"0")</f>
        <v>0</v>
      </c>
      <c r="AX173" s="61">
        <f>IFERROR(VLOOKUP(Table1215[[#This Row],[Column2]],Table12[[Column2]:[Column54]],49,FALSE),"0")</f>
        <v>0</v>
      </c>
      <c r="AY173" s="61">
        <f>IFERROR(VLOOKUP(Table1215[[#This Row],[Column2]],Table12[[Column2]:[Column54]],50,FALSE),"0")</f>
        <v>0</v>
      </c>
      <c r="AZ173" s="61">
        <f>IFERROR(VLOOKUP(Table1215[[#This Row],[Column2]],Table12[[Column2]:[Column54]],51,FALSE),"0")</f>
        <v>5</v>
      </c>
      <c r="BA173" s="61">
        <f>IFERROR(VLOOKUP(Table1215[[#This Row],[Column2]],Table12[[Column2]:[Column54]],52,FALSE),"0")</f>
        <v>4</v>
      </c>
      <c r="BB173" s="67">
        <f>AVERAGE(Table1215[[#This Row],[Column52]],Table1215[[#This Row],[Column53]])</f>
        <v>4.5</v>
      </c>
    </row>
    <row r="174" spans="1:54" ht="23.1" customHeight="1" x14ac:dyDescent="0.3">
      <c r="A174" s="86">
        <v>171</v>
      </c>
      <c r="B174" s="63" t="s">
        <v>285</v>
      </c>
      <c r="C174" s="64" t="s">
        <v>286</v>
      </c>
      <c r="D174" s="63" t="s">
        <v>542</v>
      </c>
      <c r="E174" s="63" t="s">
        <v>161</v>
      </c>
      <c r="F174" s="63" t="str">
        <f>REPT(CHAR(160),10)&amp;Working!$E175</f>
        <v>          B</v>
      </c>
      <c r="G174" s="65">
        <f>IFERROR(VLOOKUP(Table1215[[#This Row],[Column2]],Table12[[Column2]:[Column54]],6,FALSE),"0")</f>
        <v>0</v>
      </c>
      <c r="H174" s="65">
        <f>IFERROR(VLOOKUP(Table1215[[#This Row],[Column2]],Table12[[Column2]:[Column54]],7,FALSE),"0")</f>
        <v>0</v>
      </c>
      <c r="I174" s="65">
        <f>IFERROR(VLOOKUP(Table1215[[#This Row],[Column2]],Table12[[Column2]:[Column54]],8,FALSE),"0")</f>
        <v>3</v>
      </c>
      <c r="J174" s="65">
        <f>IFERROR(VLOOKUP(Table1215[[#This Row],[Column2]],Table12[[Column2]:[Column54]],9,FALSE),"0")</f>
        <v>0</v>
      </c>
      <c r="K174" s="65">
        <f>IFERROR(VLOOKUP(Table1215[[#This Row],[Column2]],Table12[[Column2]:[Column54]],10,FALSE),"0")</f>
        <v>0</v>
      </c>
      <c r="L174" s="67">
        <f>Table1215[[#This Row],[Column9]]</f>
        <v>3</v>
      </c>
      <c r="M174" s="65">
        <f>IFERROR(VLOOKUP(Table1215[[#This Row],[Column2]],Table12[[Column2]:[Column54]],12,FALSE),"0")</f>
        <v>0</v>
      </c>
      <c r="N174" s="65">
        <f>IFERROR(VLOOKUP(Table1215[[#This Row],[Column2]],Table12[[Column2]:[Column54]],13,FALSE),"0")</f>
        <v>4</v>
      </c>
      <c r="O174" s="65">
        <f>IFERROR(VLOOKUP(Table1215[[#This Row],[Column2]],Table12[[Column2]:[Column54]],14,FALSE),"0")</f>
        <v>3</v>
      </c>
      <c r="P174" s="65">
        <f>IFERROR(VLOOKUP(Table1215[[#This Row],[Column2]],Table12[[Column2]:[Column54]],10,FALSE),"0")</f>
        <v>0</v>
      </c>
      <c r="Q174" s="65">
        <f>IFERROR(VLOOKUP(Table1215[[#This Row],[Column2]],Table12[[Column2]:[Column54]],16,FALSE),"0")</f>
        <v>3</v>
      </c>
      <c r="R174" s="67">
        <f>AVERAGE(Table1215[[#This Row],[Column14]],Table1215[[#This Row],[Column15]],Table1215[[#This Row],[Column17]])</f>
        <v>3.3333333333333335</v>
      </c>
      <c r="S174" s="65">
        <f>IFERROR(VLOOKUP(Table1215[[#This Row],[Column2]],Table12[[Column2]:[Column54]],18,FALSE),"0")</f>
        <v>0</v>
      </c>
      <c r="T174" s="65">
        <f>IFERROR(VLOOKUP(Table1215[[#This Row],[Column2]],Table12[[Column2]:[Column54]],19,FALSE),"0")</f>
        <v>0</v>
      </c>
      <c r="U174" s="65">
        <f>IFERROR(VLOOKUP(Table1215[[#This Row],[Column2]],Table12[[Column2]:[Column54]],20,FALSE),"0")</f>
        <v>0</v>
      </c>
      <c r="V174" s="65">
        <f>IFERROR(VLOOKUP(Table1215[[#This Row],[Column2]],Table12[[Column2]:[Column54]],21,FALSE),"0")</f>
        <v>0</v>
      </c>
      <c r="W174" s="65">
        <f>IFERROR(VLOOKUP(Table1215[[#This Row],[Column2]],Table12[[Column2]:[Column54]],22,FALSE),"0")</f>
        <v>0</v>
      </c>
      <c r="X174" s="67">
        <f>Table1215[[#This Row],[Column19]]</f>
        <v>0</v>
      </c>
      <c r="Y174" s="65">
        <f>IFERROR(VLOOKUP(Table1215[[#This Row],[Column2]],Table12[[Column2]:[Column54]],24,FALSE),"0")</f>
        <v>3</v>
      </c>
      <c r="Z174" s="65">
        <f>IFERROR(VLOOKUP(Table1215[[#This Row],[Column2]],Table12[[Column2]:[Column54]],25,FALSE),"0")</f>
        <v>0</v>
      </c>
      <c r="AA174" s="65">
        <f>IFERROR(VLOOKUP(Table1215[[#This Row],[Column2]],Table12[[Column2]:[Column54]],26,FALSE),"0")</f>
        <v>0</v>
      </c>
      <c r="AB174" s="65">
        <f>IFERROR(VLOOKUP(Table1215[[#This Row],[Column2]],Table12[[Column2]:[Column54]],27,FALSE),"0")</f>
        <v>0</v>
      </c>
      <c r="AC174" s="65">
        <f>IFERROR(VLOOKUP(Table1215[[#This Row],[Column2]],Table12[[Column2]:[Column54]],28,FALSE),"0")</f>
        <v>0</v>
      </c>
      <c r="AD174" s="67">
        <f>Table1215[[#This Row],[Column25]]</f>
        <v>3</v>
      </c>
      <c r="AE174" s="65">
        <f>IFERROR(VLOOKUP(Table1215[[#This Row],[Column2]],Table12[[Column2]:[Column54]],30,FALSE),"0")</f>
        <v>0</v>
      </c>
      <c r="AF174" s="65">
        <f>IFERROR(VLOOKUP(Table1215[[#This Row],[Column2]],Table12[[Column2]:[Column54]],31,FALSE),"0")</f>
        <v>0</v>
      </c>
      <c r="AG174" s="65">
        <f>IFERROR(VLOOKUP(Table1215[[#This Row],[Column2]],Table12[[Column2]:[Column54]],32,FALSE),"0")</f>
        <v>0</v>
      </c>
      <c r="AH174" s="65">
        <f>IFERROR(VLOOKUP(Table1215[[#This Row],[Column2]],Table12[[Column2]:[Column54]],33,FALSE),"0")</f>
        <v>0</v>
      </c>
      <c r="AI174" s="65">
        <f>IFERROR(VLOOKUP(Table1215[[#This Row],[Column2]],Table12[[Column2]:[Column54]],34,FALSE),"0")</f>
        <v>0</v>
      </c>
      <c r="AJ174" s="67">
        <f>AVERAGE(Table1215[[#This Row],[Column31]],Table1215[[#This Row],[Column32]],Table1215[[#This Row],[Column33]])</f>
        <v>0</v>
      </c>
      <c r="AK174" s="65">
        <f>IFERROR(VLOOKUP(Table1215[[#This Row],[Column2]],Table12[[Column2]:[Column54]],36,FALSE),"0")</f>
        <v>4</v>
      </c>
      <c r="AL174" s="65">
        <f>IFERROR(VLOOKUP(Table1215[[#This Row],[Column2]],Table12[[Column2]:[Column54]],37,FALSE),"0")</f>
        <v>3</v>
      </c>
      <c r="AM174" s="65">
        <f>IFERROR(VLOOKUP(Table1215[[#This Row],[Column2]],Table12[[Column2]:[Column54]],38,FALSE),"0")</f>
        <v>0</v>
      </c>
      <c r="AN174" s="65">
        <f>IFERROR(VLOOKUP(Table1215[[#This Row],[Column2]],Table12[[Column2]:[Column54]],39,FALSE),"0")</f>
        <v>4</v>
      </c>
      <c r="AO174" s="65">
        <f>IFERROR(VLOOKUP(Table1215[[#This Row],[Column2]],Table12[[Column2]:[Column54]],40,FALSE),"0")</f>
        <v>0</v>
      </c>
      <c r="AP174" s="67">
        <f>AVERAGE(Table1215[[#This Row],[Column37]],Table1215[[#This Row],[Column38]],Table1215[[#This Row],[Column40]])</f>
        <v>3.6666666666666665</v>
      </c>
      <c r="AQ174" s="65">
        <f>IFERROR(VLOOKUP(Table1215[[#This Row],[Column2]],Table12[[Column2]:[Column54]],42,FALSE),"0")</f>
        <v>3</v>
      </c>
      <c r="AR174" s="65">
        <f>IFERROR(VLOOKUP(Table1215[[#This Row],[Column2]],Table12[[Column2]:[Column54]],43,FALSE),"0")</f>
        <v>0</v>
      </c>
      <c r="AS174" s="65">
        <f>IFERROR(VLOOKUP(Table1215[[#This Row],[Column2]],Table12[[Column2]:[Column54]],44,FALSE),"0")</f>
        <v>0</v>
      </c>
      <c r="AT174" s="65">
        <f>IFERROR(VLOOKUP(Table1215[[#This Row],[Column2]],Table12[[Column2]:[Column54]],45,FALSE),"0")</f>
        <v>0</v>
      </c>
      <c r="AU174" s="65">
        <f>IFERROR(VLOOKUP(Table1215[[#This Row],[Column2]],Table12[[Column2]:[Column54]],46,FALSE),"0")</f>
        <v>0</v>
      </c>
      <c r="AV174" s="67">
        <f>Table1215[[#This Row],[Column43]]</f>
        <v>3</v>
      </c>
      <c r="AW174" s="65">
        <f>IFERROR(VLOOKUP(Table1215[[#This Row],[Column2]],Table12[[Column2]:[Column54]],48,FALSE),"0")</f>
        <v>0</v>
      </c>
      <c r="AX174" s="65">
        <f>IFERROR(VLOOKUP(Table1215[[#This Row],[Column2]],Table12[[Column2]:[Column54]],49,FALSE),"0")</f>
        <v>0</v>
      </c>
      <c r="AY174" s="65">
        <f>IFERROR(VLOOKUP(Table1215[[#This Row],[Column2]],Table12[[Column2]:[Column54]],50,FALSE),"0")</f>
        <v>0</v>
      </c>
      <c r="AZ174" s="65">
        <f>IFERROR(VLOOKUP(Table1215[[#This Row],[Column2]],Table12[[Column2]:[Column54]],51,FALSE),"0")</f>
        <v>4</v>
      </c>
      <c r="BA174" s="65">
        <f>IFERROR(VLOOKUP(Table1215[[#This Row],[Column2]],Table12[[Column2]:[Column54]],52,FALSE),"0")</f>
        <v>3</v>
      </c>
      <c r="BB174" s="67">
        <f>AVERAGE(Table1215[[#This Row],[Column52]],Table1215[[#This Row],[Column53]])</f>
        <v>3.5</v>
      </c>
    </row>
    <row r="175" spans="1:54" ht="23.1" customHeight="1" x14ac:dyDescent="0.3">
      <c r="A175" s="87">
        <v>172</v>
      </c>
      <c r="B175" s="70" t="s">
        <v>397</v>
      </c>
      <c r="C175" s="71" t="s">
        <v>539</v>
      </c>
      <c r="D175" s="70" t="s">
        <v>542</v>
      </c>
      <c r="E175" s="70" t="s">
        <v>289</v>
      </c>
      <c r="F175" s="70" t="str">
        <f>REPT(CHAR(160),10)&amp;Working!$E176</f>
        <v>          D</v>
      </c>
      <c r="G175" s="61">
        <f>IFERROR(VLOOKUP(Table1215[[#This Row],[Column2]],Table12[[Column2]:[Column54]],6,FALSE),"0")</f>
        <v>0</v>
      </c>
      <c r="H175" s="61">
        <f>IFERROR(VLOOKUP(Table1215[[#This Row],[Column2]],Table12[[Column2]:[Column54]],7,FALSE),"0")</f>
        <v>0</v>
      </c>
      <c r="I175" s="61">
        <f>IFERROR(VLOOKUP(Table1215[[#This Row],[Column2]],Table12[[Column2]:[Column54]],8,FALSE),"0")</f>
        <v>0</v>
      </c>
      <c r="J175" s="61">
        <f>IFERROR(VLOOKUP(Table1215[[#This Row],[Column2]],Table12[[Column2]:[Column54]],9,FALSE),"0")</f>
        <v>0</v>
      </c>
      <c r="K175" s="61">
        <f>IFERROR(VLOOKUP(Table1215[[#This Row],[Column2]],Table12[[Column2]:[Column54]],10,FALSE),"0")</f>
        <v>0</v>
      </c>
      <c r="L175" s="67">
        <f>Table1215[[#This Row],[Column9]]</f>
        <v>0</v>
      </c>
      <c r="M175" s="61">
        <f>IFERROR(VLOOKUP(Table1215[[#This Row],[Column2]],Table12[[Column2]:[Column54]],12,FALSE),"0")</f>
        <v>0</v>
      </c>
      <c r="N175" s="61">
        <f>IFERROR(VLOOKUP(Table1215[[#This Row],[Column2]],Table12[[Column2]:[Column54]],13,FALSE),"0")</f>
        <v>0</v>
      </c>
      <c r="O175" s="61">
        <f>IFERROR(VLOOKUP(Table1215[[#This Row],[Column2]],Table12[[Column2]:[Column54]],14,FALSE),"0")</f>
        <v>0</v>
      </c>
      <c r="P175" s="61">
        <f>IFERROR(VLOOKUP(Table1215[[#This Row],[Column2]],Table12[[Column2]:[Column54]],10,FALSE),"0")</f>
        <v>0</v>
      </c>
      <c r="Q175" s="61">
        <f>IFERROR(VLOOKUP(Table1215[[#This Row],[Column2]],Table12[[Column2]:[Column54]],16,FALSE),"0")</f>
        <v>0</v>
      </c>
      <c r="R175" s="67">
        <f>AVERAGE(Table1215[[#This Row],[Column14]],Table1215[[#This Row],[Column15]],Table1215[[#This Row],[Column17]])</f>
        <v>0</v>
      </c>
      <c r="S175" s="61">
        <f>IFERROR(VLOOKUP(Table1215[[#This Row],[Column2]],Table12[[Column2]:[Column54]],18,FALSE),"0")</f>
        <v>0</v>
      </c>
      <c r="T175" s="61">
        <f>IFERROR(VLOOKUP(Table1215[[#This Row],[Column2]],Table12[[Column2]:[Column54]],19,FALSE),"0")</f>
        <v>0</v>
      </c>
      <c r="U175" s="61">
        <f>IFERROR(VLOOKUP(Table1215[[#This Row],[Column2]],Table12[[Column2]:[Column54]],20,FALSE),"0")</f>
        <v>0</v>
      </c>
      <c r="V175" s="61">
        <f>IFERROR(VLOOKUP(Table1215[[#This Row],[Column2]],Table12[[Column2]:[Column54]],21,FALSE),"0")</f>
        <v>0</v>
      </c>
      <c r="W175" s="61">
        <f>IFERROR(VLOOKUP(Table1215[[#This Row],[Column2]],Table12[[Column2]:[Column54]],22,FALSE),"0")</f>
        <v>0</v>
      </c>
      <c r="X175" s="67">
        <f>Table1215[[#This Row],[Column19]]</f>
        <v>0</v>
      </c>
      <c r="Y175" s="61">
        <f>IFERROR(VLOOKUP(Table1215[[#This Row],[Column2]],Table12[[Column2]:[Column54]],24,FALSE),"0")</f>
        <v>0</v>
      </c>
      <c r="Z175" s="61">
        <f>IFERROR(VLOOKUP(Table1215[[#This Row],[Column2]],Table12[[Column2]:[Column54]],25,FALSE),"0")</f>
        <v>0</v>
      </c>
      <c r="AA175" s="61">
        <f>IFERROR(VLOOKUP(Table1215[[#This Row],[Column2]],Table12[[Column2]:[Column54]],26,FALSE),"0")</f>
        <v>0</v>
      </c>
      <c r="AB175" s="61">
        <f>IFERROR(VLOOKUP(Table1215[[#This Row],[Column2]],Table12[[Column2]:[Column54]],27,FALSE),"0")</f>
        <v>0</v>
      </c>
      <c r="AC175" s="61">
        <f>IFERROR(VLOOKUP(Table1215[[#This Row],[Column2]],Table12[[Column2]:[Column54]],28,FALSE),"0")</f>
        <v>0</v>
      </c>
      <c r="AD175" s="67">
        <f>Table1215[[#This Row],[Column25]]</f>
        <v>0</v>
      </c>
      <c r="AE175" s="61">
        <f>IFERROR(VLOOKUP(Table1215[[#This Row],[Column2]],Table12[[Column2]:[Column54]],30,FALSE),"0")</f>
        <v>0</v>
      </c>
      <c r="AF175" s="61">
        <f>IFERROR(VLOOKUP(Table1215[[#This Row],[Column2]],Table12[[Column2]:[Column54]],31,FALSE),"0")</f>
        <v>0</v>
      </c>
      <c r="AG175" s="61">
        <f>IFERROR(VLOOKUP(Table1215[[#This Row],[Column2]],Table12[[Column2]:[Column54]],32,FALSE),"0")</f>
        <v>0</v>
      </c>
      <c r="AH175" s="61">
        <f>IFERROR(VLOOKUP(Table1215[[#This Row],[Column2]],Table12[[Column2]:[Column54]],33,FALSE),"0")</f>
        <v>0</v>
      </c>
      <c r="AI175" s="61">
        <f>IFERROR(VLOOKUP(Table1215[[#This Row],[Column2]],Table12[[Column2]:[Column54]],34,FALSE),"0")</f>
        <v>0</v>
      </c>
      <c r="AJ175" s="67">
        <f>AVERAGE(Table1215[[#This Row],[Column31]],Table1215[[#This Row],[Column32]],Table1215[[#This Row],[Column33]])</f>
        <v>0</v>
      </c>
      <c r="AK175" s="61">
        <f>IFERROR(VLOOKUP(Table1215[[#This Row],[Column2]],Table12[[Column2]:[Column54]],36,FALSE),"0")</f>
        <v>0</v>
      </c>
      <c r="AL175" s="61">
        <f>IFERROR(VLOOKUP(Table1215[[#This Row],[Column2]],Table12[[Column2]:[Column54]],37,FALSE),"0")</f>
        <v>0</v>
      </c>
      <c r="AM175" s="61">
        <f>IFERROR(VLOOKUP(Table1215[[#This Row],[Column2]],Table12[[Column2]:[Column54]],38,FALSE),"0")</f>
        <v>0</v>
      </c>
      <c r="AN175" s="61">
        <f>IFERROR(VLOOKUP(Table1215[[#This Row],[Column2]],Table12[[Column2]:[Column54]],39,FALSE),"0")</f>
        <v>0</v>
      </c>
      <c r="AO175" s="61">
        <f>IFERROR(VLOOKUP(Table1215[[#This Row],[Column2]],Table12[[Column2]:[Column54]],40,FALSE),"0")</f>
        <v>0</v>
      </c>
      <c r="AP175" s="67">
        <f>AVERAGE(Table1215[[#This Row],[Column37]],Table1215[[#This Row],[Column38]],Table1215[[#This Row],[Column40]])</f>
        <v>0</v>
      </c>
      <c r="AQ175" s="61">
        <f>IFERROR(VLOOKUP(Table1215[[#This Row],[Column2]],Table12[[Column2]:[Column54]],42,FALSE),"0")</f>
        <v>0</v>
      </c>
      <c r="AR175" s="61">
        <f>IFERROR(VLOOKUP(Table1215[[#This Row],[Column2]],Table12[[Column2]:[Column54]],43,FALSE),"0")</f>
        <v>0</v>
      </c>
      <c r="AS175" s="61">
        <f>IFERROR(VLOOKUP(Table1215[[#This Row],[Column2]],Table12[[Column2]:[Column54]],44,FALSE),"0")</f>
        <v>0</v>
      </c>
      <c r="AT175" s="61">
        <f>IFERROR(VLOOKUP(Table1215[[#This Row],[Column2]],Table12[[Column2]:[Column54]],45,FALSE),"0")</f>
        <v>0</v>
      </c>
      <c r="AU175" s="61">
        <f>IFERROR(VLOOKUP(Table1215[[#This Row],[Column2]],Table12[[Column2]:[Column54]],46,FALSE),"0")</f>
        <v>0</v>
      </c>
      <c r="AV175" s="67">
        <f>Table1215[[#This Row],[Column43]]</f>
        <v>0</v>
      </c>
      <c r="AW175" s="61">
        <f>IFERROR(VLOOKUP(Table1215[[#This Row],[Column2]],Table12[[Column2]:[Column54]],48,FALSE),"0")</f>
        <v>0</v>
      </c>
      <c r="AX175" s="61">
        <f>IFERROR(VLOOKUP(Table1215[[#This Row],[Column2]],Table12[[Column2]:[Column54]],49,FALSE),"0")</f>
        <v>0</v>
      </c>
      <c r="AY175" s="61">
        <f>IFERROR(VLOOKUP(Table1215[[#This Row],[Column2]],Table12[[Column2]:[Column54]],50,FALSE),"0")</f>
        <v>0</v>
      </c>
      <c r="AZ175" s="61">
        <f>IFERROR(VLOOKUP(Table1215[[#This Row],[Column2]],Table12[[Column2]:[Column54]],51,FALSE),"0")</f>
        <v>0</v>
      </c>
      <c r="BA175" s="61">
        <f>IFERROR(VLOOKUP(Table1215[[#This Row],[Column2]],Table12[[Column2]:[Column54]],52,FALSE),"0")</f>
        <v>0</v>
      </c>
      <c r="BB175" s="67">
        <f>AVERAGE(Table1215[[#This Row],[Column52]],Table1215[[#This Row],[Column53]])</f>
        <v>0</v>
      </c>
    </row>
    <row r="176" spans="1:54" ht="23.1" customHeight="1" x14ac:dyDescent="0.3">
      <c r="A176" s="86">
        <v>173</v>
      </c>
      <c r="B176" s="63" t="s">
        <v>398</v>
      </c>
      <c r="C176" s="64" t="s">
        <v>399</v>
      </c>
      <c r="D176" s="63" t="s">
        <v>542</v>
      </c>
      <c r="E176" s="63" t="s">
        <v>493</v>
      </c>
      <c r="F176" s="63" t="str">
        <f>REPT(CHAR(160),10)&amp;Working!$E177</f>
        <v>          C</v>
      </c>
      <c r="G176" s="65">
        <f>IFERROR(VLOOKUP(Table1215[[#This Row],[Column2]],Table12[[Column2]:[Column54]],6,FALSE),"0")</f>
        <v>0</v>
      </c>
      <c r="H176" s="65">
        <f>IFERROR(VLOOKUP(Table1215[[#This Row],[Column2]],Table12[[Column2]:[Column54]],7,FALSE),"0")</f>
        <v>0</v>
      </c>
      <c r="I176" s="65">
        <f>IFERROR(VLOOKUP(Table1215[[#This Row],[Column2]],Table12[[Column2]:[Column54]],8,FALSE),"0")</f>
        <v>3</v>
      </c>
      <c r="J176" s="65">
        <f>IFERROR(VLOOKUP(Table1215[[#This Row],[Column2]],Table12[[Column2]:[Column54]],9,FALSE),"0")</f>
        <v>0</v>
      </c>
      <c r="K176" s="65">
        <f>IFERROR(VLOOKUP(Table1215[[#This Row],[Column2]],Table12[[Column2]:[Column54]],10,FALSE),"0")</f>
        <v>0</v>
      </c>
      <c r="L176" s="67">
        <f>Table1215[[#This Row],[Column9]]</f>
        <v>3</v>
      </c>
      <c r="M176" s="65">
        <f>IFERROR(VLOOKUP(Table1215[[#This Row],[Column2]],Table12[[Column2]:[Column54]],12,FALSE),"0")</f>
        <v>0</v>
      </c>
      <c r="N176" s="65">
        <f>IFERROR(VLOOKUP(Table1215[[#This Row],[Column2]],Table12[[Column2]:[Column54]],13,FALSE),"0")</f>
        <v>4</v>
      </c>
      <c r="O176" s="65">
        <f>IFERROR(VLOOKUP(Table1215[[#This Row],[Column2]],Table12[[Column2]:[Column54]],14,FALSE),"0")</f>
        <v>3</v>
      </c>
      <c r="P176" s="65">
        <f>IFERROR(VLOOKUP(Table1215[[#This Row],[Column2]],Table12[[Column2]:[Column54]],10,FALSE),"0")</f>
        <v>0</v>
      </c>
      <c r="Q176" s="65">
        <f>IFERROR(VLOOKUP(Table1215[[#This Row],[Column2]],Table12[[Column2]:[Column54]],16,FALSE),"0")</f>
        <v>3</v>
      </c>
      <c r="R176" s="67">
        <f>AVERAGE(Table1215[[#This Row],[Column14]],Table1215[[#This Row],[Column15]],Table1215[[#This Row],[Column17]])</f>
        <v>3.3333333333333335</v>
      </c>
      <c r="S176" s="65">
        <f>IFERROR(VLOOKUP(Table1215[[#This Row],[Column2]],Table12[[Column2]:[Column54]],18,FALSE),"0")</f>
        <v>0</v>
      </c>
      <c r="T176" s="65">
        <f>IFERROR(VLOOKUP(Table1215[[#This Row],[Column2]],Table12[[Column2]:[Column54]],19,FALSE),"0")</f>
        <v>0</v>
      </c>
      <c r="U176" s="65">
        <f>IFERROR(VLOOKUP(Table1215[[#This Row],[Column2]],Table12[[Column2]:[Column54]],20,FALSE),"0")</f>
        <v>0</v>
      </c>
      <c r="V176" s="65">
        <f>IFERROR(VLOOKUP(Table1215[[#This Row],[Column2]],Table12[[Column2]:[Column54]],21,FALSE),"0")</f>
        <v>0</v>
      </c>
      <c r="W176" s="65">
        <f>IFERROR(VLOOKUP(Table1215[[#This Row],[Column2]],Table12[[Column2]:[Column54]],22,FALSE),"0")</f>
        <v>0</v>
      </c>
      <c r="X176" s="67">
        <f>Table1215[[#This Row],[Column19]]</f>
        <v>0</v>
      </c>
      <c r="Y176" s="65">
        <f>IFERROR(VLOOKUP(Table1215[[#This Row],[Column2]],Table12[[Column2]:[Column54]],24,FALSE),"0")</f>
        <v>3</v>
      </c>
      <c r="Z176" s="65">
        <f>IFERROR(VLOOKUP(Table1215[[#This Row],[Column2]],Table12[[Column2]:[Column54]],25,FALSE),"0")</f>
        <v>0</v>
      </c>
      <c r="AA176" s="65">
        <f>IFERROR(VLOOKUP(Table1215[[#This Row],[Column2]],Table12[[Column2]:[Column54]],26,FALSE),"0")</f>
        <v>0</v>
      </c>
      <c r="AB176" s="65">
        <f>IFERROR(VLOOKUP(Table1215[[#This Row],[Column2]],Table12[[Column2]:[Column54]],27,FALSE),"0")</f>
        <v>0</v>
      </c>
      <c r="AC176" s="65">
        <f>IFERROR(VLOOKUP(Table1215[[#This Row],[Column2]],Table12[[Column2]:[Column54]],28,FALSE),"0")</f>
        <v>0</v>
      </c>
      <c r="AD176" s="67">
        <f>Table1215[[#This Row],[Column25]]</f>
        <v>3</v>
      </c>
      <c r="AE176" s="65">
        <f>IFERROR(VLOOKUP(Table1215[[#This Row],[Column2]],Table12[[Column2]:[Column54]],30,FALSE),"0")</f>
        <v>0</v>
      </c>
      <c r="AF176" s="65">
        <f>IFERROR(VLOOKUP(Table1215[[#This Row],[Column2]],Table12[[Column2]:[Column54]],31,FALSE),"0")</f>
        <v>0</v>
      </c>
      <c r="AG176" s="65">
        <f>IFERROR(VLOOKUP(Table1215[[#This Row],[Column2]],Table12[[Column2]:[Column54]],32,FALSE),"0")</f>
        <v>0</v>
      </c>
      <c r="AH176" s="65">
        <f>IFERROR(VLOOKUP(Table1215[[#This Row],[Column2]],Table12[[Column2]:[Column54]],33,FALSE),"0")</f>
        <v>0</v>
      </c>
      <c r="AI176" s="65">
        <f>IFERROR(VLOOKUP(Table1215[[#This Row],[Column2]],Table12[[Column2]:[Column54]],34,FALSE),"0")</f>
        <v>0</v>
      </c>
      <c r="AJ176" s="67">
        <f>AVERAGE(Table1215[[#This Row],[Column31]],Table1215[[#This Row],[Column32]],Table1215[[#This Row],[Column33]])</f>
        <v>0</v>
      </c>
      <c r="AK176" s="65">
        <f>IFERROR(VLOOKUP(Table1215[[#This Row],[Column2]],Table12[[Column2]:[Column54]],36,FALSE),"0")</f>
        <v>3</v>
      </c>
      <c r="AL176" s="65">
        <f>IFERROR(VLOOKUP(Table1215[[#This Row],[Column2]],Table12[[Column2]:[Column54]],37,FALSE),"0")</f>
        <v>2</v>
      </c>
      <c r="AM176" s="65">
        <f>IFERROR(VLOOKUP(Table1215[[#This Row],[Column2]],Table12[[Column2]:[Column54]],38,FALSE),"0")</f>
        <v>0</v>
      </c>
      <c r="AN176" s="65">
        <f>IFERROR(VLOOKUP(Table1215[[#This Row],[Column2]],Table12[[Column2]:[Column54]],39,FALSE),"0")</f>
        <v>3</v>
      </c>
      <c r="AO176" s="65">
        <f>IFERROR(VLOOKUP(Table1215[[#This Row],[Column2]],Table12[[Column2]:[Column54]],40,FALSE),"0")</f>
        <v>0</v>
      </c>
      <c r="AP176" s="67">
        <f>AVERAGE(Table1215[[#This Row],[Column37]],Table1215[[#This Row],[Column38]],Table1215[[#This Row],[Column40]])</f>
        <v>2.6666666666666665</v>
      </c>
      <c r="AQ176" s="65">
        <f>IFERROR(VLOOKUP(Table1215[[#This Row],[Column2]],Table12[[Column2]:[Column54]],42,FALSE),"0")</f>
        <v>1</v>
      </c>
      <c r="AR176" s="65">
        <f>IFERROR(VLOOKUP(Table1215[[#This Row],[Column2]],Table12[[Column2]:[Column54]],43,FALSE),"0")</f>
        <v>0</v>
      </c>
      <c r="AS176" s="65">
        <f>IFERROR(VLOOKUP(Table1215[[#This Row],[Column2]],Table12[[Column2]:[Column54]],44,FALSE),"0")</f>
        <v>0</v>
      </c>
      <c r="AT176" s="65">
        <f>IFERROR(VLOOKUP(Table1215[[#This Row],[Column2]],Table12[[Column2]:[Column54]],45,FALSE),"0")</f>
        <v>0</v>
      </c>
      <c r="AU176" s="65">
        <f>IFERROR(VLOOKUP(Table1215[[#This Row],[Column2]],Table12[[Column2]:[Column54]],46,FALSE),"0")</f>
        <v>0</v>
      </c>
      <c r="AV176" s="67">
        <f>Table1215[[#This Row],[Column43]]</f>
        <v>1</v>
      </c>
      <c r="AW176" s="65">
        <f>IFERROR(VLOOKUP(Table1215[[#This Row],[Column2]],Table12[[Column2]:[Column54]],48,FALSE),"0")</f>
        <v>0</v>
      </c>
      <c r="AX176" s="65">
        <f>IFERROR(VLOOKUP(Table1215[[#This Row],[Column2]],Table12[[Column2]:[Column54]],49,FALSE),"0")</f>
        <v>0</v>
      </c>
      <c r="AY176" s="65">
        <f>IFERROR(VLOOKUP(Table1215[[#This Row],[Column2]],Table12[[Column2]:[Column54]],50,FALSE),"0")</f>
        <v>0</v>
      </c>
      <c r="AZ176" s="65">
        <f>IFERROR(VLOOKUP(Table1215[[#This Row],[Column2]],Table12[[Column2]:[Column54]],51,FALSE),"0")</f>
        <v>3</v>
      </c>
      <c r="BA176" s="65">
        <f>IFERROR(VLOOKUP(Table1215[[#This Row],[Column2]],Table12[[Column2]:[Column54]],52,FALSE),"0")</f>
        <v>3</v>
      </c>
      <c r="BB176" s="67">
        <f>AVERAGE(Table1215[[#This Row],[Column52]],Table1215[[#This Row],[Column53]])</f>
        <v>3</v>
      </c>
    </row>
    <row r="177" spans="1:54" ht="23.1" customHeight="1" x14ac:dyDescent="0.3">
      <c r="A177" s="87">
        <v>174</v>
      </c>
      <c r="B177" s="70" t="s">
        <v>400</v>
      </c>
      <c r="C177" s="71" t="s">
        <v>401</v>
      </c>
      <c r="D177" s="70" t="s">
        <v>542</v>
      </c>
      <c r="E177" s="70" t="s">
        <v>493</v>
      </c>
      <c r="F177" s="70" t="str">
        <f>REPT(CHAR(160),10)&amp;Working!$E178</f>
        <v>          C</v>
      </c>
      <c r="G177" s="61">
        <f>IFERROR(VLOOKUP(Table1215[[#This Row],[Column2]],Table12[[Column2]:[Column54]],6,FALSE),"0")</f>
        <v>0</v>
      </c>
      <c r="H177" s="61">
        <f>IFERROR(VLOOKUP(Table1215[[#This Row],[Column2]],Table12[[Column2]:[Column54]],7,FALSE),"0")</f>
        <v>0</v>
      </c>
      <c r="I177" s="61">
        <f>IFERROR(VLOOKUP(Table1215[[#This Row],[Column2]],Table12[[Column2]:[Column54]],8,FALSE),"0")</f>
        <v>4</v>
      </c>
      <c r="J177" s="61">
        <f>IFERROR(VLOOKUP(Table1215[[#This Row],[Column2]],Table12[[Column2]:[Column54]],9,FALSE),"0")</f>
        <v>0</v>
      </c>
      <c r="K177" s="61">
        <f>IFERROR(VLOOKUP(Table1215[[#This Row],[Column2]],Table12[[Column2]:[Column54]],10,FALSE),"0")</f>
        <v>0</v>
      </c>
      <c r="L177" s="67">
        <f>Table1215[[#This Row],[Column9]]</f>
        <v>4</v>
      </c>
      <c r="M177" s="61">
        <f>IFERROR(VLOOKUP(Table1215[[#This Row],[Column2]],Table12[[Column2]:[Column54]],12,FALSE),"0")</f>
        <v>0</v>
      </c>
      <c r="N177" s="61">
        <f>IFERROR(VLOOKUP(Table1215[[#This Row],[Column2]],Table12[[Column2]:[Column54]],13,FALSE),"0")</f>
        <v>4</v>
      </c>
      <c r="O177" s="61">
        <f>IFERROR(VLOOKUP(Table1215[[#This Row],[Column2]],Table12[[Column2]:[Column54]],14,FALSE),"0")</f>
        <v>4</v>
      </c>
      <c r="P177" s="61">
        <f>IFERROR(VLOOKUP(Table1215[[#This Row],[Column2]],Table12[[Column2]:[Column54]],10,FALSE),"0")</f>
        <v>0</v>
      </c>
      <c r="Q177" s="61">
        <f>IFERROR(VLOOKUP(Table1215[[#This Row],[Column2]],Table12[[Column2]:[Column54]],16,FALSE),"0")</f>
        <v>4</v>
      </c>
      <c r="R177" s="67">
        <f>AVERAGE(Table1215[[#This Row],[Column14]],Table1215[[#This Row],[Column15]],Table1215[[#This Row],[Column17]])</f>
        <v>4</v>
      </c>
      <c r="S177" s="61">
        <f>IFERROR(VLOOKUP(Table1215[[#This Row],[Column2]],Table12[[Column2]:[Column54]],18,FALSE),"0")</f>
        <v>0</v>
      </c>
      <c r="T177" s="61">
        <f>IFERROR(VLOOKUP(Table1215[[#This Row],[Column2]],Table12[[Column2]:[Column54]],19,FALSE),"0")</f>
        <v>0</v>
      </c>
      <c r="U177" s="61">
        <f>IFERROR(VLOOKUP(Table1215[[#This Row],[Column2]],Table12[[Column2]:[Column54]],20,FALSE),"0")</f>
        <v>0</v>
      </c>
      <c r="V177" s="61">
        <f>IFERROR(VLOOKUP(Table1215[[#This Row],[Column2]],Table12[[Column2]:[Column54]],21,FALSE),"0")</f>
        <v>0</v>
      </c>
      <c r="W177" s="61">
        <f>IFERROR(VLOOKUP(Table1215[[#This Row],[Column2]],Table12[[Column2]:[Column54]],22,FALSE),"0")</f>
        <v>0</v>
      </c>
      <c r="X177" s="67">
        <f>Table1215[[#This Row],[Column19]]</f>
        <v>0</v>
      </c>
      <c r="Y177" s="61">
        <f>IFERROR(VLOOKUP(Table1215[[#This Row],[Column2]],Table12[[Column2]:[Column54]],24,FALSE),"0")</f>
        <v>4</v>
      </c>
      <c r="Z177" s="61">
        <f>IFERROR(VLOOKUP(Table1215[[#This Row],[Column2]],Table12[[Column2]:[Column54]],25,FALSE),"0")</f>
        <v>0</v>
      </c>
      <c r="AA177" s="61">
        <f>IFERROR(VLOOKUP(Table1215[[#This Row],[Column2]],Table12[[Column2]:[Column54]],26,FALSE),"0")</f>
        <v>0</v>
      </c>
      <c r="AB177" s="61">
        <f>IFERROR(VLOOKUP(Table1215[[#This Row],[Column2]],Table12[[Column2]:[Column54]],27,FALSE),"0")</f>
        <v>0</v>
      </c>
      <c r="AC177" s="61">
        <f>IFERROR(VLOOKUP(Table1215[[#This Row],[Column2]],Table12[[Column2]:[Column54]],28,FALSE),"0")</f>
        <v>0</v>
      </c>
      <c r="AD177" s="67">
        <f>Table1215[[#This Row],[Column25]]</f>
        <v>4</v>
      </c>
      <c r="AE177" s="61">
        <f>IFERROR(VLOOKUP(Table1215[[#This Row],[Column2]],Table12[[Column2]:[Column54]],30,FALSE),"0")</f>
        <v>0</v>
      </c>
      <c r="AF177" s="61">
        <f>IFERROR(VLOOKUP(Table1215[[#This Row],[Column2]],Table12[[Column2]:[Column54]],31,FALSE),"0")</f>
        <v>0</v>
      </c>
      <c r="AG177" s="61">
        <f>IFERROR(VLOOKUP(Table1215[[#This Row],[Column2]],Table12[[Column2]:[Column54]],32,FALSE),"0")</f>
        <v>0</v>
      </c>
      <c r="AH177" s="61">
        <f>IFERROR(VLOOKUP(Table1215[[#This Row],[Column2]],Table12[[Column2]:[Column54]],33,FALSE),"0")</f>
        <v>0</v>
      </c>
      <c r="AI177" s="61">
        <f>IFERROR(VLOOKUP(Table1215[[#This Row],[Column2]],Table12[[Column2]:[Column54]],34,FALSE),"0")</f>
        <v>0</v>
      </c>
      <c r="AJ177" s="67">
        <f>AVERAGE(Table1215[[#This Row],[Column31]],Table1215[[#This Row],[Column32]],Table1215[[#This Row],[Column33]])</f>
        <v>0</v>
      </c>
      <c r="AK177" s="61">
        <f>IFERROR(VLOOKUP(Table1215[[#This Row],[Column2]],Table12[[Column2]:[Column54]],36,FALSE),"0")</f>
        <v>4</v>
      </c>
      <c r="AL177" s="61">
        <f>IFERROR(VLOOKUP(Table1215[[#This Row],[Column2]],Table12[[Column2]:[Column54]],37,FALSE),"0")</f>
        <v>3</v>
      </c>
      <c r="AM177" s="61">
        <f>IFERROR(VLOOKUP(Table1215[[#This Row],[Column2]],Table12[[Column2]:[Column54]],38,FALSE),"0")</f>
        <v>0</v>
      </c>
      <c r="AN177" s="61">
        <f>IFERROR(VLOOKUP(Table1215[[#This Row],[Column2]],Table12[[Column2]:[Column54]],39,FALSE),"0")</f>
        <v>4</v>
      </c>
      <c r="AO177" s="61">
        <f>IFERROR(VLOOKUP(Table1215[[#This Row],[Column2]],Table12[[Column2]:[Column54]],40,FALSE),"0")</f>
        <v>0</v>
      </c>
      <c r="AP177" s="67">
        <f>AVERAGE(Table1215[[#This Row],[Column37]],Table1215[[#This Row],[Column38]],Table1215[[#This Row],[Column40]])</f>
        <v>3.6666666666666665</v>
      </c>
      <c r="AQ177" s="61">
        <f>IFERROR(VLOOKUP(Table1215[[#This Row],[Column2]],Table12[[Column2]:[Column54]],42,FALSE),"0")</f>
        <v>3</v>
      </c>
      <c r="AR177" s="61">
        <f>IFERROR(VLOOKUP(Table1215[[#This Row],[Column2]],Table12[[Column2]:[Column54]],43,FALSE),"0")</f>
        <v>0</v>
      </c>
      <c r="AS177" s="61">
        <f>IFERROR(VLOOKUP(Table1215[[#This Row],[Column2]],Table12[[Column2]:[Column54]],44,FALSE),"0")</f>
        <v>0</v>
      </c>
      <c r="AT177" s="61">
        <f>IFERROR(VLOOKUP(Table1215[[#This Row],[Column2]],Table12[[Column2]:[Column54]],45,FALSE),"0")</f>
        <v>0</v>
      </c>
      <c r="AU177" s="61">
        <f>IFERROR(VLOOKUP(Table1215[[#This Row],[Column2]],Table12[[Column2]:[Column54]],46,FALSE),"0")</f>
        <v>0</v>
      </c>
      <c r="AV177" s="67">
        <f>Table1215[[#This Row],[Column43]]</f>
        <v>3</v>
      </c>
      <c r="AW177" s="61">
        <f>IFERROR(VLOOKUP(Table1215[[#This Row],[Column2]],Table12[[Column2]:[Column54]],48,FALSE),"0")</f>
        <v>0</v>
      </c>
      <c r="AX177" s="61">
        <f>IFERROR(VLOOKUP(Table1215[[#This Row],[Column2]],Table12[[Column2]:[Column54]],49,FALSE),"0")</f>
        <v>0</v>
      </c>
      <c r="AY177" s="61">
        <f>IFERROR(VLOOKUP(Table1215[[#This Row],[Column2]],Table12[[Column2]:[Column54]],50,FALSE),"0")</f>
        <v>0</v>
      </c>
      <c r="AZ177" s="61">
        <f>IFERROR(VLOOKUP(Table1215[[#This Row],[Column2]],Table12[[Column2]:[Column54]],51,FALSE),"0")</f>
        <v>4</v>
      </c>
      <c r="BA177" s="61">
        <f>IFERROR(VLOOKUP(Table1215[[#This Row],[Column2]],Table12[[Column2]:[Column54]],52,FALSE),"0")</f>
        <v>3</v>
      </c>
      <c r="BB177" s="67">
        <f>AVERAGE(Table1215[[#This Row],[Column52]],Table1215[[#This Row],[Column53]])</f>
        <v>3.5</v>
      </c>
    </row>
    <row r="178" spans="1:54" ht="23.1" customHeight="1" x14ac:dyDescent="0.3">
      <c r="A178" s="86">
        <v>175</v>
      </c>
      <c r="B178" s="63" t="s">
        <v>120</v>
      </c>
      <c r="C178" s="64" t="s">
        <v>121</v>
      </c>
      <c r="D178" s="63" t="s">
        <v>450</v>
      </c>
      <c r="E178" s="63" t="s">
        <v>35</v>
      </c>
      <c r="F178" s="63" t="str">
        <f>REPT(CHAR(160),10)&amp;Working!$E179</f>
        <v>          A</v>
      </c>
      <c r="G178" s="65">
        <f>IFERROR(VLOOKUP(Table1215[[#This Row],[Column2]],Table12[[Column2]:[Column54]],6,FALSE),"0")</f>
        <v>0</v>
      </c>
      <c r="H178" s="65">
        <f>IFERROR(VLOOKUP(Table1215[[#This Row],[Column2]],Table12[[Column2]:[Column54]],7,FALSE),"0")</f>
        <v>0</v>
      </c>
      <c r="I178" s="65">
        <f>IFERROR(VLOOKUP(Table1215[[#This Row],[Column2]],Table12[[Column2]:[Column54]],8,FALSE),"0")</f>
        <v>3</v>
      </c>
      <c r="J178" s="65">
        <f>IFERROR(VLOOKUP(Table1215[[#This Row],[Column2]],Table12[[Column2]:[Column54]],9,FALSE),"0")</f>
        <v>0</v>
      </c>
      <c r="K178" s="65">
        <f>IFERROR(VLOOKUP(Table1215[[#This Row],[Column2]],Table12[[Column2]:[Column54]],10,FALSE),"0")</f>
        <v>0</v>
      </c>
      <c r="L178" s="67">
        <f>Table1215[[#This Row],[Column9]]</f>
        <v>3</v>
      </c>
      <c r="M178" s="65">
        <f>IFERROR(VLOOKUP(Table1215[[#This Row],[Column2]],Table12[[Column2]:[Column54]],12,FALSE),"0")</f>
        <v>0</v>
      </c>
      <c r="N178" s="65">
        <f>IFERROR(VLOOKUP(Table1215[[#This Row],[Column2]],Table12[[Column2]:[Column54]],13,FALSE),"0")</f>
        <v>3</v>
      </c>
      <c r="O178" s="65">
        <f>IFERROR(VLOOKUP(Table1215[[#This Row],[Column2]],Table12[[Column2]:[Column54]],14,FALSE),"0")</f>
        <v>4</v>
      </c>
      <c r="P178" s="65">
        <f>IFERROR(VLOOKUP(Table1215[[#This Row],[Column2]],Table12[[Column2]:[Column54]],10,FALSE),"0")</f>
        <v>0</v>
      </c>
      <c r="Q178" s="65">
        <f>IFERROR(VLOOKUP(Table1215[[#This Row],[Column2]],Table12[[Column2]:[Column54]],16,FALSE),"0")</f>
        <v>4</v>
      </c>
      <c r="R178" s="67">
        <f>AVERAGE(Table1215[[#This Row],[Column14]],Table1215[[#This Row],[Column15]],Table1215[[#This Row],[Column17]])</f>
        <v>3.6666666666666665</v>
      </c>
      <c r="S178" s="65">
        <f>IFERROR(VLOOKUP(Table1215[[#This Row],[Column2]],Table12[[Column2]:[Column54]],18,FALSE),"0")</f>
        <v>0</v>
      </c>
      <c r="T178" s="65">
        <f>IFERROR(VLOOKUP(Table1215[[#This Row],[Column2]],Table12[[Column2]:[Column54]],19,FALSE),"0")</f>
        <v>0</v>
      </c>
      <c r="U178" s="65">
        <f>IFERROR(VLOOKUP(Table1215[[#This Row],[Column2]],Table12[[Column2]:[Column54]],20,FALSE),"0")</f>
        <v>0</v>
      </c>
      <c r="V178" s="65">
        <f>IFERROR(VLOOKUP(Table1215[[#This Row],[Column2]],Table12[[Column2]:[Column54]],21,FALSE),"0")</f>
        <v>0</v>
      </c>
      <c r="W178" s="65">
        <f>IFERROR(VLOOKUP(Table1215[[#This Row],[Column2]],Table12[[Column2]:[Column54]],22,FALSE),"0")</f>
        <v>0</v>
      </c>
      <c r="X178" s="67">
        <f>Table1215[[#This Row],[Column19]]</f>
        <v>0</v>
      </c>
      <c r="Y178" s="65">
        <f>IFERROR(VLOOKUP(Table1215[[#This Row],[Column2]],Table12[[Column2]:[Column54]],24,FALSE),"0")</f>
        <v>4</v>
      </c>
      <c r="Z178" s="65">
        <f>IFERROR(VLOOKUP(Table1215[[#This Row],[Column2]],Table12[[Column2]:[Column54]],25,FALSE),"0")</f>
        <v>0</v>
      </c>
      <c r="AA178" s="65">
        <f>IFERROR(VLOOKUP(Table1215[[#This Row],[Column2]],Table12[[Column2]:[Column54]],26,FALSE),"0")</f>
        <v>0</v>
      </c>
      <c r="AB178" s="65">
        <f>IFERROR(VLOOKUP(Table1215[[#This Row],[Column2]],Table12[[Column2]:[Column54]],27,FALSE),"0")</f>
        <v>0</v>
      </c>
      <c r="AC178" s="65">
        <f>IFERROR(VLOOKUP(Table1215[[#This Row],[Column2]],Table12[[Column2]:[Column54]],28,FALSE),"0")</f>
        <v>0</v>
      </c>
      <c r="AD178" s="67">
        <f>Table1215[[#This Row],[Column25]]</f>
        <v>4</v>
      </c>
      <c r="AE178" s="65">
        <f>IFERROR(VLOOKUP(Table1215[[#This Row],[Column2]],Table12[[Column2]:[Column54]],30,FALSE),"0")</f>
        <v>0</v>
      </c>
      <c r="AF178" s="65">
        <f>IFERROR(VLOOKUP(Table1215[[#This Row],[Column2]],Table12[[Column2]:[Column54]],31,FALSE),"0")</f>
        <v>0</v>
      </c>
      <c r="AG178" s="65">
        <f>IFERROR(VLOOKUP(Table1215[[#This Row],[Column2]],Table12[[Column2]:[Column54]],32,FALSE),"0")</f>
        <v>0</v>
      </c>
      <c r="AH178" s="65">
        <f>IFERROR(VLOOKUP(Table1215[[#This Row],[Column2]],Table12[[Column2]:[Column54]],33,FALSE),"0")</f>
        <v>0</v>
      </c>
      <c r="AI178" s="65">
        <f>IFERROR(VLOOKUP(Table1215[[#This Row],[Column2]],Table12[[Column2]:[Column54]],34,FALSE),"0")</f>
        <v>0</v>
      </c>
      <c r="AJ178" s="67">
        <f>AVERAGE(Table1215[[#This Row],[Column31]],Table1215[[#This Row],[Column32]],Table1215[[#This Row],[Column33]])</f>
        <v>0</v>
      </c>
      <c r="AK178" s="65">
        <f>IFERROR(VLOOKUP(Table1215[[#This Row],[Column2]],Table12[[Column2]:[Column54]],36,FALSE),"0")</f>
        <v>3</v>
      </c>
      <c r="AL178" s="65">
        <f>IFERROR(VLOOKUP(Table1215[[#This Row],[Column2]],Table12[[Column2]:[Column54]],37,FALSE),"0")</f>
        <v>4</v>
      </c>
      <c r="AM178" s="65">
        <f>IFERROR(VLOOKUP(Table1215[[#This Row],[Column2]],Table12[[Column2]:[Column54]],38,FALSE),"0")</f>
        <v>0</v>
      </c>
      <c r="AN178" s="65">
        <f>IFERROR(VLOOKUP(Table1215[[#This Row],[Column2]],Table12[[Column2]:[Column54]],39,FALSE),"0")</f>
        <v>4</v>
      </c>
      <c r="AO178" s="65">
        <f>IFERROR(VLOOKUP(Table1215[[#This Row],[Column2]],Table12[[Column2]:[Column54]],40,FALSE),"0")</f>
        <v>0</v>
      </c>
      <c r="AP178" s="67">
        <f>AVERAGE(Table1215[[#This Row],[Column37]],Table1215[[#This Row],[Column38]],Table1215[[#This Row],[Column40]])</f>
        <v>3.6666666666666665</v>
      </c>
      <c r="AQ178" s="65">
        <f>IFERROR(VLOOKUP(Table1215[[#This Row],[Column2]],Table12[[Column2]:[Column54]],42,FALSE),"0")</f>
        <v>3</v>
      </c>
      <c r="AR178" s="65">
        <f>IFERROR(VLOOKUP(Table1215[[#This Row],[Column2]],Table12[[Column2]:[Column54]],43,FALSE),"0")</f>
        <v>0</v>
      </c>
      <c r="AS178" s="65">
        <f>IFERROR(VLOOKUP(Table1215[[#This Row],[Column2]],Table12[[Column2]:[Column54]],44,FALSE),"0")</f>
        <v>0</v>
      </c>
      <c r="AT178" s="65">
        <f>IFERROR(VLOOKUP(Table1215[[#This Row],[Column2]],Table12[[Column2]:[Column54]],45,FALSE),"0")</f>
        <v>0</v>
      </c>
      <c r="AU178" s="65">
        <f>IFERROR(VLOOKUP(Table1215[[#This Row],[Column2]],Table12[[Column2]:[Column54]],46,FALSE),"0")</f>
        <v>0</v>
      </c>
      <c r="AV178" s="67">
        <f>Table1215[[#This Row],[Column43]]</f>
        <v>3</v>
      </c>
      <c r="AW178" s="65">
        <f>IFERROR(VLOOKUP(Table1215[[#This Row],[Column2]],Table12[[Column2]:[Column54]],48,FALSE),"0")</f>
        <v>0</v>
      </c>
      <c r="AX178" s="65">
        <f>IFERROR(VLOOKUP(Table1215[[#This Row],[Column2]],Table12[[Column2]:[Column54]],49,FALSE),"0")</f>
        <v>0</v>
      </c>
      <c r="AY178" s="65">
        <f>IFERROR(VLOOKUP(Table1215[[#This Row],[Column2]],Table12[[Column2]:[Column54]],50,FALSE),"0")</f>
        <v>0</v>
      </c>
      <c r="AZ178" s="65">
        <f>IFERROR(VLOOKUP(Table1215[[#This Row],[Column2]],Table12[[Column2]:[Column54]],51,FALSE),"0")</f>
        <v>4</v>
      </c>
      <c r="BA178" s="65">
        <f>IFERROR(VLOOKUP(Table1215[[#This Row],[Column2]],Table12[[Column2]:[Column54]],52,FALSE),"0")</f>
        <v>3</v>
      </c>
      <c r="BB178" s="67">
        <f>AVERAGE(Table1215[[#This Row],[Column52]],Table1215[[#This Row],[Column53]])</f>
        <v>3.5</v>
      </c>
    </row>
    <row r="179" spans="1:54" ht="23.1" customHeight="1" x14ac:dyDescent="0.3">
      <c r="A179" s="87">
        <v>176</v>
      </c>
      <c r="B179" s="70" t="s">
        <v>402</v>
      </c>
      <c r="C179" s="71" t="s">
        <v>403</v>
      </c>
      <c r="D179" s="70" t="s">
        <v>450</v>
      </c>
      <c r="E179" s="70" t="s">
        <v>493</v>
      </c>
      <c r="F179" s="70" t="str">
        <f>REPT(CHAR(160),10)&amp;Working!$E180</f>
        <v>          C</v>
      </c>
      <c r="G179" s="61">
        <f>IFERROR(VLOOKUP(Table1215[[#This Row],[Column2]],Table12[[Column2]:[Column54]],6,FALSE),"0")</f>
        <v>0</v>
      </c>
      <c r="H179" s="61">
        <f>IFERROR(VLOOKUP(Table1215[[#This Row],[Column2]],Table12[[Column2]:[Column54]],7,FALSE),"0")</f>
        <v>0</v>
      </c>
      <c r="I179" s="61">
        <f>IFERROR(VLOOKUP(Table1215[[#This Row],[Column2]],Table12[[Column2]:[Column54]],8,FALSE),"0")</f>
        <v>0</v>
      </c>
      <c r="J179" s="61">
        <f>IFERROR(VLOOKUP(Table1215[[#This Row],[Column2]],Table12[[Column2]:[Column54]],9,FALSE),"0")</f>
        <v>0</v>
      </c>
      <c r="K179" s="61">
        <f>IFERROR(VLOOKUP(Table1215[[#This Row],[Column2]],Table12[[Column2]:[Column54]],10,FALSE),"0")</f>
        <v>0</v>
      </c>
      <c r="L179" s="67">
        <f>Table1215[[#This Row],[Column9]]</f>
        <v>0</v>
      </c>
      <c r="M179" s="61">
        <f>IFERROR(VLOOKUP(Table1215[[#This Row],[Column2]],Table12[[Column2]:[Column54]],12,FALSE),"0")</f>
        <v>0</v>
      </c>
      <c r="N179" s="61">
        <f>IFERROR(VLOOKUP(Table1215[[#This Row],[Column2]],Table12[[Column2]:[Column54]],13,FALSE),"0")</f>
        <v>0</v>
      </c>
      <c r="O179" s="61">
        <f>IFERROR(VLOOKUP(Table1215[[#This Row],[Column2]],Table12[[Column2]:[Column54]],14,FALSE),"0")</f>
        <v>0</v>
      </c>
      <c r="P179" s="61">
        <f>IFERROR(VLOOKUP(Table1215[[#This Row],[Column2]],Table12[[Column2]:[Column54]],10,FALSE),"0")</f>
        <v>0</v>
      </c>
      <c r="Q179" s="61">
        <f>IFERROR(VLOOKUP(Table1215[[#This Row],[Column2]],Table12[[Column2]:[Column54]],16,FALSE),"0")</f>
        <v>0</v>
      </c>
      <c r="R179" s="67">
        <f>AVERAGE(Table1215[[#This Row],[Column14]],Table1215[[#This Row],[Column15]],Table1215[[#This Row],[Column17]])</f>
        <v>0</v>
      </c>
      <c r="S179" s="61">
        <f>IFERROR(VLOOKUP(Table1215[[#This Row],[Column2]],Table12[[Column2]:[Column54]],18,FALSE),"0")</f>
        <v>0</v>
      </c>
      <c r="T179" s="61">
        <f>IFERROR(VLOOKUP(Table1215[[#This Row],[Column2]],Table12[[Column2]:[Column54]],19,FALSE),"0")</f>
        <v>0</v>
      </c>
      <c r="U179" s="61">
        <f>IFERROR(VLOOKUP(Table1215[[#This Row],[Column2]],Table12[[Column2]:[Column54]],20,FALSE),"0")</f>
        <v>0</v>
      </c>
      <c r="V179" s="61">
        <f>IFERROR(VLOOKUP(Table1215[[#This Row],[Column2]],Table12[[Column2]:[Column54]],21,FALSE),"0")</f>
        <v>0</v>
      </c>
      <c r="W179" s="61">
        <f>IFERROR(VLOOKUP(Table1215[[#This Row],[Column2]],Table12[[Column2]:[Column54]],22,FALSE),"0")</f>
        <v>0</v>
      </c>
      <c r="X179" s="67">
        <f>Table1215[[#This Row],[Column19]]</f>
        <v>0</v>
      </c>
      <c r="Y179" s="61">
        <f>IFERROR(VLOOKUP(Table1215[[#This Row],[Column2]],Table12[[Column2]:[Column54]],24,FALSE),"0")</f>
        <v>0</v>
      </c>
      <c r="Z179" s="61">
        <f>IFERROR(VLOOKUP(Table1215[[#This Row],[Column2]],Table12[[Column2]:[Column54]],25,FALSE),"0")</f>
        <v>0</v>
      </c>
      <c r="AA179" s="61">
        <f>IFERROR(VLOOKUP(Table1215[[#This Row],[Column2]],Table12[[Column2]:[Column54]],26,FALSE),"0")</f>
        <v>0</v>
      </c>
      <c r="AB179" s="61">
        <f>IFERROR(VLOOKUP(Table1215[[#This Row],[Column2]],Table12[[Column2]:[Column54]],27,FALSE),"0")</f>
        <v>0</v>
      </c>
      <c r="AC179" s="61">
        <f>IFERROR(VLOOKUP(Table1215[[#This Row],[Column2]],Table12[[Column2]:[Column54]],28,FALSE),"0")</f>
        <v>0</v>
      </c>
      <c r="AD179" s="67">
        <f>Table1215[[#This Row],[Column25]]</f>
        <v>0</v>
      </c>
      <c r="AE179" s="61">
        <f>IFERROR(VLOOKUP(Table1215[[#This Row],[Column2]],Table12[[Column2]:[Column54]],30,FALSE),"0")</f>
        <v>0</v>
      </c>
      <c r="AF179" s="61">
        <f>IFERROR(VLOOKUP(Table1215[[#This Row],[Column2]],Table12[[Column2]:[Column54]],31,FALSE),"0")</f>
        <v>0</v>
      </c>
      <c r="AG179" s="61">
        <f>IFERROR(VLOOKUP(Table1215[[#This Row],[Column2]],Table12[[Column2]:[Column54]],32,FALSE),"0")</f>
        <v>0</v>
      </c>
      <c r="AH179" s="61">
        <f>IFERROR(VLOOKUP(Table1215[[#This Row],[Column2]],Table12[[Column2]:[Column54]],33,FALSE),"0")</f>
        <v>0</v>
      </c>
      <c r="AI179" s="61">
        <f>IFERROR(VLOOKUP(Table1215[[#This Row],[Column2]],Table12[[Column2]:[Column54]],34,FALSE),"0")</f>
        <v>0</v>
      </c>
      <c r="AJ179" s="67">
        <f>AVERAGE(Table1215[[#This Row],[Column31]],Table1215[[#This Row],[Column32]],Table1215[[#This Row],[Column33]])</f>
        <v>0</v>
      </c>
      <c r="AK179" s="61">
        <f>IFERROR(VLOOKUP(Table1215[[#This Row],[Column2]],Table12[[Column2]:[Column54]],36,FALSE),"0")</f>
        <v>0</v>
      </c>
      <c r="AL179" s="61">
        <f>IFERROR(VLOOKUP(Table1215[[#This Row],[Column2]],Table12[[Column2]:[Column54]],37,FALSE),"0")</f>
        <v>0</v>
      </c>
      <c r="AM179" s="61">
        <f>IFERROR(VLOOKUP(Table1215[[#This Row],[Column2]],Table12[[Column2]:[Column54]],38,FALSE),"0")</f>
        <v>0</v>
      </c>
      <c r="AN179" s="61">
        <f>IFERROR(VLOOKUP(Table1215[[#This Row],[Column2]],Table12[[Column2]:[Column54]],39,FALSE),"0")</f>
        <v>0</v>
      </c>
      <c r="AO179" s="61">
        <f>IFERROR(VLOOKUP(Table1215[[#This Row],[Column2]],Table12[[Column2]:[Column54]],40,FALSE),"0")</f>
        <v>0</v>
      </c>
      <c r="AP179" s="67">
        <f>AVERAGE(Table1215[[#This Row],[Column37]],Table1215[[#This Row],[Column38]],Table1215[[#This Row],[Column40]])</f>
        <v>0</v>
      </c>
      <c r="AQ179" s="61">
        <f>IFERROR(VLOOKUP(Table1215[[#This Row],[Column2]],Table12[[Column2]:[Column54]],42,FALSE),"0")</f>
        <v>0</v>
      </c>
      <c r="AR179" s="61">
        <f>IFERROR(VLOOKUP(Table1215[[#This Row],[Column2]],Table12[[Column2]:[Column54]],43,FALSE),"0")</f>
        <v>0</v>
      </c>
      <c r="AS179" s="61">
        <f>IFERROR(VLOOKUP(Table1215[[#This Row],[Column2]],Table12[[Column2]:[Column54]],44,FALSE),"0")</f>
        <v>0</v>
      </c>
      <c r="AT179" s="61">
        <f>IFERROR(VLOOKUP(Table1215[[#This Row],[Column2]],Table12[[Column2]:[Column54]],45,FALSE),"0")</f>
        <v>0</v>
      </c>
      <c r="AU179" s="61">
        <f>IFERROR(VLOOKUP(Table1215[[#This Row],[Column2]],Table12[[Column2]:[Column54]],46,FALSE),"0")</f>
        <v>0</v>
      </c>
      <c r="AV179" s="67">
        <f>Table1215[[#This Row],[Column43]]</f>
        <v>0</v>
      </c>
      <c r="AW179" s="61">
        <f>IFERROR(VLOOKUP(Table1215[[#This Row],[Column2]],Table12[[Column2]:[Column54]],48,FALSE),"0")</f>
        <v>0</v>
      </c>
      <c r="AX179" s="61">
        <f>IFERROR(VLOOKUP(Table1215[[#This Row],[Column2]],Table12[[Column2]:[Column54]],49,FALSE),"0")</f>
        <v>0</v>
      </c>
      <c r="AY179" s="61">
        <f>IFERROR(VLOOKUP(Table1215[[#This Row],[Column2]],Table12[[Column2]:[Column54]],50,FALSE),"0")</f>
        <v>0</v>
      </c>
      <c r="AZ179" s="61">
        <f>IFERROR(VLOOKUP(Table1215[[#This Row],[Column2]],Table12[[Column2]:[Column54]],51,FALSE),"0")</f>
        <v>0</v>
      </c>
      <c r="BA179" s="61">
        <f>IFERROR(VLOOKUP(Table1215[[#This Row],[Column2]],Table12[[Column2]:[Column54]],52,FALSE),"0")</f>
        <v>0</v>
      </c>
      <c r="BB179" s="67">
        <f>AVERAGE(Table1215[[#This Row],[Column52]],Table1215[[#This Row],[Column53]])</f>
        <v>0</v>
      </c>
    </row>
    <row r="180" spans="1:54" ht="23.1" customHeight="1" x14ac:dyDescent="0.3">
      <c r="A180" s="86">
        <v>177</v>
      </c>
      <c r="B180" s="63" t="s">
        <v>271</v>
      </c>
      <c r="C180" s="64" t="s">
        <v>272</v>
      </c>
      <c r="D180" s="63" t="s">
        <v>450</v>
      </c>
      <c r="E180" s="63" t="s">
        <v>161</v>
      </c>
      <c r="F180" s="63" t="str">
        <f>REPT(CHAR(160),10)&amp;Working!$E181</f>
        <v>          B</v>
      </c>
      <c r="G180" s="65">
        <f>IFERROR(VLOOKUP(Table1215[[#This Row],[Column2]],Table12[[Column2]:[Column54]],6,FALSE),"0")</f>
        <v>0</v>
      </c>
      <c r="H180" s="65">
        <f>IFERROR(VLOOKUP(Table1215[[#This Row],[Column2]],Table12[[Column2]:[Column54]],7,FALSE),"0")</f>
        <v>0</v>
      </c>
      <c r="I180" s="65">
        <f>IFERROR(VLOOKUP(Table1215[[#This Row],[Column2]],Table12[[Column2]:[Column54]],8,FALSE),"0")</f>
        <v>3</v>
      </c>
      <c r="J180" s="65">
        <f>IFERROR(VLOOKUP(Table1215[[#This Row],[Column2]],Table12[[Column2]:[Column54]],9,FALSE),"0")</f>
        <v>0</v>
      </c>
      <c r="K180" s="65">
        <f>IFERROR(VLOOKUP(Table1215[[#This Row],[Column2]],Table12[[Column2]:[Column54]],10,FALSE),"0")</f>
        <v>0</v>
      </c>
      <c r="L180" s="67">
        <f>Table1215[[#This Row],[Column9]]</f>
        <v>3</v>
      </c>
      <c r="M180" s="65">
        <f>IFERROR(VLOOKUP(Table1215[[#This Row],[Column2]],Table12[[Column2]:[Column54]],12,FALSE),"0")</f>
        <v>0</v>
      </c>
      <c r="N180" s="65">
        <f>IFERROR(VLOOKUP(Table1215[[#This Row],[Column2]],Table12[[Column2]:[Column54]],13,FALSE),"0")</f>
        <v>4</v>
      </c>
      <c r="O180" s="65">
        <f>IFERROR(VLOOKUP(Table1215[[#This Row],[Column2]],Table12[[Column2]:[Column54]],14,FALSE),"0")</f>
        <v>4</v>
      </c>
      <c r="P180" s="65">
        <f>IFERROR(VLOOKUP(Table1215[[#This Row],[Column2]],Table12[[Column2]:[Column54]],10,FALSE),"0")</f>
        <v>0</v>
      </c>
      <c r="Q180" s="65">
        <f>IFERROR(VLOOKUP(Table1215[[#This Row],[Column2]],Table12[[Column2]:[Column54]],16,FALSE),"0")</f>
        <v>4</v>
      </c>
      <c r="R180" s="67">
        <f>AVERAGE(Table1215[[#This Row],[Column14]],Table1215[[#This Row],[Column15]],Table1215[[#This Row],[Column17]])</f>
        <v>4</v>
      </c>
      <c r="S180" s="65">
        <f>IFERROR(VLOOKUP(Table1215[[#This Row],[Column2]],Table12[[Column2]:[Column54]],18,FALSE),"0")</f>
        <v>0</v>
      </c>
      <c r="T180" s="65">
        <f>IFERROR(VLOOKUP(Table1215[[#This Row],[Column2]],Table12[[Column2]:[Column54]],19,FALSE),"0")</f>
        <v>0</v>
      </c>
      <c r="U180" s="65">
        <f>IFERROR(VLOOKUP(Table1215[[#This Row],[Column2]],Table12[[Column2]:[Column54]],20,FALSE),"0")</f>
        <v>0</v>
      </c>
      <c r="V180" s="65">
        <f>IFERROR(VLOOKUP(Table1215[[#This Row],[Column2]],Table12[[Column2]:[Column54]],21,FALSE),"0")</f>
        <v>0</v>
      </c>
      <c r="W180" s="65">
        <f>IFERROR(VLOOKUP(Table1215[[#This Row],[Column2]],Table12[[Column2]:[Column54]],22,FALSE),"0")</f>
        <v>0</v>
      </c>
      <c r="X180" s="67">
        <f>Table1215[[#This Row],[Column19]]</f>
        <v>0</v>
      </c>
      <c r="Y180" s="65">
        <f>IFERROR(VLOOKUP(Table1215[[#This Row],[Column2]],Table12[[Column2]:[Column54]],24,FALSE),"0")</f>
        <v>3</v>
      </c>
      <c r="Z180" s="65">
        <f>IFERROR(VLOOKUP(Table1215[[#This Row],[Column2]],Table12[[Column2]:[Column54]],25,FALSE),"0")</f>
        <v>0</v>
      </c>
      <c r="AA180" s="65">
        <f>IFERROR(VLOOKUP(Table1215[[#This Row],[Column2]],Table12[[Column2]:[Column54]],26,FALSE),"0")</f>
        <v>0</v>
      </c>
      <c r="AB180" s="65">
        <f>IFERROR(VLOOKUP(Table1215[[#This Row],[Column2]],Table12[[Column2]:[Column54]],27,FALSE),"0")</f>
        <v>0</v>
      </c>
      <c r="AC180" s="65">
        <f>IFERROR(VLOOKUP(Table1215[[#This Row],[Column2]],Table12[[Column2]:[Column54]],28,FALSE),"0")</f>
        <v>0</v>
      </c>
      <c r="AD180" s="67">
        <f>Table1215[[#This Row],[Column25]]</f>
        <v>3</v>
      </c>
      <c r="AE180" s="65">
        <f>IFERROR(VLOOKUP(Table1215[[#This Row],[Column2]],Table12[[Column2]:[Column54]],30,FALSE),"0")</f>
        <v>0</v>
      </c>
      <c r="AF180" s="65">
        <f>IFERROR(VLOOKUP(Table1215[[#This Row],[Column2]],Table12[[Column2]:[Column54]],31,FALSE),"0")</f>
        <v>0</v>
      </c>
      <c r="AG180" s="65">
        <f>IFERROR(VLOOKUP(Table1215[[#This Row],[Column2]],Table12[[Column2]:[Column54]],32,FALSE),"0")</f>
        <v>0</v>
      </c>
      <c r="AH180" s="65">
        <f>IFERROR(VLOOKUP(Table1215[[#This Row],[Column2]],Table12[[Column2]:[Column54]],33,FALSE),"0")</f>
        <v>0</v>
      </c>
      <c r="AI180" s="65">
        <f>IFERROR(VLOOKUP(Table1215[[#This Row],[Column2]],Table12[[Column2]:[Column54]],34,FALSE),"0")</f>
        <v>0</v>
      </c>
      <c r="AJ180" s="67">
        <f>AVERAGE(Table1215[[#This Row],[Column31]],Table1215[[#This Row],[Column32]],Table1215[[#This Row],[Column33]])</f>
        <v>0</v>
      </c>
      <c r="AK180" s="65">
        <f>IFERROR(VLOOKUP(Table1215[[#This Row],[Column2]],Table12[[Column2]:[Column54]],36,FALSE),"0")</f>
        <v>3</v>
      </c>
      <c r="AL180" s="65">
        <f>IFERROR(VLOOKUP(Table1215[[#This Row],[Column2]],Table12[[Column2]:[Column54]],37,FALSE),"0")</f>
        <v>3</v>
      </c>
      <c r="AM180" s="65">
        <f>IFERROR(VLOOKUP(Table1215[[#This Row],[Column2]],Table12[[Column2]:[Column54]],38,FALSE),"0")</f>
        <v>0</v>
      </c>
      <c r="AN180" s="65">
        <f>IFERROR(VLOOKUP(Table1215[[#This Row],[Column2]],Table12[[Column2]:[Column54]],39,FALSE),"0")</f>
        <v>4</v>
      </c>
      <c r="AO180" s="65">
        <f>IFERROR(VLOOKUP(Table1215[[#This Row],[Column2]],Table12[[Column2]:[Column54]],40,FALSE),"0")</f>
        <v>0</v>
      </c>
      <c r="AP180" s="67">
        <f>AVERAGE(Table1215[[#This Row],[Column37]],Table1215[[#This Row],[Column38]],Table1215[[#This Row],[Column40]])</f>
        <v>3.3333333333333335</v>
      </c>
      <c r="AQ180" s="65">
        <f>IFERROR(VLOOKUP(Table1215[[#This Row],[Column2]],Table12[[Column2]:[Column54]],42,FALSE),"0")</f>
        <v>3</v>
      </c>
      <c r="AR180" s="65">
        <f>IFERROR(VLOOKUP(Table1215[[#This Row],[Column2]],Table12[[Column2]:[Column54]],43,FALSE),"0")</f>
        <v>0</v>
      </c>
      <c r="AS180" s="65">
        <f>IFERROR(VLOOKUP(Table1215[[#This Row],[Column2]],Table12[[Column2]:[Column54]],44,FALSE),"0")</f>
        <v>0</v>
      </c>
      <c r="AT180" s="65">
        <f>IFERROR(VLOOKUP(Table1215[[#This Row],[Column2]],Table12[[Column2]:[Column54]],45,FALSE),"0")</f>
        <v>0</v>
      </c>
      <c r="AU180" s="65">
        <f>IFERROR(VLOOKUP(Table1215[[#This Row],[Column2]],Table12[[Column2]:[Column54]],46,FALSE),"0")</f>
        <v>0</v>
      </c>
      <c r="AV180" s="67">
        <f>Table1215[[#This Row],[Column43]]</f>
        <v>3</v>
      </c>
      <c r="AW180" s="65">
        <f>IFERROR(VLOOKUP(Table1215[[#This Row],[Column2]],Table12[[Column2]:[Column54]],48,FALSE),"0")</f>
        <v>0</v>
      </c>
      <c r="AX180" s="65">
        <f>IFERROR(VLOOKUP(Table1215[[#This Row],[Column2]],Table12[[Column2]:[Column54]],49,FALSE),"0")</f>
        <v>0</v>
      </c>
      <c r="AY180" s="65">
        <f>IFERROR(VLOOKUP(Table1215[[#This Row],[Column2]],Table12[[Column2]:[Column54]],50,FALSE),"0")</f>
        <v>0</v>
      </c>
      <c r="AZ180" s="65">
        <f>IFERROR(VLOOKUP(Table1215[[#This Row],[Column2]],Table12[[Column2]:[Column54]],51,FALSE),"0")</f>
        <v>4</v>
      </c>
      <c r="BA180" s="65">
        <f>IFERROR(VLOOKUP(Table1215[[#This Row],[Column2]],Table12[[Column2]:[Column54]],52,FALSE),"0")</f>
        <v>3</v>
      </c>
      <c r="BB180" s="67">
        <f>AVERAGE(Table1215[[#This Row],[Column52]],Table1215[[#This Row],[Column53]])</f>
        <v>3.5</v>
      </c>
    </row>
    <row r="181" spans="1:54" ht="23.1" customHeight="1" x14ac:dyDescent="0.3">
      <c r="A181" s="87">
        <v>178</v>
      </c>
      <c r="B181" s="70" t="s">
        <v>52</v>
      </c>
      <c r="C181" s="71" t="s">
        <v>53</v>
      </c>
      <c r="D181" s="70" t="s">
        <v>542</v>
      </c>
      <c r="E181" s="70" t="s">
        <v>35</v>
      </c>
      <c r="F181" s="70" t="str">
        <f>REPT(CHAR(160),10)&amp;Working!$E182</f>
        <v>          A</v>
      </c>
      <c r="G181" s="61">
        <f>IFERROR(VLOOKUP(Table1215[[#This Row],[Column2]],Table12[[Column2]:[Column54]],6,FALSE),"0")</f>
        <v>0</v>
      </c>
      <c r="H181" s="61">
        <f>IFERROR(VLOOKUP(Table1215[[#This Row],[Column2]],Table12[[Column2]:[Column54]],7,FALSE),"0")</f>
        <v>0</v>
      </c>
      <c r="I181" s="61">
        <f>IFERROR(VLOOKUP(Table1215[[#This Row],[Column2]],Table12[[Column2]:[Column54]],8,FALSE),"0")</f>
        <v>5</v>
      </c>
      <c r="J181" s="61">
        <f>IFERROR(VLOOKUP(Table1215[[#This Row],[Column2]],Table12[[Column2]:[Column54]],9,FALSE),"0")</f>
        <v>0</v>
      </c>
      <c r="K181" s="61">
        <f>IFERROR(VLOOKUP(Table1215[[#This Row],[Column2]],Table12[[Column2]:[Column54]],10,FALSE),"0")</f>
        <v>0</v>
      </c>
      <c r="L181" s="67">
        <f>Table1215[[#This Row],[Column9]]</f>
        <v>5</v>
      </c>
      <c r="M181" s="61">
        <f>IFERROR(VLOOKUP(Table1215[[#This Row],[Column2]],Table12[[Column2]:[Column54]],12,FALSE),"0")</f>
        <v>0</v>
      </c>
      <c r="N181" s="61">
        <f>IFERROR(VLOOKUP(Table1215[[#This Row],[Column2]],Table12[[Column2]:[Column54]],13,FALSE),"0")</f>
        <v>5</v>
      </c>
      <c r="O181" s="61">
        <f>IFERROR(VLOOKUP(Table1215[[#This Row],[Column2]],Table12[[Column2]:[Column54]],14,FALSE),"0")</f>
        <v>4</v>
      </c>
      <c r="P181" s="61">
        <f>IFERROR(VLOOKUP(Table1215[[#This Row],[Column2]],Table12[[Column2]:[Column54]],10,FALSE),"0")</f>
        <v>0</v>
      </c>
      <c r="Q181" s="61">
        <f>IFERROR(VLOOKUP(Table1215[[#This Row],[Column2]],Table12[[Column2]:[Column54]],16,FALSE),"0")</f>
        <v>4</v>
      </c>
      <c r="R181" s="67">
        <f>AVERAGE(Table1215[[#This Row],[Column14]],Table1215[[#This Row],[Column15]],Table1215[[#This Row],[Column17]])</f>
        <v>4.333333333333333</v>
      </c>
      <c r="S181" s="61">
        <f>IFERROR(VLOOKUP(Table1215[[#This Row],[Column2]],Table12[[Column2]:[Column54]],18,FALSE),"0")</f>
        <v>0</v>
      </c>
      <c r="T181" s="61">
        <f>IFERROR(VLOOKUP(Table1215[[#This Row],[Column2]],Table12[[Column2]:[Column54]],19,FALSE),"0")</f>
        <v>0</v>
      </c>
      <c r="U181" s="61">
        <f>IFERROR(VLOOKUP(Table1215[[#This Row],[Column2]],Table12[[Column2]:[Column54]],20,FALSE),"0")</f>
        <v>0</v>
      </c>
      <c r="V181" s="61">
        <f>IFERROR(VLOOKUP(Table1215[[#This Row],[Column2]],Table12[[Column2]:[Column54]],21,FALSE),"0")</f>
        <v>0</v>
      </c>
      <c r="W181" s="61">
        <f>IFERROR(VLOOKUP(Table1215[[#This Row],[Column2]],Table12[[Column2]:[Column54]],22,FALSE),"0")</f>
        <v>0</v>
      </c>
      <c r="X181" s="67">
        <f>Table1215[[#This Row],[Column19]]</f>
        <v>0</v>
      </c>
      <c r="Y181" s="61">
        <f>IFERROR(VLOOKUP(Table1215[[#This Row],[Column2]],Table12[[Column2]:[Column54]],24,FALSE),"0")</f>
        <v>5</v>
      </c>
      <c r="Z181" s="61">
        <f>IFERROR(VLOOKUP(Table1215[[#This Row],[Column2]],Table12[[Column2]:[Column54]],25,FALSE),"0")</f>
        <v>0</v>
      </c>
      <c r="AA181" s="61">
        <f>IFERROR(VLOOKUP(Table1215[[#This Row],[Column2]],Table12[[Column2]:[Column54]],26,FALSE),"0")</f>
        <v>0</v>
      </c>
      <c r="AB181" s="61">
        <f>IFERROR(VLOOKUP(Table1215[[#This Row],[Column2]],Table12[[Column2]:[Column54]],27,FALSE),"0")</f>
        <v>0</v>
      </c>
      <c r="AC181" s="61">
        <f>IFERROR(VLOOKUP(Table1215[[#This Row],[Column2]],Table12[[Column2]:[Column54]],28,FALSE),"0")</f>
        <v>0</v>
      </c>
      <c r="AD181" s="67">
        <f>Table1215[[#This Row],[Column25]]</f>
        <v>5</v>
      </c>
      <c r="AE181" s="61">
        <f>IFERROR(VLOOKUP(Table1215[[#This Row],[Column2]],Table12[[Column2]:[Column54]],30,FALSE),"0")</f>
        <v>0</v>
      </c>
      <c r="AF181" s="61">
        <f>IFERROR(VLOOKUP(Table1215[[#This Row],[Column2]],Table12[[Column2]:[Column54]],31,FALSE),"0")</f>
        <v>0</v>
      </c>
      <c r="AG181" s="61">
        <f>IFERROR(VLOOKUP(Table1215[[#This Row],[Column2]],Table12[[Column2]:[Column54]],32,FALSE),"0")</f>
        <v>0</v>
      </c>
      <c r="AH181" s="61">
        <f>IFERROR(VLOOKUP(Table1215[[#This Row],[Column2]],Table12[[Column2]:[Column54]],33,FALSE),"0")</f>
        <v>0</v>
      </c>
      <c r="AI181" s="61">
        <f>IFERROR(VLOOKUP(Table1215[[#This Row],[Column2]],Table12[[Column2]:[Column54]],34,FALSE),"0")</f>
        <v>0</v>
      </c>
      <c r="AJ181" s="67">
        <f>AVERAGE(Table1215[[#This Row],[Column31]],Table1215[[#This Row],[Column32]],Table1215[[#This Row],[Column33]])</f>
        <v>0</v>
      </c>
      <c r="AK181" s="61">
        <f>IFERROR(VLOOKUP(Table1215[[#This Row],[Column2]],Table12[[Column2]:[Column54]],36,FALSE),"0")</f>
        <v>5</v>
      </c>
      <c r="AL181" s="61">
        <f>IFERROR(VLOOKUP(Table1215[[#This Row],[Column2]],Table12[[Column2]:[Column54]],37,FALSE),"0")</f>
        <v>5</v>
      </c>
      <c r="AM181" s="61">
        <f>IFERROR(VLOOKUP(Table1215[[#This Row],[Column2]],Table12[[Column2]:[Column54]],38,FALSE),"0")</f>
        <v>0</v>
      </c>
      <c r="AN181" s="61">
        <f>IFERROR(VLOOKUP(Table1215[[#This Row],[Column2]],Table12[[Column2]:[Column54]],39,FALSE),"0")</f>
        <v>5</v>
      </c>
      <c r="AO181" s="61">
        <f>IFERROR(VLOOKUP(Table1215[[#This Row],[Column2]],Table12[[Column2]:[Column54]],40,FALSE),"0")</f>
        <v>0</v>
      </c>
      <c r="AP181" s="67">
        <f>AVERAGE(Table1215[[#This Row],[Column37]],Table1215[[#This Row],[Column38]],Table1215[[#This Row],[Column40]])</f>
        <v>5</v>
      </c>
      <c r="AQ181" s="61">
        <f>IFERROR(VLOOKUP(Table1215[[#This Row],[Column2]],Table12[[Column2]:[Column54]],42,FALSE),"0")</f>
        <v>5</v>
      </c>
      <c r="AR181" s="61">
        <f>IFERROR(VLOOKUP(Table1215[[#This Row],[Column2]],Table12[[Column2]:[Column54]],43,FALSE),"0")</f>
        <v>0</v>
      </c>
      <c r="AS181" s="61">
        <f>IFERROR(VLOOKUP(Table1215[[#This Row],[Column2]],Table12[[Column2]:[Column54]],44,FALSE),"0")</f>
        <v>0</v>
      </c>
      <c r="AT181" s="61">
        <f>IFERROR(VLOOKUP(Table1215[[#This Row],[Column2]],Table12[[Column2]:[Column54]],45,FALSE),"0")</f>
        <v>0</v>
      </c>
      <c r="AU181" s="61">
        <f>IFERROR(VLOOKUP(Table1215[[#This Row],[Column2]],Table12[[Column2]:[Column54]],46,FALSE),"0")</f>
        <v>0</v>
      </c>
      <c r="AV181" s="67">
        <f>Table1215[[#This Row],[Column43]]</f>
        <v>5</v>
      </c>
      <c r="AW181" s="61">
        <f>IFERROR(VLOOKUP(Table1215[[#This Row],[Column2]],Table12[[Column2]:[Column54]],48,FALSE),"0")</f>
        <v>0</v>
      </c>
      <c r="AX181" s="61">
        <f>IFERROR(VLOOKUP(Table1215[[#This Row],[Column2]],Table12[[Column2]:[Column54]],49,FALSE),"0")</f>
        <v>0</v>
      </c>
      <c r="AY181" s="61">
        <f>IFERROR(VLOOKUP(Table1215[[#This Row],[Column2]],Table12[[Column2]:[Column54]],50,FALSE),"0")</f>
        <v>0</v>
      </c>
      <c r="AZ181" s="61">
        <f>IFERROR(VLOOKUP(Table1215[[#This Row],[Column2]],Table12[[Column2]:[Column54]],51,FALSE),"0")</f>
        <v>5</v>
      </c>
      <c r="BA181" s="61">
        <f>IFERROR(VLOOKUP(Table1215[[#This Row],[Column2]],Table12[[Column2]:[Column54]],52,FALSE),"0")</f>
        <v>5</v>
      </c>
      <c r="BB181" s="67">
        <f>AVERAGE(Table1215[[#This Row],[Column52]],Table1215[[#This Row],[Column53]])</f>
        <v>5</v>
      </c>
    </row>
    <row r="182" spans="1:54" ht="23.1" customHeight="1" x14ac:dyDescent="0.3">
      <c r="A182" s="86">
        <v>179</v>
      </c>
      <c r="B182" s="63" t="s">
        <v>239</v>
      </c>
      <c r="C182" s="64" t="s">
        <v>240</v>
      </c>
      <c r="D182" s="63" t="s">
        <v>542</v>
      </c>
      <c r="E182" s="63" t="s">
        <v>161</v>
      </c>
      <c r="F182" s="63" t="str">
        <f>REPT(CHAR(160),10)&amp;Working!$E183</f>
        <v>          B</v>
      </c>
      <c r="G182" s="65">
        <f>IFERROR(VLOOKUP(Table1215[[#This Row],[Column2]],Table12[[Column2]:[Column54]],6,FALSE),"0")</f>
        <v>0</v>
      </c>
      <c r="H182" s="65">
        <f>IFERROR(VLOOKUP(Table1215[[#This Row],[Column2]],Table12[[Column2]:[Column54]],7,FALSE),"0")</f>
        <v>0</v>
      </c>
      <c r="I182" s="65">
        <f>IFERROR(VLOOKUP(Table1215[[#This Row],[Column2]],Table12[[Column2]:[Column54]],8,FALSE),"0")</f>
        <v>4</v>
      </c>
      <c r="J182" s="65">
        <f>IFERROR(VLOOKUP(Table1215[[#This Row],[Column2]],Table12[[Column2]:[Column54]],9,FALSE),"0")</f>
        <v>0</v>
      </c>
      <c r="K182" s="65">
        <f>IFERROR(VLOOKUP(Table1215[[#This Row],[Column2]],Table12[[Column2]:[Column54]],10,FALSE),"0")</f>
        <v>0</v>
      </c>
      <c r="L182" s="67">
        <f>Table1215[[#This Row],[Column9]]</f>
        <v>4</v>
      </c>
      <c r="M182" s="65">
        <f>IFERROR(VLOOKUP(Table1215[[#This Row],[Column2]],Table12[[Column2]:[Column54]],12,FALSE),"0")</f>
        <v>0</v>
      </c>
      <c r="N182" s="65">
        <f>IFERROR(VLOOKUP(Table1215[[#This Row],[Column2]],Table12[[Column2]:[Column54]],13,FALSE),"0")</f>
        <v>5</v>
      </c>
      <c r="O182" s="65">
        <f>IFERROR(VLOOKUP(Table1215[[#This Row],[Column2]],Table12[[Column2]:[Column54]],14,FALSE),"0")</f>
        <v>5</v>
      </c>
      <c r="P182" s="65">
        <f>IFERROR(VLOOKUP(Table1215[[#This Row],[Column2]],Table12[[Column2]:[Column54]],10,FALSE),"0")</f>
        <v>0</v>
      </c>
      <c r="Q182" s="65">
        <f>IFERROR(VLOOKUP(Table1215[[#This Row],[Column2]],Table12[[Column2]:[Column54]],16,FALSE),"0")</f>
        <v>5</v>
      </c>
      <c r="R182" s="67">
        <f>AVERAGE(Table1215[[#This Row],[Column14]],Table1215[[#This Row],[Column15]],Table1215[[#This Row],[Column17]])</f>
        <v>5</v>
      </c>
      <c r="S182" s="65">
        <f>IFERROR(VLOOKUP(Table1215[[#This Row],[Column2]],Table12[[Column2]:[Column54]],18,FALSE),"0")</f>
        <v>0</v>
      </c>
      <c r="T182" s="65">
        <f>IFERROR(VLOOKUP(Table1215[[#This Row],[Column2]],Table12[[Column2]:[Column54]],19,FALSE),"0")</f>
        <v>0</v>
      </c>
      <c r="U182" s="65">
        <f>IFERROR(VLOOKUP(Table1215[[#This Row],[Column2]],Table12[[Column2]:[Column54]],20,FALSE),"0")</f>
        <v>0</v>
      </c>
      <c r="V182" s="65">
        <f>IFERROR(VLOOKUP(Table1215[[#This Row],[Column2]],Table12[[Column2]:[Column54]],21,FALSE),"0")</f>
        <v>0</v>
      </c>
      <c r="W182" s="65">
        <f>IFERROR(VLOOKUP(Table1215[[#This Row],[Column2]],Table12[[Column2]:[Column54]],22,FALSE),"0")</f>
        <v>0</v>
      </c>
      <c r="X182" s="67">
        <f>Table1215[[#This Row],[Column19]]</f>
        <v>0</v>
      </c>
      <c r="Y182" s="65">
        <f>IFERROR(VLOOKUP(Table1215[[#This Row],[Column2]],Table12[[Column2]:[Column54]],24,FALSE),"0")</f>
        <v>4</v>
      </c>
      <c r="Z182" s="65">
        <f>IFERROR(VLOOKUP(Table1215[[#This Row],[Column2]],Table12[[Column2]:[Column54]],25,FALSE),"0")</f>
        <v>0</v>
      </c>
      <c r="AA182" s="65">
        <f>IFERROR(VLOOKUP(Table1215[[#This Row],[Column2]],Table12[[Column2]:[Column54]],26,FALSE),"0")</f>
        <v>0</v>
      </c>
      <c r="AB182" s="65">
        <f>IFERROR(VLOOKUP(Table1215[[#This Row],[Column2]],Table12[[Column2]:[Column54]],27,FALSE),"0")</f>
        <v>0</v>
      </c>
      <c r="AC182" s="65">
        <f>IFERROR(VLOOKUP(Table1215[[#This Row],[Column2]],Table12[[Column2]:[Column54]],28,FALSE),"0")</f>
        <v>0</v>
      </c>
      <c r="AD182" s="67">
        <f>Table1215[[#This Row],[Column25]]</f>
        <v>4</v>
      </c>
      <c r="AE182" s="65">
        <f>IFERROR(VLOOKUP(Table1215[[#This Row],[Column2]],Table12[[Column2]:[Column54]],30,FALSE),"0")</f>
        <v>0</v>
      </c>
      <c r="AF182" s="65">
        <f>IFERROR(VLOOKUP(Table1215[[#This Row],[Column2]],Table12[[Column2]:[Column54]],31,FALSE),"0")</f>
        <v>0</v>
      </c>
      <c r="AG182" s="65">
        <f>IFERROR(VLOOKUP(Table1215[[#This Row],[Column2]],Table12[[Column2]:[Column54]],32,FALSE),"0")</f>
        <v>0</v>
      </c>
      <c r="AH182" s="65">
        <f>IFERROR(VLOOKUP(Table1215[[#This Row],[Column2]],Table12[[Column2]:[Column54]],33,FALSE),"0")</f>
        <v>0</v>
      </c>
      <c r="AI182" s="65">
        <f>IFERROR(VLOOKUP(Table1215[[#This Row],[Column2]],Table12[[Column2]:[Column54]],34,FALSE),"0")</f>
        <v>0</v>
      </c>
      <c r="AJ182" s="67">
        <f>AVERAGE(Table1215[[#This Row],[Column31]],Table1215[[#This Row],[Column32]],Table1215[[#This Row],[Column33]])</f>
        <v>0</v>
      </c>
      <c r="AK182" s="65">
        <f>IFERROR(VLOOKUP(Table1215[[#This Row],[Column2]],Table12[[Column2]:[Column54]],36,FALSE),"0")</f>
        <v>5</v>
      </c>
      <c r="AL182" s="65">
        <f>IFERROR(VLOOKUP(Table1215[[#This Row],[Column2]],Table12[[Column2]:[Column54]],37,FALSE),"0")</f>
        <v>5</v>
      </c>
      <c r="AM182" s="65">
        <f>IFERROR(VLOOKUP(Table1215[[#This Row],[Column2]],Table12[[Column2]:[Column54]],38,FALSE),"0")</f>
        <v>0</v>
      </c>
      <c r="AN182" s="65">
        <f>IFERROR(VLOOKUP(Table1215[[#This Row],[Column2]],Table12[[Column2]:[Column54]],39,FALSE),"0")</f>
        <v>5</v>
      </c>
      <c r="AO182" s="65">
        <f>IFERROR(VLOOKUP(Table1215[[#This Row],[Column2]],Table12[[Column2]:[Column54]],40,FALSE),"0")</f>
        <v>0</v>
      </c>
      <c r="AP182" s="67">
        <f>AVERAGE(Table1215[[#This Row],[Column37]],Table1215[[#This Row],[Column38]],Table1215[[#This Row],[Column40]])</f>
        <v>5</v>
      </c>
      <c r="AQ182" s="65">
        <f>IFERROR(VLOOKUP(Table1215[[#This Row],[Column2]],Table12[[Column2]:[Column54]],42,FALSE),"0")</f>
        <v>5</v>
      </c>
      <c r="AR182" s="65">
        <f>IFERROR(VLOOKUP(Table1215[[#This Row],[Column2]],Table12[[Column2]:[Column54]],43,FALSE),"0")</f>
        <v>0</v>
      </c>
      <c r="AS182" s="65">
        <f>IFERROR(VLOOKUP(Table1215[[#This Row],[Column2]],Table12[[Column2]:[Column54]],44,FALSE),"0")</f>
        <v>0</v>
      </c>
      <c r="AT182" s="65">
        <f>IFERROR(VLOOKUP(Table1215[[#This Row],[Column2]],Table12[[Column2]:[Column54]],45,FALSE),"0")</f>
        <v>0</v>
      </c>
      <c r="AU182" s="65">
        <f>IFERROR(VLOOKUP(Table1215[[#This Row],[Column2]],Table12[[Column2]:[Column54]],46,FALSE),"0")</f>
        <v>0</v>
      </c>
      <c r="AV182" s="67">
        <f>Table1215[[#This Row],[Column43]]</f>
        <v>5</v>
      </c>
      <c r="AW182" s="65">
        <f>IFERROR(VLOOKUP(Table1215[[#This Row],[Column2]],Table12[[Column2]:[Column54]],48,FALSE),"0")</f>
        <v>0</v>
      </c>
      <c r="AX182" s="65">
        <f>IFERROR(VLOOKUP(Table1215[[#This Row],[Column2]],Table12[[Column2]:[Column54]],49,FALSE),"0")</f>
        <v>0</v>
      </c>
      <c r="AY182" s="65">
        <f>IFERROR(VLOOKUP(Table1215[[#This Row],[Column2]],Table12[[Column2]:[Column54]],50,FALSE),"0")</f>
        <v>0</v>
      </c>
      <c r="AZ182" s="65">
        <f>IFERROR(VLOOKUP(Table1215[[#This Row],[Column2]],Table12[[Column2]:[Column54]],51,FALSE),"0")</f>
        <v>4</v>
      </c>
      <c r="BA182" s="65">
        <f>IFERROR(VLOOKUP(Table1215[[#This Row],[Column2]],Table12[[Column2]:[Column54]],52,FALSE),"0")</f>
        <v>5</v>
      </c>
      <c r="BB182" s="67">
        <f>AVERAGE(Table1215[[#This Row],[Column52]],Table1215[[#This Row],[Column53]])</f>
        <v>4.5</v>
      </c>
    </row>
    <row r="183" spans="1:54" ht="23.1" customHeight="1" x14ac:dyDescent="0.3">
      <c r="A183" s="87">
        <v>180</v>
      </c>
      <c r="B183" s="70" t="s">
        <v>255</v>
      </c>
      <c r="C183" s="71" t="s">
        <v>256</v>
      </c>
      <c r="D183" s="70" t="s">
        <v>450</v>
      </c>
      <c r="E183" s="70" t="s">
        <v>161</v>
      </c>
      <c r="F183" s="70" t="str">
        <f>REPT(CHAR(160),10)&amp;Working!$E184</f>
        <v>          B</v>
      </c>
      <c r="G183" s="61">
        <f>IFERROR(VLOOKUP(Table1215[[#This Row],[Column2]],Table12[[Column2]:[Column54]],6,FALSE),"0")</f>
        <v>0</v>
      </c>
      <c r="H183" s="61">
        <f>IFERROR(VLOOKUP(Table1215[[#This Row],[Column2]],Table12[[Column2]:[Column54]],7,FALSE),"0")</f>
        <v>0</v>
      </c>
      <c r="I183" s="61">
        <f>IFERROR(VLOOKUP(Table1215[[#This Row],[Column2]],Table12[[Column2]:[Column54]],8,FALSE),"0")</f>
        <v>5</v>
      </c>
      <c r="J183" s="61">
        <f>IFERROR(VLOOKUP(Table1215[[#This Row],[Column2]],Table12[[Column2]:[Column54]],9,FALSE),"0")</f>
        <v>0</v>
      </c>
      <c r="K183" s="61">
        <f>IFERROR(VLOOKUP(Table1215[[#This Row],[Column2]],Table12[[Column2]:[Column54]],10,FALSE),"0")</f>
        <v>0</v>
      </c>
      <c r="L183" s="67">
        <f>Table1215[[#This Row],[Column9]]</f>
        <v>5</v>
      </c>
      <c r="M183" s="61">
        <f>IFERROR(VLOOKUP(Table1215[[#This Row],[Column2]],Table12[[Column2]:[Column54]],12,FALSE),"0")</f>
        <v>0</v>
      </c>
      <c r="N183" s="61">
        <f>IFERROR(VLOOKUP(Table1215[[#This Row],[Column2]],Table12[[Column2]:[Column54]],13,FALSE),"0")</f>
        <v>5</v>
      </c>
      <c r="O183" s="61">
        <f>IFERROR(VLOOKUP(Table1215[[#This Row],[Column2]],Table12[[Column2]:[Column54]],14,FALSE),"0")</f>
        <v>5</v>
      </c>
      <c r="P183" s="61">
        <f>IFERROR(VLOOKUP(Table1215[[#This Row],[Column2]],Table12[[Column2]:[Column54]],10,FALSE),"0")</f>
        <v>0</v>
      </c>
      <c r="Q183" s="61">
        <f>IFERROR(VLOOKUP(Table1215[[#This Row],[Column2]],Table12[[Column2]:[Column54]],16,FALSE),"0")</f>
        <v>5</v>
      </c>
      <c r="R183" s="67">
        <f>AVERAGE(Table1215[[#This Row],[Column14]],Table1215[[#This Row],[Column15]],Table1215[[#This Row],[Column17]])</f>
        <v>5</v>
      </c>
      <c r="S183" s="61">
        <f>IFERROR(VLOOKUP(Table1215[[#This Row],[Column2]],Table12[[Column2]:[Column54]],18,FALSE),"0")</f>
        <v>0</v>
      </c>
      <c r="T183" s="61">
        <f>IFERROR(VLOOKUP(Table1215[[#This Row],[Column2]],Table12[[Column2]:[Column54]],19,FALSE),"0")</f>
        <v>0</v>
      </c>
      <c r="U183" s="61">
        <f>IFERROR(VLOOKUP(Table1215[[#This Row],[Column2]],Table12[[Column2]:[Column54]],20,FALSE),"0")</f>
        <v>0</v>
      </c>
      <c r="V183" s="61">
        <f>IFERROR(VLOOKUP(Table1215[[#This Row],[Column2]],Table12[[Column2]:[Column54]],21,FALSE),"0")</f>
        <v>0</v>
      </c>
      <c r="W183" s="61">
        <f>IFERROR(VLOOKUP(Table1215[[#This Row],[Column2]],Table12[[Column2]:[Column54]],22,FALSE),"0")</f>
        <v>0</v>
      </c>
      <c r="X183" s="67">
        <f>Table1215[[#This Row],[Column19]]</f>
        <v>0</v>
      </c>
      <c r="Y183" s="61">
        <f>IFERROR(VLOOKUP(Table1215[[#This Row],[Column2]],Table12[[Column2]:[Column54]],24,FALSE),"0")</f>
        <v>5</v>
      </c>
      <c r="Z183" s="61">
        <f>IFERROR(VLOOKUP(Table1215[[#This Row],[Column2]],Table12[[Column2]:[Column54]],25,FALSE),"0")</f>
        <v>0</v>
      </c>
      <c r="AA183" s="61">
        <f>IFERROR(VLOOKUP(Table1215[[#This Row],[Column2]],Table12[[Column2]:[Column54]],26,FALSE),"0")</f>
        <v>0</v>
      </c>
      <c r="AB183" s="61">
        <f>IFERROR(VLOOKUP(Table1215[[#This Row],[Column2]],Table12[[Column2]:[Column54]],27,FALSE),"0")</f>
        <v>0</v>
      </c>
      <c r="AC183" s="61">
        <f>IFERROR(VLOOKUP(Table1215[[#This Row],[Column2]],Table12[[Column2]:[Column54]],28,FALSE),"0")</f>
        <v>0</v>
      </c>
      <c r="AD183" s="67">
        <f>Table1215[[#This Row],[Column25]]</f>
        <v>5</v>
      </c>
      <c r="AE183" s="61">
        <f>IFERROR(VLOOKUP(Table1215[[#This Row],[Column2]],Table12[[Column2]:[Column54]],30,FALSE),"0")</f>
        <v>0</v>
      </c>
      <c r="AF183" s="61">
        <f>IFERROR(VLOOKUP(Table1215[[#This Row],[Column2]],Table12[[Column2]:[Column54]],31,FALSE),"0")</f>
        <v>0</v>
      </c>
      <c r="AG183" s="61">
        <f>IFERROR(VLOOKUP(Table1215[[#This Row],[Column2]],Table12[[Column2]:[Column54]],32,FALSE),"0")</f>
        <v>0</v>
      </c>
      <c r="AH183" s="61">
        <f>IFERROR(VLOOKUP(Table1215[[#This Row],[Column2]],Table12[[Column2]:[Column54]],33,FALSE),"0")</f>
        <v>0</v>
      </c>
      <c r="AI183" s="61">
        <f>IFERROR(VLOOKUP(Table1215[[#This Row],[Column2]],Table12[[Column2]:[Column54]],34,FALSE),"0")</f>
        <v>0</v>
      </c>
      <c r="AJ183" s="67">
        <f>AVERAGE(Table1215[[#This Row],[Column31]],Table1215[[#This Row],[Column32]],Table1215[[#This Row],[Column33]])</f>
        <v>0</v>
      </c>
      <c r="AK183" s="61">
        <f>IFERROR(VLOOKUP(Table1215[[#This Row],[Column2]],Table12[[Column2]:[Column54]],36,FALSE),"0")</f>
        <v>4</v>
      </c>
      <c r="AL183" s="61">
        <f>IFERROR(VLOOKUP(Table1215[[#This Row],[Column2]],Table12[[Column2]:[Column54]],37,FALSE),"0")</f>
        <v>5</v>
      </c>
      <c r="AM183" s="61">
        <f>IFERROR(VLOOKUP(Table1215[[#This Row],[Column2]],Table12[[Column2]:[Column54]],38,FALSE),"0")</f>
        <v>0</v>
      </c>
      <c r="AN183" s="61">
        <f>IFERROR(VLOOKUP(Table1215[[#This Row],[Column2]],Table12[[Column2]:[Column54]],39,FALSE),"0")</f>
        <v>5</v>
      </c>
      <c r="AO183" s="61">
        <f>IFERROR(VLOOKUP(Table1215[[#This Row],[Column2]],Table12[[Column2]:[Column54]],40,FALSE),"0")</f>
        <v>0</v>
      </c>
      <c r="AP183" s="67">
        <f>AVERAGE(Table1215[[#This Row],[Column37]],Table1215[[#This Row],[Column38]],Table1215[[#This Row],[Column40]])</f>
        <v>4.666666666666667</v>
      </c>
      <c r="AQ183" s="61">
        <f>IFERROR(VLOOKUP(Table1215[[#This Row],[Column2]],Table12[[Column2]:[Column54]],42,FALSE),"0")</f>
        <v>5</v>
      </c>
      <c r="AR183" s="61">
        <f>IFERROR(VLOOKUP(Table1215[[#This Row],[Column2]],Table12[[Column2]:[Column54]],43,FALSE),"0")</f>
        <v>0</v>
      </c>
      <c r="AS183" s="61">
        <f>IFERROR(VLOOKUP(Table1215[[#This Row],[Column2]],Table12[[Column2]:[Column54]],44,FALSE),"0")</f>
        <v>0</v>
      </c>
      <c r="AT183" s="61">
        <f>IFERROR(VLOOKUP(Table1215[[#This Row],[Column2]],Table12[[Column2]:[Column54]],45,FALSE),"0")</f>
        <v>0</v>
      </c>
      <c r="AU183" s="61">
        <f>IFERROR(VLOOKUP(Table1215[[#This Row],[Column2]],Table12[[Column2]:[Column54]],46,FALSE),"0")</f>
        <v>0</v>
      </c>
      <c r="AV183" s="67">
        <f>Table1215[[#This Row],[Column43]]</f>
        <v>5</v>
      </c>
      <c r="AW183" s="61">
        <f>IFERROR(VLOOKUP(Table1215[[#This Row],[Column2]],Table12[[Column2]:[Column54]],48,FALSE),"0")</f>
        <v>0</v>
      </c>
      <c r="AX183" s="61">
        <f>IFERROR(VLOOKUP(Table1215[[#This Row],[Column2]],Table12[[Column2]:[Column54]],49,FALSE),"0")</f>
        <v>0</v>
      </c>
      <c r="AY183" s="61">
        <f>IFERROR(VLOOKUP(Table1215[[#This Row],[Column2]],Table12[[Column2]:[Column54]],50,FALSE),"0")</f>
        <v>0</v>
      </c>
      <c r="AZ183" s="61">
        <f>IFERROR(VLOOKUP(Table1215[[#This Row],[Column2]],Table12[[Column2]:[Column54]],51,FALSE),"0")</f>
        <v>5</v>
      </c>
      <c r="BA183" s="61">
        <f>IFERROR(VLOOKUP(Table1215[[#This Row],[Column2]],Table12[[Column2]:[Column54]],52,FALSE),"0")</f>
        <v>5</v>
      </c>
      <c r="BB183" s="67">
        <f>AVERAGE(Table1215[[#This Row],[Column52]],Table1215[[#This Row],[Column53]])</f>
        <v>5</v>
      </c>
    </row>
    <row r="184" spans="1:54" ht="23.1" customHeight="1" x14ac:dyDescent="0.3">
      <c r="A184" s="86">
        <v>181</v>
      </c>
      <c r="B184" s="63" t="s">
        <v>404</v>
      </c>
      <c r="C184" s="64" t="s">
        <v>405</v>
      </c>
      <c r="D184" s="63" t="s">
        <v>450</v>
      </c>
      <c r="E184" s="63" t="s">
        <v>493</v>
      </c>
      <c r="F184" s="63" t="str">
        <f>REPT(CHAR(160),10)&amp;Working!$E185</f>
        <v>          C</v>
      </c>
      <c r="G184" s="65">
        <f>IFERROR(VLOOKUP(Table1215[[#This Row],[Column2]],Table12[[Column2]:[Column54]],6,FALSE),"0")</f>
        <v>0</v>
      </c>
      <c r="H184" s="65">
        <f>IFERROR(VLOOKUP(Table1215[[#This Row],[Column2]],Table12[[Column2]:[Column54]],7,FALSE),"0")</f>
        <v>0</v>
      </c>
      <c r="I184" s="65">
        <f>IFERROR(VLOOKUP(Table1215[[#This Row],[Column2]],Table12[[Column2]:[Column54]],8,FALSE),"0")</f>
        <v>4</v>
      </c>
      <c r="J184" s="65">
        <f>IFERROR(VLOOKUP(Table1215[[#This Row],[Column2]],Table12[[Column2]:[Column54]],9,FALSE),"0")</f>
        <v>0</v>
      </c>
      <c r="K184" s="65">
        <f>IFERROR(VLOOKUP(Table1215[[#This Row],[Column2]],Table12[[Column2]:[Column54]],10,FALSE),"0")</f>
        <v>0</v>
      </c>
      <c r="L184" s="67">
        <f>Table1215[[#This Row],[Column9]]</f>
        <v>4</v>
      </c>
      <c r="M184" s="65">
        <f>IFERROR(VLOOKUP(Table1215[[#This Row],[Column2]],Table12[[Column2]:[Column54]],12,FALSE),"0")</f>
        <v>0</v>
      </c>
      <c r="N184" s="65">
        <f>IFERROR(VLOOKUP(Table1215[[#This Row],[Column2]],Table12[[Column2]:[Column54]],13,FALSE),"0")</f>
        <v>4</v>
      </c>
      <c r="O184" s="65">
        <f>IFERROR(VLOOKUP(Table1215[[#This Row],[Column2]],Table12[[Column2]:[Column54]],14,FALSE),"0")</f>
        <v>4</v>
      </c>
      <c r="P184" s="65">
        <f>IFERROR(VLOOKUP(Table1215[[#This Row],[Column2]],Table12[[Column2]:[Column54]],10,FALSE),"0")</f>
        <v>0</v>
      </c>
      <c r="Q184" s="65">
        <f>IFERROR(VLOOKUP(Table1215[[#This Row],[Column2]],Table12[[Column2]:[Column54]],16,FALSE),"0")</f>
        <v>4</v>
      </c>
      <c r="R184" s="67">
        <f>AVERAGE(Table1215[[#This Row],[Column14]],Table1215[[#This Row],[Column15]],Table1215[[#This Row],[Column17]])</f>
        <v>4</v>
      </c>
      <c r="S184" s="65">
        <f>IFERROR(VLOOKUP(Table1215[[#This Row],[Column2]],Table12[[Column2]:[Column54]],18,FALSE),"0")</f>
        <v>0</v>
      </c>
      <c r="T184" s="65">
        <f>IFERROR(VLOOKUP(Table1215[[#This Row],[Column2]],Table12[[Column2]:[Column54]],19,FALSE),"0")</f>
        <v>0</v>
      </c>
      <c r="U184" s="65">
        <f>IFERROR(VLOOKUP(Table1215[[#This Row],[Column2]],Table12[[Column2]:[Column54]],20,FALSE),"0")</f>
        <v>0</v>
      </c>
      <c r="V184" s="65">
        <f>IFERROR(VLOOKUP(Table1215[[#This Row],[Column2]],Table12[[Column2]:[Column54]],21,FALSE),"0")</f>
        <v>0</v>
      </c>
      <c r="W184" s="65">
        <f>IFERROR(VLOOKUP(Table1215[[#This Row],[Column2]],Table12[[Column2]:[Column54]],22,FALSE),"0")</f>
        <v>0</v>
      </c>
      <c r="X184" s="67">
        <f>Table1215[[#This Row],[Column19]]</f>
        <v>0</v>
      </c>
      <c r="Y184" s="65">
        <f>IFERROR(VLOOKUP(Table1215[[#This Row],[Column2]],Table12[[Column2]:[Column54]],24,FALSE),"0")</f>
        <v>5</v>
      </c>
      <c r="Z184" s="65">
        <f>IFERROR(VLOOKUP(Table1215[[#This Row],[Column2]],Table12[[Column2]:[Column54]],25,FALSE),"0")</f>
        <v>0</v>
      </c>
      <c r="AA184" s="65">
        <f>IFERROR(VLOOKUP(Table1215[[#This Row],[Column2]],Table12[[Column2]:[Column54]],26,FALSE),"0")</f>
        <v>0</v>
      </c>
      <c r="AB184" s="65">
        <f>IFERROR(VLOOKUP(Table1215[[#This Row],[Column2]],Table12[[Column2]:[Column54]],27,FALSE),"0")</f>
        <v>0</v>
      </c>
      <c r="AC184" s="65">
        <f>IFERROR(VLOOKUP(Table1215[[#This Row],[Column2]],Table12[[Column2]:[Column54]],28,FALSE),"0")</f>
        <v>0</v>
      </c>
      <c r="AD184" s="67">
        <f>Table1215[[#This Row],[Column25]]</f>
        <v>5</v>
      </c>
      <c r="AE184" s="65">
        <f>IFERROR(VLOOKUP(Table1215[[#This Row],[Column2]],Table12[[Column2]:[Column54]],30,FALSE),"0")</f>
        <v>0</v>
      </c>
      <c r="AF184" s="65">
        <f>IFERROR(VLOOKUP(Table1215[[#This Row],[Column2]],Table12[[Column2]:[Column54]],31,FALSE),"0")</f>
        <v>0</v>
      </c>
      <c r="AG184" s="65">
        <f>IFERROR(VLOOKUP(Table1215[[#This Row],[Column2]],Table12[[Column2]:[Column54]],32,FALSE),"0")</f>
        <v>0</v>
      </c>
      <c r="AH184" s="65">
        <f>IFERROR(VLOOKUP(Table1215[[#This Row],[Column2]],Table12[[Column2]:[Column54]],33,FALSE),"0")</f>
        <v>0</v>
      </c>
      <c r="AI184" s="65">
        <f>IFERROR(VLOOKUP(Table1215[[#This Row],[Column2]],Table12[[Column2]:[Column54]],34,FALSE),"0")</f>
        <v>0</v>
      </c>
      <c r="AJ184" s="67">
        <f>AVERAGE(Table1215[[#This Row],[Column31]],Table1215[[#This Row],[Column32]],Table1215[[#This Row],[Column33]])</f>
        <v>0</v>
      </c>
      <c r="AK184" s="65">
        <f>IFERROR(VLOOKUP(Table1215[[#This Row],[Column2]],Table12[[Column2]:[Column54]],36,FALSE),"0")</f>
        <v>3</v>
      </c>
      <c r="AL184" s="65">
        <f>IFERROR(VLOOKUP(Table1215[[#This Row],[Column2]],Table12[[Column2]:[Column54]],37,FALSE),"0")</f>
        <v>3</v>
      </c>
      <c r="AM184" s="65">
        <f>IFERROR(VLOOKUP(Table1215[[#This Row],[Column2]],Table12[[Column2]:[Column54]],38,FALSE),"0")</f>
        <v>0</v>
      </c>
      <c r="AN184" s="65">
        <f>IFERROR(VLOOKUP(Table1215[[#This Row],[Column2]],Table12[[Column2]:[Column54]],39,FALSE),"0")</f>
        <v>4</v>
      </c>
      <c r="AO184" s="65">
        <f>IFERROR(VLOOKUP(Table1215[[#This Row],[Column2]],Table12[[Column2]:[Column54]],40,FALSE),"0")</f>
        <v>0</v>
      </c>
      <c r="AP184" s="67">
        <f>AVERAGE(Table1215[[#This Row],[Column37]],Table1215[[#This Row],[Column38]],Table1215[[#This Row],[Column40]])</f>
        <v>3.3333333333333335</v>
      </c>
      <c r="AQ184" s="65">
        <f>IFERROR(VLOOKUP(Table1215[[#This Row],[Column2]],Table12[[Column2]:[Column54]],42,FALSE),"0")</f>
        <v>3</v>
      </c>
      <c r="AR184" s="65">
        <f>IFERROR(VLOOKUP(Table1215[[#This Row],[Column2]],Table12[[Column2]:[Column54]],43,FALSE),"0")</f>
        <v>0</v>
      </c>
      <c r="AS184" s="65">
        <f>IFERROR(VLOOKUP(Table1215[[#This Row],[Column2]],Table12[[Column2]:[Column54]],44,FALSE),"0")</f>
        <v>0</v>
      </c>
      <c r="AT184" s="65">
        <f>IFERROR(VLOOKUP(Table1215[[#This Row],[Column2]],Table12[[Column2]:[Column54]],45,FALSE),"0")</f>
        <v>0</v>
      </c>
      <c r="AU184" s="65">
        <f>IFERROR(VLOOKUP(Table1215[[#This Row],[Column2]],Table12[[Column2]:[Column54]],46,FALSE),"0")</f>
        <v>0</v>
      </c>
      <c r="AV184" s="67">
        <f>Table1215[[#This Row],[Column43]]</f>
        <v>3</v>
      </c>
      <c r="AW184" s="65">
        <f>IFERROR(VLOOKUP(Table1215[[#This Row],[Column2]],Table12[[Column2]:[Column54]],48,FALSE),"0")</f>
        <v>0</v>
      </c>
      <c r="AX184" s="65">
        <f>IFERROR(VLOOKUP(Table1215[[#This Row],[Column2]],Table12[[Column2]:[Column54]],49,FALSE),"0")</f>
        <v>0</v>
      </c>
      <c r="AY184" s="65">
        <f>IFERROR(VLOOKUP(Table1215[[#This Row],[Column2]],Table12[[Column2]:[Column54]],50,FALSE),"0")</f>
        <v>0</v>
      </c>
      <c r="AZ184" s="65">
        <f>IFERROR(VLOOKUP(Table1215[[#This Row],[Column2]],Table12[[Column2]:[Column54]],51,FALSE),"0")</f>
        <v>4</v>
      </c>
      <c r="BA184" s="65">
        <f>IFERROR(VLOOKUP(Table1215[[#This Row],[Column2]],Table12[[Column2]:[Column54]],52,FALSE),"0")</f>
        <v>5</v>
      </c>
      <c r="BB184" s="67">
        <f>AVERAGE(Table1215[[#This Row],[Column52]],Table1215[[#This Row],[Column53]])</f>
        <v>4.5</v>
      </c>
    </row>
    <row r="185" spans="1:54" ht="23.1" customHeight="1" x14ac:dyDescent="0.3">
      <c r="A185" s="87">
        <v>182</v>
      </c>
      <c r="B185" s="70" t="s">
        <v>44</v>
      </c>
      <c r="C185" s="71" t="s">
        <v>45</v>
      </c>
      <c r="D185" s="70" t="s">
        <v>450</v>
      </c>
      <c r="E185" s="70" t="s">
        <v>35</v>
      </c>
      <c r="F185" s="70" t="str">
        <f>REPT(CHAR(160),10)&amp;Working!$E186</f>
        <v>          A</v>
      </c>
      <c r="G185" s="61">
        <f>IFERROR(VLOOKUP(Table1215[[#This Row],[Column2]],Table12[[Column2]:[Column54]],6,FALSE),"0")</f>
        <v>0</v>
      </c>
      <c r="H185" s="61">
        <f>IFERROR(VLOOKUP(Table1215[[#This Row],[Column2]],Table12[[Column2]:[Column54]],7,FALSE),"0")</f>
        <v>0</v>
      </c>
      <c r="I185" s="61">
        <f>IFERROR(VLOOKUP(Table1215[[#This Row],[Column2]],Table12[[Column2]:[Column54]],8,FALSE),"0")</f>
        <v>5</v>
      </c>
      <c r="J185" s="61">
        <f>IFERROR(VLOOKUP(Table1215[[#This Row],[Column2]],Table12[[Column2]:[Column54]],9,FALSE),"0")</f>
        <v>0</v>
      </c>
      <c r="K185" s="61">
        <f>IFERROR(VLOOKUP(Table1215[[#This Row],[Column2]],Table12[[Column2]:[Column54]],10,FALSE),"0")</f>
        <v>0</v>
      </c>
      <c r="L185" s="67">
        <f>Table1215[[#This Row],[Column9]]</f>
        <v>5</v>
      </c>
      <c r="M185" s="61">
        <f>IFERROR(VLOOKUP(Table1215[[#This Row],[Column2]],Table12[[Column2]:[Column54]],12,FALSE),"0")</f>
        <v>0</v>
      </c>
      <c r="N185" s="61">
        <f>IFERROR(VLOOKUP(Table1215[[#This Row],[Column2]],Table12[[Column2]:[Column54]],13,FALSE),"0")</f>
        <v>5</v>
      </c>
      <c r="O185" s="61">
        <f>IFERROR(VLOOKUP(Table1215[[#This Row],[Column2]],Table12[[Column2]:[Column54]],14,FALSE),"0")</f>
        <v>5</v>
      </c>
      <c r="P185" s="61">
        <f>IFERROR(VLOOKUP(Table1215[[#This Row],[Column2]],Table12[[Column2]:[Column54]],10,FALSE),"0")</f>
        <v>0</v>
      </c>
      <c r="Q185" s="61">
        <f>IFERROR(VLOOKUP(Table1215[[#This Row],[Column2]],Table12[[Column2]:[Column54]],16,FALSE),"0")</f>
        <v>5</v>
      </c>
      <c r="R185" s="67">
        <f>AVERAGE(Table1215[[#This Row],[Column14]],Table1215[[#This Row],[Column15]],Table1215[[#This Row],[Column17]])</f>
        <v>5</v>
      </c>
      <c r="S185" s="61">
        <f>IFERROR(VLOOKUP(Table1215[[#This Row],[Column2]],Table12[[Column2]:[Column54]],18,FALSE),"0")</f>
        <v>0</v>
      </c>
      <c r="T185" s="61">
        <f>IFERROR(VLOOKUP(Table1215[[#This Row],[Column2]],Table12[[Column2]:[Column54]],19,FALSE),"0")</f>
        <v>0</v>
      </c>
      <c r="U185" s="61">
        <f>IFERROR(VLOOKUP(Table1215[[#This Row],[Column2]],Table12[[Column2]:[Column54]],20,FALSE),"0")</f>
        <v>0</v>
      </c>
      <c r="V185" s="61">
        <f>IFERROR(VLOOKUP(Table1215[[#This Row],[Column2]],Table12[[Column2]:[Column54]],21,FALSE),"0")</f>
        <v>0</v>
      </c>
      <c r="W185" s="61">
        <f>IFERROR(VLOOKUP(Table1215[[#This Row],[Column2]],Table12[[Column2]:[Column54]],22,FALSE),"0")</f>
        <v>0</v>
      </c>
      <c r="X185" s="67">
        <f>Table1215[[#This Row],[Column19]]</f>
        <v>0</v>
      </c>
      <c r="Y185" s="61">
        <f>IFERROR(VLOOKUP(Table1215[[#This Row],[Column2]],Table12[[Column2]:[Column54]],24,FALSE),"0")</f>
        <v>4</v>
      </c>
      <c r="Z185" s="61">
        <f>IFERROR(VLOOKUP(Table1215[[#This Row],[Column2]],Table12[[Column2]:[Column54]],25,FALSE),"0")</f>
        <v>0</v>
      </c>
      <c r="AA185" s="61">
        <f>IFERROR(VLOOKUP(Table1215[[#This Row],[Column2]],Table12[[Column2]:[Column54]],26,FALSE),"0")</f>
        <v>0</v>
      </c>
      <c r="AB185" s="61">
        <f>IFERROR(VLOOKUP(Table1215[[#This Row],[Column2]],Table12[[Column2]:[Column54]],27,FALSE),"0")</f>
        <v>0</v>
      </c>
      <c r="AC185" s="61">
        <f>IFERROR(VLOOKUP(Table1215[[#This Row],[Column2]],Table12[[Column2]:[Column54]],28,FALSE),"0")</f>
        <v>0</v>
      </c>
      <c r="AD185" s="67">
        <f>Table1215[[#This Row],[Column25]]</f>
        <v>4</v>
      </c>
      <c r="AE185" s="61">
        <f>IFERROR(VLOOKUP(Table1215[[#This Row],[Column2]],Table12[[Column2]:[Column54]],30,FALSE),"0")</f>
        <v>0</v>
      </c>
      <c r="AF185" s="61">
        <f>IFERROR(VLOOKUP(Table1215[[#This Row],[Column2]],Table12[[Column2]:[Column54]],31,FALSE),"0")</f>
        <v>0</v>
      </c>
      <c r="AG185" s="61">
        <f>IFERROR(VLOOKUP(Table1215[[#This Row],[Column2]],Table12[[Column2]:[Column54]],32,FALSE),"0")</f>
        <v>0</v>
      </c>
      <c r="AH185" s="61">
        <f>IFERROR(VLOOKUP(Table1215[[#This Row],[Column2]],Table12[[Column2]:[Column54]],33,FALSE),"0")</f>
        <v>0</v>
      </c>
      <c r="AI185" s="61">
        <f>IFERROR(VLOOKUP(Table1215[[#This Row],[Column2]],Table12[[Column2]:[Column54]],34,FALSE),"0")</f>
        <v>0</v>
      </c>
      <c r="AJ185" s="67">
        <f>AVERAGE(Table1215[[#This Row],[Column31]],Table1215[[#This Row],[Column32]],Table1215[[#This Row],[Column33]])</f>
        <v>0</v>
      </c>
      <c r="AK185" s="61">
        <f>IFERROR(VLOOKUP(Table1215[[#This Row],[Column2]],Table12[[Column2]:[Column54]],36,FALSE),"0")</f>
        <v>5</v>
      </c>
      <c r="AL185" s="61">
        <f>IFERROR(VLOOKUP(Table1215[[#This Row],[Column2]],Table12[[Column2]:[Column54]],37,FALSE),"0")</f>
        <v>5</v>
      </c>
      <c r="AM185" s="61">
        <f>IFERROR(VLOOKUP(Table1215[[#This Row],[Column2]],Table12[[Column2]:[Column54]],38,FALSE),"0")</f>
        <v>0</v>
      </c>
      <c r="AN185" s="61">
        <f>IFERROR(VLOOKUP(Table1215[[#This Row],[Column2]],Table12[[Column2]:[Column54]],39,FALSE),"0")</f>
        <v>5</v>
      </c>
      <c r="AO185" s="61">
        <f>IFERROR(VLOOKUP(Table1215[[#This Row],[Column2]],Table12[[Column2]:[Column54]],40,FALSE),"0")</f>
        <v>0</v>
      </c>
      <c r="AP185" s="67">
        <f>AVERAGE(Table1215[[#This Row],[Column37]],Table1215[[#This Row],[Column38]],Table1215[[#This Row],[Column40]])</f>
        <v>5</v>
      </c>
      <c r="AQ185" s="61">
        <f>IFERROR(VLOOKUP(Table1215[[#This Row],[Column2]],Table12[[Column2]:[Column54]],42,FALSE),"0")</f>
        <v>5</v>
      </c>
      <c r="AR185" s="61">
        <f>IFERROR(VLOOKUP(Table1215[[#This Row],[Column2]],Table12[[Column2]:[Column54]],43,FALSE),"0")</f>
        <v>0</v>
      </c>
      <c r="AS185" s="61">
        <f>IFERROR(VLOOKUP(Table1215[[#This Row],[Column2]],Table12[[Column2]:[Column54]],44,FALSE),"0")</f>
        <v>0</v>
      </c>
      <c r="AT185" s="61">
        <f>IFERROR(VLOOKUP(Table1215[[#This Row],[Column2]],Table12[[Column2]:[Column54]],45,FALSE),"0")</f>
        <v>0</v>
      </c>
      <c r="AU185" s="61">
        <f>IFERROR(VLOOKUP(Table1215[[#This Row],[Column2]],Table12[[Column2]:[Column54]],46,FALSE),"0")</f>
        <v>0</v>
      </c>
      <c r="AV185" s="67">
        <f>Table1215[[#This Row],[Column43]]</f>
        <v>5</v>
      </c>
      <c r="AW185" s="61">
        <f>IFERROR(VLOOKUP(Table1215[[#This Row],[Column2]],Table12[[Column2]:[Column54]],48,FALSE),"0")</f>
        <v>0</v>
      </c>
      <c r="AX185" s="61">
        <f>IFERROR(VLOOKUP(Table1215[[#This Row],[Column2]],Table12[[Column2]:[Column54]],49,FALSE),"0")</f>
        <v>0</v>
      </c>
      <c r="AY185" s="61">
        <f>IFERROR(VLOOKUP(Table1215[[#This Row],[Column2]],Table12[[Column2]:[Column54]],50,FALSE),"0")</f>
        <v>0</v>
      </c>
      <c r="AZ185" s="61">
        <f>IFERROR(VLOOKUP(Table1215[[#This Row],[Column2]],Table12[[Column2]:[Column54]],51,FALSE),"0")</f>
        <v>5</v>
      </c>
      <c r="BA185" s="61">
        <f>IFERROR(VLOOKUP(Table1215[[#This Row],[Column2]],Table12[[Column2]:[Column54]],52,FALSE),"0")</f>
        <v>5</v>
      </c>
      <c r="BB185" s="67">
        <f>AVERAGE(Table1215[[#This Row],[Column52]],Table1215[[#This Row],[Column53]])</f>
        <v>5</v>
      </c>
    </row>
    <row r="186" spans="1:54" ht="23.1" customHeight="1" x14ac:dyDescent="0.3">
      <c r="A186" s="86">
        <v>183</v>
      </c>
      <c r="B186" s="63" t="s">
        <v>406</v>
      </c>
      <c r="C186" s="64" t="s">
        <v>407</v>
      </c>
      <c r="D186" s="63" t="s">
        <v>450</v>
      </c>
      <c r="E186" s="63" t="s">
        <v>493</v>
      </c>
      <c r="F186" s="63" t="str">
        <f>REPT(CHAR(160),10)&amp;Working!$E187</f>
        <v>          C</v>
      </c>
      <c r="G186" s="65">
        <f>IFERROR(VLOOKUP(Table1215[[#This Row],[Column2]],Table12[[Column2]:[Column54]],6,FALSE),"0")</f>
        <v>0</v>
      </c>
      <c r="H186" s="65">
        <f>IFERROR(VLOOKUP(Table1215[[#This Row],[Column2]],Table12[[Column2]:[Column54]],7,FALSE),"0")</f>
        <v>0</v>
      </c>
      <c r="I186" s="65">
        <f>IFERROR(VLOOKUP(Table1215[[#This Row],[Column2]],Table12[[Column2]:[Column54]],8,FALSE),"0")</f>
        <v>4</v>
      </c>
      <c r="J186" s="65">
        <f>IFERROR(VLOOKUP(Table1215[[#This Row],[Column2]],Table12[[Column2]:[Column54]],9,FALSE),"0")</f>
        <v>0</v>
      </c>
      <c r="K186" s="65">
        <f>IFERROR(VLOOKUP(Table1215[[#This Row],[Column2]],Table12[[Column2]:[Column54]],10,FALSE),"0")</f>
        <v>0</v>
      </c>
      <c r="L186" s="67">
        <f>Table1215[[#This Row],[Column9]]</f>
        <v>4</v>
      </c>
      <c r="M186" s="65">
        <f>IFERROR(VLOOKUP(Table1215[[#This Row],[Column2]],Table12[[Column2]:[Column54]],12,FALSE),"0")</f>
        <v>0</v>
      </c>
      <c r="N186" s="65">
        <f>IFERROR(VLOOKUP(Table1215[[#This Row],[Column2]],Table12[[Column2]:[Column54]],13,FALSE),"0")</f>
        <v>5</v>
      </c>
      <c r="O186" s="65">
        <f>IFERROR(VLOOKUP(Table1215[[#This Row],[Column2]],Table12[[Column2]:[Column54]],14,FALSE),"0")</f>
        <v>5</v>
      </c>
      <c r="P186" s="65">
        <f>IFERROR(VLOOKUP(Table1215[[#This Row],[Column2]],Table12[[Column2]:[Column54]],10,FALSE),"0")</f>
        <v>0</v>
      </c>
      <c r="Q186" s="65">
        <f>IFERROR(VLOOKUP(Table1215[[#This Row],[Column2]],Table12[[Column2]:[Column54]],16,FALSE),"0")</f>
        <v>5</v>
      </c>
      <c r="R186" s="67">
        <f>AVERAGE(Table1215[[#This Row],[Column14]],Table1215[[#This Row],[Column15]],Table1215[[#This Row],[Column17]])</f>
        <v>5</v>
      </c>
      <c r="S186" s="65">
        <f>IFERROR(VLOOKUP(Table1215[[#This Row],[Column2]],Table12[[Column2]:[Column54]],18,FALSE),"0")</f>
        <v>0</v>
      </c>
      <c r="T186" s="65">
        <f>IFERROR(VLOOKUP(Table1215[[#This Row],[Column2]],Table12[[Column2]:[Column54]],19,FALSE),"0")</f>
        <v>0</v>
      </c>
      <c r="U186" s="65">
        <f>IFERROR(VLOOKUP(Table1215[[#This Row],[Column2]],Table12[[Column2]:[Column54]],20,FALSE),"0")</f>
        <v>0</v>
      </c>
      <c r="V186" s="65">
        <f>IFERROR(VLOOKUP(Table1215[[#This Row],[Column2]],Table12[[Column2]:[Column54]],21,FALSE),"0")</f>
        <v>0</v>
      </c>
      <c r="W186" s="65">
        <f>IFERROR(VLOOKUP(Table1215[[#This Row],[Column2]],Table12[[Column2]:[Column54]],22,FALSE),"0")</f>
        <v>0</v>
      </c>
      <c r="X186" s="67">
        <f>Table1215[[#This Row],[Column19]]</f>
        <v>0</v>
      </c>
      <c r="Y186" s="65">
        <f>IFERROR(VLOOKUP(Table1215[[#This Row],[Column2]],Table12[[Column2]:[Column54]],24,FALSE),"0")</f>
        <v>5</v>
      </c>
      <c r="Z186" s="65">
        <f>IFERROR(VLOOKUP(Table1215[[#This Row],[Column2]],Table12[[Column2]:[Column54]],25,FALSE),"0")</f>
        <v>0</v>
      </c>
      <c r="AA186" s="65">
        <f>IFERROR(VLOOKUP(Table1215[[#This Row],[Column2]],Table12[[Column2]:[Column54]],26,FALSE),"0")</f>
        <v>0</v>
      </c>
      <c r="AB186" s="65">
        <f>IFERROR(VLOOKUP(Table1215[[#This Row],[Column2]],Table12[[Column2]:[Column54]],27,FALSE),"0")</f>
        <v>0</v>
      </c>
      <c r="AC186" s="65">
        <f>IFERROR(VLOOKUP(Table1215[[#This Row],[Column2]],Table12[[Column2]:[Column54]],28,FALSE),"0")</f>
        <v>0</v>
      </c>
      <c r="AD186" s="67">
        <f>Table1215[[#This Row],[Column25]]</f>
        <v>5</v>
      </c>
      <c r="AE186" s="65">
        <f>IFERROR(VLOOKUP(Table1215[[#This Row],[Column2]],Table12[[Column2]:[Column54]],30,FALSE),"0")</f>
        <v>0</v>
      </c>
      <c r="AF186" s="65">
        <f>IFERROR(VLOOKUP(Table1215[[#This Row],[Column2]],Table12[[Column2]:[Column54]],31,FALSE),"0")</f>
        <v>0</v>
      </c>
      <c r="AG186" s="65">
        <f>IFERROR(VLOOKUP(Table1215[[#This Row],[Column2]],Table12[[Column2]:[Column54]],32,FALSE),"0")</f>
        <v>0</v>
      </c>
      <c r="AH186" s="65">
        <f>IFERROR(VLOOKUP(Table1215[[#This Row],[Column2]],Table12[[Column2]:[Column54]],33,FALSE),"0")</f>
        <v>0</v>
      </c>
      <c r="AI186" s="65">
        <f>IFERROR(VLOOKUP(Table1215[[#This Row],[Column2]],Table12[[Column2]:[Column54]],34,FALSE),"0")</f>
        <v>0</v>
      </c>
      <c r="AJ186" s="67">
        <f>AVERAGE(Table1215[[#This Row],[Column31]],Table1215[[#This Row],[Column32]],Table1215[[#This Row],[Column33]])</f>
        <v>0</v>
      </c>
      <c r="AK186" s="65">
        <f>IFERROR(VLOOKUP(Table1215[[#This Row],[Column2]],Table12[[Column2]:[Column54]],36,FALSE),"0")</f>
        <v>5</v>
      </c>
      <c r="AL186" s="65">
        <f>IFERROR(VLOOKUP(Table1215[[#This Row],[Column2]],Table12[[Column2]:[Column54]],37,FALSE),"0")</f>
        <v>5</v>
      </c>
      <c r="AM186" s="65">
        <f>IFERROR(VLOOKUP(Table1215[[#This Row],[Column2]],Table12[[Column2]:[Column54]],38,FALSE),"0")</f>
        <v>0</v>
      </c>
      <c r="AN186" s="65">
        <f>IFERROR(VLOOKUP(Table1215[[#This Row],[Column2]],Table12[[Column2]:[Column54]],39,FALSE),"0")</f>
        <v>5</v>
      </c>
      <c r="AO186" s="65">
        <f>IFERROR(VLOOKUP(Table1215[[#This Row],[Column2]],Table12[[Column2]:[Column54]],40,FALSE),"0")</f>
        <v>0</v>
      </c>
      <c r="AP186" s="67">
        <f>AVERAGE(Table1215[[#This Row],[Column37]],Table1215[[#This Row],[Column38]],Table1215[[#This Row],[Column40]])</f>
        <v>5</v>
      </c>
      <c r="AQ186" s="65">
        <f>IFERROR(VLOOKUP(Table1215[[#This Row],[Column2]],Table12[[Column2]:[Column54]],42,FALSE),"0")</f>
        <v>5</v>
      </c>
      <c r="AR186" s="65">
        <f>IFERROR(VLOOKUP(Table1215[[#This Row],[Column2]],Table12[[Column2]:[Column54]],43,FALSE),"0")</f>
        <v>0</v>
      </c>
      <c r="AS186" s="65">
        <f>IFERROR(VLOOKUP(Table1215[[#This Row],[Column2]],Table12[[Column2]:[Column54]],44,FALSE),"0")</f>
        <v>0</v>
      </c>
      <c r="AT186" s="65">
        <f>IFERROR(VLOOKUP(Table1215[[#This Row],[Column2]],Table12[[Column2]:[Column54]],45,FALSE),"0")</f>
        <v>0</v>
      </c>
      <c r="AU186" s="65">
        <f>IFERROR(VLOOKUP(Table1215[[#This Row],[Column2]],Table12[[Column2]:[Column54]],46,FALSE),"0")</f>
        <v>0</v>
      </c>
      <c r="AV186" s="67">
        <f>Table1215[[#This Row],[Column43]]</f>
        <v>5</v>
      </c>
      <c r="AW186" s="65">
        <f>IFERROR(VLOOKUP(Table1215[[#This Row],[Column2]],Table12[[Column2]:[Column54]],48,FALSE),"0")</f>
        <v>0</v>
      </c>
      <c r="AX186" s="65">
        <f>IFERROR(VLOOKUP(Table1215[[#This Row],[Column2]],Table12[[Column2]:[Column54]],49,FALSE),"0")</f>
        <v>0</v>
      </c>
      <c r="AY186" s="65">
        <f>IFERROR(VLOOKUP(Table1215[[#This Row],[Column2]],Table12[[Column2]:[Column54]],50,FALSE),"0")</f>
        <v>0</v>
      </c>
      <c r="AZ186" s="65">
        <f>IFERROR(VLOOKUP(Table1215[[#This Row],[Column2]],Table12[[Column2]:[Column54]],51,FALSE),"0")</f>
        <v>5</v>
      </c>
      <c r="BA186" s="65">
        <f>IFERROR(VLOOKUP(Table1215[[#This Row],[Column2]],Table12[[Column2]:[Column54]],52,FALSE),"0")</f>
        <v>4</v>
      </c>
      <c r="BB186" s="67">
        <f>AVERAGE(Table1215[[#This Row],[Column52]],Table1215[[#This Row],[Column53]])</f>
        <v>4.5</v>
      </c>
    </row>
    <row r="187" spans="1:54" ht="23.1" customHeight="1" x14ac:dyDescent="0.3">
      <c r="A187" s="87">
        <v>184</v>
      </c>
      <c r="B187" s="70" t="s">
        <v>287</v>
      </c>
      <c r="C187" s="71" t="s">
        <v>288</v>
      </c>
      <c r="D187" s="70" t="s">
        <v>450</v>
      </c>
      <c r="E187" s="70" t="s">
        <v>161</v>
      </c>
      <c r="F187" s="70" t="str">
        <f>REPT(CHAR(160),10)&amp;Working!$E188</f>
        <v>          B</v>
      </c>
      <c r="G187" s="61">
        <f>IFERROR(VLOOKUP(Table1215[[#This Row],[Column2]],Table12[[Column2]:[Column54]],6,FALSE),"0")</f>
        <v>0</v>
      </c>
      <c r="H187" s="61">
        <f>IFERROR(VLOOKUP(Table1215[[#This Row],[Column2]],Table12[[Column2]:[Column54]],7,FALSE),"0")</f>
        <v>0</v>
      </c>
      <c r="I187" s="61">
        <f>IFERROR(VLOOKUP(Table1215[[#This Row],[Column2]],Table12[[Column2]:[Column54]],8,FALSE),"0")</f>
        <v>3</v>
      </c>
      <c r="J187" s="61">
        <f>IFERROR(VLOOKUP(Table1215[[#This Row],[Column2]],Table12[[Column2]:[Column54]],9,FALSE),"0")</f>
        <v>0</v>
      </c>
      <c r="K187" s="61">
        <f>IFERROR(VLOOKUP(Table1215[[#This Row],[Column2]],Table12[[Column2]:[Column54]],10,FALSE),"0")</f>
        <v>0</v>
      </c>
      <c r="L187" s="67">
        <f>Table1215[[#This Row],[Column9]]</f>
        <v>3</v>
      </c>
      <c r="M187" s="61">
        <f>IFERROR(VLOOKUP(Table1215[[#This Row],[Column2]],Table12[[Column2]:[Column54]],12,FALSE),"0")</f>
        <v>0</v>
      </c>
      <c r="N187" s="61">
        <f>IFERROR(VLOOKUP(Table1215[[#This Row],[Column2]],Table12[[Column2]:[Column54]],13,FALSE),"0")</f>
        <v>4</v>
      </c>
      <c r="O187" s="61">
        <f>IFERROR(VLOOKUP(Table1215[[#This Row],[Column2]],Table12[[Column2]:[Column54]],14,FALSE),"0")</f>
        <v>4</v>
      </c>
      <c r="P187" s="61">
        <f>IFERROR(VLOOKUP(Table1215[[#This Row],[Column2]],Table12[[Column2]:[Column54]],10,FALSE),"0")</f>
        <v>0</v>
      </c>
      <c r="Q187" s="61">
        <f>IFERROR(VLOOKUP(Table1215[[#This Row],[Column2]],Table12[[Column2]:[Column54]],16,FALSE),"0")</f>
        <v>4</v>
      </c>
      <c r="R187" s="67">
        <f>AVERAGE(Table1215[[#This Row],[Column14]],Table1215[[#This Row],[Column15]],Table1215[[#This Row],[Column17]])</f>
        <v>4</v>
      </c>
      <c r="S187" s="61">
        <f>IFERROR(VLOOKUP(Table1215[[#This Row],[Column2]],Table12[[Column2]:[Column54]],18,FALSE),"0")</f>
        <v>0</v>
      </c>
      <c r="T187" s="61">
        <f>IFERROR(VLOOKUP(Table1215[[#This Row],[Column2]],Table12[[Column2]:[Column54]],19,FALSE),"0")</f>
        <v>0</v>
      </c>
      <c r="U187" s="61">
        <f>IFERROR(VLOOKUP(Table1215[[#This Row],[Column2]],Table12[[Column2]:[Column54]],20,FALSE),"0")</f>
        <v>0</v>
      </c>
      <c r="V187" s="61">
        <f>IFERROR(VLOOKUP(Table1215[[#This Row],[Column2]],Table12[[Column2]:[Column54]],21,FALSE),"0")</f>
        <v>0</v>
      </c>
      <c r="W187" s="61">
        <f>IFERROR(VLOOKUP(Table1215[[#This Row],[Column2]],Table12[[Column2]:[Column54]],22,FALSE),"0")</f>
        <v>0</v>
      </c>
      <c r="X187" s="67">
        <f>Table1215[[#This Row],[Column19]]</f>
        <v>0</v>
      </c>
      <c r="Y187" s="61">
        <f>IFERROR(VLOOKUP(Table1215[[#This Row],[Column2]],Table12[[Column2]:[Column54]],24,FALSE),"0")</f>
        <v>4</v>
      </c>
      <c r="Z187" s="61">
        <f>IFERROR(VLOOKUP(Table1215[[#This Row],[Column2]],Table12[[Column2]:[Column54]],25,FALSE),"0")</f>
        <v>0</v>
      </c>
      <c r="AA187" s="61">
        <f>IFERROR(VLOOKUP(Table1215[[#This Row],[Column2]],Table12[[Column2]:[Column54]],26,FALSE),"0")</f>
        <v>0</v>
      </c>
      <c r="AB187" s="61">
        <f>IFERROR(VLOOKUP(Table1215[[#This Row],[Column2]],Table12[[Column2]:[Column54]],27,FALSE),"0")</f>
        <v>0</v>
      </c>
      <c r="AC187" s="61">
        <f>IFERROR(VLOOKUP(Table1215[[#This Row],[Column2]],Table12[[Column2]:[Column54]],28,FALSE),"0")</f>
        <v>0</v>
      </c>
      <c r="AD187" s="67">
        <f>Table1215[[#This Row],[Column25]]</f>
        <v>4</v>
      </c>
      <c r="AE187" s="61">
        <f>IFERROR(VLOOKUP(Table1215[[#This Row],[Column2]],Table12[[Column2]:[Column54]],30,FALSE),"0")</f>
        <v>0</v>
      </c>
      <c r="AF187" s="61">
        <f>IFERROR(VLOOKUP(Table1215[[#This Row],[Column2]],Table12[[Column2]:[Column54]],31,FALSE),"0")</f>
        <v>0</v>
      </c>
      <c r="AG187" s="61">
        <f>IFERROR(VLOOKUP(Table1215[[#This Row],[Column2]],Table12[[Column2]:[Column54]],32,FALSE),"0")</f>
        <v>0</v>
      </c>
      <c r="AH187" s="61">
        <f>IFERROR(VLOOKUP(Table1215[[#This Row],[Column2]],Table12[[Column2]:[Column54]],33,FALSE),"0")</f>
        <v>0</v>
      </c>
      <c r="AI187" s="61">
        <f>IFERROR(VLOOKUP(Table1215[[#This Row],[Column2]],Table12[[Column2]:[Column54]],34,FALSE),"0")</f>
        <v>0</v>
      </c>
      <c r="AJ187" s="67">
        <f>AVERAGE(Table1215[[#This Row],[Column31]],Table1215[[#This Row],[Column32]],Table1215[[#This Row],[Column33]])</f>
        <v>0</v>
      </c>
      <c r="AK187" s="61">
        <f>IFERROR(VLOOKUP(Table1215[[#This Row],[Column2]],Table12[[Column2]:[Column54]],36,FALSE),"0")</f>
        <v>3</v>
      </c>
      <c r="AL187" s="61">
        <f>IFERROR(VLOOKUP(Table1215[[#This Row],[Column2]],Table12[[Column2]:[Column54]],37,FALSE),"0")</f>
        <v>0</v>
      </c>
      <c r="AM187" s="61">
        <f>IFERROR(VLOOKUP(Table1215[[#This Row],[Column2]],Table12[[Column2]:[Column54]],38,FALSE),"0")</f>
        <v>0</v>
      </c>
      <c r="AN187" s="61">
        <f>IFERROR(VLOOKUP(Table1215[[#This Row],[Column2]],Table12[[Column2]:[Column54]],39,FALSE),"0")</f>
        <v>4</v>
      </c>
      <c r="AO187" s="61">
        <f>IFERROR(VLOOKUP(Table1215[[#This Row],[Column2]],Table12[[Column2]:[Column54]],40,FALSE),"0")</f>
        <v>0</v>
      </c>
      <c r="AP187" s="67">
        <f>AVERAGE(Table1215[[#This Row],[Column37]],Table1215[[#This Row],[Column38]],Table1215[[#This Row],[Column40]])</f>
        <v>2.3333333333333335</v>
      </c>
      <c r="AQ187" s="61">
        <f>IFERROR(VLOOKUP(Table1215[[#This Row],[Column2]],Table12[[Column2]:[Column54]],42,FALSE),"0")</f>
        <v>3</v>
      </c>
      <c r="AR187" s="61">
        <f>IFERROR(VLOOKUP(Table1215[[#This Row],[Column2]],Table12[[Column2]:[Column54]],43,FALSE),"0")</f>
        <v>0</v>
      </c>
      <c r="AS187" s="61">
        <f>IFERROR(VLOOKUP(Table1215[[#This Row],[Column2]],Table12[[Column2]:[Column54]],44,FALSE),"0")</f>
        <v>0</v>
      </c>
      <c r="AT187" s="61">
        <f>IFERROR(VLOOKUP(Table1215[[#This Row],[Column2]],Table12[[Column2]:[Column54]],45,FALSE),"0")</f>
        <v>0</v>
      </c>
      <c r="AU187" s="61">
        <f>IFERROR(VLOOKUP(Table1215[[#This Row],[Column2]],Table12[[Column2]:[Column54]],46,FALSE),"0")</f>
        <v>0</v>
      </c>
      <c r="AV187" s="67">
        <f>Table1215[[#This Row],[Column43]]</f>
        <v>3</v>
      </c>
      <c r="AW187" s="61">
        <f>IFERROR(VLOOKUP(Table1215[[#This Row],[Column2]],Table12[[Column2]:[Column54]],48,FALSE),"0")</f>
        <v>0</v>
      </c>
      <c r="AX187" s="61">
        <f>IFERROR(VLOOKUP(Table1215[[#This Row],[Column2]],Table12[[Column2]:[Column54]],49,FALSE),"0")</f>
        <v>0</v>
      </c>
      <c r="AY187" s="61">
        <f>IFERROR(VLOOKUP(Table1215[[#This Row],[Column2]],Table12[[Column2]:[Column54]],50,FALSE),"0")</f>
        <v>0</v>
      </c>
      <c r="AZ187" s="61">
        <f>IFERROR(VLOOKUP(Table1215[[#This Row],[Column2]],Table12[[Column2]:[Column54]],51,FALSE),"0")</f>
        <v>4</v>
      </c>
      <c r="BA187" s="61">
        <f>IFERROR(VLOOKUP(Table1215[[#This Row],[Column2]],Table12[[Column2]:[Column54]],52,FALSE),"0")</f>
        <v>3</v>
      </c>
      <c r="BB187" s="67">
        <f>AVERAGE(Table1215[[#This Row],[Column52]],Table1215[[#This Row],[Column53]])</f>
        <v>3.5</v>
      </c>
    </row>
    <row r="188" spans="1:54" ht="23.1" customHeight="1" x14ac:dyDescent="0.3">
      <c r="A188" s="86">
        <v>185</v>
      </c>
      <c r="B188" s="63" t="s">
        <v>408</v>
      </c>
      <c r="C188" s="64" t="s">
        <v>409</v>
      </c>
      <c r="D188" s="63" t="s">
        <v>450</v>
      </c>
      <c r="E188" s="63" t="s">
        <v>493</v>
      </c>
      <c r="F188" s="63" t="str">
        <f>REPT(CHAR(160),10)&amp;Working!$E189</f>
        <v>          C</v>
      </c>
      <c r="G188" s="65">
        <f>IFERROR(VLOOKUP(Table1215[[#This Row],[Column2]],Table12[[Column2]:[Column54]],6,FALSE),"0")</f>
        <v>0</v>
      </c>
      <c r="H188" s="65">
        <f>IFERROR(VLOOKUP(Table1215[[#This Row],[Column2]],Table12[[Column2]:[Column54]],7,FALSE),"0")</f>
        <v>0</v>
      </c>
      <c r="I188" s="65">
        <f>IFERROR(VLOOKUP(Table1215[[#This Row],[Column2]],Table12[[Column2]:[Column54]],8,FALSE),"0")</f>
        <v>1</v>
      </c>
      <c r="J188" s="65">
        <f>IFERROR(VLOOKUP(Table1215[[#This Row],[Column2]],Table12[[Column2]:[Column54]],9,FALSE),"0")</f>
        <v>0</v>
      </c>
      <c r="K188" s="65">
        <f>IFERROR(VLOOKUP(Table1215[[#This Row],[Column2]],Table12[[Column2]:[Column54]],10,FALSE),"0")</f>
        <v>0</v>
      </c>
      <c r="L188" s="67">
        <f>Table1215[[#This Row],[Column9]]</f>
        <v>1</v>
      </c>
      <c r="M188" s="65">
        <f>IFERROR(VLOOKUP(Table1215[[#This Row],[Column2]],Table12[[Column2]:[Column54]],12,FALSE),"0")</f>
        <v>0</v>
      </c>
      <c r="N188" s="65">
        <f>IFERROR(VLOOKUP(Table1215[[#This Row],[Column2]],Table12[[Column2]:[Column54]],13,FALSE),"0")</f>
        <v>3</v>
      </c>
      <c r="O188" s="65">
        <f>IFERROR(VLOOKUP(Table1215[[#This Row],[Column2]],Table12[[Column2]:[Column54]],14,FALSE),"0")</f>
        <v>2</v>
      </c>
      <c r="P188" s="65">
        <f>IFERROR(VLOOKUP(Table1215[[#This Row],[Column2]],Table12[[Column2]:[Column54]],10,FALSE),"0")</f>
        <v>0</v>
      </c>
      <c r="Q188" s="65">
        <f>IFERROR(VLOOKUP(Table1215[[#This Row],[Column2]],Table12[[Column2]:[Column54]],16,FALSE),"0")</f>
        <v>2</v>
      </c>
      <c r="R188" s="67">
        <f>AVERAGE(Table1215[[#This Row],[Column14]],Table1215[[#This Row],[Column15]],Table1215[[#This Row],[Column17]])</f>
        <v>2.3333333333333335</v>
      </c>
      <c r="S188" s="65">
        <f>IFERROR(VLOOKUP(Table1215[[#This Row],[Column2]],Table12[[Column2]:[Column54]],18,FALSE),"0")</f>
        <v>0</v>
      </c>
      <c r="T188" s="65">
        <f>IFERROR(VLOOKUP(Table1215[[#This Row],[Column2]],Table12[[Column2]:[Column54]],19,FALSE),"0")</f>
        <v>0</v>
      </c>
      <c r="U188" s="65">
        <f>IFERROR(VLOOKUP(Table1215[[#This Row],[Column2]],Table12[[Column2]:[Column54]],20,FALSE),"0")</f>
        <v>0</v>
      </c>
      <c r="V188" s="65">
        <f>IFERROR(VLOOKUP(Table1215[[#This Row],[Column2]],Table12[[Column2]:[Column54]],21,FALSE),"0")</f>
        <v>0</v>
      </c>
      <c r="W188" s="65">
        <f>IFERROR(VLOOKUP(Table1215[[#This Row],[Column2]],Table12[[Column2]:[Column54]],22,FALSE),"0")</f>
        <v>0</v>
      </c>
      <c r="X188" s="67">
        <f>Table1215[[#This Row],[Column19]]</f>
        <v>0</v>
      </c>
      <c r="Y188" s="65">
        <f>IFERROR(VLOOKUP(Table1215[[#This Row],[Column2]],Table12[[Column2]:[Column54]],24,FALSE),"0")</f>
        <v>2</v>
      </c>
      <c r="Z188" s="65">
        <f>IFERROR(VLOOKUP(Table1215[[#This Row],[Column2]],Table12[[Column2]:[Column54]],25,FALSE),"0")</f>
        <v>0</v>
      </c>
      <c r="AA188" s="65">
        <f>IFERROR(VLOOKUP(Table1215[[#This Row],[Column2]],Table12[[Column2]:[Column54]],26,FALSE),"0")</f>
        <v>0</v>
      </c>
      <c r="AB188" s="65">
        <f>IFERROR(VLOOKUP(Table1215[[#This Row],[Column2]],Table12[[Column2]:[Column54]],27,FALSE),"0")</f>
        <v>0</v>
      </c>
      <c r="AC188" s="65">
        <f>IFERROR(VLOOKUP(Table1215[[#This Row],[Column2]],Table12[[Column2]:[Column54]],28,FALSE),"0")</f>
        <v>0</v>
      </c>
      <c r="AD188" s="67">
        <f>Table1215[[#This Row],[Column25]]</f>
        <v>2</v>
      </c>
      <c r="AE188" s="65">
        <f>IFERROR(VLOOKUP(Table1215[[#This Row],[Column2]],Table12[[Column2]:[Column54]],30,FALSE),"0")</f>
        <v>0</v>
      </c>
      <c r="AF188" s="65">
        <f>IFERROR(VLOOKUP(Table1215[[#This Row],[Column2]],Table12[[Column2]:[Column54]],31,FALSE),"0")</f>
        <v>0</v>
      </c>
      <c r="AG188" s="65">
        <f>IFERROR(VLOOKUP(Table1215[[#This Row],[Column2]],Table12[[Column2]:[Column54]],32,FALSE),"0")</f>
        <v>0</v>
      </c>
      <c r="AH188" s="65">
        <f>IFERROR(VLOOKUP(Table1215[[#This Row],[Column2]],Table12[[Column2]:[Column54]],33,FALSE),"0")</f>
        <v>0</v>
      </c>
      <c r="AI188" s="65">
        <f>IFERROR(VLOOKUP(Table1215[[#This Row],[Column2]],Table12[[Column2]:[Column54]],34,FALSE),"0")</f>
        <v>0</v>
      </c>
      <c r="AJ188" s="67">
        <f>AVERAGE(Table1215[[#This Row],[Column31]],Table1215[[#This Row],[Column32]],Table1215[[#This Row],[Column33]])</f>
        <v>0</v>
      </c>
      <c r="AK188" s="65">
        <f>IFERROR(VLOOKUP(Table1215[[#This Row],[Column2]],Table12[[Column2]:[Column54]],36,FALSE),"0")</f>
        <v>2</v>
      </c>
      <c r="AL188" s="65">
        <f>IFERROR(VLOOKUP(Table1215[[#This Row],[Column2]],Table12[[Column2]:[Column54]],37,FALSE),"0")</f>
        <v>2</v>
      </c>
      <c r="AM188" s="65">
        <f>IFERROR(VLOOKUP(Table1215[[#This Row],[Column2]],Table12[[Column2]:[Column54]],38,FALSE),"0")</f>
        <v>0</v>
      </c>
      <c r="AN188" s="65">
        <f>IFERROR(VLOOKUP(Table1215[[#This Row],[Column2]],Table12[[Column2]:[Column54]],39,FALSE),"0")</f>
        <v>3</v>
      </c>
      <c r="AO188" s="65">
        <f>IFERROR(VLOOKUP(Table1215[[#This Row],[Column2]],Table12[[Column2]:[Column54]],40,FALSE),"0")</f>
        <v>0</v>
      </c>
      <c r="AP188" s="67">
        <f>AVERAGE(Table1215[[#This Row],[Column37]],Table1215[[#This Row],[Column38]],Table1215[[#This Row],[Column40]])</f>
        <v>2.3333333333333335</v>
      </c>
      <c r="AQ188" s="65">
        <f>IFERROR(VLOOKUP(Table1215[[#This Row],[Column2]],Table12[[Column2]:[Column54]],42,FALSE),"0")</f>
        <v>2</v>
      </c>
      <c r="AR188" s="65">
        <f>IFERROR(VLOOKUP(Table1215[[#This Row],[Column2]],Table12[[Column2]:[Column54]],43,FALSE),"0")</f>
        <v>0</v>
      </c>
      <c r="AS188" s="65">
        <f>IFERROR(VLOOKUP(Table1215[[#This Row],[Column2]],Table12[[Column2]:[Column54]],44,FALSE),"0")</f>
        <v>0</v>
      </c>
      <c r="AT188" s="65">
        <f>IFERROR(VLOOKUP(Table1215[[#This Row],[Column2]],Table12[[Column2]:[Column54]],45,FALSE),"0")</f>
        <v>0</v>
      </c>
      <c r="AU188" s="65">
        <f>IFERROR(VLOOKUP(Table1215[[#This Row],[Column2]],Table12[[Column2]:[Column54]],46,FALSE),"0")</f>
        <v>0</v>
      </c>
      <c r="AV188" s="67">
        <f>Table1215[[#This Row],[Column43]]</f>
        <v>2</v>
      </c>
      <c r="AW188" s="65">
        <f>IFERROR(VLOOKUP(Table1215[[#This Row],[Column2]],Table12[[Column2]:[Column54]],48,FALSE),"0")</f>
        <v>0</v>
      </c>
      <c r="AX188" s="65">
        <f>IFERROR(VLOOKUP(Table1215[[#This Row],[Column2]],Table12[[Column2]:[Column54]],49,FALSE),"0")</f>
        <v>0</v>
      </c>
      <c r="AY188" s="65">
        <f>IFERROR(VLOOKUP(Table1215[[#This Row],[Column2]],Table12[[Column2]:[Column54]],50,FALSE),"0")</f>
        <v>0</v>
      </c>
      <c r="AZ188" s="65">
        <f>IFERROR(VLOOKUP(Table1215[[#This Row],[Column2]],Table12[[Column2]:[Column54]],51,FALSE),"0")</f>
        <v>2</v>
      </c>
      <c r="BA188" s="65">
        <f>IFERROR(VLOOKUP(Table1215[[#This Row],[Column2]],Table12[[Column2]:[Column54]],52,FALSE),"0")</f>
        <v>1</v>
      </c>
      <c r="BB188" s="67">
        <f>AVERAGE(Table1215[[#This Row],[Column52]],Table1215[[#This Row],[Column53]])</f>
        <v>1.5</v>
      </c>
    </row>
    <row r="189" spans="1:54" ht="23.1" customHeight="1" x14ac:dyDescent="0.3">
      <c r="A189" s="87">
        <v>186</v>
      </c>
      <c r="B189" s="70" t="s">
        <v>410</v>
      </c>
      <c r="C189" s="71" t="s">
        <v>411</v>
      </c>
      <c r="D189" s="70" t="s">
        <v>450</v>
      </c>
      <c r="E189" s="70" t="s">
        <v>493</v>
      </c>
      <c r="F189" s="70" t="str">
        <f>REPT(CHAR(160),10)&amp;Working!$E190</f>
        <v>          C</v>
      </c>
      <c r="G189" s="61">
        <f>IFERROR(VLOOKUP(Table1215[[#This Row],[Column2]],Table12[[Column2]:[Column54]],6,FALSE),"0")</f>
        <v>0</v>
      </c>
      <c r="H189" s="61">
        <f>IFERROR(VLOOKUP(Table1215[[#This Row],[Column2]],Table12[[Column2]:[Column54]],7,FALSE),"0")</f>
        <v>0</v>
      </c>
      <c r="I189" s="61">
        <f>IFERROR(VLOOKUP(Table1215[[#This Row],[Column2]],Table12[[Column2]:[Column54]],8,FALSE),"0")</f>
        <v>2</v>
      </c>
      <c r="J189" s="61">
        <f>IFERROR(VLOOKUP(Table1215[[#This Row],[Column2]],Table12[[Column2]:[Column54]],9,FALSE),"0")</f>
        <v>0</v>
      </c>
      <c r="K189" s="61">
        <f>IFERROR(VLOOKUP(Table1215[[#This Row],[Column2]],Table12[[Column2]:[Column54]],10,FALSE),"0")</f>
        <v>0</v>
      </c>
      <c r="L189" s="67">
        <f>Table1215[[#This Row],[Column9]]</f>
        <v>2</v>
      </c>
      <c r="M189" s="61">
        <f>IFERROR(VLOOKUP(Table1215[[#This Row],[Column2]],Table12[[Column2]:[Column54]],12,FALSE),"0")</f>
        <v>0</v>
      </c>
      <c r="N189" s="61">
        <f>IFERROR(VLOOKUP(Table1215[[#This Row],[Column2]],Table12[[Column2]:[Column54]],13,FALSE),"0")</f>
        <v>3</v>
      </c>
      <c r="O189" s="61">
        <f>IFERROR(VLOOKUP(Table1215[[#This Row],[Column2]],Table12[[Column2]:[Column54]],14,FALSE),"0")</f>
        <v>3</v>
      </c>
      <c r="P189" s="61">
        <f>IFERROR(VLOOKUP(Table1215[[#This Row],[Column2]],Table12[[Column2]:[Column54]],10,FALSE),"0")</f>
        <v>0</v>
      </c>
      <c r="Q189" s="61">
        <f>IFERROR(VLOOKUP(Table1215[[#This Row],[Column2]],Table12[[Column2]:[Column54]],16,FALSE),"0")</f>
        <v>3</v>
      </c>
      <c r="R189" s="67">
        <f>AVERAGE(Table1215[[#This Row],[Column14]],Table1215[[#This Row],[Column15]],Table1215[[#This Row],[Column17]])</f>
        <v>3</v>
      </c>
      <c r="S189" s="61">
        <f>IFERROR(VLOOKUP(Table1215[[#This Row],[Column2]],Table12[[Column2]:[Column54]],18,FALSE),"0")</f>
        <v>0</v>
      </c>
      <c r="T189" s="61">
        <f>IFERROR(VLOOKUP(Table1215[[#This Row],[Column2]],Table12[[Column2]:[Column54]],19,FALSE),"0")</f>
        <v>0</v>
      </c>
      <c r="U189" s="61">
        <f>IFERROR(VLOOKUP(Table1215[[#This Row],[Column2]],Table12[[Column2]:[Column54]],20,FALSE),"0")</f>
        <v>0</v>
      </c>
      <c r="V189" s="61">
        <f>IFERROR(VLOOKUP(Table1215[[#This Row],[Column2]],Table12[[Column2]:[Column54]],21,FALSE),"0")</f>
        <v>0</v>
      </c>
      <c r="W189" s="61">
        <f>IFERROR(VLOOKUP(Table1215[[#This Row],[Column2]],Table12[[Column2]:[Column54]],22,FALSE),"0")</f>
        <v>0</v>
      </c>
      <c r="X189" s="67">
        <f>Table1215[[#This Row],[Column19]]</f>
        <v>0</v>
      </c>
      <c r="Y189" s="61">
        <f>IFERROR(VLOOKUP(Table1215[[#This Row],[Column2]],Table12[[Column2]:[Column54]],24,FALSE),"0")</f>
        <v>3</v>
      </c>
      <c r="Z189" s="61">
        <f>IFERROR(VLOOKUP(Table1215[[#This Row],[Column2]],Table12[[Column2]:[Column54]],25,FALSE),"0")</f>
        <v>0</v>
      </c>
      <c r="AA189" s="61">
        <f>IFERROR(VLOOKUP(Table1215[[#This Row],[Column2]],Table12[[Column2]:[Column54]],26,FALSE),"0")</f>
        <v>0</v>
      </c>
      <c r="AB189" s="61">
        <f>IFERROR(VLOOKUP(Table1215[[#This Row],[Column2]],Table12[[Column2]:[Column54]],27,FALSE),"0")</f>
        <v>0</v>
      </c>
      <c r="AC189" s="61">
        <f>IFERROR(VLOOKUP(Table1215[[#This Row],[Column2]],Table12[[Column2]:[Column54]],28,FALSE),"0")</f>
        <v>0</v>
      </c>
      <c r="AD189" s="67">
        <f>Table1215[[#This Row],[Column25]]</f>
        <v>3</v>
      </c>
      <c r="AE189" s="61">
        <f>IFERROR(VLOOKUP(Table1215[[#This Row],[Column2]],Table12[[Column2]:[Column54]],30,FALSE),"0")</f>
        <v>0</v>
      </c>
      <c r="AF189" s="61">
        <f>IFERROR(VLOOKUP(Table1215[[#This Row],[Column2]],Table12[[Column2]:[Column54]],31,FALSE),"0")</f>
        <v>0</v>
      </c>
      <c r="AG189" s="61">
        <f>IFERROR(VLOOKUP(Table1215[[#This Row],[Column2]],Table12[[Column2]:[Column54]],32,FALSE),"0")</f>
        <v>0</v>
      </c>
      <c r="AH189" s="61">
        <f>IFERROR(VLOOKUP(Table1215[[#This Row],[Column2]],Table12[[Column2]:[Column54]],33,FALSE),"0")</f>
        <v>0</v>
      </c>
      <c r="AI189" s="61">
        <f>IFERROR(VLOOKUP(Table1215[[#This Row],[Column2]],Table12[[Column2]:[Column54]],34,FALSE),"0")</f>
        <v>0</v>
      </c>
      <c r="AJ189" s="67">
        <f>AVERAGE(Table1215[[#This Row],[Column31]],Table1215[[#This Row],[Column32]],Table1215[[#This Row],[Column33]])</f>
        <v>0</v>
      </c>
      <c r="AK189" s="61">
        <f>IFERROR(VLOOKUP(Table1215[[#This Row],[Column2]],Table12[[Column2]:[Column54]],36,FALSE),"0")</f>
        <v>2</v>
      </c>
      <c r="AL189" s="61">
        <f>IFERROR(VLOOKUP(Table1215[[#This Row],[Column2]],Table12[[Column2]:[Column54]],37,FALSE),"0")</f>
        <v>2</v>
      </c>
      <c r="AM189" s="61">
        <f>IFERROR(VLOOKUP(Table1215[[#This Row],[Column2]],Table12[[Column2]:[Column54]],38,FALSE),"0")</f>
        <v>0</v>
      </c>
      <c r="AN189" s="61">
        <f>IFERROR(VLOOKUP(Table1215[[#This Row],[Column2]],Table12[[Column2]:[Column54]],39,FALSE),"0")</f>
        <v>3</v>
      </c>
      <c r="AO189" s="61">
        <f>IFERROR(VLOOKUP(Table1215[[#This Row],[Column2]],Table12[[Column2]:[Column54]],40,FALSE),"0")</f>
        <v>0</v>
      </c>
      <c r="AP189" s="67">
        <f>AVERAGE(Table1215[[#This Row],[Column37]],Table1215[[#This Row],[Column38]],Table1215[[#This Row],[Column40]])</f>
        <v>2.3333333333333335</v>
      </c>
      <c r="AQ189" s="61">
        <f>IFERROR(VLOOKUP(Table1215[[#This Row],[Column2]],Table12[[Column2]:[Column54]],42,FALSE),"0")</f>
        <v>2</v>
      </c>
      <c r="AR189" s="61">
        <f>IFERROR(VLOOKUP(Table1215[[#This Row],[Column2]],Table12[[Column2]:[Column54]],43,FALSE),"0")</f>
        <v>0</v>
      </c>
      <c r="AS189" s="61">
        <f>IFERROR(VLOOKUP(Table1215[[#This Row],[Column2]],Table12[[Column2]:[Column54]],44,FALSE),"0")</f>
        <v>0</v>
      </c>
      <c r="AT189" s="61">
        <f>IFERROR(VLOOKUP(Table1215[[#This Row],[Column2]],Table12[[Column2]:[Column54]],45,FALSE),"0")</f>
        <v>0</v>
      </c>
      <c r="AU189" s="61">
        <f>IFERROR(VLOOKUP(Table1215[[#This Row],[Column2]],Table12[[Column2]:[Column54]],46,FALSE),"0")</f>
        <v>0</v>
      </c>
      <c r="AV189" s="67">
        <f>Table1215[[#This Row],[Column43]]</f>
        <v>2</v>
      </c>
      <c r="AW189" s="61">
        <f>IFERROR(VLOOKUP(Table1215[[#This Row],[Column2]],Table12[[Column2]:[Column54]],48,FALSE),"0")</f>
        <v>0</v>
      </c>
      <c r="AX189" s="61">
        <f>IFERROR(VLOOKUP(Table1215[[#This Row],[Column2]],Table12[[Column2]:[Column54]],49,FALSE),"0")</f>
        <v>0</v>
      </c>
      <c r="AY189" s="61">
        <f>IFERROR(VLOOKUP(Table1215[[#This Row],[Column2]],Table12[[Column2]:[Column54]],50,FALSE),"0")</f>
        <v>0</v>
      </c>
      <c r="AZ189" s="61">
        <f>IFERROR(VLOOKUP(Table1215[[#This Row],[Column2]],Table12[[Column2]:[Column54]],51,FALSE),"0")</f>
        <v>2</v>
      </c>
      <c r="BA189" s="61">
        <f>IFERROR(VLOOKUP(Table1215[[#This Row],[Column2]],Table12[[Column2]:[Column54]],52,FALSE),"0")</f>
        <v>2</v>
      </c>
      <c r="BB189" s="67">
        <f>AVERAGE(Table1215[[#This Row],[Column52]],Table1215[[#This Row],[Column53]])</f>
        <v>2</v>
      </c>
    </row>
    <row r="190" spans="1:54" ht="23.1" customHeight="1" x14ac:dyDescent="0.3">
      <c r="A190" s="86">
        <v>187</v>
      </c>
      <c r="B190" s="63" t="s">
        <v>412</v>
      </c>
      <c r="C190" s="64" t="s">
        <v>413</v>
      </c>
      <c r="D190" s="63" t="s">
        <v>542</v>
      </c>
      <c r="E190" s="63" t="s">
        <v>493</v>
      </c>
      <c r="F190" s="63" t="str">
        <f>REPT(CHAR(160),10)&amp;Working!$E191</f>
        <v>          C</v>
      </c>
      <c r="G190" s="65">
        <f>IFERROR(VLOOKUP(Table1215[[#This Row],[Column2]],Table12[[Column2]:[Column54]],6,FALSE),"0")</f>
        <v>0</v>
      </c>
      <c r="H190" s="65">
        <f>IFERROR(VLOOKUP(Table1215[[#This Row],[Column2]],Table12[[Column2]:[Column54]],7,FALSE),"0")</f>
        <v>0</v>
      </c>
      <c r="I190" s="65">
        <f>IFERROR(VLOOKUP(Table1215[[#This Row],[Column2]],Table12[[Column2]:[Column54]],8,FALSE),"0")</f>
        <v>2</v>
      </c>
      <c r="J190" s="65">
        <f>IFERROR(VLOOKUP(Table1215[[#This Row],[Column2]],Table12[[Column2]:[Column54]],9,FALSE),"0")</f>
        <v>0</v>
      </c>
      <c r="K190" s="65">
        <f>IFERROR(VLOOKUP(Table1215[[#This Row],[Column2]],Table12[[Column2]:[Column54]],10,FALSE),"0")</f>
        <v>0</v>
      </c>
      <c r="L190" s="67">
        <f>Table1215[[#This Row],[Column9]]</f>
        <v>2</v>
      </c>
      <c r="M190" s="65">
        <f>IFERROR(VLOOKUP(Table1215[[#This Row],[Column2]],Table12[[Column2]:[Column54]],12,FALSE),"0")</f>
        <v>0</v>
      </c>
      <c r="N190" s="65">
        <f>IFERROR(VLOOKUP(Table1215[[#This Row],[Column2]],Table12[[Column2]:[Column54]],13,FALSE),"0")</f>
        <v>2</v>
      </c>
      <c r="O190" s="65">
        <f>IFERROR(VLOOKUP(Table1215[[#This Row],[Column2]],Table12[[Column2]:[Column54]],14,FALSE),"0")</f>
        <v>2</v>
      </c>
      <c r="P190" s="65">
        <f>IFERROR(VLOOKUP(Table1215[[#This Row],[Column2]],Table12[[Column2]:[Column54]],10,FALSE),"0")</f>
        <v>0</v>
      </c>
      <c r="Q190" s="65">
        <f>IFERROR(VLOOKUP(Table1215[[#This Row],[Column2]],Table12[[Column2]:[Column54]],16,FALSE),"0")</f>
        <v>2</v>
      </c>
      <c r="R190" s="67">
        <f>AVERAGE(Table1215[[#This Row],[Column14]],Table1215[[#This Row],[Column15]],Table1215[[#This Row],[Column17]])</f>
        <v>2</v>
      </c>
      <c r="S190" s="65">
        <f>IFERROR(VLOOKUP(Table1215[[#This Row],[Column2]],Table12[[Column2]:[Column54]],18,FALSE),"0")</f>
        <v>0</v>
      </c>
      <c r="T190" s="65">
        <f>IFERROR(VLOOKUP(Table1215[[#This Row],[Column2]],Table12[[Column2]:[Column54]],19,FALSE),"0")</f>
        <v>0</v>
      </c>
      <c r="U190" s="65">
        <f>IFERROR(VLOOKUP(Table1215[[#This Row],[Column2]],Table12[[Column2]:[Column54]],20,FALSE),"0")</f>
        <v>0</v>
      </c>
      <c r="V190" s="65">
        <f>IFERROR(VLOOKUP(Table1215[[#This Row],[Column2]],Table12[[Column2]:[Column54]],21,FALSE),"0")</f>
        <v>0</v>
      </c>
      <c r="W190" s="65">
        <f>IFERROR(VLOOKUP(Table1215[[#This Row],[Column2]],Table12[[Column2]:[Column54]],22,FALSE),"0")</f>
        <v>0</v>
      </c>
      <c r="X190" s="67">
        <f>Table1215[[#This Row],[Column19]]</f>
        <v>0</v>
      </c>
      <c r="Y190" s="65">
        <f>IFERROR(VLOOKUP(Table1215[[#This Row],[Column2]],Table12[[Column2]:[Column54]],24,FALSE),"0")</f>
        <v>2</v>
      </c>
      <c r="Z190" s="65">
        <f>IFERROR(VLOOKUP(Table1215[[#This Row],[Column2]],Table12[[Column2]:[Column54]],25,FALSE),"0")</f>
        <v>0</v>
      </c>
      <c r="AA190" s="65">
        <f>IFERROR(VLOOKUP(Table1215[[#This Row],[Column2]],Table12[[Column2]:[Column54]],26,FALSE),"0")</f>
        <v>0</v>
      </c>
      <c r="AB190" s="65">
        <f>IFERROR(VLOOKUP(Table1215[[#This Row],[Column2]],Table12[[Column2]:[Column54]],27,FALSE),"0")</f>
        <v>0</v>
      </c>
      <c r="AC190" s="65">
        <f>IFERROR(VLOOKUP(Table1215[[#This Row],[Column2]],Table12[[Column2]:[Column54]],28,FALSE),"0")</f>
        <v>0</v>
      </c>
      <c r="AD190" s="67">
        <f>Table1215[[#This Row],[Column25]]</f>
        <v>2</v>
      </c>
      <c r="AE190" s="65">
        <f>IFERROR(VLOOKUP(Table1215[[#This Row],[Column2]],Table12[[Column2]:[Column54]],30,FALSE),"0")</f>
        <v>0</v>
      </c>
      <c r="AF190" s="65">
        <f>IFERROR(VLOOKUP(Table1215[[#This Row],[Column2]],Table12[[Column2]:[Column54]],31,FALSE),"0")</f>
        <v>0</v>
      </c>
      <c r="AG190" s="65">
        <f>IFERROR(VLOOKUP(Table1215[[#This Row],[Column2]],Table12[[Column2]:[Column54]],32,FALSE),"0")</f>
        <v>0</v>
      </c>
      <c r="AH190" s="65">
        <f>IFERROR(VLOOKUP(Table1215[[#This Row],[Column2]],Table12[[Column2]:[Column54]],33,FALSE),"0")</f>
        <v>0</v>
      </c>
      <c r="AI190" s="65">
        <f>IFERROR(VLOOKUP(Table1215[[#This Row],[Column2]],Table12[[Column2]:[Column54]],34,FALSE),"0")</f>
        <v>0</v>
      </c>
      <c r="AJ190" s="67">
        <f>AVERAGE(Table1215[[#This Row],[Column31]],Table1215[[#This Row],[Column32]],Table1215[[#This Row],[Column33]])</f>
        <v>0</v>
      </c>
      <c r="AK190" s="65">
        <f>IFERROR(VLOOKUP(Table1215[[#This Row],[Column2]],Table12[[Column2]:[Column54]],36,FALSE),"0")</f>
        <v>2</v>
      </c>
      <c r="AL190" s="65">
        <f>IFERROR(VLOOKUP(Table1215[[#This Row],[Column2]],Table12[[Column2]:[Column54]],37,FALSE),"0")</f>
        <v>3</v>
      </c>
      <c r="AM190" s="65">
        <f>IFERROR(VLOOKUP(Table1215[[#This Row],[Column2]],Table12[[Column2]:[Column54]],38,FALSE),"0")</f>
        <v>0</v>
      </c>
      <c r="AN190" s="65">
        <f>IFERROR(VLOOKUP(Table1215[[#This Row],[Column2]],Table12[[Column2]:[Column54]],39,FALSE),"0")</f>
        <v>4</v>
      </c>
      <c r="AO190" s="65">
        <f>IFERROR(VLOOKUP(Table1215[[#This Row],[Column2]],Table12[[Column2]:[Column54]],40,FALSE),"0")</f>
        <v>0</v>
      </c>
      <c r="AP190" s="67">
        <f>AVERAGE(Table1215[[#This Row],[Column37]],Table1215[[#This Row],[Column38]],Table1215[[#This Row],[Column40]])</f>
        <v>3</v>
      </c>
      <c r="AQ190" s="65">
        <f>IFERROR(VLOOKUP(Table1215[[#This Row],[Column2]],Table12[[Column2]:[Column54]],42,FALSE),"0")</f>
        <v>1</v>
      </c>
      <c r="AR190" s="65">
        <f>IFERROR(VLOOKUP(Table1215[[#This Row],[Column2]],Table12[[Column2]:[Column54]],43,FALSE),"0")</f>
        <v>0</v>
      </c>
      <c r="AS190" s="65">
        <f>IFERROR(VLOOKUP(Table1215[[#This Row],[Column2]],Table12[[Column2]:[Column54]],44,FALSE),"0")</f>
        <v>0</v>
      </c>
      <c r="AT190" s="65">
        <f>IFERROR(VLOOKUP(Table1215[[#This Row],[Column2]],Table12[[Column2]:[Column54]],45,FALSE),"0")</f>
        <v>0</v>
      </c>
      <c r="AU190" s="65">
        <f>IFERROR(VLOOKUP(Table1215[[#This Row],[Column2]],Table12[[Column2]:[Column54]],46,FALSE),"0")</f>
        <v>0</v>
      </c>
      <c r="AV190" s="67">
        <f>Table1215[[#This Row],[Column43]]</f>
        <v>1</v>
      </c>
      <c r="AW190" s="65">
        <f>IFERROR(VLOOKUP(Table1215[[#This Row],[Column2]],Table12[[Column2]:[Column54]],48,FALSE),"0")</f>
        <v>0</v>
      </c>
      <c r="AX190" s="65">
        <f>IFERROR(VLOOKUP(Table1215[[#This Row],[Column2]],Table12[[Column2]:[Column54]],49,FALSE),"0")</f>
        <v>0</v>
      </c>
      <c r="AY190" s="65">
        <f>IFERROR(VLOOKUP(Table1215[[#This Row],[Column2]],Table12[[Column2]:[Column54]],50,FALSE),"0")</f>
        <v>0</v>
      </c>
      <c r="AZ190" s="65">
        <f>IFERROR(VLOOKUP(Table1215[[#This Row],[Column2]],Table12[[Column2]:[Column54]],51,FALSE),"0")</f>
        <v>4</v>
      </c>
      <c r="BA190" s="65">
        <f>IFERROR(VLOOKUP(Table1215[[#This Row],[Column2]],Table12[[Column2]:[Column54]],52,FALSE),"0")</f>
        <v>2</v>
      </c>
      <c r="BB190" s="67">
        <f>AVERAGE(Table1215[[#This Row],[Column52]],Table1215[[#This Row],[Column53]])</f>
        <v>3</v>
      </c>
    </row>
    <row r="191" spans="1:54" ht="23.1" customHeight="1" x14ac:dyDescent="0.3">
      <c r="A191" s="87">
        <v>188</v>
      </c>
      <c r="B191" s="70" t="s">
        <v>148</v>
      </c>
      <c r="C191" s="71" t="s">
        <v>149</v>
      </c>
      <c r="D191" s="70" t="s">
        <v>542</v>
      </c>
      <c r="E191" s="70" t="s">
        <v>35</v>
      </c>
      <c r="F191" s="70" t="str">
        <f>REPT(CHAR(160),10)&amp;Working!$E192</f>
        <v>          A</v>
      </c>
      <c r="G191" s="61">
        <f>IFERROR(VLOOKUP(Table1215[[#This Row],[Column2]],Table12[[Column2]:[Column54]],6,FALSE),"0")</f>
        <v>0</v>
      </c>
      <c r="H191" s="61">
        <f>IFERROR(VLOOKUP(Table1215[[#This Row],[Column2]],Table12[[Column2]:[Column54]],7,FALSE),"0")</f>
        <v>0</v>
      </c>
      <c r="I191" s="61">
        <f>IFERROR(VLOOKUP(Table1215[[#This Row],[Column2]],Table12[[Column2]:[Column54]],8,FALSE),"0")</f>
        <v>2</v>
      </c>
      <c r="J191" s="61">
        <f>IFERROR(VLOOKUP(Table1215[[#This Row],[Column2]],Table12[[Column2]:[Column54]],9,FALSE),"0")</f>
        <v>0</v>
      </c>
      <c r="K191" s="61">
        <f>IFERROR(VLOOKUP(Table1215[[#This Row],[Column2]],Table12[[Column2]:[Column54]],10,FALSE),"0")</f>
        <v>0</v>
      </c>
      <c r="L191" s="67">
        <f>Table1215[[#This Row],[Column9]]</f>
        <v>2</v>
      </c>
      <c r="M191" s="61">
        <f>IFERROR(VLOOKUP(Table1215[[#This Row],[Column2]],Table12[[Column2]:[Column54]],12,FALSE),"0")</f>
        <v>0</v>
      </c>
      <c r="N191" s="61">
        <f>IFERROR(VLOOKUP(Table1215[[#This Row],[Column2]],Table12[[Column2]:[Column54]],13,FALSE),"0")</f>
        <v>2</v>
      </c>
      <c r="O191" s="61">
        <f>IFERROR(VLOOKUP(Table1215[[#This Row],[Column2]],Table12[[Column2]:[Column54]],14,FALSE),"0")</f>
        <v>2</v>
      </c>
      <c r="P191" s="61">
        <f>IFERROR(VLOOKUP(Table1215[[#This Row],[Column2]],Table12[[Column2]:[Column54]],10,FALSE),"0")</f>
        <v>0</v>
      </c>
      <c r="Q191" s="61">
        <f>IFERROR(VLOOKUP(Table1215[[#This Row],[Column2]],Table12[[Column2]:[Column54]],16,FALSE),"0")</f>
        <v>2</v>
      </c>
      <c r="R191" s="67">
        <f>AVERAGE(Table1215[[#This Row],[Column14]],Table1215[[#This Row],[Column15]],Table1215[[#This Row],[Column17]])</f>
        <v>2</v>
      </c>
      <c r="S191" s="61">
        <f>IFERROR(VLOOKUP(Table1215[[#This Row],[Column2]],Table12[[Column2]:[Column54]],18,FALSE),"0")</f>
        <v>0</v>
      </c>
      <c r="T191" s="61">
        <f>IFERROR(VLOOKUP(Table1215[[#This Row],[Column2]],Table12[[Column2]:[Column54]],19,FALSE),"0")</f>
        <v>0</v>
      </c>
      <c r="U191" s="61">
        <f>IFERROR(VLOOKUP(Table1215[[#This Row],[Column2]],Table12[[Column2]:[Column54]],20,FALSE),"0")</f>
        <v>0</v>
      </c>
      <c r="V191" s="61">
        <f>IFERROR(VLOOKUP(Table1215[[#This Row],[Column2]],Table12[[Column2]:[Column54]],21,FALSE),"0")</f>
        <v>0</v>
      </c>
      <c r="W191" s="61">
        <f>IFERROR(VLOOKUP(Table1215[[#This Row],[Column2]],Table12[[Column2]:[Column54]],22,FALSE),"0")</f>
        <v>0</v>
      </c>
      <c r="X191" s="67">
        <f>Table1215[[#This Row],[Column19]]</f>
        <v>0</v>
      </c>
      <c r="Y191" s="61">
        <f>IFERROR(VLOOKUP(Table1215[[#This Row],[Column2]],Table12[[Column2]:[Column54]],24,FALSE),"0")</f>
        <v>2</v>
      </c>
      <c r="Z191" s="61">
        <f>IFERROR(VLOOKUP(Table1215[[#This Row],[Column2]],Table12[[Column2]:[Column54]],25,FALSE),"0")</f>
        <v>0</v>
      </c>
      <c r="AA191" s="61">
        <f>IFERROR(VLOOKUP(Table1215[[#This Row],[Column2]],Table12[[Column2]:[Column54]],26,FALSE),"0")</f>
        <v>0</v>
      </c>
      <c r="AB191" s="61">
        <f>IFERROR(VLOOKUP(Table1215[[#This Row],[Column2]],Table12[[Column2]:[Column54]],27,FALSE),"0")</f>
        <v>0</v>
      </c>
      <c r="AC191" s="61">
        <f>IFERROR(VLOOKUP(Table1215[[#This Row],[Column2]],Table12[[Column2]:[Column54]],28,FALSE),"0")</f>
        <v>0</v>
      </c>
      <c r="AD191" s="67">
        <f>Table1215[[#This Row],[Column25]]</f>
        <v>2</v>
      </c>
      <c r="AE191" s="61">
        <f>IFERROR(VLOOKUP(Table1215[[#This Row],[Column2]],Table12[[Column2]:[Column54]],30,FALSE),"0")</f>
        <v>0</v>
      </c>
      <c r="AF191" s="61">
        <f>IFERROR(VLOOKUP(Table1215[[#This Row],[Column2]],Table12[[Column2]:[Column54]],31,FALSE),"0")</f>
        <v>0</v>
      </c>
      <c r="AG191" s="61">
        <f>IFERROR(VLOOKUP(Table1215[[#This Row],[Column2]],Table12[[Column2]:[Column54]],32,FALSE),"0")</f>
        <v>0</v>
      </c>
      <c r="AH191" s="61">
        <f>IFERROR(VLOOKUP(Table1215[[#This Row],[Column2]],Table12[[Column2]:[Column54]],33,FALSE),"0")</f>
        <v>0</v>
      </c>
      <c r="AI191" s="61">
        <f>IFERROR(VLOOKUP(Table1215[[#This Row],[Column2]],Table12[[Column2]:[Column54]],34,FALSE),"0")</f>
        <v>0</v>
      </c>
      <c r="AJ191" s="67">
        <f>AVERAGE(Table1215[[#This Row],[Column31]],Table1215[[#This Row],[Column32]],Table1215[[#This Row],[Column33]])</f>
        <v>0</v>
      </c>
      <c r="AK191" s="61">
        <f>IFERROR(VLOOKUP(Table1215[[#This Row],[Column2]],Table12[[Column2]:[Column54]],36,FALSE),"0")</f>
        <v>2</v>
      </c>
      <c r="AL191" s="61">
        <f>IFERROR(VLOOKUP(Table1215[[#This Row],[Column2]],Table12[[Column2]:[Column54]],37,FALSE),"0")</f>
        <v>2</v>
      </c>
      <c r="AM191" s="61">
        <f>IFERROR(VLOOKUP(Table1215[[#This Row],[Column2]],Table12[[Column2]:[Column54]],38,FALSE),"0")</f>
        <v>0</v>
      </c>
      <c r="AN191" s="61">
        <f>IFERROR(VLOOKUP(Table1215[[#This Row],[Column2]],Table12[[Column2]:[Column54]],39,FALSE),"0")</f>
        <v>2</v>
      </c>
      <c r="AO191" s="61">
        <f>IFERROR(VLOOKUP(Table1215[[#This Row],[Column2]],Table12[[Column2]:[Column54]],40,FALSE),"0")</f>
        <v>0</v>
      </c>
      <c r="AP191" s="67">
        <f>AVERAGE(Table1215[[#This Row],[Column37]],Table1215[[#This Row],[Column38]],Table1215[[#This Row],[Column40]])</f>
        <v>2</v>
      </c>
      <c r="AQ191" s="61">
        <f>IFERROR(VLOOKUP(Table1215[[#This Row],[Column2]],Table12[[Column2]:[Column54]],42,FALSE),"0")</f>
        <v>2</v>
      </c>
      <c r="AR191" s="61">
        <f>IFERROR(VLOOKUP(Table1215[[#This Row],[Column2]],Table12[[Column2]:[Column54]],43,FALSE),"0")</f>
        <v>0</v>
      </c>
      <c r="AS191" s="61">
        <f>IFERROR(VLOOKUP(Table1215[[#This Row],[Column2]],Table12[[Column2]:[Column54]],44,FALSE),"0")</f>
        <v>0</v>
      </c>
      <c r="AT191" s="61">
        <f>IFERROR(VLOOKUP(Table1215[[#This Row],[Column2]],Table12[[Column2]:[Column54]],45,FALSE),"0")</f>
        <v>0</v>
      </c>
      <c r="AU191" s="61">
        <f>IFERROR(VLOOKUP(Table1215[[#This Row],[Column2]],Table12[[Column2]:[Column54]],46,FALSE),"0")</f>
        <v>0</v>
      </c>
      <c r="AV191" s="67">
        <f>Table1215[[#This Row],[Column43]]</f>
        <v>2</v>
      </c>
      <c r="AW191" s="61">
        <f>IFERROR(VLOOKUP(Table1215[[#This Row],[Column2]],Table12[[Column2]:[Column54]],48,FALSE),"0")</f>
        <v>0</v>
      </c>
      <c r="AX191" s="61">
        <f>IFERROR(VLOOKUP(Table1215[[#This Row],[Column2]],Table12[[Column2]:[Column54]],49,FALSE),"0")</f>
        <v>0</v>
      </c>
      <c r="AY191" s="61">
        <f>IFERROR(VLOOKUP(Table1215[[#This Row],[Column2]],Table12[[Column2]:[Column54]],50,FALSE),"0")</f>
        <v>0</v>
      </c>
      <c r="AZ191" s="61">
        <f>IFERROR(VLOOKUP(Table1215[[#This Row],[Column2]],Table12[[Column2]:[Column54]],51,FALSE),"0")</f>
        <v>3</v>
      </c>
      <c r="BA191" s="61">
        <f>IFERROR(VLOOKUP(Table1215[[#This Row],[Column2]],Table12[[Column2]:[Column54]],52,FALSE),"0")</f>
        <v>3</v>
      </c>
      <c r="BB191" s="67">
        <f>AVERAGE(Table1215[[#This Row],[Column52]],Table1215[[#This Row],[Column53]])</f>
        <v>3</v>
      </c>
    </row>
    <row r="192" spans="1:54" ht="23.1" customHeight="1" x14ac:dyDescent="0.3">
      <c r="A192" s="86">
        <v>189</v>
      </c>
      <c r="B192" s="63" t="s">
        <v>414</v>
      </c>
      <c r="C192" s="64" t="s">
        <v>415</v>
      </c>
      <c r="D192" s="63" t="s">
        <v>450</v>
      </c>
      <c r="E192" s="63" t="s">
        <v>493</v>
      </c>
      <c r="F192" s="63" t="str">
        <f>REPT(CHAR(160),10)&amp;Working!$E193</f>
        <v>          C</v>
      </c>
      <c r="G192" s="65">
        <f>IFERROR(VLOOKUP(Table1215[[#This Row],[Column2]],Table12[[Column2]:[Column54]],6,FALSE),"0")</f>
        <v>0</v>
      </c>
      <c r="H192" s="65">
        <f>IFERROR(VLOOKUP(Table1215[[#This Row],[Column2]],Table12[[Column2]:[Column54]],7,FALSE),"0")</f>
        <v>0</v>
      </c>
      <c r="I192" s="65">
        <f>IFERROR(VLOOKUP(Table1215[[#This Row],[Column2]],Table12[[Column2]:[Column54]],8,FALSE),"0")</f>
        <v>2</v>
      </c>
      <c r="J192" s="65">
        <f>IFERROR(VLOOKUP(Table1215[[#This Row],[Column2]],Table12[[Column2]:[Column54]],9,FALSE),"0")</f>
        <v>0</v>
      </c>
      <c r="K192" s="65">
        <f>IFERROR(VLOOKUP(Table1215[[#This Row],[Column2]],Table12[[Column2]:[Column54]],10,FALSE),"0")</f>
        <v>0</v>
      </c>
      <c r="L192" s="67">
        <f>Table1215[[#This Row],[Column9]]</f>
        <v>2</v>
      </c>
      <c r="M192" s="65">
        <f>IFERROR(VLOOKUP(Table1215[[#This Row],[Column2]],Table12[[Column2]:[Column54]],12,FALSE),"0")</f>
        <v>0</v>
      </c>
      <c r="N192" s="65">
        <f>IFERROR(VLOOKUP(Table1215[[#This Row],[Column2]],Table12[[Column2]:[Column54]],13,FALSE),"0")</f>
        <v>3</v>
      </c>
      <c r="O192" s="65">
        <f>IFERROR(VLOOKUP(Table1215[[#This Row],[Column2]],Table12[[Column2]:[Column54]],14,FALSE),"0")</f>
        <v>2</v>
      </c>
      <c r="P192" s="65">
        <f>IFERROR(VLOOKUP(Table1215[[#This Row],[Column2]],Table12[[Column2]:[Column54]],10,FALSE),"0")</f>
        <v>0</v>
      </c>
      <c r="Q192" s="65">
        <f>IFERROR(VLOOKUP(Table1215[[#This Row],[Column2]],Table12[[Column2]:[Column54]],16,FALSE),"0")</f>
        <v>2</v>
      </c>
      <c r="R192" s="67">
        <f>AVERAGE(Table1215[[#This Row],[Column14]],Table1215[[#This Row],[Column15]],Table1215[[#This Row],[Column17]])</f>
        <v>2.3333333333333335</v>
      </c>
      <c r="S192" s="65">
        <f>IFERROR(VLOOKUP(Table1215[[#This Row],[Column2]],Table12[[Column2]:[Column54]],18,FALSE),"0")</f>
        <v>0</v>
      </c>
      <c r="T192" s="65">
        <f>IFERROR(VLOOKUP(Table1215[[#This Row],[Column2]],Table12[[Column2]:[Column54]],19,FALSE),"0")</f>
        <v>0</v>
      </c>
      <c r="U192" s="65">
        <f>IFERROR(VLOOKUP(Table1215[[#This Row],[Column2]],Table12[[Column2]:[Column54]],20,FALSE),"0")</f>
        <v>0</v>
      </c>
      <c r="V192" s="65">
        <f>IFERROR(VLOOKUP(Table1215[[#This Row],[Column2]],Table12[[Column2]:[Column54]],21,FALSE),"0")</f>
        <v>0</v>
      </c>
      <c r="W192" s="65">
        <f>IFERROR(VLOOKUP(Table1215[[#This Row],[Column2]],Table12[[Column2]:[Column54]],22,FALSE),"0")</f>
        <v>0</v>
      </c>
      <c r="X192" s="67">
        <f>Table1215[[#This Row],[Column19]]</f>
        <v>0</v>
      </c>
      <c r="Y192" s="65">
        <f>IFERROR(VLOOKUP(Table1215[[#This Row],[Column2]],Table12[[Column2]:[Column54]],24,FALSE),"0")</f>
        <v>2</v>
      </c>
      <c r="Z192" s="65">
        <f>IFERROR(VLOOKUP(Table1215[[#This Row],[Column2]],Table12[[Column2]:[Column54]],25,FALSE),"0")</f>
        <v>0</v>
      </c>
      <c r="AA192" s="65">
        <f>IFERROR(VLOOKUP(Table1215[[#This Row],[Column2]],Table12[[Column2]:[Column54]],26,FALSE),"0")</f>
        <v>0</v>
      </c>
      <c r="AB192" s="65">
        <f>IFERROR(VLOOKUP(Table1215[[#This Row],[Column2]],Table12[[Column2]:[Column54]],27,FALSE),"0")</f>
        <v>0</v>
      </c>
      <c r="AC192" s="65">
        <f>IFERROR(VLOOKUP(Table1215[[#This Row],[Column2]],Table12[[Column2]:[Column54]],28,FALSE),"0")</f>
        <v>0</v>
      </c>
      <c r="AD192" s="67">
        <f>Table1215[[#This Row],[Column25]]</f>
        <v>2</v>
      </c>
      <c r="AE192" s="65">
        <f>IFERROR(VLOOKUP(Table1215[[#This Row],[Column2]],Table12[[Column2]:[Column54]],30,FALSE),"0")</f>
        <v>0</v>
      </c>
      <c r="AF192" s="65">
        <f>IFERROR(VLOOKUP(Table1215[[#This Row],[Column2]],Table12[[Column2]:[Column54]],31,FALSE),"0")</f>
        <v>0</v>
      </c>
      <c r="AG192" s="65">
        <f>IFERROR(VLOOKUP(Table1215[[#This Row],[Column2]],Table12[[Column2]:[Column54]],32,FALSE),"0")</f>
        <v>0</v>
      </c>
      <c r="AH192" s="65">
        <f>IFERROR(VLOOKUP(Table1215[[#This Row],[Column2]],Table12[[Column2]:[Column54]],33,FALSE),"0")</f>
        <v>0</v>
      </c>
      <c r="AI192" s="65">
        <f>IFERROR(VLOOKUP(Table1215[[#This Row],[Column2]],Table12[[Column2]:[Column54]],34,FALSE),"0")</f>
        <v>0</v>
      </c>
      <c r="AJ192" s="67">
        <f>AVERAGE(Table1215[[#This Row],[Column31]],Table1215[[#This Row],[Column32]],Table1215[[#This Row],[Column33]])</f>
        <v>0</v>
      </c>
      <c r="AK192" s="65">
        <f>IFERROR(VLOOKUP(Table1215[[#This Row],[Column2]],Table12[[Column2]:[Column54]],36,FALSE),"0")</f>
        <v>2</v>
      </c>
      <c r="AL192" s="65">
        <f>IFERROR(VLOOKUP(Table1215[[#This Row],[Column2]],Table12[[Column2]:[Column54]],37,FALSE),"0")</f>
        <v>2</v>
      </c>
      <c r="AM192" s="65">
        <f>IFERROR(VLOOKUP(Table1215[[#This Row],[Column2]],Table12[[Column2]:[Column54]],38,FALSE),"0")</f>
        <v>0</v>
      </c>
      <c r="AN192" s="65">
        <f>IFERROR(VLOOKUP(Table1215[[#This Row],[Column2]],Table12[[Column2]:[Column54]],39,FALSE),"0")</f>
        <v>2</v>
      </c>
      <c r="AO192" s="65">
        <f>IFERROR(VLOOKUP(Table1215[[#This Row],[Column2]],Table12[[Column2]:[Column54]],40,FALSE),"0")</f>
        <v>0</v>
      </c>
      <c r="AP192" s="67">
        <f>AVERAGE(Table1215[[#This Row],[Column37]],Table1215[[#This Row],[Column38]],Table1215[[#This Row],[Column40]])</f>
        <v>2</v>
      </c>
      <c r="AQ192" s="65">
        <f>IFERROR(VLOOKUP(Table1215[[#This Row],[Column2]],Table12[[Column2]:[Column54]],42,FALSE),"0")</f>
        <v>3</v>
      </c>
      <c r="AR192" s="65">
        <f>IFERROR(VLOOKUP(Table1215[[#This Row],[Column2]],Table12[[Column2]:[Column54]],43,FALSE),"0")</f>
        <v>0</v>
      </c>
      <c r="AS192" s="65">
        <f>IFERROR(VLOOKUP(Table1215[[#This Row],[Column2]],Table12[[Column2]:[Column54]],44,FALSE),"0")</f>
        <v>0</v>
      </c>
      <c r="AT192" s="65">
        <f>IFERROR(VLOOKUP(Table1215[[#This Row],[Column2]],Table12[[Column2]:[Column54]],45,FALSE),"0")</f>
        <v>0</v>
      </c>
      <c r="AU192" s="65">
        <f>IFERROR(VLOOKUP(Table1215[[#This Row],[Column2]],Table12[[Column2]:[Column54]],46,FALSE),"0")</f>
        <v>0</v>
      </c>
      <c r="AV192" s="67">
        <f>Table1215[[#This Row],[Column43]]</f>
        <v>3</v>
      </c>
      <c r="AW192" s="65">
        <f>IFERROR(VLOOKUP(Table1215[[#This Row],[Column2]],Table12[[Column2]:[Column54]],48,FALSE),"0")</f>
        <v>0</v>
      </c>
      <c r="AX192" s="65">
        <f>IFERROR(VLOOKUP(Table1215[[#This Row],[Column2]],Table12[[Column2]:[Column54]],49,FALSE),"0")</f>
        <v>0</v>
      </c>
      <c r="AY192" s="65">
        <f>IFERROR(VLOOKUP(Table1215[[#This Row],[Column2]],Table12[[Column2]:[Column54]],50,FALSE),"0")</f>
        <v>0</v>
      </c>
      <c r="AZ192" s="65">
        <f>IFERROR(VLOOKUP(Table1215[[#This Row],[Column2]],Table12[[Column2]:[Column54]],51,FALSE),"0")</f>
        <v>3</v>
      </c>
      <c r="BA192" s="65">
        <f>IFERROR(VLOOKUP(Table1215[[#This Row],[Column2]],Table12[[Column2]:[Column54]],52,FALSE),"0")</f>
        <v>3</v>
      </c>
      <c r="BB192" s="67">
        <f>AVERAGE(Table1215[[#This Row],[Column52]],Table1215[[#This Row],[Column53]])</f>
        <v>3</v>
      </c>
    </row>
    <row r="193" spans="1:54" ht="23.1" customHeight="1" x14ac:dyDescent="0.3">
      <c r="A193" s="87">
        <v>190</v>
      </c>
      <c r="B193" s="70" t="s">
        <v>416</v>
      </c>
      <c r="C193" s="71" t="s">
        <v>417</v>
      </c>
      <c r="D193" s="70" t="s">
        <v>542</v>
      </c>
      <c r="E193" s="70" t="s">
        <v>289</v>
      </c>
      <c r="F193" s="70" t="str">
        <f>REPT(CHAR(160),10)&amp;Working!$E194</f>
        <v>          D</v>
      </c>
      <c r="G193" s="61">
        <f>IFERROR(VLOOKUP(Table1215[[#This Row],[Column2]],Table12[[Column2]:[Column54]],6,FALSE),"0")</f>
        <v>0</v>
      </c>
      <c r="H193" s="61">
        <f>IFERROR(VLOOKUP(Table1215[[#This Row],[Column2]],Table12[[Column2]:[Column54]],7,FALSE),"0")</f>
        <v>0</v>
      </c>
      <c r="I193" s="61">
        <f>IFERROR(VLOOKUP(Table1215[[#This Row],[Column2]],Table12[[Column2]:[Column54]],8,FALSE),"0")</f>
        <v>3</v>
      </c>
      <c r="J193" s="61">
        <f>IFERROR(VLOOKUP(Table1215[[#This Row],[Column2]],Table12[[Column2]:[Column54]],9,FALSE),"0")</f>
        <v>0</v>
      </c>
      <c r="K193" s="61">
        <f>IFERROR(VLOOKUP(Table1215[[#This Row],[Column2]],Table12[[Column2]:[Column54]],10,FALSE),"0")</f>
        <v>0</v>
      </c>
      <c r="L193" s="67">
        <f>Table1215[[#This Row],[Column9]]</f>
        <v>3</v>
      </c>
      <c r="M193" s="61">
        <f>IFERROR(VLOOKUP(Table1215[[#This Row],[Column2]],Table12[[Column2]:[Column54]],12,FALSE),"0")</f>
        <v>0</v>
      </c>
      <c r="N193" s="61">
        <f>IFERROR(VLOOKUP(Table1215[[#This Row],[Column2]],Table12[[Column2]:[Column54]],13,FALSE),"0")</f>
        <v>3</v>
      </c>
      <c r="O193" s="61">
        <f>IFERROR(VLOOKUP(Table1215[[#This Row],[Column2]],Table12[[Column2]:[Column54]],14,FALSE),"0")</f>
        <v>3</v>
      </c>
      <c r="P193" s="61">
        <f>IFERROR(VLOOKUP(Table1215[[#This Row],[Column2]],Table12[[Column2]:[Column54]],10,FALSE),"0")</f>
        <v>0</v>
      </c>
      <c r="Q193" s="61">
        <f>IFERROR(VLOOKUP(Table1215[[#This Row],[Column2]],Table12[[Column2]:[Column54]],16,FALSE),"0")</f>
        <v>3</v>
      </c>
      <c r="R193" s="67">
        <f>AVERAGE(Table1215[[#This Row],[Column14]],Table1215[[#This Row],[Column15]],Table1215[[#This Row],[Column17]])</f>
        <v>3</v>
      </c>
      <c r="S193" s="61">
        <f>IFERROR(VLOOKUP(Table1215[[#This Row],[Column2]],Table12[[Column2]:[Column54]],18,FALSE),"0")</f>
        <v>0</v>
      </c>
      <c r="T193" s="61">
        <f>IFERROR(VLOOKUP(Table1215[[#This Row],[Column2]],Table12[[Column2]:[Column54]],19,FALSE),"0")</f>
        <v>0</v>
      </c>
      <c r="U193" s="61">
        <f>IFERROR(VLOOKUP(Table1215[[#This Row],[Column2]],Table12[[Column2]:[Column54]],20,FALSE),"0")</f>
        <v>0</v>
      </c>
      <c r="V193" s="61">
        <f>IFERROR(VLOOKUP(Table1215[[#This Row],[Column2]],Table12[[Column2]:[Column54]],21,FALSE),"0")</f>
        <v>0</v>
      </c>
      <c r="W193" s="61">
        <f>IFERROR(VLOOKUP(Table1215[[#This Row],[Column2]],Table12[[Column2]:[Column54]],22,FALSE),"0")</f>
        <v>0</v>
      </c>
      <c r="X193" s="67">
        <f>Table1215[[#This Row],[Column19]]</f>
        <v>0</v>
      </c>
      <c r="Y193" s="61">
        <f>IFERROR(VLOOKUP(Table1215[[#This Row],[Column2]],Table12[[Column2]:[Column54]],24,FALSE),"0")</f>
        <v>3</v>
      </c>
      <c r="Z193" s="61">
        <f>IFERROR(VLOOKUP(Table1215[[#This Row],[Column2]],Table12[[Column2]:[Column54]],25,FALSE),"0")</f>
        <v>0</v>
      </c>
      <c r="AA193" s="61">
        <f>IFERROR(VLOOKUP(Table1215[[#This Row],[Column2]],Table12[[Column2]:[Column54]],26,FALSE),"0")</f>
        <v>0</v>
      </c>
      <c r="AB193" s="61">
        <f>IFERROR(VLOOKUP(Table1215[[#This Row],[Column2]],Table12[[Column2]:[Column54]],27,FALSE),"0")</f>
        <v>0</v>
      </c>
      <c r="AC193" s="61">
        <f>IFERROR(VLOOKUP(Table1215[[#This Row],[Column2]],Table12[[Column2]:[Column54]],28,FALSE),"0")</f>
        <v>0</v>
      </c>
      <c r="AD193" s="67">
        <f>Table1215[[#This Row],[Column25]]</f>
        <v>3</v>
      </c>
      <c r="AE193" s="61">
        <f>IFERROR(VLOOKUP(Table1215[[#This Row],[Column2]],Table12[[Column2]:[Column54]],30,FALSE),"0")</f>
        <v>0</v>
      </c>
      <c r="AF193" s="61">
        <f>IFERROR(VLOOKUP(Table1215[[#This Row],[Column2]],Table12[[Column2]:[Column54]],31,FALSE),"0")</f>
        <v>0</v>
      </c>
      <c r="AG193" s="61">
        <f>IFERROR(VLOOKUP(Table1215[[#This Row],[Column2]],Table12[[Column2]:[Column54]],32,FALSE),"0")</f>
        <v>0</v>
      </c>
      <c r="AH193" s="61">
        <f>IFERROR(VLOOKUP(Table1215[[#This Row],[Column2]],Table12[[Column2]:[Column54]],33,FALSE),"0")</f>
        <v>0</v>
      </c>
      <c r="AI193" s="61">
        <f>IFERROR(VLOOKUP(Table1215[[#This Row],[Column2]],Table12[[Column2]:[Column54]],34,FALSE),"0")</f>
        <v>0</v>
      </c>
      <c r="AJ193" s="67">
        <f>AVERAGE(Table1215[[#This Row],[Column31]],Table1215[[#This Row],[Column32]],Table1215[[#This Row],[Column33]])</f>
        <v>0</v>
      </c>
      <c r="AK193" s="61">
        <f>IFERROR(VLOOKUP(Table1215[[#This Row],[Column2]],Table12[[Column2]:[Column54]],36,FALSE),"0")</f>
        <v>3</v>
      </c>
      <c r="AL193" s="61">
        <f>IFERROR(VLOOKUP(Table1215[[#This Row],[Column2]],Table12[[Column2]:[Column54]],37,FALSE),"0")</f>
        <v>3</v>
      </c>
      <c r="AM193" s="61">
        <f>IFERROR(VLOOKUP(Table1215[[#This Row],[Column2]],Table12[[Column2]:[Column54]],38,FALSE),"0")</f>
        <v>0</v>
      </c>
      <c r="AN193" s="61">
        <f>IFERROR(VLOOKUP(Table1215[[#This Row],[Column2]],Table12[[Column2]:[Column54]],39,FALSE),"0")</f>
        <v>4</v>
      </c>
      <c r="AO193" s="61">
        <f>IFERROR(VLOOKUP(Table1215[[#This Row],[Column2]],Table12[[Column2]:[Column54]],40,FALSE),"0")</f>
        <v>0</v>
      </c>
      <c r="AP193" s="67">
        <f>AVERAGE(Table1215[[#This Row],[Column37]],Table1215[[#This Row],[Column38]],Table1215[[#This Row],[Column40]])</f>
        <v>3.3333333333333335</v>
      </c>
      <c r="AQ193" s="61">
        <f>IFERROR(VLOOKUP(Table1215[[#This Row],[Column2]],Table12[[Column2]:[Column54]],42,FALSE),"0")</f>
        <v>1</v>
      </c>
      <c r="AR193" s="61">
        <f>IFERROR(VLOOKUP(Table1215[[#This Row],[Column2]],Table12[[Column2]:[Column54]],43,FALSE),"0")</f>
        <v>0</v>
      </c>
      <c r="AS193" s="61">
        <f>IFERROR(VLOOKUP(Table1215[[#This Row],[Column2]],Table12[[Column2]:[Column54]],44,FALSE),"0")</f>
        <v>0</v>
      </c>
      <c r="AT193" s="61">
        <f>IFERROR(VLOOKUP(Table1215[[#This Row],[Column2]],Table12[[Column2]:[Column54]],45,FALSE),"0")</f>
        <v>0</v>
      </c>
      <c r="AU193" s="61">
        <f>IFERROR(VLOOKUP(Table1215[[#This Row],[Column2]],Table12[[Column2]:[Column54]],46,FALSE),"0")</f>
        <v>0</v>
      </c>
      <c r="AV193" s="67">
        <f>Table1215[[#This Row],[Column43]]</f>
        <v>1</v>
      </c>
      <c r="AW193" s="61">
        <f>IFERROR(VLOOKUP(Table1215[[#This Row],[Column2]],Table12[[Column2]:[Column54]],48,FALSE),"0")</f>
        <v>0</v>
      </c>
      <c r="AX193" s="61">
        <f>IFERROR(VLOOKUP(Table1215[[#This Row],[Column2]],Table12[[Column2]:[Column54]],49,FALSE),"0")</f>
        <v>0</v>
      </c>
      <c r="AY193" s="61">
        <f>IFERROR(VLOOKUP(Table1215[[#This Row],[Column2]],Table12[[Column2]:[Column54]],50,FALSE),"0")</f>
        <v>0</v>
      </c>
      <c r="AZ193" s="61">
        <f>IFERROR(VLOOKUP(Table1215[[#This Row],[Column2]],Table12[[Column2]:[Column54]],51,FALSE),"0")</f>
        <v>3</v>
      </c>
      <c r="BA193" s="61">
        <f>IFERROR(VLOOKUP(Table1215[[#This Row],[Column2]],Table12[[Column2]:[Column54]],52,FALSE),"0")</f>
        <v>3</v>
      </c>
      <c r="BB193" s="67">
        <f>AVERAGE(Table1215[[#This Row],[Column52]],Table1215[[#This Row],[Column53]])</f>
        <v>3</v>
      </c>
    </row>
    <row r="194" spans="1:54" ht="23.1" customHeight="1" x14ac:dyDescent="0.3">
      <c r="A194" s="86">
        <v>191</v>
      </c>
      <c r="B194" s="63" t="s">
        <v>418</v>
      </c>
      <c r="C194" s="64" t="s">
        <v>419</v>
      </c>
      <c r="D194" s="63" t="s">
        <v>450</v>
      </c>
      <c r="E194" s="63" t="s">
        <v>493</v>
      </c>
      <c r="F194" s="63" t="str">
        <f>REPT(CHAR(160),10)&amp;Working!$E195</f>
        <v>          C</v>
      </c>
      <c r="G194" s="65">
        <f>IFERROR(VLOOKUP(Table1215[[#This Row],[Column2]],Table12[[Column2]:[Column54]],6,FALSE),"0")</f>
        <v>0</v>
      </c>
      <c r="H194" s="65">
        <f>IFERROR(VLOOKUP(Table1215[[#This Row],[Column2]],Table12[[Column2]:[Column54]],7,FALSE),"0")</f>
        <v>0</v>
      </c>
      <c r="I194" s="65">
        <f>IFERROR(VLOOKUP(Table1215[[#This Row],[Column2]],Table12[[Column2]:[Column54]],8,FALSE),"0")</f>
        <v>4</v>
      </c>
      <c r="J194" s="65">
        <f>IFERROR(VLOOKUP(Table1215[[#This Row],[Column2]],Table12[[Column2]:[Column54]],9,FALSE),"0")</f>
        <v>0</v>
      </c>
      <c r="K194" s="65">
        <f>IFERROR(VLOOKUP(Table1215[[#This Row],[Column2]],Table12[[Column2]:[Column54]],10,FALSE),"0")</f>
        <v>0</v>
      </c>
      <c r="L194" s="67">
        <f>Table1215[[#This Row],[Column9]]</f>
        <v>4</v>
      </c>
      <c r="M194" s="65">
        <f>IFERROR(VLOOKUP(Table1215[[#This Row],[Column2]],Table12[[Column2]:[Column54]],12,FALSE),"0")</f>
        <v>0</v>
      </c>
      <c r="N194" s="65">
        <f>IFERROR(VLOOKUP(Table1215[[#This Row],[Column2]],Table12[[Column2]:[Column54]],13,FALSE),"0")</f>
        <v>5</v>
      </c>
      <c r="O194" s="65">
        <f>IFERROR(VLOOKUP(Table1215[[#This Row],[Column2]],Table12[[Column2]:[Column54]],14,FALSE),"0")</f>
        <v>4</v>
      </c>
      <c r="P194" s="65">
        <f>IFERROR(VLOOKUP(Table1215[[#This Row],[Column2]],Table12[[Column2]:[Column54]],10,FALSE),"0")</f>
        <v>0</v>
      </c>
      <c r="Q194" s="65">
        <f>IFERROR(VLOOKUP(Table1215[[#This Row],[Column2]],Table12[[Column2]:[Column54]],16,FALSE),"0")</f>
        <v>4</v>
      </c>
      <c r="R194" s="67">
        <f>AVERAGE(Table1215[[#This Row],[Column14]],Table1215[[#This Row],[Column15]],Table1215[[#This Row],[Column17]])</f>
        <v>4.333333333333333</v>
      </c>
      <c r="S194" s="65">
        <f>IFERROR(VLOOKUP(Table1215[[#This Row],[Column2]],Table12[[Column2]:[Column54]],18,FALSE),"0")</f>
        <v>0</v>
      </c>
      <c r="T194" s="65">
        <f>IFERROR(VLOOKUP(Table1215[[#This Row],[Column2]],Table12[[Column2]:[Column54]],19,FALSE),"0")</f>
        <v>0</v>
      </c>
      <c r="U194" s="65">
        <f>IFERROR(VLOOKUP(Table1215[[#This Row],[Column2]],Table12[[Column2]:[Column54]],20,FALSE),"0")</f>
        <v>0</v>
      </c>
      <c r="V194" s="65">
        <f>IFERROR(VLOOKUP(Table1215[[#This Row],[Column2]],Table12[[Column2]:[Column54]],21,FALSE),"0")</f>
        <v>0</v>
      </c>
      <c r="W194" s="65">
        <f>IFERROR(VLOOKUP(Table1215[[#This Row],[Column2]],Table12[[Column2]:[Column54]],22,FALSE),"0")</f>
        <v>0</v>
      </c>
      <c r="X194" s="67">
        <f>Table1215[[#This Row],[Column19]]</f>
        <v>0</v>
      </c>
      <c r="Y194" s="65">
        <f>IFERROR(VLOOKUP(Table1215[[#This Row],[Column2]],Table12[[Column2]:[Column54]],24,FALSE),"0")</f>
        <v>4</v>
      </c>
      <c r="Z194" s="65">
        <f>IFERROR(VLOOKUP(Table1215[[#This Row],[Column2]],Table12[[Column2]:[Column54]],25,FALSE),"0")</f>
        <v>0</v>
      </c>
      <c r="AA194" s="65">
        <f>IFERROR(VLOOKUP(Table1215[[#This Row],[Column2]],Table12[[Column2]:[Column54]],26,FALSE),"0")</f>
        <v>0</v>
      </c>
      <c r="AB194" s="65">
        <f>IFERROR(VLOOKUP(Table1215[[#This Row],[Column2]],Table12[[Column2]:[Column54]],27,FALSE),"0")</f>
        <v>0</v>
      </c>
      <c r="AC194" s="65">
        <f>IFERROR(VLOOKUP(Table1215[[#This Row],[Column2]],Table12[[Column2]:[Column54]],28,FALSE),"0")</f>
        <v>0</v>
      </c>
      <c r="AD194" s="67">
        <f>Table1215[[#This Row],[Column25]]</f>
        <v>4</v>
      </c>
      <c r="AE194" s="65">
        <f>IFERROR(VLOOKUP(Table1215[[#This Row],[Column2]],Table12[[Column2]:[Column54]],30,FALSE),"0")</f>
        <v>0</v>
      </c>
      <c r="AF194" s="65">
        <f>IFERROR(VLOOKUP(Table1215[[#This Row],[Column2]],Table12[[Column2]:[Column54]],31,FALSE),"0")</f>
        <v>0</v>
      </c>
      <c r="AG194" s="65">
        <f>IFERROR(VLOOKUP(Table1215[[#This Row],[Column2]],Table12[[Column2]:[Column54]],32,FALSE),"0")</f>
        <v>0</v>
      </c>
      <c r="AH194" s="65">
        <f>IFERROR(VLOOKUP(Table1215[[#This Row],[Column2]],Table12[[Column2]:[Column54]],33,FALSE),"0")</f>
        <v>0</v>
      </c>
      <c r="AI194" s="65">
        <f>IFERROR(VLOOKUP(Table1215[[#This Row],[Column2]],Table12[[Column2]:[Column54]],34,FALSE),"0")</f>
        <v>0</v>
      </c>
      <c r="AJ194" s="67">
        <f>AVERAGE(Table1215[[#This Row],[Column31]],Table1215[[#This Row],[Column32]],Table1215[[#This Row],[Column33]])</f>
        <v>0</v>
      </c>
      <c r="AK194" s="65">
        <f>IFERROR(VLOOKUP(Table1215[[#This Row],[Column2]],Table12[[Column2]:[Column54]],36,FALSE),"0")</f>
        <v>5</v>
      </c>
      <c r="AL194" s="65">
        <f>IFERROR(VLOOKUP(Table1215[[#This Row],[Column2]],Table12[[Column2]:[Column54]],37,FALSE),"0")</f>
        <v>4</v>
      </c>
      <c r="AM194" s="65">
        <f>IFERROR(VLOOKUP(Table1215[[#This Row],[Column2]],Table12[[Column2]:[Column54]],38,FALSE),"0")</f>
        <v>0</v>
      </c>
      <c r="AN194" s="65">
        <f>IFERROR(VLOOKUP(Table1215[[#This Row],[Column2]],Table12[[Column2]:[Column54]],39,FALSE),"0")</f>
        <v>5</v>
      </c>
      <c r="AO194" s="65">
        <f>IFERROR(VLOOKUP(Table1215[[#This Row],[Column2]],Table12[[Column2]:[Column54]],40,FALSE),"0")</f>
        <v>0</v>
      </c>
      <c r="AP194" s="67">
        <f>AVERAGE(Table1215[[#This Row],[Column37]],Table1215[[#This Row],[Column38]],Table1215[[#This Row],[Column40]])</f>
        <v>4.666666666666667</v>
      </c>
      <c r="AQ194" s="65">
        <f>IFERROR(VLOOKUP(Table1215[[#This Row],[Column2]],Table12[[Column2]:[Column54]],42,FALSE),"0")</f>
        <v>3</v>
      </c>
      <c r="AR194" s="65">
        <f>IFERROR(VLOOKUP(Table1215[[#This Row],[Column2]],Table12[[Column2]:[Column54]],43,FALSE),"0")</f>
        <v>0</v>
      </c>
      <c r="AS194" s="65">
        <f>IFERROR(VLOOKUP(Table1215[[#This Row],[Column2]],Table12[[Column2]:[Column54]],44,FALSE),"0")</f>
        <v>0</v>
      </c>
      <c r="AT194" s="65">
        <f>IFERROR(VLOOKUP(Table1215[[#This Row],[Column2]],Table12[[Column2]:[Column54]],45,FALSE),"0")</f>
        <v>0</v>
      </c>
      <c r="AU194" s="65">
        <f>IFERROR(VLOOKUP(Table1215[[#This Row],[Column2]],Table12[[Column2]:[Column54]],46,FALSE),"0")</f>
        <v>0</v>
      </c>
      <c r="AV194" s="67">
        <f>Table1215[[#This Row],[Column43]]</f>
        <v>3</v>
      </c>
      <c r="AW194" s="65">
        <f>IFERROR(VLOOKUP(Table1215[[#This Row],[Column2]],Table12[[Column2]:[Column54]],48,FALSE),"0")</f>
        <v>0</v>
      </c>
      <c r="AX194" s="65">
        <f>IFERROR(VLOOKUP(Table1215[[#This Row],[Column2]],Table12[[Column2]:[Column54]],49,FALSE),"0")</f>
        <v>0</v>
      </c>
      <c r="AY194" s="65">
        <f>IFERROR(VLOOKUP(Table1215[[#This Row],[Column2]],Table12[[Column2]:[Column54]],50,FALSE),"0")</f>
        <v>0</v>
      </c>
      <c r="AZ194" s="65">
        <f>IFERROR(VLOOKUP(Table1215[[#This Row],[Column2]],Table12[[Column2]:[Column54]],51,FALSE),"0")</f>
        <v>5</v>
      </c>
      <c r="BA194" s="65">
        <f>IFERROR(VLOOKUP(Table1215[[#This Row],[Column2]],Table12[[Column2]:[Column54]],52,FALSE),"0")</f>
        <v>4</v>
      </c>
      <c r="BB194" s="67">
        <f>AVERAGE(Table1215[[#This Row],[Column52]],Table1215[[#This Row],[Column53]])</f>
        <v>4.5</v>
      </c>
    </row>
    <row r="195" spans="1:54" ht="23.1" customHeight="1" x14ac:dyDescent="0.3">
      <c r="A195" s="87">
        <v>192</v>
      </c>
      <c r="B195" s="70" t="s">
        <v>420</v>
      </c>
      <c r="C195" s="71" t="s">
        <v>421</v>
      </c>
      <c r="D195" s="70" t="s">
        <v>450</v>
      </c>
      <c r="E195" s="70" t="s">
        <v>493</v>
      </c>
      <c r="F195" s="70" t="str">
        <f>REPT(CHAR(160),10)&amp;Working!$E196</f>
        <v>          C</v>
      </c>
      <c r="G195" s="61">
        <f>IFERROR(VLOOKUP(Table1215[[#This Row],[Column2]],Table12[[Column2]:[Column54]],6,FALSE),"0")</f>
        <v>0</v>
      </c>
      <c r="H195" s="61">
        <f>IFERROR(VLOOKUP(Table1215[[#This Row],[Column2]],Table12[[Column2]:[Column54]],7,FALSE),"0")</f>
        <v>0</v>
      </c>
      <c r="I195" s="61">
        <f>IFERROR(VLOOKUP(Table1215[[#This Row],[Column2]],Table12[[Column2]:[Column54]],8,FALSE),"0")</f>
        <v>3</v>
      </c>
      <c r="J195" s="61">
        <f>IFERROR(VLOOKUP(Table1215[[#This Row],[Column2]],Table12[[Column2]:[Column54]],9,FALSE),"0")</f>
        <v>0</v>
      </c>
      <c r="K195" s="61">
        <f>IFERROR(VLOOKUP(Table1215[[#This Row],[Column2]],Table12[[Column2]:[Column54]],10,FALSE),"0")</f>
        <v>0</v>
      </c>
      <c r="L195" s="67">
        <f>Table1215[[#This Row],[Column9]]</f>
        <v>3</v>
      </c>
      <c r="M195" s="61">
        <f>IFERROR(VLOOKUP(Table1215[[#This Row],[Column2]],Table12[[Column2]:[Column54]],12,FALSE),"0")</f>
        <v>0</v>
      </c>
      <c r="N195" s="61">
        <f>IFERROR(VLOOKUP(Table1215[[#This Row],[Column2]],Table12[[Column2]:[Column54]],13,FALSE),"0")</f>
        <v>3</v>
      </c>
      <c r="O195" s="61">
        <f>IFERROR(VLOOKUP(Table1215[[#This Row],[Column2]],Table12[[Column2]:[Column54]],14,FALSE),"0")</f>
        <v>3</v>
      </c>
      <c r="P195" s="61">
        <f>IFERROR(VLOOKUP(Table1215[[#This Row],[Column2]],Table12[[Column2]:[Column54]],10,FALSE),"0")</f>
        <v>0</v>
      </c>
      <c r="Q195" s="61">
        <f>IFERROR(VLOOKUP(Table1215[[#This Row],[Column2]],Table12[[Column2]:[Column54]],16,FALSE),"0")</f>
        <v>3</v>
      </c>
      <c r="R195" s="67">
        <f>AVERAGE(Table1215[[#This Row],[Column14]],Table1215[[#This Row],[Column15]],Table1215[[#This Row],[Column17]])</f>
        <v>3</v>
      </c>
      <c r="S195" s="61">
        <f>IFERROR(VLOOKUP(Table1215[[#This Row],[Column2]],Table12[[Column2]:[Column54]],18,FALSE),"0")</f>
        <v>0</v>
      </c>
      <c r="T195" s="61">
        <f>IFERROR(VLOOKUP(Table1215[[#This Row],[Column2]],Table12[[Column2]:[Column54]],19,FALSE),"0")</f>
        <v>0</v>
      </c>
      <c r="U195" s="61">
        <f>IFERROR(VLOOKUP(Table1215[[#This Row],[Column2]],Table12[[Column2]:[Column54]],20,FALSE),"0")</f>
        <v>0</v>
      </c>
      <c r="V195" s="61">
        <f>IFERROR(VLOOKUP(Table1215[[#This Row],[Column2]],Table12[[Column2]:[Column54]],21,FALSE),"0")</f>
        <v>0</v>
      </c>
      <c r="W195" s="61">
        <f>IFERROR(VLOOKUP(Table1215[[#This Row],[Column2]],Table12[[Column2]:[Column54]],22,FALSE),"0")</f>
        <v>0</v>
      </c>
      <c r="X195" s="67">
        <f>Table1215[[#This Row],[Column19]]</f>
        <v>0</v>
      </c>
      <c r="Y195" s="61">
        <f>IFERROR(VLOOKUP(Table1215[[#This Row],[Column2]],Table12[[Column2]:[Column54]],24,FALSE),"0")</f>
        <v>3</v>
      </c>
      <c r="Z195" s="61">
        <f>IFERROR(VLOOKUP(Table1215[[#This Row],[Column2]],Table12[[Column2]:[Column54]],25,FALSE),"0")</f>
        <v>0</v>
      </c>
      <c r="AA195" s="61">
        <f>IFERROR(VLOOKUP(Table1215[[#This Row],[Column2]],Table12[[Column2]:[Column54]],26,FALSE),"0")</f>
        <v>0</v>
      </c>
      <c r="AB195" s="61">
        <f>IFERROR(VLOOKUP(Table1215[[#This Row],[Column2]],Table12[[Column2]:[Column54]],27,FALSE),"0")</f>
        <v>0</v>
      </c>
      <c r="AC195" s="61">
        <f>IFERROR(VLOOKUP(Table1215[[#This Row],[Column2]],Table12[[Column2]:[Column54]],28,FALSE),"0")</f>
        <v>0</v>
      </c>
      <c r="AD195" s="67">
        <f>Table1215[[#This Row],[Column25]]</f>
        <v>3</v>
      </c>
      <c r="AE195" s="61">
        <f>IFERROR(VLOOKUP(Table1215[[#This Row],[Column2]],Table12[[Column2]:[Column54]],30,FALSE),"0")</f>
        <v>0</v>
      </c>
      <c r="AF195" s="61">
        <f>IFERROR(VLOOKUP(Table1215[[#This Row],[Column2]],Table12[[Column2]:[Column54]],31,FALSE),"0")</f>
        <v>0</v>
      </c>
      <c r="AG195" s="61">
        <f>IFERROR(VLOOKUP(Table1215[[#This Row],[Column2]],Table12[[Column2]:[Column54]],32,FALSE),"0")</f>
        <v>0</v>
      </c>
      <c r="AH195" s="61">
        <f>IFERROR(VLOOKUP(Table1215[[#This Row],[Column2]],Table12[[Column2]:[Column54]],33,FALSE),"0")</f>
        <v>0</v>
      </c>
      <c r="AI195" s="61">
        <f>IFERROR(VLOOKUP(Table1215[[#This Row],[Column2]],Table12[[Column2]:[Column54]],34,FALSE),"0")</f>
        <v>0</v>
      </c>
      <c r="AJ195" s="67">
        <f>AVERAGE(Table1215[[#This Row],[Column31]],Table1215[[#This Row],[Column32]],Table1215[[#This Row],[Column33]])</f>
        <v>0</v>
      </c>
      <c r="AK195" s="61">
        <f>IFERROR(VLOOKUP(Table1215[[#This Row],[Column2]],Table12[[Column2]:[Column54]],36,FALSE),"0")</f>
        <v>3</v>
      </c>
      <c r="AL195" s="61">
        <f>IFERROR(VLOOKUP(Table1215[[#This Row],[Column2]],Table12[[Column2]:[Column54]],37,FALSE),"0")</f>
        <v>3</v>
      </c>
      <c r="AM195" s="61">
        <f>IFERROR(VLOOKUP(Table1215[[#This Row],[Column2]],Table12[[Column2]:[Column54]],38,FALSE),"0")</f>
        <v>0</v>
      </c>
      <c r="AN195" s="61">
        <f>IFERROR(VLOOKUP(Table1215[[#This Row],[Column2]],Table12[[Column2]:[Column54]],39,FALSE),"0")</f>
        <v>4</v>
      </c>
      <c r="AO195" s="61">
        <f>IFERROR(VLOOKUP(Table1215[[#This Row],[Column2]],Table12[[Column2]:[Column54]],40,FALSE),"0")</f>
        <v>0</v>
      </c>
      <c r="AP195" s="67">
        <f>AVERAGE(Table1215[[#This Row],[Column37]],Table1215[[#This Row],[Column38]],Table1215[[#This Row],[Column40]])</f>
        <v>3.3333333333333335</v>
      </c>
      <c r="AQ195" s="61">
        <f>IFERROR(VLOOKUP(Table1215[[#This Row],[Column2]],Table12[[Column2]:[Column54]],42,FALSE),"0")</f>
        <v>3</v>
      </c>
      <c r="AR195" s="61">
        <f>IFERROR(VLOOKUP(Table1215[[#This Row],[Column2]],Table12[[Column2]:[Column54]],43,FALSE),"0")</f>
        <v>0</v>
      </c>
      <c r="AS195" s="61">
        <f>IFERROR(VLOOKUP(Table1215[[#This Row],[Column2]],Table12[[Column2]:[Column54]],44,FALSE),"0")</f>
        <v>0</v>
      </c>
      <c r="AT195" s="61">
        <f>IFERROR(VLOOKUP(Table1215[[#This Row],[Column2]],Table12[[Column2]:[Column54]],45,FALSE),"0")</f>
        <v>0</v>
      </c>
      <c r="AU195" s="61">
        <f>IFERROR(VLOOKUP(Table1215[[#This Row],[Column2]],Table12[[Column2]:[Column54]],46,FALSE),"0")</f>
        <v>0</v>
      </c>
      <c r="AV195" s="67">
        <f>Table1215[[#This Row],[Column43]]</f>
        <v>3</v>
      </c>
      <c r="AW195" s="61">
        <f>IFERROR(VLOOKUP(Table1215[[#This Row],[Column2]],Table12[[Column2]:[Column54]],48,FALSE),"0")</f>
        <v>0</v>
      </c>
      <c r="AX195" s="61">
        <f>IFERROR(VLOOKUP(Table1215[[#This Row],[Column2]],Table12[[Column2]:[Column54]],49,FALSE),"0")</f>
        <v>0</v>
      </c>
      <c r="AY195" s="61">
        <f>IFERROR(VLOOKUP(Table1215[[#This Row],[Column2]],Table12[[Column2]:[Column54]],50,FALSE),"0")</f>
        <v>0</v>
      </c>
      <c r="AZ195" s="61">
        <f>IFERROR(VLOOKUP(Table1215[[#This Row],[Column2]],Table12[[Column2]:[Column54]],51,FALSE),"0")</f>
        <v>3</v>
      </c>
      <c r="BA195" s="61">
        <f>IFERROR(VLOOKUP(Table1215[[#This Row],[Column2]],Table12[[Column2]:[Column54]],52,FALSE),"0")</f>
        <v>3</v>
      </c>
      <c r="BB195" s="67">
        <f>AVERAGE(Table1215[[#This Row],[Column52]],Table1215[[#This Row],[Column53]])</f>
        <v>3</v>
      </c>
    </row>
    <row r="196" spans="1:54" ht="23.1" customHeight="1" x14ac:dyDescent="0.3">
      <c r="A196" s="86">
        <v>193</v>
      </c>
      <c r="B196" s="63" t="s">
        <v>422</v>
      </c>
      <c r="C196" s="64" t="s">
        <v>423</v>
      </c>
      <c r="D196" s="63" t="s">
        <v>450</v>
      </c>
      <c r="E196" s="63" t="s">
        <v>493</v>
      </c>
      <c r="F196" s="63" t="str">
        <f>REPT(CHAR(160),10)&amp;Working!$E197</f>
        <v>          C</v>
      </c>
      <c r="G196" s="65">
        <f>IFERROR(VLOOKUP(Table1215[[#This Row],[Column2]],Table12[[Column2]:[Column54]],6,FALSE),"0")</f>
        <v>0</v>
      </c>
      <c r="H196" s="65">
        <f>IFERROR(VLOOKUP(Table1215[[#This Row],[Column2]],Table12[[Column2]:[Column54]],7,FALSE),"0")</f>
        <v>0</v>
      </c>
      <c r="I196" s="65">
        <f>IFERROR(VLOOKUP(Table1215[[#This Row],[Column2]],Table12[[Column2]:[Column54]],8,FALSE),"0")</f>
        <v>4</v>
      </c>
      <c r="J196" s="65">
        <f>IFERROR(VLOOKUP(Table1215[[#This Row],[Column2]],Table12[[Column2]:[Column54]],9,FALSE),"0")</f>
        <v>0</v>
      </c>
      <c r="K196" s="65">
        <f>IFERROR(VLOOKUP(Table1215[[#This Row],[Column2]],Table12[[Column2]:[Column54]],10,FALSE),"0")</f>
        <v>0</v>
      </c>
      <c r="L196" s="67">
        <f>Table1215[[#This Row],[Column9]]</f>
        <v>4</v>
      </c>
      <c r="M196" s="65">
        <f>IFERROR(VLOOKUP(Table1215[[#This Row],[Column2]],Table12[[Column2]:[Column54]],12,FALSE),"0")</f>
        <v>0</v>
      </c>
      <c r="N196" s="65">
        <f>IFERROR(VLOOKUP(Table1215[[#This Row],[Column2]],Table12[[Column2]:[Column54]],13,FALSE),"0")</f>
        <v>5</v>
      </c>
      <c r="O196" s="65">
        <f>IFERROR(VLOOKUP(Table1215[[#This Row],[Column2]],Table12[[Column2]:[Column54]],14,FALSE),"0")</f>
        <v>3</v>
      </c>
      <c r="P196" s="65">
        <f>IFERROR(VLOOKUP(Table1215[[#This Row],[Column2]],Table12[[Column2]:[Column54]],10,FALSE),"0")</f>
        <v>0</v>
      </c>
      <c r="Q196" s="65">
        <f>IFERROR(VLOOKUP(Table1215[[#This Row],[Column2]],Table12[[Column2]:[Column54]],16,FALSE),"0")</f>
        <v>3</v>
      </c>
      <c r="R196" s="67">
        <f>AVERAGE(Table1215[[#This Row],[Column14]],Table1215[[#This Row],[Column15]],Table1215[[#This Row],[Column17]])</f>
        <v>3.6666666666666665</v>
      </c>
      <c r="S196" s="65">
        <f>IFERROR(VLOOKUP(Table1215[[#This Row],[Column2]],Table12[[Column2]:[Column54]],18,FALSE),"0")</f>
        <v>0</v>
      </c>
      <c r="T196" s="65">
        <f>IFERROR(VLOOKUP(Table1215[[#This Row],[Column2]],Table12[[Column2]:[Column54]],19,FALSE),"0")</f>
        <v>0</v>
      </c>
      <c r="U196" s="65">
        <f>IFERROR(VLOOKUP(Table1215[[#This Row],[Column2]],Table12[[Column2]:[Column54]],20,FALSE),"0")</f>
        <v>0</v>
      </c>
      <c r="V196" s="65">
        <f>IFERROR(VLOOKUP(Table1215[[#This Row],[Column2]],Table12[[Column2]:[Column54]],21,FALSE),"0")</f>
        <v>0</v>
      </c>
      <c r="W196" s="65">
        <f>IFERROR(VLOOKUP(Table1215[[#This Row],[Column2]],Table12[[Column2]:[Column54]],22,FALSE),"0")</f>
        <v>0</v>
      </c>
      <c r="X196" s="67">
        <f>Table1215[[#This Row],[Column19]]</f>
        <v>0</v>
      </c>
      <c r="Y196" s="65">
        <f>IFERROR(VLOOKUP(Table1215[[#This Row],[Column2]],Table12[[Column2]:[Column54]],24,FALSE),"0")</f>
        <v>3</v>
      </c>
      <c r="Z196" s="65">
        <f>IFERROR(VLOOKUP(Table1215[[#This Row],[Column2]],Table12[[Column2]:[Column54]],25,FALSE),"0")</f>
        <v>0</v>
      </c>
      <c r="AA196" s="65">
        <f>IFERROR(VLOOKUP(Table1215[[#This Row],[Column2]],Table12[[Column2]:[Column54]],26,FALSE),"0")</f>
        <v>0</v>
      </c>
      <c r="AB196" s="65">
        <f>IFERROR(VLOOKUP(Table1215[[#This Row],[Column2]],Table12[[Column2]:[Column54]],27,FALSE),"0")</f>
        <v>0</v>
      </c>
      <c r="AC196" s="65">
        <f>IFERROR(VLOOKUP(Table1215[[#This Row],[Column2]],Table12[[Column2]:[Column54]],28,FALSE),"0")</f>
        <v>0</v>
      </c>
      <c r="AD196" s="67">
        <f>Table1215[[#This Row],[Column25]]</f>
        <v>3</v>
      </c>
      <c r="AE196" s="65">
        <f>IFERROR(VLOOKUP(Table1215[[#This Row],[Column2]],Table12[[Column2]:[Column54]],30,FALSE),"0")</f>
        <v>0</v>
      </c>
      <c r="AF196" s="65">
        <f>IFERROR(VLOOKUP(Table1215[[#This Row],[Column2]],Table12[[Column2]:[Column54]],31,FALSE),"0")</f>
        <v>0</v>
      </c>
      <c r="AG196" s="65">
        <f>IFERROR(VLOOKUP(Table1215[[#This Row],[Column2]],Table12[[Column2]:[Column54]],32,FALSE),"0")</f>
        <v>0</v>
      </c>
      <c r="AH196" s="65">
        <f>IFERROR(VLOOKUP(Table1215[[#This Row],[Column2]],Table12[[Column2]:[Column54]],33,FALSE),"0")</f>
        <v>0</v>
      </c>
      <c r="AI196" s="65">
        <f>IFERROR(VLOOKUP(Table1215[[#This Row],[Column2]],Table12[[Column2]:[Column54]],34,FALSE),"0")</f>
        <v>0</v>
      </c>
      <c r="AJ196" s="67">
        <f>AVERAGE(Table1215[[#This Row],[Column31]],Table1215[[#This Row],[Column32]],Table1215[[#This Row],[Column33]])</f>
        <v>0</v>
      </c>
      <c r="AK196" s="65">
        <f>IFERROR(VLOOKUP(Table1215[[#This Row],[Column2]],Table12[[Column2]:[Column54]],36,FALSE),"0")</f>
        <v>3</v>
      </c>
      <c r="AL196" s="65">
        <f>IFERROR(VLOOKUP(Table1215[[#This Row],[Column2]],Table12[[Column2]:[Column54]],37,FALSE),"0")</f>
        <v>4</v>
      </c>
      <c r="AM196" s="65">
        <f>IFERROR(VLOOKUP(Table1215[[#This Row],[Column2]],Table12[[Column2]:[Column54]],38,FALSE),"0")</f>
        <v>0</v>
      </c>
      <c r="AN196" s="65">
        <f>IFERROR(VLOOKUP(Table1215[[#This Row],[Column2]],Table12[[Column2]:[Column54]],39,FALSE),"0")</f>
        <v>4</v>
      </c>
      <c r="AO196" s="65">
        <f>IFERROR(VLOOKUP(Table1215[[#This Row],[Column2]],Table12[[Column2]:[Column54]],40,FALSE),"0")</f>
        <v>0</v>
      </c>
      <c r="AP196" s="67">
        <f>AVERAGE(Table1215[[#This Row],[Column37]],Table1215[[#This Row],[Column38]],Table1215[[#This Row],[Column40]])</f>
        <v>3.6666666666666665</v>
      </c>
      <c r="AQ196" s="65">
        <f>IFERROR(VLOOKUP(Table1215[[#This Row],[Column2]],Table12[[Column2]:[Column54]],42,FALSE),"0")</f>
        <v>4</v>
      </c>
      <c r="AR196" s="65">
        <f>IFERROR(VLOOKUP(Table1215[[#This Row],[Column2]],Table12[[Column2]:[Column54]],43,FALSE),"0")</f>
        <v>0</v>
      </c>
      <c r="AS196" s="65">
        <f>IFERROR(VLOOKUP(Table1215[[#This Row],[Column2]],Table12[[Column2]:[Column54]],44,FALSE),"0")</f>
        <v>0</v>
      </c>
      <c r="AT196" s="65">
        <f>IFERROR(VLOOKUP(Table1215[[#This Row],[Column2]],Table12[[Column2]:[Column54]],45,FALSE),"0")</f>
        <v>0</v>
      </c>
      <c r="AU196" s="65">
        <f>IFERROR(VLOOKUP(Table1215[[#This Row],[Column2]],Table12[[Column2]:[Column54]],46,FALSE),"0")</f>
        <v>0</v>
      </c>
      <c r="AV196" s="67">
        <f>Table1215[[#This Row],[Column43]]</f>
        <v>4</v>
      </c>
      <c r="AW196" s="65">
        <f>IFERROR(VLOOKUP(Table1215[[#This Row],[Column2]],Table12[[Column2]:[Column54]],48,FALSE),"0")</f>
        <v>0</v>
      </c>
      <c r="AX196" s="65">
        <f>IFERROR(VLOOKUP(Table1215[[#This Row],[Column2]],Table12[[Column2]:[Column54]],49,FALSE),"0")</f>
        <v>0</v>
      </c>
      <c r="AY196" s="65">
        <f>IFERROR(VLOOKUP(Table1215[[#This Row],[Column2]],Table12[[Column2]:[Column54]],50,FALSE),"0")</f>
        <v>0</v>
      </c>
      <c r="AZ196" s="65">
        <f>IFERROR(VLOOKUP(Table1215[[#This Row],[Column2]],Table12[[Column2]:[Column54]],51,FALSE),"0")</f>
        <v>4</v>
      </c>
      <c r="BA196" s="65">
        <f>IFERROR(VLOOKUP(Table1215[[#This Row],[Column2]],Table12[[Column2]:[Column54]],52,FALSE),"0")</f>
        <v>5</v>
      </c>
      <c r="BB196" s="67">
        <f>AVERAGE(Table1215[[#This Row],[Column52]],Table1215[[#This Row],[Column53]])</f>
        <v>4.5</v>
      </c>
    </row>
    <row r="197" spans="1:54" ht="23.1" customHeight="1" x14ac:dyDescent="0.3">
      <c r="A197" s="87">
        <v>194</v>
      </c>
      <c r="B197" s="70" t="s">
        <v>424</v>
      </c>
      <c r="C197" s="71" t="s">
        <v>425</v>
      </c>
      <c r="D197" s="70" t="s">
        <v>450</v>
      </c>
      <c r="E197" s="70" t="s">
        <v>493</v>
      </c>
      <c r="F197" s="70" t="str">
        <f>REPT(CHAR(160),10)&amp;Working!$E198</f>
        <v>          C</v>
      </c>
      <c r="G197" s="61">
        <f>IFERROR(VLOOKUP(Table1215[[#This Row],[Column2]],Table12[[Column2]:[Column54]],6,FALSE),"0")</f>
        <v>0</v>
      </c>
      <c r="H197" s="61">
        <f>IFERROR(VLOOKUP(Table1215[[#This Row],[Column2]],Table12[[Column2]:[Column54]],7,FALSE),"0")</f>
        <v>0</v>
      </c>
      <c r="I197" s="61">
        <f>IFERROR(VLOOKUP(Table1215[[#This Row],[Column2]],Table12[[Column2]:[Column54]],8,FALSE),"0")</f>
        <v>4</v>
      </c>
      <c r="J197" s="61">
        <f>IFERROR(VLOOKUP(Table1215[[#This Row],[Column2]],Table12[[Column2]:[Column54]],9,FALSE),"0")</f>
        <v>0</v>
      </c>
      <c r="K197" s="61">
        <f>IFERROR(VLOOKUP(Table1215[[#This Row],[Column2]],Table12[[Column2]:[Column54]],10,FALSE),"0")</f>
        <v>0</v>
      </c>
      <c r="L197" s="67">
        <f>Table1215[[#This Row],[Column9]]</f>
        <v>4</v>
      </c>
      <c r="M197" s="61">
        <f>IFERROR(VLOOKUP(Table1215[[#This Row],[Column2]],Table12[[Column2]:[Column54]],12,FALSE),"0")</f>
        <v>0</v>
      </c>
      <c r="N197" s="61">
        <f>IFERROR(VLOOKUP(Table1215[[#This Row],[Column2]],Table12[[Column2]:[Column54]],13,FALSE),"0")</f>
        <v>3</v>
      </c>
      <c r="O197" s="61">
        <f>IFERROR(VLOOKUP(Table1215[[#This Row],[Column2]],Table12[[Column2]:[Column54]],14,FALSE),"0")</f>
        <v>3</v>
      </c>
      <c r="P197" s="61">
        <f>IFERROR(VLOOKUP(Table1215[[#This Row],[Column2]],Table12[[Column2]:[Column54]],10,FALSE),"0")</f>
        <v>0</v>
      </c>
      <c r="Q197" s="61">
        <f>IFERROR(VLOOKUP(Table1215[[#This Row],[Column2]],Table12[[Column2]:[Column54]],16,FALSE),"0")</f>
        <v>3</v>
      </c>
      <c r="R197" s="67">
        <f>AVERAGE(Table1215[[#This Row],[Column14]],Table1215[[#This Row],[Column15]],Table1215[[#This Row],[Column17]])</f>
        <v>3</v>
      </c>
      <c r="S197" s="61">
        <f>IFERROR(VLOOKUP(Table1215[[#This Row],[Column2]],Table12[[Column2]:[Column54]],18,FALSE),"0")</f>
        <v>0</v>
      </c>
      <c r="T197" s="61">
        <f>IFERROR(VLOOKUP(Table1215[[#This Row],[Column2]],Table12[[Column2]:[Column54]],19,FALSE),"0")</f>
        <v>0</v>
      </c>
      <c r="U197" s="61">
        <f>IFERROR(VLOOKUP(Table1215[[#This Row],[Column2]],Table12[[Column2]:[Column54]],20,FALSE),"0")</f>
        <v>0</v>
      </c>
      <c r="V197" s="61">
        <f>IFERROR(VLOOKUP(Table1215[[#This Row],[Column2]],Table12[[Column2]:[Column54]],21,FALSE),"0")</f>
        <v>0</v>
      </c>
      <c r="W197" s="61">
        <f>IFERROR(VLOOKUP(Table1215[[#This Row],[Column2]],Table12[[Column2]:[Column54]],22,FALSE),"0")</f>
        <v>0</v>
      </c>
      <c r="X197" s="67">
        <f>Table1215[[#This Row],[Column19]]</f>
        <v>0</v>
      </c>
      <c r="Y197" s="61">
        <f>IFERROR(VLOOKUP(Table1215[[#This Row],[Column2]],Table12[[Column2]:[Column54]],24,FALSE),"0")</f>
        <v>4</v>
      </c>
      <c r="Z197" s="61">
        <f>IFERROR(VLOOKUP(Table1215[[#This Row],[Column2]],Table12[[Column2]:[Column54]],25,FALSE),"0")</f>
        <v>0</v>
      </c>
      <c r="AA197" s="61">
        <f>IFERROR(VLOOKUP(Table1215[[#This Row],[Column2]],Table12[[Column2]:[Column54]],26,FALSE),"0")</f>
        <v>0</v>
      </c>
      <c r="AB197" s="61">
        <f>IFERROR(VLOOKUP(Table1215[[#This Row],[Column2]],Table12[[Column2]:[Column54]],27,FALSE),"0")</f>
        <v>0</v>
      </c>
      <c r="AC197" s="61">
        <f>IFERROR(VLOOKUP(Table1215[[#This Row],[Column2]],Table12[[Column2]:[Column54]],28,FALSE),"0")</f>
        <v>0</v>
      </c>
      <c r="AD197" s="67">
        <f>Table1215[[#This Row],[Column25]]</f>
        <v>4</v>
      </c>
      <c r="AE197" s="61">
        <f>IFERROR(VLOOKUP(Table1215[[#This Row],[Column2]],Table12[[Column2]:[Column54]],30,FALSE),"0")</f>
        <v>0</v>
      </c>
      <c r="AF197" s="61">
        <f>IFERROR(VLOOKUP(Table1215[[#This Row],[Column2]],Table12[[Column2]:[Column54]],31,FALSE),"0")</f>
        <v>0</v>
      </c>
      <c r="AG197" s="61">
        <f>IFERROR(VLOOKUP(Table1215[[#This Row],[Column2]],Table12[[Column2]:[Column54]],32,FALSE),"0")</f>
        <v>0</v>
      </c>
      <c r="AH197" s="61">
        <f>IFERROR(VLOOKUP(Table1215[[#This Row],[Column2]],Table12[[Column2]:[Column54]],33,FALSE),"0")</f>
        <v>0</v>
      </c>
      <c r="AI197" s="61">
        <f>IFERROR(VLOOKUP(Table1215[[#This Row],[Column2]],Table12[[Column2]:[Column54]],34,FALSE),"0")</f>
        <v>0</v>
      </c>
      <c r="AJ197" s="67">
        <f>AVERAGE(Table1215[[#This Row],[Column31]],Table1215[[#This Row],[Column32]],Table1215[[#This Row],[Column33]])</f>
        <v>0</v>
      </c>
      <c r="AK197" s="61">
        <f>IFERROR(VLOOKUP(Table1215[[#This Row],[Column2]],Table12[[Column2]:[Column54]],36,FALSE),"0")</f>
        <v>3</v>
      </c>
      <c r="AL197" s="61">
        <f>IFERROR(VLOOKUP(Table1215[[#This Row],[Column2]],Table12[[Column2]:[Column54]],37,FALSE),"0")</f>
        <v>3</v>
      </c>
      <c r="AM197" s="61">
        <f>IFERROR(VLOOKUP(Table1215[[#This Row],[Column2]],Table12[[Column2]:[Column54]],38,FALSE),"0")</f>
        <v>0</v>
      </c>
      <c r="AN197" s="61">
        <f>IFERROR(VLOOKUP(Table1215[[#This Row],[Column2]],Table12[[Column2]:[Column54]],39,FALSE),"0")</f>
        <v>4</v>
      </c>
      <c r="AO197" s="61">
        <f>IFERROR(VLOOKUP(Table1215[[#This Row],[Column2]],Table12[[Column2]:[Column54]],40,FALSE),"0")</f>
        <v>0</v>
      </c>
      <c r="AP197" s="67">
        <f>AVERAGE(Table1215[[#This Row],[Column37]],Table1215[[#This Row],[Column38]],Table1215[[#This Row],[Column40]])</f>
        <v>3.3333333333333335</v>
      </c>
      <c r="AQ197" s="61">
        <f>IFERROR(VLOOKUP(Table1215[[#This Row],[Column2]],Table12[[Column2]:[Column54]],42,FALSE),"0")</f>
        <v>4</v>
      </c>
      <c r="AR197" s="61">
        <f>IFERROR(VLOOKUP(Table1215[[#This Row],[Column2]],Table12[[Column2]:[Column54]],43,FALSE),"0")</f>
        <v>0</v>
      </c>
      <c r="AS197" s="61">
        <f>IFERROR(VLOOKUP(Table1215[[#This Row],[Column2]],Table12[[Column2]:[Column54]],44,FALSE),"0")</f>
        <v>0</v>
      </c>
      <c r="AT197" s="61">
        <f>IFERROR(VLOOKUP(Table1215[[#This Row],[Column2]],Table12[[Column2]:[Column54]],45,FALSE),"0")</f>
        <v>0</v>
      </c>
      <c r="AU197" s="61">
        <f>IFERROR(VLOOKUP(Table1215[[#This Row],[Column2]],Table12[[Column2]:[Column54]],46,FALSE),"0")</f>
        <v>0</v>
      </c>
      <c r="AV197" s="67">
        <f>Table1215[[#This Row],[Column43]]</f>
        <v>4</v>
      </c>
      <c r="AW197" s="61">
        <f>IFERROR(VLOOKUP(Table1215[[#This Row],[Column2]],Table12[[Column2]:[Column54]],48,FALSE),"0")</f>
        <v>0</v>
      </c>
      <c r="AX197" s="61">
        <f>IFERROR(VLOOKUP(Table1215[[#This Row],[Column2]],Table12[[Column2]:[Column54]],49,FALSE),"0")</f>
        <v>0</v>
      </c>
      <c r="AY197" s="61">
        <f>IFERROR(VLOOKUP(Table1215[[#This Row],[Column2]],Table12[[Column2]:[Column54]],50,FALSE),"0")</f>
        <v>0</v>
      </c>
      <c r="AZ197" s="61">
        <f>IFERROR(VLOOKUP(Table1215[[#This Row],[Column2]],Table12[[Column2]:[Column54]],51,FALSE),"0")</f>
        <v>2</v>
      </c>
      <c r="BA197" s="61">
        <f>IFERROR(VLOOKUP(Table1215[[#This Row],[Column2]],Table12[[Column2]:[Column54]],52,FALSE),"0")</f>
        <v>4</v>
      </c>
      <c r="BB197" s="67">
        <f>AVERAGE(Table1215[[#This Row],[Column52]],Table1215[[#This Row],[Column53]])</f>
        <v>3</v>
      </c>
    </row>
    <row r="198" spans="1:54" ht="23.1" customHeight="1" x14ac:dyDescent="0.3">
      <c r="A198" s="86">
        <v>195</v>
      </c>
      <c r="B198" s="63" t="s">
        <v>426</v>
      </c>
      <c r="C198" s="64" t="s">
        <v>427</v>
      </c>
      <c r="D198" s="63" t="s">
        <v>450</v>
      </c>
      <c r="E198" s="63" t="s">
        <v>289</v>
      </c>
      <c r="F198" s="63" t="str">
        <f>REPT(CHAR(160),10)&amp;Working!$E199</f>
        <v>          D</v>
      </c>
      <c r="G198" s="65">
        <f>IFERROR(VLOOKUP(Table1215[[#This Row],[Column2]],Table12[[Column2]:[Column54]],6,FALSE),"0")</f>
        <v>0</v>
      </c>
      <c r="H198" s="65">
        <f>IFERROR(VLOOKUP(Table1215[[#This Row],[Column2]],Table12[[Column2]:[Column54]],7,FALSE),"0")</f>
        <v>0</v>
      </c>
      <c r="I198" s="65">
        <f>IFERROR(VLOOKUP(Table1215[[#This Row],[Column2]],Table12[[Column2]:[Column54]],8,FALSE),"0")</f>
        <v>3</v>
      </c>
      <c r="J198" s="65">
        <f>IFERROR(VLOOKUP(Table1215[[#This Row],[Column2]],Table12[[Column2]:[Column54]],9,FALSE),"0")</f>
        <v>0</v>
      </c>
      <c r="K198" s="65">
        <f>IFERROR(VLOOKUP(Table1215[[#This Row],[Column2]],Table12[[Column2]:[Column54]],10,FALSE),"0")</f>
        <v>0</v>
      </c>
      <c r="L198" s="67">
        <f>Table1215[[#This Row],[Column9]]</f>
        <v>3</v>
      </c>
      <c r="M198" s="65">
        <f>IFERROR(VLOOKUP(Table1215[[#This Row],[Column2]],Table12[[Column2]:[Column54]],12,FALSE),"0")</f>
        <v>0</v>
      </c>
      <c r="N198" s="65">
        <f>IFERROR(VLOOKUP(Table1215[[#This Row],[Column2]],Table12[[Column2]:[Column54]],13,FALSE),"0")</f>
        <v>4</v>
      </c>
      <c r="O198" s="65">
        <f>IFERROR(VLOOKUP(Table1215[[#This Row],[Column2]],Table12[[Column2]:[Column54]],14,FALSE),"0")</f>
        <v>3</v>
      </c>
      <c r="P198" s="65">
        <f>IFERROR(VLOOKUP(Table1215[[#This Row],[Column2]],Table12[[Column2]:[Column54]],10,FALSE),"0")</f>
        <v>0</v>
      </c>
      <c r="Q198" s="65">
        <f>IFERROR(VLOOKUP(Table1215[[#This Row],[Column2]],Table12[[Column2]:[Column54]],16,FALSE),"0")</f>
        <v>3</v>
      </c>
      <c r="R198" s="67">
        <f>AVERAGE(Table1215[[#This Row],[Column14]],Table1215[[#This Row],[Column15]],Table1215[[#This Row],[Column17]])</f>
        <v>3.3333333333333335</v>
      </c>
      <c r="S198" s="65">
        <f>IFERROR(VLOOKUP(Table1215[[#This Row],[Column2]],Table12[[Column2]:[Column54]],18,FALSE),"0")</f>
        <v>0</v>
      </c>
      <c r="T198" s="65">
        <f>IFERROR(VLOOKUP(Table1215[[#This Row],[Column2]],Table12[[Column2]:[Column54]],19,FALSE),"0")</f>
        <v>0</v>
      </c>
      <c r="U198" s="65">
        <f>IFERROR(VLOOKUP(Table1215[[#This Row],[Column2]],Table12[[Column2]:[Column54]],20,FALSE),"0")</f>
        <v>0</v>
      </c>
      <c r="V198" s="65">
        <f>IFERROR(VLOOKUP(Table1215[[#This Row],[Column2]],Table12[[Column2]:[Column54]],21,FALSE),"0")</f>
        <v>0</v>
      </c>
      <c r="W198" s="65">
        <f>IFERROR(VLOOKUP(Table1215[[#This Row],[Column2]],Table12[[Column2]:[Column54]],22,FALSE),"0")</f>
        <v>0</v>
      </c>
      <c r="X198" s="67">
        <f>Table1215[[#This Row],[Column19]]</f>
        <v>0</v>
      </c>
      <c r="Y198" s="65">
        <f>IFERROR(VLOOKUP(Table1215[[#This Row],[Column2]],Table12[[Column2]:[Column54]],24,FALSE),"0")</f>
        <v>3</v>
      </c>
      <c r="Z198" s="65">
        <f>IFERROR(VLOOKUP(Table1215[[#This Row],[Column2]],Table12[[Column2]:[Column54]],25,FALSE),"0")</f>
        <v>0</v>
      </c>
      <c r="AA198" s="65">
        <f>IFERROR(VLOOKUP(Table1215[[#This Row],[Column2]],Table12[[Column2]:[Column54]],26,FALSE),"0")</f>
        <v>0</v>
      </c>
      <c r="AB198" s="65">
        <f>IFERROR(VLOOKUP(Table1215[[#This Row],[Column2]],Table12[[Column2]:[Column54]],27,FALSE),"0")</f>
        <v>0</v>
      </c>
      <c r="AC198" s="65">
        <f>IFERROR(VLOOKUP(Table1215[[#This Row],[Column2]],Table12[[Column2]:[Column54]],28,FALSE),"0")</f>
        <v>0</v>
      </c>
      <c r="AD198" s="67">
        <f>Table1215[[#This Row],[Column25]]</f>
        <v>3</v>
      </c>
      <c r="AE198" s="65">
        <f>IFERROR(VLOOKUP(Table1215[[#This Row],[Column2]],Table12[[Column2]:[Column54]],30,FALSE),"0")</f>
        <v>0</v>
      </c>
      <c r="AF198" s="65">
        <f>IFERROR(VLOOKUP(Table1215[[#This Row],[Column2]],Table12[[Column2]:[Column54]],31,FALSE),"0")</f>
        <v>0</v>
      </c>
      <c r="AG198" s="65">
        <f>IFERROR(VLOOKUP(Table1215[[#This Row],[Column2]],Table12[[Column2]:[Column54]],32,FALSE),"0")</f>
        <v>0</v>
      </c>
      <c r="AH198" s="65">
        <f>IFERROR(VLOOKUP(Table1215[[#This Row],[Column2]],Table12[[Column2]:[Column54]],33,FALSE),"0")</f>
        <v>0</v>
      </c>
      <c r="AI198" s="65">
        <f>IFERROR(VLOOKUP(Table1215[[#This Row],[Column2]],Table12[[Column2]:[Column54]],34,FALSE),"0")</f>
        <v>0</v>
      </c>
      <c r="AJ198" s="67">
        <f>AVERAGE(Table1215[[#This Row],[Column31]],Table1215[[#This Row],[Column32]],Table1215[[#This Row],[Column33]])</f>
        <v>0</v>
      </c>
      <c r="AK198" s="65">
        <f>IFERROR(VLOOKUP(Table1215[[#This Row],[Column2]],Table12[[Column2]:[Column54]],36,FALSE),"0")</f>
        <v>3</v>
      </c>
      <c r="AL198" s="65">
        <f>IFERROR(VLOOKUP(Table1215[[#This Row],[Column2]],Table12[[Column2]:[Column54]],37,FALSE),"0")</f>
        <v>3</v>
      </c>
      <c r="AM198" s="65">
        <f>IFERROR(VLOOKUP(Table1215[[#This Row],[Column2]],Table12[[Column2]:[Column54]],38,FALSE),"0")</f>
        <v>0</v>
      </c>
      <c r="AN198" s="65">
        <f>IFERROR(VLOOKUP(Table1215[[#This Row],[Column2]],Table12[[Column2]:[Column54]],39,FALSE),"0")</f>
        <v>4</v>
      </c>
      <c r="AO198" s="65">
        <f>IFERROR(VLOOKUP(Table1215[[#This Row],[Column2]],Table12[[Column2]:[Column54]],40,FALSE),"0")</f>
        <v>0</v>
      </c>
      <c r="AP198" s="67">
        <f>AVERAGE(Table1215[[#This Row],[Column37]],Table1215[[#This Row],[Column38]],Table1215[[#This Row],[Column40]])</f>
        <v>3.3333333333333335</v>
      </c>
      <c r="AQ198" s="65">
        <f>IFERROR(VLOOKUP(Table1215[[#This Row],[Column2]],Table12[[Column2]:[Column54]],42,FALSE),"0")</f>
        <v>3</v>
      </c>
      <c r="AR198" s="65">
        <f>IFERROR(VLOOKUP(Table1215[[#This Row],[Column2]],Table12[[Column2]:[Column54]],43,FALSE),"0")</f>
        <v>0</v>
      </c>
      <c r="AS198" s="65">
        <f>IFERROR(VLOOKUP(Table1215[[#This Row],[Column2]],Table12[[Column2]:[Column54]],44,FALSE),"0")</f>
        <v>0</v>
      </c>
      <c r="AT198" s="65">
        <f>IFERROR(VLOOKUP(Table1215[[#This Row],[Column2]],Table12[[Column2]:[Column54]],45,FALSE),"0")</f>
        <v>0</v>
      </c>
      <c r="AU198" s="65">
        <f>IFERROR(VLOOKUP(Table1215[[#This Row],[Column2]],Table12[[Column2]:[Column54]],46,FALSE),"0")</f>
        <v>0</v>
      </c>
      <c r="AV198" s="67">
        <f>Table1215[[#This Row],[Column43]]</f>
        <v>3</v>
      </c>
      <c r="AW198" s="65">
        <f>IFERROR(VLOOKUP(Table1215[[#This Row],[Column2]],Table12[[Column2]:[Column54]],48,FALSE),"0")</f>
        <v>0</v>
      </c>
      <c r="AX198" s="65">
        <f>IFERROR(VLOOKUP(Table1215[[#This Row],[Column2]],Table12[[Column2]:[Column54]],49,FALSE),"0")</f>
        <v>0</v>
      </c>
      <c r="AY198" s="65">
        <f>IFERROR(VLOOKUP(Table1215[[#This Row],[Column2]],Table12[[Column2]:[Column54]],50,FALSE),"0")</f>
        <v>0</v>
      </c>
      <c r="AZ198" s="65">
        <f>IFERROR(VLOOKUP(Table1215[[#This Row],[Column2]],Table12[[Column2]:[Column54]],51,FALSE),"0")</f>
        <v>3</v>
      </c>
      <c r="BA198" s="65">
        <f>IFERROR(VLOOKUP(Table1215[[#This Row],[Column2]],Table12[[Column2]:[Column54]],52,FALSE),"0")</f>
        <v>3</v>
      </c>
      <c r="BB198" s="67">
        <f>AVERAGE(Table1215[[#This Row],[Column52]],Table1215[[#This Row],[Column53]])</f>
        <v>3</v>
      </c>
    </row>
    <row r="199" spans="1:54" ht="23.1" customHeight="1" x14ac:dyDescent="0.3">
      <c r="A199" s="87">
        <v>196</v>
      </c>
      <c r="B199" s="70" t="s">
        <v>428</v>
      </c>
      <c r="C199" s="71" t="s">
        <v>429</v>
      </c>
      <c r="D199" s="70" t="s">
        <v>450</v>
      </c>
      <c r="E199" s="70" t="s">
        <v>493</v>
      </c>
      <c r="F199" s="70" t="str">
        <f>REPT(CHAR(160),10)&amp;Working!$E200</f>
        <v>          C</v>
      </c>
      <c r="G199" s="61">
        <f>IFERROR(VLOOKUP(Table1215[[#This Row],[Column2]],Table12[[Column2]:[Column54]],6,FALSE),"0")</f>
        <v>0</v>
      </c>
      <c r="H199" s="61">
        <f>IFERROR(VLOOKUP(Table1215[[#This Row],[Column2]],Table12[[Column2]:[Column54]],7,FALSE),"0")</f>
        <v>0</v>
      </c>
      <c r="I199" s="61">
        <f>IFERROR(VLOOKUP(Table1215[[#This Row],[Column2]],Table12[[Column2]:[Column54]],8,FALSE),"0")</f>
        <v>4</v>
      </c>
      <c r="J199" s="61">
        <f>IFERROR(VLOOKUP(Table1215[[#This Row],[Column2]],Table12[[Column2]:[Column54]],9,FALSE),"0")</f>
        <v>0</v>
      </c>
      <c r="K199" s="61">
        <f>IFERROR(VLOOKUP(Table1215[[#This Row],[Column2]],Table12[[Column2]:[Column54]],10,FALSE),"0")</f>
        <v>0</v>
      </c>
      <c r="L199" s="67">
        <f>Table1215[[#This Row],[Column9]]</f>
        <v>4</v>
      </c>
      <c r="M199" s="61">
        <f>IFERROR(VLOOKUP(Table1215[[#This Row],[Column2]],Table12[[Column2]:[Column54]],12,FALSE),"0")</f>
        <v>0</v>
      </c>
      <c r="N199" s="61">
        <f>IFERROR(VLOOKUP(Table1215[[#This Row],[Column2]],Table12[[Column2]:[Column54]],13,FALSE),"0")</f>
        <v>5</v>
      </c>
      <c r="O199" s="61">
        <f>IFERROR(VLOOKUP(Table1215[[#This Row],[Column2]],Table12[[Column2]:[Column54]],14,FALSE),"0")</f>
        <v>4</v>
      </c>
      <c r="P199" s="61">
        <f>IFERROR(VLOOKUP(Table1215[[#This Row],[Column2]],Table12[[Column2]:[Column54]],10,FALSE),"0")</f>
        <v>0</v>
      </c>
      <c r="Q199" s="61">
        <f>IFERROR(VLOOKUP(Table1215[[#This Row],[Column2]],Table12[[Column2]:[Column54]],16,FALSE),"0")</f>
        <v>4</v>
      </c>
      <c r="R199" s="67">
        <f>AVERAGE(Table1215[[#This Row],[Column14]],Table1215[[#This Row],[Column15]],Table1215[[#This Row],[Column17]])</f>
        <v>4.333333333333333</v>
      </c>
      <c r="S199" s="61">
        <f>IFERROR(VLOOKUP(Table1215[[#This Row],[Column2]],Table12[[Column2]:[Column54]],18,FALSE),"0")</f>
        <v>0</v>
      </c>
      <c r="T199" s="61">
        <f>IFERROR(VLOOKUP(Table1215[[#This Row],[Column2]],Table12[[Column2]:[Column54]],19,FALSE),"0")</f>
        <v>0</v>
      </c>
      <c r="U199" s="61">
        <f>IFERROR(VLOOKUP(Table1215[[#This Row],[Column2]],Table12[[Column2]:[Column54]],20,FALSE),"0")</f>
        <v>0</v>
      </c>
      <c r="V199" s="61">
        <f>IFERROR(VLOOKUP(Table1215[[#This Row],[Column2]],Table12[[Column2]:[Column54]],21,FALSE),"0")</f>
        <v>0</v>
      </c>
      <c r="W199" s="61">
        <f>IFERROR(VLOOKUP(Table1215[[#This Row],[Column2]],Table12[[Column2]:[Column54]],22,FALSE),"0")</f>
        <v>0</v>
      </c>
      <c r="X199" s="67">
        <f>Table1215[[#This Row],[Column19]]</f>
        <v>0</v>
      </c>
      <c r="Y199" s="61">
        <f>IFERROR(VLOOKUP(Table1215[[#This Row],[Column2]],Table12[[Column2]:[Column54]],24,FALSE),"0")</f>
        <v>4</v>
      </c>
      <c r="Z199" s="61">
        <f>IFERROR(VLOOKUP(Table1215[[#This Row],[Column2]],Table12[[Column2]:[Column54]],25,FALSE),"0")</f>
        <v>0</v>
      </c>
      <c r="AA199" s="61">
        <f>IFERROR(VLOOKUP(Table1215[[#This Row],[Column2]],Table12[[Column2]:[Column54]],26,FALSE),"0")</f>
        <v>0</v>
      </c>
      <c r="AB199" s="61">
        <f>IFERROR(VLOOKUP(Table1215[[#This Row],[Column2]],Table12[[Column2]:[Column54]],27,FALSE),"0")</f>
        <v>0</v>
      </c>
      <c r="AC199" s="61">
        <f>IFERROR(VLOOKUP(Table1215[[#This Row],[Column2]],Table12[[Column2]:[Column54]],28,FALSE),"0")</f>
        <v>0</v>
      </c>
      <c r="AD199" s="67">
        <f>Table1215[[#This Row],[Column25]]</f>
        <v>4</v>
      </c>
      <c r="AE199" s="61">
        <f>IFERROR(VLOOKUP(Table1215[[#This Row],[Column2]],Table12[[Column2]:[Column54]],30,FALSE),"0")</f>
        <v>0</v>
      </c>
      <c r="AF199" s="61">
        <f>IFERROR(VLOOKUP(Table1215[[#This Row],[Column2]],Table12[[Column2]:[Column54]],31,FALSE),"0")</f>
        <v>0</v>
      </c>
      <c r="AG199" s="61">
        <f>IFERROR(VLOOKUP(Table1215[[#This Row],[Column2]],Table12[[Column2]:[Column54]],32,FALSE),"0")</f>
        <v>0</v>
      </c>
      <c r="AH199" s="61">
        <f>IFERROR(VLOOKUP(Table1215[[#This Row],[Column2]],Table12[[Column2]:[Column54]],33,FALSE),"0")</f>
        <v>0</v>
      </c>
      <c r="AI199" s="61">
        <f>IFERROR(VLOOKUP(Table1215[[#This Row],[Column2]],Table12[[Column2]:[Column54]],34,FALSE),"0")</f>
        <v>4</v>
      </c>
      <c r="AJ199" s="67">
        <f>AVERAGE(Table1215[[#This Row],[Column31]],Table1215[[#This Row],[Column32]],Table1215[[#This Row],[Column33]])</f>
        <v>0</v>
      </c>
      <c r="AK199" s="61">
        <f>IFERROR(VLOOKUP(Table1215[[#This Row],[Column2]],Table12[[Column2]:[Column54]],36,FALSE),"0")</f>
        <v>4</v>
      </c>
      <c r="AL199" s="61">
        <f>IFERROR(VLOOKUP(Table1215[[#This Row],[Column2]],Table12[[Column2]:[Column54]],37,FALSE),"0")</f>
        <v>4</v>
      </c>
      <c r="AM199" s="61">
        <f>IFERROR(VLOOKUP(Table1215[[#This Row],[Column2]],Table12[[Column2]:[Column54]],38,FALSE),"0")</f>
        <v>0</v>
      </c>
      <c r="AN199" s="61">
        <f>IFERROR(VLOOKUP(Table1215[[#This Row],[Column2]],Table12[[Column2]:[Column54]],39,FALSE),"0")</f>
        <v>5</v>
      </c>
      <c r="AO199" s="61">
        <f>IFERROR(VLOOKUP(Table1215[[#This Row],[Column2]],Table12[[Column2]:[Column54]],40,FALSE),"0")</f>
        <v>0</v>
      </c>
      <c r="AP199" s="67">
        <f>AVERAGE(Table1215[[#This Row],[Column37]],Table1215[[#This Row],[Column38]],Table1215[[#This Row],[Column40]])</f>
        <v>4.333333333333333</v>
      </c>
      <c r="AQ199" s="61">
        <f>IFERROR(VLOOKUP(Table1215[[#This Row],[Column2]],Table12[[Column2]:[Column54]],42,FALSE),"0")</f>
        <v>3</v>
      </c>
      <c r="AR199" s="61">
        <f>IFERROR(VLOOKUP(Table1215[[#This Row],[Column2]],Table12[[Column2]:[Column54]],43,FALSE),"0")</f>
        <v>0</v>
      </c>
      <c r="AS199" s="61">
        <f>IFERROR(VLOOKUP(Table1215[[#This Row],[Column2]],Table12[[Column2]:[Column54]],44,FALSE),"0")</f>
        <v>0</v>
      </c>
      <c r="AT199" s="61">
        <f>IFERROR(VLOOKUP(Table1215[[#This Row],[Column2]],Table12[[Column2]:[Column54]],45,FALSE),"0")</f>
        <v>0</v>
      </c>
      <c r="AU199" s="61">
        <f>IFERROR(VLOOKUP(Table1215[[#This Row],[Column2]],Table12[[Column2]:[Column54]],46,FALSE),"0")</f>
        <v>0</v>
      </c>
      <c r="AV199" s="67">
        <f>Table1215[[#This Row],[Column43]]</f>
        <v>3</v>
      </c>
      <c r="AW199" s="61">
        <f>IFERROR(VLOOKUP(Table1215[[#This Row],[Column2]],Table12[[Column2]:[Column54]],48,FALSE),"0")</f>
        <v>0</v>
      </c>
      <c r="AX199" s="61">
        <f>IFERROR(VLOOKUP(Table1215[[#This Row],[Column2]],Table12[[Column2]:[Column54]],49,FALSE),"0")</f>
        <v>0</v>
      </c>
      <c r="AY199" s="61">
        <f>IFERROR(VLOOKUP(Table1215[[#This Row],[Column2]],Table12[[Column2]:[Column54]],50,FALSE),"0")</f>
        <v>0</v>
      </c>
      <c r="AZ199" s="61">
        <f>IFERROR(VLOOKUP(Table1215[[#This Row],[Column2]],Table12[[Column2]:[Column54]],51,FALSE),"0")</f>
        <v>4</v>
      </c>
      <c r="BA199" s="61">
        <f>IFERROR(VLOOKUP(Table1215[[#This Row],[Column2]],Table12[[Column2]:[Column54]],52,FALSE),"0")</f>
        <v>5</v>
      </c>
      <c r="BB199" s="67">
        <f>AVERAGE(Table1215[[#This Row],[Column52]],Table1215[[#This Row],[Column53]])</f>
        <v>4.5</v>
      </c>
    </row>
    <row r="200" spans="1:54" ht="23.1" customHeight="1" x14ac:dyDescent="0.3">
      <c r="A200" s="86">
        <v>197</v>
      </c>
      <c r="B200" s="63" t="s">
        <v>430</v>
      </c>
      <c r="C200" s="64" t="s">
        <v>431</v>
      </c>
      <c r="D200" s="63" t="s">
        <v>542</v>
      </c>
      <c r="E200" s="63" t="s">
        <v>493</v>
      </c>
      <c r="F200" s="63" t="str">
        <f>REPT(CHAR(160),10)&amp;Working!$E201</f>
        <v>          C</v>
      </c>
      <c r="G200" s="65">
        <f>IFERROR(VLOOKUP(Table1215[[#This Row],[Column2]],Table12[[Column2]:[Column54]],6,FALSE),"0")</f>
        <v>0</v>
      </c>
      <c r="H200" s="65">
        <f>IFERROR(VLOOKUP(Table1215[[#This Row],[Column2]],Table12[[Column2]:[Column54]],7,FALSE),"0")</f>
        <v>0</v>
      </c>
      <c r="I200" s="65">
        <f>IFERROR(VLOOKUP(Table1215[[#This Row],[Column2]],Table12[[Column2]:[Column54]],8,FALSE),"0")</f>
        <v>3</v>
      </c>
      <c r="J200" s="65">
        <f>IFERROR(VLOOKUP(Table1215[[#This Row],[Column2]],Table12[[Column2]:[Column54]],9,FALSE),"0")</f>
        <v>0</v>
      </c>
      <c r="K200" s="65">
        <f>IFERROR(VLOOKUP(Table1215[[#This Row],[Column2]],Table12[[Column2]:[Column54]],10,FALSE),"0")</f>
        <v>0</v>
      </c>
      <c r="L200" s="67">
        <f>Table1215[[#This Row],[Column9]]</f>
        <v>3</v>
      </c>
      <c r="M200" s="65">
        <f>IFERROR(VLOOKUP(Table1215[[#This Row],[Column2]],Table12[[Column2]:[Column54]],12,FALSE),"0")</f>
        <v>0</v>
      </c>
      <c r="N200" s="65">
        <f>IFERROR(VLOOKUP(Table1215[[#This Row],[Column2]],Table12[[Column2]:[Column54]],13,FALSE),"0")</f>
        <v>2</v>
      </c>
      <c r="O200" s="65">
        <f>IFERROR(VLOOKUP(Table1215[[#This Row],[Column2]],Table12[[Column2]:[Column54]],14,FALSE),"0")</f>
        <v>3</v>
      </c>
      <c r="P200" s="65">
        <f>IFERROR(VLOOKUP(Table1215[[#This Row],[Column2]],Table12[[Column2]:[Column54]],10,FALSE),"0")</f>
        <v>0</v>
      </c>
      <c r="Q200" s="65">
        <f>IFERROR(VLOOKUP(Table1215[[#This Row],[Column2]],Table12[[Column2]:[Column54]],16,FALSE),"0")</f>
        <v>3</v>
      </c>
      <c r="R200" s="67">
        <f>AVERAGE(Table1215[[#This Row],[Column14]],Table1215[[#This Row],[Column15]],Table1215[[#This Row],[Column17]])</f>
        <v>2.6666666666666665</v>
      </c>
      <c r="S200" s="65">
        <f>IFERROR(VLOOKUP(Table1215[[#This Row],[Column2]],Table12[[Column2]:[Column54]],18,FALSE),"0")</f>
        <v>0</v>
      </c>
      <c r="T200" s="65">
        <f>IFERROR(VLOOKUP(Table1215[[#This Row],[Column2]],Table12[[Column2]:[Column54]],19,FALSE),"0")</f>
        <v>0</v>
      </c>
      <c r="U200" s="65">
        <f>IFERROR(VLOOKUP(Table1215[[#This Row],[Column2]],Table12[[Column2]:[Column54]],20,FALSE),"0")</f>
        <v>0</v>
      </c>
      <c r="V200" s="65">
        <f>IFERROR(VLOOKUP(Table1215[[#This Row],[Column2]],Table12[[Column2]:[Column54]],21,FALSE),"0")</f>
        <v>0</v>
      </c>
      <c r="W200" s="65">
        <f>IFERROR(VLOOKUP(Table1215[[#This Row],[Column2]],Table12[[Column2]:[Column54]],22,FALSE),"0")</f>
        <v>0</v>
      </c>
      <c r="X200" s="67">
        <f>Table1215[[#This Row],[Column19]]</f>
        <v>0</v>
      </c>
      <c r="Y200" s="65">
        <f>IFERROR(VLOOKUP(Table1215[[#This Row],[Column2]],Table12[[Column2]:[Column54]],24,FALSE),"0")</f>
        <v>4</v>
      </c>
      <c r="Z200" s="65">
        <f>IFERROR(VLOOKUP(Table1215[[#This Row],[Column2]],Table12[[Column2]:[Column54]],25,FALSE),"0")</f>
        <v>0</v>
      </c>
      <c r="AA200" s="65">
        <f>IFERROR(VLOOKUP(Table1215[[#This Row],[Column2]],Table12[[Column2]:[Column54]],26,FALSE),"0")</f>
        <v>0</v>
      </c>
      <c r="AB200" s="65">
        <f>IFERROR(VLOOKUP(Table1215[[#This Row],[Column2]],Table12[[Column2]:[Column54]],27,FALSE),"0")</f>
        <v>0</v>
      </c>
      <c r="AC200" s="65">
        <f>IFERROR(VLOOKUP(Table1215[[#This Row],[Column2]],Table12[[Column2]:[Column54]],28,FALSE),"0")</f>
        <v>0</v>
      </c>
      <c r="AD200" s="67">
        <f>Table1215[[#This Row],[Column25]]</f>
        <v>4</v>
      </c>
      <c r="AE200" s="65">
        <f>IFERROR(VLOOKUP(Table1215[[#This Row],[Column2]],Table12[[Column2]:[Column54]],30,FALSE),"0")</f>
        <v>0</v>
      </c>
      <c r="AF200" s="65">
        <f>IFERROR(VLOOKUP(Table1215[[#This Row],[Column2]],Table12[[Column2]:[Column54]],31,FALSE),"0")</f>
        <v>0</v>
      </c>
      <c r="AG200" s="65">
        <f>IFERROR(VLOOKUP(Table1215[[#This Row],[Column2]],Table12[[Column2]:[Column54]],32,FALSE),"0")</f>
        <v>0</v>
      </c>
      <c r="AH200" s="65">
        <f>IFERROR(VLOOKUP(Table1215[[#This Row],[Column2]],Table12[[Column2]:[Column54]],33,FALSE),"0")</f>
        <v>0</v>
      </c>
      <c r="AI200" s="65">
        <f>IFERROR(VLOOKUP(Table1215[[#This Row],[Column2]],Table12[[Column2]:[Column54]],34,FALSE),"0")</f>
        <v>0</v>
      </c>
      <c r="AJ200" s="67">
        <f>AVERAGE(Table1215[[#This Row],[Column31]],Table1215[[#This Row],[Column32]],Table1215[[#This Row],[Column33]])</f>
        <v>0</v>
      </c>
      <c r="AK200" s="65">
        <f>IFERROR(VLOOKUP(Table1215[[#This Row],[Column2]],Table12[[Column2]:[Column54]],36,FALSE),"0")</f>
        <v>2</v>
      </c>
      <c r="AL200" s="65">
        <f>IFERROR(VLOOKUP(Table1215[[#This Row],[Column2]],Table12[[Column2]:[Column54]],37,FALSE),"0")</f>
        <v>2</v>
      </c>
      <c r="AM200" s="65">
        <f>IFERROR(VLOOKUP(Table1215[[#This Row],[Column2]],Table12[[Column2]:[Column54]],38,FALSE),"0")</f>
        <v>0</v>
      </c>
      <c r="AN200" s="65">
        <f>IFERROR(VLOOKUP(Table1215[[#This Row],[Column2]],Table12[[Column2]:[Column54]],39,FALSE),"0")</f>
        <v>3</v>
      </c>
      <c r="AO200" s="65">
        <f>IFERROR(VLOOKUP(Table1215[[#This Row],[Column2]],Table12[[Column2]:[Column54]],40,FALSE),"0")</f>
        <v>0</v>
      </c>
      <c r="AP200" s="67">
        <f>AVERAGE(Table1215[[#This Row],[Column37]],Table1215[[#This Row],[Column38]],Table1215[[#This Row],[Column40]])</f>
        <v>2.3333333333333335</v>
      </c>
      <c r="AQ200" s="65">
        <f>IFERROR(VLOOKUP(Table1215[[#This Row],[Column2]],Table12[[Column2]:[Column54]],42,FALSE),"0")</f>
        <v>2</v>
      </c>
      <c r="AR200" s="65">
        <f>IFERROR(VLOOKUP(Table1215[[#This Row],[Column2]],Table12[[Column2]:[Column54]],43,FALSE),"0")</f>
        <v>0</v>
      </c>
      <c r="AS200" s="65">
        <f>IFERROR(VLOOKUP(Table1215[[#This Row],[Column2]],Table12[[Column2]:[Column54]],44,FALSE),"0")</f>
        <v>0</v>
      </c>
      <c r="AT200" s="65">
        <f>IFERROR(VLOOKUP(Table1215[[#This Row],[Column2]],Table12[[Column2]:[Column54]],45,FALSE),"0")</f>
        <v>0</v>
      </c>
      <c r="AU200" s="65">
        <f>IFERROR(VLOOKUP(Table1215[[#This Row],[Column2]],Table12[[Column2]:[Column54]],46,FALSE),"0")</f>
        <v>0</v>
      </c>
      <c r="AV200" s="67">
        <f>Table1215[[#This Row],[Column43]]</f>
        <v>2</v>
      </c>
      <c r="AW200" s="65">
        <f>IFERROR(VLOOKUP(Table1215[[#This Row],[Column2]],Table12[[Column2]:[Column54]],48,FALSE),"0")</f>
        <v>0</v>
      </c>
      <c r="AX200" s="65">
        <f>IFERROR(VLOOKUP(Table1215[[#This Row],[Column2]],Table12[[Column2]:[Column54]],49,FALSE),"0")</f>
        <v>0</v>
      </c>
      <c r="AY200" s="65">
        <f>IFERROR(VLOOKUP(Table1215[[#This Row],[Column2]],Table12[[Column2]:[Column54]],50,FALSE),"0")</f>
        <v>0</v>
      </c>
      <c r="AZ200" s="65">
        <f>IFERROR(VLOOKUP(Table1215[[#This Row],[Column2]],Table12[[Column2]:[Column54]],51,FALSE),"0")</f>
        <v>3</v>
      </c>
      <c r="BA200" s="65">
        <f>IFERROR(VLOOKUP(Table1215[[#This Row],[Column2]],Table12[[Column2]:[Column54]],52,FALSE),"0")</f>
        <v>3</v>
      </c>
      <c r="BB200" s="67">
        <f>AVERAGE(Table1215[[#This Row],[Column52]],Table1215[[#This Row],[Column53]])</f>
        <v>3</v>
      </c>
    </row>
    <row r="201" spans="1:54" ht="23.1" customHeight="1" x14ac:dyDescent="0.3">
      <c r="A201" s="87">
        <v>198</v>
      </c>
      <c r="B201" s="70" t="s">
        <v>176</v>
      </c>
      <c r="C201" s="71" t="s">
        <v>177</v>
      </c>
      <c r="D201" s="70" t="s">
        <v>542</v>
      </c>
      <c r="E201" s="70" t="s">
        <v>161</v>
      </c>
      <c r="F201" s="70" t="str">
        <f>REPT(CHAR(160),10)&amp;Working!$E202</f>
        <v>          B</v>
      </c>
      <c r="G201" s="61">
        <f>IFERROR(VLOOKUP(Table1215[[#This Row],[Column2]],Table12[[Column2]:[Column54]],6,FALSE),"0")</f>
        <v>0</v>
      </c>
      <c r="H201" s="61">
        <f>IFERROR(VLOOKUP(Table1215[[#This Row],[Column2]],Table12[[Column2]:[Column54]],7,FALSE),"0")</f>
        <v>0</v>
      </c>
      <c r="I201" s="61" t="str">
        <f>IFERROR(VLOOKUP(Table1215[[#This Row],[Column2]],Table12[[Column2]:[Column54]],8,FALSE),"0")</f>
        <v>A</v>
      </c>
      <c r="J201" s="61">
        <f>IFERROR(VLOOKUP(Table1215[[#This Row],[Column2]],Table12[[Column2]:[Column54]],9,FALSE),"0")</f>
        <v>0</v>
      </c>
      <c r="K201" s="61">
        <f>IFERROR(VLOOKUP(Table1215[[#This Row],[Column2]],Table12[[Column2]:[Column54]],10,FALSE),"0")</f>
        <v>0</v>
      </c>
      <c r="L201" s="67" t="str">
        <f>Table1215[[#This Row],[Column9]]</f>
        <v>A</v>
      </c>
      <c r="M201" s="61">
        <f>IFERROR(VLOOKUP(Table1215[[#This Row],[Column2]],Table12[[Column2]:[Column54]],12,FALSE),"0")</f>
        <v>0</v>
      </c>
      <c r="N201" s="61" t="str">
        <f>IFERROR(VLOOKUP(Table1215[[#This Row],[Column2]],Table12[[Column2]:[Column54]],13,FALSE),"0")</f>
        <v>0</v>
      </c>
      <c r="O201" s="61" t="str">
        <f>IFERROR(VLOOKUP(Table1215[[#This Row],[Column2]],Table12[[Column2]:[Column54]],14,FALSE),"0")</f>
        <v>0</v>
      </c>
      <c r="P201" s="61">
        <f>IFERROR(VLOOKUP(Table1215[[#This Row],[Column2]],Table12[[Column2]:[Column54]],10,FALSE),"0")</f>
        <v>0</v>
      </c>
      <c r="Q201" s="61" t="str">
        <f>IFERROR(VLOOKUP(Table1215[[#This Row],[Column2]],Table12[[Column2]:[Column54]],16,FALSE),"0")</f>
        <v>0</v>
      </c>
      <c r="R201" s="67" t="e">
        <f>AVERAGE(Table1215[[#This Row],[Column14]],Table1215[[#This Row],[Column15]],Table1215[[#This Row],[Column17]])</f>
        <v>#DIV/0!</v>
      </c>
      <c r="S201" s="61">
        <f>IFERROR(VLOOKUP(Table1215[[#This Row],[Column2]],Table12[[Column2]:[Column54]],18,FALSE),"0")</f>
        <v>0</v>
      </c>
      <c r="T201" s="61">
        <f>IFERROR(VLOOKUP(Table1215[[#This Row],[Column2]],Table12[[Column2]:[Column54]],19,FALSE),"0")</f>
        <v>0</v>
      </c>
      <c r="U201" s="61">
        <f>IFERROR(VLOOKUP(Table1215[[#This Row],[Column2]],Table12[[Column2]:[Column54]],20,FALSE),"0")</f>
        <v>0</v>
      </c>
      <c r="V201" s="61">
        <f>IFERROR(VLOOKUP(Table1215[[#This Row],[Column2]],Table12[[Column2]:[Column54]],21,FALSE),"0")</f>
        <v>0</v>
      </c>
      <c r="W201" s="61">
        <f>IFERROR(VLOOKUP(Table1215[[#This Row],[Column2]],Table12[[Column2]:[Column54]],22,FALSE),"0")</f>
        <v>0</v>
      </c>
      <c r="X201" s="67">
        <f>Table1215[[#This Row],[Column19]]</f>
        <v>0</v>
      </c>
      <c r="Y201" s="61" t="str">
        <f>IFERROR(VLOOKUP(Table1215[[#This Row],[Column2]],Table12[[Column2]:[Column54]],24,FALSE),"0")</f>
        <v>0</v>
      </c>
      <c r="Z201" s="61">
        <f>IFERROR(VLOOKUP(Table1215[[#This Row],[Column2]],Table12[[Column2]:[Column54]],25,FALSE),"0")</f>
        <v>0</v>
      </c>
      <c r="AA201" s="61">
        <f>IFERROR(VLOOKUP(Table1215[[#This Row],[Column2]],Table12[[Column2]:[Column54]],26,FALSE),"0")</f>
        <v>0</v>
      </c>
      <c r="AB201" s="61">
        <f>IFERROR(VLOOKUP(Table1215[[#This Row],[Column2]],Table12[[Column2]:[Column54]],27,FALSE),"0")</f>
        <v>0</v>
      </c>
      <c r="AC201" s="61">
        <f>IFERROR(VLOOKUP(Table1215[[#This Row],[Column2]],Table12[[Column2]:[Column54]],28,FALSE),"0")</f>
        <v>0</v>
      </c>
      <c r="AD201" s="67" t="str">
        <f>Table1215[[#This Row],[Column25]]</f>
        <v>0</v>
      </c>
      <c r="AE201" s="61">
        <f>IFERROR(VLOOKUP(Table1215[[#This Row],[Column2]],Table12[[Column2]:[Column54]],30,FALSE),"0")</f>
        <v>0</v>
      </c>
      <c r="AF201" s="61">
        <f>IFERROR(VLOOKUP(Table1215[[#This Row],[Column2]],Table12[[Column2]:[Column54]],31,FALSE),"0")</f>
        <v>0</v>
      </c>
      <c r="AG201" s="61">
        <f>IFERROR(VLOOKUP(Table1215[[#This Row],[Column2]],Table12[[Column2]:[Column54]],32,FALSE),"0")</f>
        <v>0</v>
      </c>
      <c r="AH201" s="61">
        <f>IFERROR(VLOOKUP(Table1215[[#This Row],[Column2]],Table12[[Column2]:[Column54]],33,FALSE),"0")</f>
        <v>0</v>
      </c>
      <c r="AI201" s="61">
        <f>IFERROR(VLOOKUP(Table1215[[#This Row],[Column2]],Table12[[Column2]:[Column54]],34,FALSE),"0")</f>
        <v>0</v>
      </c>
      <c r="AJ201" s="67">
        <f>AVERAGE(Table1215[[#This Row],[Column31]],Table1215[[#This Row],[Column32]],Table1215[[#This Row],[Column33]])</f>
        <v>0</v>
      </c>
      <c r="AK201" s="61" t="str">
        <f>IFERROR(VLOOKUP(Table1215[[#This Row],[Column2]],Table12[[Column2]:[Column54]],36,FALSE),"0")</f>
        <v>0</v>
      </c>
      <c r="AL201" s="61" t="str">
        <f>IFERROR(VLOOKUP(Table1215[[#This Row],[Column2]],Table12[[Column2]:[Column54]],37,FALSE),"0")</f>
        <v>0</v>
      </c>
      <c r="AM201" s="61">
        <f>IFERROR(VLOOKUP(Table1215[[#This Row],[Column2]],Table12[[Column2]:[Column54]],38,FALSE),"0")</f>
        <v>0</v>
      </c>
      <c r="AN201" s="61" t="str">
        <f>IFERROR(VLOOKUP(Table1215[[#This Row],[Column2]],Table12[[Column2]:[Column54]],39,FALSE),"0")</f>
        <v>0</v>
      </c>
      <c r="AO201" s="61">
        <f>IFERROR(VLOOKUP(Table1215[[#This Row],[Column2]],Table12[[Column2]:[Column54]],40,FALSE),"0")</f>
        <v>0</v>
      </c>
      <c r="AP201" s="67" t="e">
        <f>AVERAGE(Table1215[[#This Row],[Column37]],Table1215[[#This Row],[Column38]],Table1215[[#This Row],[Column40]])</f>
        <v>#DIV/0!</v>
      </c>
      <c r="AQ201" s="61" t="str">
        <f>IFERROR(VLOOKUP(Table1215[[#This Row],[Column2]],Table12[[Column2]:[Column54]],42,FALSE),"0")</f>
        <v>0</v>
      </c>
      <c r="AR201" s="61">
        <f>IFERROR(VLOOKUP(Table1215[[#This Row],[Column2]],Table12[[Column2]:[Column54]],43,FALSE),"0")</f>
        <v>0</v>
      </c>
      <c r="AS201" s="61">
        <f>IFERROR(VLOOKUP(Table1215[[#This Row],[Column2]],Table12[[Column2]:[Column54]],44,FALSE),"0")</f>
        <v>0</v>
      </c>
      <c r="AT201" s="61">
        <f>IFERROR(VLOOKUP(Table1215[[#This Row],[Column2]],Table12[[Column2]:[Column54]],45,FALSE),"0")</f>
        <v>0</v>
      </c>
      <c r="AU201" s="61">
        <f>IFERROR(VLOOKUP(Table1215[[#This Row],[Column2]],Table12[[Column2]:[Column54]],46,FALSE),"0")</f>
        <v>0</v>
      </c>
      <c r="AV201" s="67" t="str">
        <f>Table1215[[#This Row],[Column43]]</f>
        <v>0</v>
      </c>
      <c r="AW201" s="61">
        <f>IFERROR(VLOOKUP(Table1215[[#This Row],[Column2]],Table12[[Column2]:[Column54]],48,FALSE),"0")</f>
        <v>0</v>
      </c>
      <c r="AX201" s="61">
        <f>IFERROR(VLOOKUP(Table1215[[#This Row],[Column2]],Table12[[Column2]:[Column54]],49,FALSE),"0")</f>
        <v>0</v>
      </c>
      <c r="AY201" s="61">
        <f>IFERROR(VLOOKUP(Table1215[[#This Row],[Column2]],Table12[[Column2]:[Column54]],50,FALSE),"0")</f>
        <v>0</v>
      </c>
      <c r="AZ201" s="61" t="str">
        <f>IFERROR(VLOOKUP(Table1215[[#This Row],[Column2]],Table12[[Column2]:[Column54]],51,FALSE),"0")</f>
        <v>0</v>
      </c>
      <c r="BA201" s="61" t="str">
        <f>IFERROR(VLOOKUP(Table1215[[#This Row],[Column2]],Table12[[Column2]:[Column54]],52,FALSE),"0")</f>
        <v>0</v>
      </c>
      <c r="BB201" s="67" t="e">
        <f>AVERAGE(Table1215[[#This Row],[Column52]],Table1215[[#This Row],[Column53]])</f>
        <v>#DIV/0!</v>
      </c>
    </row>
    <row r="202" spans="1:54" ht="23.1" customHeight="1" x14ac:dyDescent="0.3">
      <c r="A202" s="86">
        <v>199</v>
      </c>
      <c r="B202" s="63" t="s">
        <v>432</v>
      </c>
      <c r="C202" s="64" t="s">
        <v>433</v>
      </c>
      <c r="D202" s="63" t="s">
        <v>542</v>
      </c>
      <c r="E202" s="63" t="s">
        <v>289</v>
      </c>
      <c r="F202" s="63" t="str">
        <f>REPT(CHAR(160),10)&amp;Working!$E203</f>
        <v>          D</v>
      </c>
      <c r="G202" s="65">
        <f>IFERROR(VLOOKUP(Table1215[[#This Row],[Column2]],Table12[[Column2]:[Column54]],6,FALSE),"0")</f>
        <v>0</v>
      </c>
      <c r="H202" s="65">
        <f>IFERROR(VLOOKUP(Table1215[[#This Row],[Column2]],Table12[[Column2]:[Column54]],7,FALSE),"0")</f>
        <v>0</v>
      </c>
      <c r="I202" s="65">
        <f>IFERROR(VLOOKUP(Table1215[[#This Row],[Column2]],Table12[[Column2]:[Column54]],8,FALSE),"0")</f>
        <v>3</v>
      </c>
      <c r="J202" s="65">
        <f>IFERROR(VLOOKUP(Table1215[[#This Row],[Column2]],Table12[[Column2]:[Column54]],9,FALSE),"0")</f>
        <v>0</v>
      </c>
      <c r="K202" s="65">
        <f>IFERROR(VLOOKUP(Table1215[[#This Row],[Column2]],Table12[[Column2]:[Column54]],10,FALSE),"0")</f>
        <v>0</v>
      </c>
      <c r="L202" s="67">
        <f>Table1215[[#This Row],[Column9]]</f>
        <v>3</v>
      </c>
      <c r="M202" s="65">
        <f>IFERROR(VLOOKUP(Table1215[[#This Row],[Column2]],Table12[[Column2]:[Column54]],12,FALSE),"0")</f>
        <v>0</v>
      </c>
      <c r="N202" s="65">
        <f>IFERROR(VLOOKUP(Table1215[[#This Row],[Column2]],Table12[[Column2]:[Column54]],13,FALSE),"0")</f>
        <v>3</v>
      </c>
      <c r="O202" s="65">
        <f>IFERROR(VLOOKUP(Table1215[[#This Row],[Column2]],Table12[[Column2]:[Column54]],14,FALSE),"0")</f>
        <v>3</v>
      </c>
      <c r="P202" s="65">
        <f>IFERROR(VLOOKUP(Table1215[[#This Row],[Column2]],Table12[[Column2]:[Column54]],10,FALSE),"0")</f>
        <v>0</v>
      </c>
      <c r="Q202" s="65">
        <f>IFERROR(VLOOKUP(Table1215[[#This Row],[Column2]],Table12[[Column2]:[Column54]],16,FALSE),"0")</f>
        <v>3</v>
      </c>
      <c r="R202" s="67">
        <f>AVERAGE(Table1215[[#This Row],[Column14]],Table1215[[#This Row],[Column15]],Table1215[[#This Row],[Column17]])</f>
        <v>3</v>
      </c>
      <c r="S202" s="65">
        <f>IFERROR(VLOOKUP(Table1215[[#This Row],[Column2]],Table12[[Column2]:[Column54]],18,FALSE),"0")</f>
        <v>0</v>
      </c>
      <c r="T202" s="65">
        <f>IFERROR(VLOOKUP(Table1215[[#This Row],[Column2]],Table12[[Column2]:[Column54]],19,FALSE),"0")</f>
        <v>0</v>
      </c>
      <c r="U202" s="65">
        <f>IFERROR(VLOOKUP(Table1215[[#This Row],[Column2]],Table12[[Column2]:[Column54]],20,FALSE),"0")</f>
        <v>0</v>
      </c>
      <c r="V202" s="65">
        <f>IFERROR(VLOOKUP(Table1215[[#This Row],[Column2]],Table12[[Column2]:[Column54]],21,FALSE),"0")</f>
        <v>0</v>
      </c>
      <c r="W202" s="65">
        <f>IFERROR(VLOOKUP(Table1215[[#This Row],[Column2]],Table12[[Column2]:[Column54]],22,FALSE),"0")</f>
        <v>0</v>
      </c>
      <c r="X202" s="67">
        <f>Table1215[[#This Row],[Column19]]</f>
        <v>0</v>
      </c>
      <c r="Y202" s="65">
        <f>IFERROR(VLOOKUP(Table1215[[#This Row],[Column2]],Table12[[Column2]:[Column54]],24,FALSE),"0")</f>
        <v>3</v>
      </c>
      <c r="Z202" s="65">
        <f>IFERROR(VLOOKUP(Table1215[[#This Row],[Column2]],Table12[[Column2]:[Column54]],25,FALSE),"0")</f>
        <v>0</v>
      </c>
      <c r="AA202" s="65">
        <f>IFERROR(VLOOKUP(Table1215[[#This Row],[Column2]],Table12[[Column2]:[Column54]],26,FALSE),"0")</f>
        <v>0</v>
      </c>
      <c r="AB202" s="65">
        <f>IFERROR(VLOOKUP(Table1215[[#This Row],[Column2]],Table12[[Column2]:[Column54]],27,FALSE),"0")</f>
        <v>0</v>
      </c>
      <c r="AC202" s="65">
        <f>IFERROR(VLOOKUP(Table1215[[#This Row],[Column2]],Table12[[Column2]:[Column54]],28,FALSE),"0")</f>
        <v>0</v>
      </c>
      <c r="AD202" s="67">
        <f>Table1215[[#This Row],[Column25]]</f>
        <v>3</v>
      </c>
      <c r="AE202" s="65">
        <f>IFERROR(VLOOKUP(Table1215[[#This Row],[Column2]],Table12[[Column2]:[Column54]],30,FALSE),"0")</f>
        <v>0</v>
      </c>
      <c r="AF202" s="65">
        <f>IFERROR(VLOOKUP(Table1215[[#This Row],[Column2]],Table12[[Column2]:[Column54]],31,FALSE),"0")</f>
        <v>0</v>
      </c>
      <c r="AG202" s="65">
        <f>IFERROR(VLOOKUP(Table1215[[#This Row],[Column2]],Table12[[Column2]:[Column54]],32,FALSE),"0")</f>
        <v>0</v>
      </c>
      <c r="AH202" s="65">
        <f>IFERROR(VLOOKUP(Table1215[[#This Row],[Column2]],Table12[[Column2]:[Column54]],33,FALSE),"0")</f>
        <v>0</v>
      </c>
      <c r="AI202" s="65">
        <f>IFERROR(VLOOKUP(Table1215[[#This Row],[Column2]],Table12[[Column2]:[Column54]],34,FALSE),"0")</f>
        <v>0</v>
      </c>
      <c r="AJ202" s="67">
        <f>AVERAGE(Table1215[[#This Row],[Column31]],Table1215[[#This Row],[Column32]],Table1215[[#This Row],[Column33]])</f>
        <v>0</v>
      </c>
      <c r="AK202" s="65">
        <f>IFERROR(VLOOKUP(Table1215[[#This Row],[Column2]],Table12[[Column2]:[Column54]],36,FALSE),"0")</f>
        <v>3</v>
      </c>
      <c r="AL202" s="65">
        <f>IFERROR(VLOOKUP(Table1215[[#This Row],[Column2]],Table12[[Column2]:[Column54]],37,FALSE),"0")</f>
        <v>2</v>
      </c>
      <c r="AM202" s="65">
        <f>IFERROR(VLOOKUP(Table1215[[#This Row],[Column2]],Table12[[Column2]:[Column54]],38,FALSE),"0")</f>
        <v>0</v>
      </c>
      <c r="AN202" s="65">
        <f>IFERROR(VLOOKUP(Table1215[[#This Row],[Column2]],Table12[[Column2]:[Column54]],39,FALSE),"0")</f>
        <v>3</v>
      </c>
      <c r="AO202" s="65">
        <f>IFERROR(VLOOKUP(Table1215[[#This Row],[Column2]],Table12[[Column2]:[Column54]],40,FALSE),"0")</f>
        <v>0</v>
      </c>
      <c r="AP202" s="67">
        <f>AVERAGE(Table1215[[#This Row],[Column37]],Table1215[[#This Row],[Column38]],Table1215[[#This Row],[Column40]])</f>
        <v>2.6666666666666665</v>
      </c>
      <c r="AQ202" s="65">
        <f>IFERROR(VLOOKUP(Table1215[[#This Row],[Column2]],Table12[[Column2]:[Column54]],42,FALSE),"0")</f>
        <v>3</v>
      </c>
      <c r="AR202" s="65">
        <f>IFERROR(VLOOKUP(Table1215[[#This Row],[Column2]],Table12[[Column2]:[Column54]],43,FALSE),"0")</f>
        <v>0</v>
      </c>
      <c r="AS202" s="65">
        <f>IFERROR(VLOOKUP(Table1215[[#This Row],[Column2]],Table12[[Column2]:[Column54]],44,FALSE),"0")</f>
        <v>0</v>
      </c>
      <c r="AT202" s="65">
        <f>IFERROR(VLOOKUP(Table1215[[#This Row],[Column2]],Table12[[Column2]:[Column54]],45,FALSE),"0")</f>
        <v>0</v>
      </c>
      <c r="AU202" s="65">
        <f>IFERROR(VLOOKUP(Table1215[[#This Row],[Column2]],Table12[[Column2]:[Column54]],46,FALSE),"0")</f>
        <v>0</v>
      </c>
      <c r="AV202" s="67">
        <f>Table1215[[#This Row],[Column43]]</f>
        <v>3</v>
      </c>
      <c r="AW202" s="65">
        <f>IFERROR(VLOOKUP(Table1215[[#This Row],[Column2]],Table12[[Column2]:[Column54]],48,FALSE),"0")</f>
        <v>0</v>
      </c>
      <c r="AX202" s="65">
        <f>IFERROR(VLOOKUP(Table1215[[#This Row],[Column2]],Table12[[Column2]:[Column54]],49,FALSE),"0")</f>
        <v>0</v>
      </c>
      <c r="AY202" s="65">
        <f>IFERROR(VLOOKUP(Table1215[[#This Row],[Column2]],Table12[[Column2]:[Column54]],50,FALSE),"0")</f>
        <v>0</v>
      </c>
      <c r="AZ202" s="65">
        <f>IFERROR(VLOOKUP(Table1215[[#This Row],[Column2]],Table12[[Column2]:[Column54]],51,FALSE),"0")</f>
        <v>2</v>
      </c>
      <c r="BA202" s="65">
        <f>IFERROR(VLOOKUP(Table1215[[#This Row],[Column2]],Table12[[Column2]:[Column54]],52,FALSE),"0")</f>
        <v>3</v>
      </c>
      <c r="BB202" s="67">
        <f>AVERAGE(Table1215[[#This Row],[Column52]],Table1215[[#This Row],[Column53]])</f>
        <v>2.5</v>
      </c>
    </row>
    <row r="203" spans="1:54" ht="23.1" customHeight="1" x14ac:dyDescent="0.3">
      <c r="A203" s="87">
        <v>200</v>
      </c>
      <c r="B203" s="70" t="s">
        <v>434</v>
      </c>
      <c r="C203" s="71" t="s">
        <v>435</v>
      </c>
      <c r="D203" s="70" t="s">
        <v>450</v>
      </c>
      <c r="E203" s="70" t="s">
        <v>493</v>
      </c>
      <c r="F203" s="70" t="str">
        <f>REPT(CHAR(160),10)&amp;Working!$E204</f>
        <v>          C</v>
      </c>
      <c r="G203" s="61">
        <f>IFERROR(VLOOKUP(Table1215[[#This Row],[Column2]],Table12[[Column2]:[Column54]],6,FALSE),"0")</f>
        <v>0</v>
      </c>
      <c r="H203" s="61">
        <f>IFERROR(VLOOKUP(Table1215[[#This Row],[Column2]],Table12[[Column2]:[Column54]],7,FALSE),"0")</f>
        <v>0</v>
      </c>
      <c r="I203" s="61">
        <f>IFERROR(VLOOKUP(Table1215[[#This Row],[Column2]],Table12[[Column2]:[Column54]],8,FALSE),"0")</f>
        <v>2</v>
      </c>
      <c r="J203" s="61">
        <f>IFERROR(VLOOKUP(Table1215[[#This Row],[Column2]],Table12[[Column2]:[Column54]],9,FALSE),"0")</f>
        <v>0</v>
      </c>
      <c r="K203" s="61">
        <f>IFERROR(VLOOKUP(Table1215[[#This Row],[Column2]],Table12[[Column2]:[Column54]],10,FALSE),"0")</f>
        <v>0</v>
      </c>
      <c r="L203" s="67">
        <f>Table1215[[#This Row],[Column9]]</f>
        <v>2</v>
      </c>
      <c r="M203" s="61">
        <f>IFERROR(VLOOKUP(Table1215[[#This Row],[Column2]],Table12[[Column2]:[Column54]],12,FALSE),"0")</f>
        <v>0</v>
      </c>
      <c r="N203" s="61">
        <f>IFERROR(VLOOKUP(Table1215[[#This Row],[Column2]],Table12[[Column2]:[Column54]],13,FALSE),"0")</f>
        <v>3</v>
      </c>
      <c r="O203" s="61">
        <f>IFERROR(VLOOKUP(Table1215[[#This Row],[Column2]],Table12[[Column2]:[Column54]],14,FALSE),"0")</f>
        <v>2</v>
      </c>
      <c r="P203" s="61">
        <f>IFERROR(VLOOKUP(Table1215[[#This Row],[Column2]],Table12[[Column2]:[Column54]],10,FALSE),"0")</f>
        <v>0</v>
      </c>
      <c r="Q203" s="61">
        <f>IFERROR(VLOOKUP(Table1215[[#This Row],[Column2]],Table12[[Column2]:[Column54]],16,FALSE),"0")</f>
        <v>2</v>
      </c>
      <c r="R203" s="67">
        <f>AVERAGE(Table1215[[#This Row],[Column14]],Table1215[[#This Row],[Column15]],Table1215[[#This Row],[Column17]])</f>
        <v>2.3333333333333335</v>
      </c>
      <c r="S203" s="61">
        <f>IFERROR(VLOOKUP(Table1215[[#This Row],[Column2]],Table12[[Column2]:[Column54]],18,FALSE),"0")</f>
        <v>0</v>
      </c>
      <c r="T203" s="61">
        <f>IFERROR(VLOOKUP(Table1215[[#This Row],[Column2]],Table12[[Column2]:[Column54]],19,FALSE),"0")</f>
        <v>0</v>
      </c>
      <c r="U203" s="61">
        <f>IFERROR(VLOOKUP(Table1215[[#This Row],[Column2]],Table12[[Column2]:[Column54]],20,FALSE),"0")</f>
        <v>0</v>
      </c>
      <c r="V203" s="61">
        <f>IFERROR(VLOOKUP(Table1215[[#This Row],[Column2]],Table12[[Column2]:[Column54]],21,FALSE),"0")</f>
        <v>0</v>
      </c>
      <c r="W203" s="61">
        <f>IFERROR(VLOOKUP(Table1215[[#This Row],[Column2]],Table12[[Column2]:[Column54]],22,FALSE),"0")</f>
        <v>0</v>
      </c>
      <c r="X203" s="67">
        <f>Table1215[[#This Row],[Column19]]</f>
        <v>0</v>
      </c>
      <c r="Y203" s="61">
        <f>IFERROR(VLOOKUP(Table1215[[#This Row],[Column2]],Table12[[Column2]:[Column54]],24,FALSE),"0")</f>
        <v>3</v>
      </c>
      <c r="Z203" s="61">
        <f>IFERROR(VLOOKUP(Table1215[[#This Row],[Column2]],Table12[[Column2]:[Column54]],25,FALSE),"0")</f>
        <v>0</v>
      </c>
      <c r="AA203" s="61">
        <f>IFERROR(VLOOKUP(Table1215[[#This Row],[Column2]],Table12[[Column2]:[Column54]],26,FALSE),"0")</f>
        <v>0</v>
      </c>
      <c r="AB203" s="61">
        <f>IFERROR(VLOOKUP(Table1215[[#This Row],[Column2]],Table12[[Column2]:[Column54]],27,FALSE),"0")</f>
        <v>0</v>
      </c>
      <c r="AC203" s="61">
        <f>IFERROR(VLOOKUP(Table1215[[#This Row],[Column2]],Table12[[Column2]:[Column54]],28,FALSE),"0")</f>
        <v>0</v>
      </c>
      <c r="AD203" s="67">
        <f>Table1215[[#This Row],[Column25]]</f>
        <v>3</v>
      </c>
      <c r="AE203" s="61">
        <f>IFERROR(VLOOKUP(Table1215[[#This Row],[Column2]],Table12[[Column2]:[Column54]],30,FALSE),"0")</f>
        <v>0</v>
      </c>
      <c r="AF203" s="61">
        <f>IFERROR(VLOOKUP(Table1215[[#This Row],[Column2]],Table12[[Column2]:[Column54]],31,FALSE),"0")</f>
        <v>0</v>
      </c>
      <c r="AG203" s="61">
        <f>IFERROR(VLOOKUP(Table1215[[#This Row],[Column2]],Table12[[Column2]:[Column54]],32,FALSE),"0")</f>
        <v>0</v>
      </c>
      <c r="AH203" s="61">
        <f>IFERROR(VLOOKUP(Table1215[[#This Row],[Column2]],Table12[[Column2]:[Column54]],33,FALSE),"0")</f>
        <v>0</v>
      </c>
      <c r="AI203" s="61">
        <f>IFERROR(VLOOKUP(Table1215[[#This Row],[Column2]],Table12[[Column2]:[Column54]],34,FALSE),"0")</f>
        <v>0</v>
      </c>
      <c r="AJ203" s="67">
        <f>AVERAGE(Table1215[[#This Row],[Column31]],Table1215[[#This Row],[Column32]],Table1215[[#This Row],[Column33]])</f>
        <v>0</v>
      </c>
      <c r="AK203" s="61">
        <f>IFERROR(VLOOKUP(Table1215[[#This Row],[Column2]],Table12[[Column2]:[Column54]],36,FALSE),"0")</f>
        <v>3</v>
      </c>
      <c r="AL203" s="61">
        <f>IFERROR(VLOOKUP(Table1215[[#This Row],[Column2]],Table12[[Column2]:[Column54]],37,FALSE),"0")</f>
        <v>3</v>
      </c>
      <c r="AM203" s="61">
        <f>IFERROR(VLOOKUP(Table1215[[#This Row],[Column2]],Table12[[Column2]:[Column54]],38,FALSE),"0")</f>
        <v>0</v>
      </c>
      <c r="AN203" s="61">
        <f>IFERROR(VLOOKUP(Table1215[[#This Row],[Column2]],Table12[[Column2]:[Column54]],39,FALSE),"0")</f>
        <v>3</v>
      </c>
      <c r="AO203" s="61">
        <f>IFERROR(VLOOKUP(Table1215[[#This Row],[Column2]],Table12[[Column2]:[Column54]],40,FALSE),"0")</f>
        <v>0</v>
      </c>
      <c r="AP203" s="67">
        <f>AVERAGE(Table1215[[#This Row],[Column37]],Table1215[[#This Row],[Column38]],Table1215[[#This Row],[Column40]])</f>
        <v>3</v>
      </c>
      <c r="AQ203" s="61">
        <f>IFERROR(VLOOKUP(Table1215[[#This Row],[Column2]],Table12[[Column2]:[Column54]],42,FALSE),"0")</f>
        <v>2</v>
      </c>
      <c r="AR203" s="61">
        <f>IFERROR(VLOOKUP(Table1215[[#This Row],[Column2]],Table12[[Column2]:[Column54]],43,FALSE),"0")</f>
        <v>0</v>
      </c>
      <c r="AS203" s="61">
        <f>IFERROR(VLOOKUP(Table1215[[#This Row],[Column2]],Table12[[Column2]:[Column54]],44,FALSE),"0")</f>
        <v>0</v>
      </c>
      <c r="AT203" s="61">
        <f>IFERROR(VLOOKUP(Table1215[[#This Row],[Column2]],Table12[[Column2]:[Column54]],45,FALSE),"0")</f>
        <v>0</v>
      </c>
      <c r="AU203" s="61">
        <f>IFERROR(VLOOKUP(Table1215[[#This Row],[Column2]],Table12[[Column2]:[Column54]],46,FALSE),"0")</f>
        <v>0</v>
      </c>
      <c r="AV203" s="67">
        <f>Table1215[[#This Row],[Column43]]</f>
        <v>2</v>
      </c>
      <c r="AW203" s="61">
        <f>IFERROR(VLOOKUP(Table1215[[#This Row],[Column2]],Table12[[Column2]:[Column54]],48,FALSE),"0")</f>
        <v>0</v>
      </c>
      <c r="AX203" s="61">
        <f>IFERROR(VLOOKUP(Table1215[[#This Row],[Column2]],Table12[[Column2]:[Column54]],49,FALSE),"0")</f>
        <v>0</v>
      </c>
      <c r="AY203" s="61">
        <f>IFERROR(VLOOKUP(Table1215[[#This Row],[Column2]],Table12[[Column2]:[Column54]],50,FALSE),"0")</f>
        <v>0</v>
      </c>
      <c r="AZ203" s="61">
        <f>IFERROR(VLOOKUP(Table1215[[#This Row],[Column2]],Table12[[Column2]:[Column54]],51,FALSE),"0")</f>
        <v>3</v>
      </c>
      <c r="BA203" s="61">
        <f>IFERROR(VLOOKUP(Table1215[[#This Row],[Column2]],Table12[[Column2]:[Column54]],52,FALSE),"0")</f>
        <v>3</v>
      </c>
      <c r="BB203" s="67">
        <f>AVERAGE(Table1215[[#This Row],[Column52]],Table1215[[#This Row],[Column53]])</f>
        <v>3</v>
      </c>
    </row>
    <row r="204" spans="1:54" ht="23.1" customHeight="1" x14ac:dyDescent="0.3">
      <c r="A204" s="86">
        <v>201</v>
      </c>
      <c r="B204" s="63" t="s">
        <v>436</v>
      </c>
      <c r="C204" s="64" t="s">
        <v>437</v>
      </c>
      <c r="D204" s="63" t="s">
        <v>450</v>
      </c>
      <c r="E204" s="63" t="s">
        <v>493</v>
      </c>
      <c r="F204" s="63" t="str">
        <f>REPT(CHAR(160),10)&amp;Working!$E205</f>
        <v>          C</v>
      </c>
      <c r="G204" s="65">
        <f>IFERROR(VLOOKUP(Table1215[[#This Row],[Column2]],Table12[[Column2]:[Column54]],6,FALSE),"0")</f>
        <v>0</v>
      </c>
      <c r="H204" s="65">
        <f>IFERROR(VLOOKUP(Table1215[[#This Row],[Column2]],Table12[[Column2]:[Column54]],7,FALSE),"0")</f>
        <v>0</v>
      </c>
      <c r="I204" s="65">
        <f>IFERROR(VLOOKUP(Table1215[[#This Row],[Column2]],Table12[[Column2]:[Column54]],8,FALSE),"0")</f>
        <v>3</v>
      </c>
      <c r="J204" s="65">
        <f>IFERROR(VLOOKUP(Table1215[[#This Row],[Column2]],Table12[[Column2]:[Column54]],9,FALSE),"0")</f>
        <v>0</v>
      </c>
      <c r="K204" s="65">
        <f>IFERROR(VLOOKUP(Table1215[[#This Row],[Column2]],Table12[[Column2]:[Column54]],10,FALSE),"0")</f>
        <v>0</v>
      </c>
      <c r="L204" s="67">
        <f>Table1215[[#This Row],[Column9]]</f>
        <v>3</v>
      </c>
      <c r="M204" s="65">
        <f>IFERROR(VLOOKUP(Table1215[[#This Row],[Column2]],Table12[[Column2]:[Column54]],12,FALSE),"0")</f>
        <v>0</v>
      </c>
      <c r="N204" s="65">
        <f>IFERROR(VLOOKUP(Table1215[[#This Row],[Column2]],Table12[[Column2]:[Column54]],13,FALSE),"0")</f>
        <v>3</v>
      </c>
      <c r="O204" s="65">
        <f>IFERROR(VLOOKUP(Table1215[[#This Row],[Column2]],Table12[[Column2]:[Column54]],14,FALSE),"0")</f>
        <v>3</v>
      </c>
      <c r="P204" s="65">
        <f>IFERROR(VLOOKUP(Table1215[[#This Row],[Column2]],Table12[[Column2]:[Column54]],10,FALSE),"0")</f>
        <v>0</v>
      </c>
      <c r="Q204" s="65">
        <f>IFERROR(VLOOKUP(Table1215[[#This Row],[Column2]],Table12[[Column2]:[Column54]],16,FALSE),"0")</f>
        <v>3</v>
      </c>
      <c r="R204" s="67">
        <f>AVERAGE(Table1215[[#This Row],[Column14]],Table1215[[#This Row],[Column15]],Table1215[[#This Row],[Column17]])</f>
        <v>3</v>
      </c>
      <c r="S204" s="65">
        <f>IFERROR(VLOOKUP(Table1215[[#This Row],[Column2]],Table12[[Column2]:[Column54]],18,FALSE),"0")</f>
        <v>0</v>
      </c>
      <c r="T204" s="65">
        <f>IFERROR(VLOOKUP(Table1215[[#This Row],[Column2]],Table12[[Column2]:[Column54]],19,FALSE),"0")</f>
        <v>0</v>
      </c>
      <c r="U204" s="65">
        <f>IFERROR(VLOOKUP(Table1215[[#This Row],[Column2]],Table12[[Column2]:[Column54]],20,FALSE),"0")</f>
        <v>0</v>
      </c>
      <c r="V204" s="65">
        <f>IFERROR(VLOOKUP(Table1215[[#This Row],[Column2]],Table12[[Column2]:[Column54]],21,FALSE),"0")</f>
        <v>0</v>
      </c>
      <c r="W204" s="65">
        <f>IFERROR(VLOOKUP(Table1215[[#This Row],[Column2]],Table12[[Column2]:[Column54]],22,FALSE),"0")</f>
        <v>0</v>
      </c>
      <c r="X204" s="67">
        <f>Table1215[[#This Row],[Column19]]</f>
        <v>0</v>
      </c>
      <c r="Y204" s="65">
        <f>IFERROR(VLOOKUP(Table1215[[#This Row],[Column2]],Table12[[Column2]:[Column54]],24,FALSE),"0")</f>
        <v>2</v>
      </c>
      <c r="Z204" s="65">
        <f>IFERROR(VLOOKUP(Table1215[[#This Row],[Column2]],Table12[[Column2]:[Column54]],25,FALSE),"0")</f>
        <v>0</v>
      </c>
      <c r="AA204" s="65">
        <f>IFERROR(VLOOKUP(Table1215[[#This Row],[Column2]],Table12[[Column2]:[Column54]],26,FALSE),"0")</f>
        <v>0</v>
      </c>
      <c r="AB204" s="65">
        <f>IFERROR(VLOOKUP(Table1215[[#This Row],[Column2]],Table12[[Column2]:[Column54]],27,FALSE),"0")</f>
        <v>0</v>
      </c>
      <c r="AC204" s="65">
        <f>IFERROR(VLOOKUP(Table1215[[#This Row],[Column2]],Table12[[Column2]:[Column54]],28,FALSE),"0")</f>
        <v>0</v>
      </c>
      <c r="AD204" s="67">
        <f>Table1215[[#This Row],[Column25]]</f>
        <v>2</v>
      </c>
      <c r="AE204" s="65">
        <f>IFERROR(VLOOKUP(Table1215[[#This Row],[Column2]],Table12[[Column2]:[Column54]],30,FALSE),"0")</f>
        <v>0</v>
      </c>
      <c r="AF204" s="65">
        <f>IFERROR(VLOOKUP(Table1215[[#This Row],[Column2]],Table12[[Column2]:[Column54]],31,FALSE),"0")</f>
        <v>0</v>
      </c>
      <c r="AG204" s="65">
        <f>IFERROR(VLOOKUP(Table1215[[#This Row],[Column2]],Table12[[Column2]:[Column54]],32,FALSE),"0")</f>
        <v>0</v>
      </c>
      <c r="AH204" s="65">
        <f>IFERROR(VLOOKUP(Table1215[[#This Row],[Column2]],Table12[[Column2]:[Column54]],33,FALSE),"0")</f>
        <v>0</v>
      </c>
      <c r="AI204" s="65">
        <f>IFERROR(VLOOKUP(Table1215[[#This Row],[Column2]],Table12[[Column2]:[Column54]],34,FALSE),"0")</f>
        <v>0</v>
      </c>
      <c r="AJ204" s="67">
        <f>AVERAGE(Table1215[[#This Row],[Column31]],Table1215[[#This Row],[Column32]],Table1215[[#This Row],[Column33]])</f>
        <v>0</v>
      </c>
      <c r="AK204" s="65">
        <f>IFERROR(VLOOKUP(Table1215[[#This Row],[Column2]],Table12[[Column2]:[Column54]],36,FALSE),"0")</f>
        <v>2</v>
      </c>
      <c r="AL204" s="65">
        <f>IFERROR(VLOOKUP(Table1215[[#This Row],[Column2]],Table12[[Column2]:[Column54]],37,FALSE),"0")</f>
        <v>2</v>
      </c>
      <c r="AM204" s="65">
        <f>IFERROR(VLOOKUP(Table1215[[#This Row],[Column2]],Table12[[Column2]:[Column54]],38,FALSE),"0")</f>
        <v>0</v>
      </c>
      <c r="AN204" s="65">
        <f>IFERROR(VLOOKUP(Table1215[[#This Row],[Column2]],Table12[[Column2]:[Column54]],39,FALSE),"0")</f>
        <v>2</v>
      </c>
      <c r="AO204" s="65">
        <f>IFERROR(VLOOKUP(Table1215[[#This Row],[Column2]],Table12[[Column2]:[Column54]],40,FALSE),"0")</f>
        <v>0</v>
      </c>
      <c r="AP204" s="67">
        <f>AVERAGE(Table1215[[#This Row],[Column37]],Table1215[[#This Row],[Column38]],Table1215[[#This Row],[Column40]])</f>
        <v>2</v>
      </c>
      <c r="AQ204" s="65">
        <f>IFERROR(VLOOKUP(Table1215[[#This Row],[Column2]],Table12[[Column2]:[Column54]],42,FALSE),"0")</f>
        <v>3</v>
      </c>
      <c r="AR204" s="65">
        <f>IFERROR(VLOOKUP(Table1215[[#This Row],[Column2]],Table12[[Column2]:[Column54]],43,FALSE),"0")</f>
        <v>0</v>
      </c>
      <c r="AS204" s="65">
        <f>IFERROR(VLOOKUP(Table1215[[#This Row],[Column2]],Table12[[Column2]:[Column54]],44,FALSE),"0")</f>
        <v>0</v>
      </c>
      <c r="AT204" s="65">
        <f>IFERROR(VLOOKUP(Table1215[[#This Row],[Column2]],Table12[[Column2]:[Column54]],45,FALSE),"0")</f>
        <v>0</v>
      </c>
      <c r="AU204" s="65">
        <f>IFERROR(VLOOKUP(Table1215[[#This Row],[Column2]],Table12[[Column2]:[Column54]],46,FALSE),"0")</f>
        <v>0</v>
      </c>
      <c r="AV204" s="67">
        <f>Table1215[[#This Row],[Column43]]</f>
        <v>3</v>
      </c>
      <c r="AW204" s="65">
        <f>IFERROR(VLOOKUP(Table1215[[#This Row],[Column2]],Table12[[Column2]:[Column54]],48,FALSE),"0")</f>
        <v>0</v>
      </c>
      <c r="AX204" s="65">
        <f>IFERROR(VLOOKUP(Table1215[[#This Row],[Column2]],Table12[[Column2]:[Column54]],49,FALSE),"0")</f>
        <v>0</v>
      </c>
      <c r="AY204" s="65">
        <f>IFERROR(VLOOKUP(Table1215[[#This Row],[Column2]],Table12[[Column2]:[Column54]],50,FALSE),"0")</f>
        <v>0</v>
      </c>
      <c r="AZ204" s="65">
        <f>IFERROR(VLOOKUP(Table1215[[#This Row],[Column2]],Table12[[Column2]:[Column54]],51,FALSE),"0")</f>
        <v>3</v>
      </c>
      <c r="BA204" s="65">
        <f>IFERROR(VLOOKUP(Table1215[[#This Row],[Column2]],Table12[[Column2]:[Column54]],52,FALSE),"0")</f>
        <v>2</v>
      </c>
      <c r="BB204" s="67">
        <f>AVERAGE(Table1215[[#This Row],[Column52]],Table1215[[#This Row],[Column53]])</f>
        <v>2.5</v>
      </c>
    </row>
    <row r="205" spans="1:54" ht="23.1" customHeight="1" x14ac:dyDescent="0.3">
      <c r="A205" s="87">
        <v>202</v>
      </c>
      <c r="B205" s="70" t="s">
        <v>438</v>
      </c>
      <c r="C205" s="71" t="s">
        <v>439</v>
      </c>
      <c r="D205" s="70" t="s">
        <v>450</v>
      </c>
      <c r="E205" s="70" t="s">
        <v>289</v>
      </c>
      <c r="F205" s="70" t="str">
        <f>REPT(CHAR(160),10)&amp;Working!$E206</f>
        <v>          D</v>
      </c>
      <c r="G205" s="61">
        <f>IFERROR(VLOOKUP(Table1215[[#This Row],[Column2]],Table12[[Column2]:[Column54]],6,FALSE),"0")</f>
        <v>0</v>
      </c>
      <c r="H205" s="61">
        <f>IFERROR(VLOOKUP(Table1215[[#This Row],[Column2]],Table12[[Column2]:[Column54]],7,FALSE),"0")</f>
        <v>0</v>
      </c>
      <c r="I205" s="61">
        <f>IFERROR(VLOOKUP(Table1215[[#This Row],[Column2]],Table12[[Column2]:[Column54]],8,FALSE),"0")</f>
        <v>0</v>
      </c>
      <c r="J205" s="61">
        <f>IFERROR(VLOOKUP(Table1215[[#This Row],[Column2]],Table12[[Column2]:[Column54]],9,FALSE),"0")</f>
        <v>0</v>
      </c>
      <c r="K205" s="61">
        <f>IFERROR(VLOOKUP(Table1215[[#This Row],[Column2]],Table12[[Column2]:[Column54]],10,FALSE),"0")</f>
        <v>0</v>
      </c>
      <c r="L205" s="67">
        <f>Table1215[[#This Row],[Column9]]</f>
        <v>0</v>
      </c>
      <c r="M205" s="61">
        <f>IFERROR(VLOOKUP(Table1215[[#This Row],[Column2]],Table12[[Column2]:[Column54]],12,FALSE),"0")</f>
        <v>0</v>
      </c>
      <c r="N205" s="61">
        <f>IFERROR(VLOOKUP(Table1215[[#This Row],[Column2]],Table12[[Column2]:[Column54]],13,FALSE),"0")</f>
        <v>0</v>
      </c>
      <c r="O205" s="61">
        <f>IFERROR(VLOOKUP(Table1215[[#This Row],[Column2]],Table12[[Column2]:[Column54]],14,FALSE),"0")</f>
        <v>0</v>
      </c>
      <c r="P205" s="61">
        <f>IFERROR(VLOOKUP(Table1215[[#This Row],[Column2]],Table12[[Column2]:[Column54]],10,FALSE),"0")</f>
        <v>0</v>
      </c>
      <c r="Q205" s="61">
        <f>IFERROR(VLOOKUP(Table1215[[#This Row],[Column2]],Table12[[Column2]:[Column54]],16,FALSE),"0")</f>
        <v>0</v>
      </c>
      <c r="R205" s="67">
        <f>AVERAGE(Table1215[[#This Row],[Column14]],Table1215[[#This Row],[Column15]],Table1215[[#This Row],[Column17]])</f>
        <v>0</v>
      </c>
      <c r="S205" s="61">
        <f>IFERROR(VLOOKUP(Table1215[[#This Row],[Column2]],Table12[[Column2]:[Column54]],18,FALSE),"0")</f>
        <v>0</v>
      </c>
      <c r="T205" s="61">
        <f>IFERROR(VLOOKUP(Table1215[[#This Row],[Column2]],Table12[[Column2]:[Column54]],19,FALSE),"0")</f>
        <v>0</v>
      </c>
      <c r="U205" s="61">
        <f>IFERROR(VLOOKUP(Table1215[[#This Row],[Column2]],Table12[[Column2]:[Column54]],20,FALSE),"0")</f>
        <v>0</v>
      </c>
      <c r="V205" s="61">
        <f>IFERROR(VLOOKUP(Table1215[[#This Row],[Column2]],Table12[[Column2]:[Column54]],21,FALSE),"0")</f>
        <v>0</v>
      </c>
      <c r="W205" s="61">
        <f>IFERROR(VLOOKUP(Table1215[[#This Row],[Column2]],Table12[[Column2]:[Column54]],22,FALSE),"0")</f>
        <v>0</v>
      </c>
      <c r="X205" s="67">
        <f>Table1215[[#This Row],[Column19]]</f>
        <v>0</v>
      </c>
      <c r="Y205" s="61">
        <f>IFERROR(VLOOKUP(Table1215[[#This Row],[Column2]],Table12[[Column2]:[Column54]],24,FALSE),"0")</f>
        <v>0</v>
      </c>
      <c r="Z205" s="61">
        <f>IFERROR(VLOOKUP(Table1215[[#This Row],[Column2]],Table12[[Column2]:[Column54]],25,FALSE),"0")</f>
        <v>0</v>
      </c>
      <c r="AA205" s="61">
        <f>IFERROR(VLOOKUP(Table1215[[#This Row],[Column2]],Table12[[Column2]:[Column54]],26,FALSE),"0")</f>
        <v>0</v>
      </c>
      <c r="AB205" s="61">
        <f>IFERROR(VLOOKUP(Table1215[[#This Row],[Column2]],Table12[[Column2]:[Column54]],27,FALSE),"0")</f>
        <v>0</v>
      </c>
      <c r="AC205" s="61">
        <f>IFERROR(VLOOKUP(Table1215[[#This Row],[Column2]],Table12[[Column2]:[Column54]],28,FALSE),"0")</f>
        <v>0</v>
      </c>
      <c r="AD205" s="67">
        <f>Table1215[[#This Row],[Column25]]</f>
        <v>0</v>
      </c>
      <c r="AE205" s="61">
        <f>IFERROR(VLOOKUP(Table1215[[#This Row],[Column2]],Table12[[Column2]:[Column54]],30,FALSE),"0")</f>
        <v>0</v>
      </c>
      <c r="AF205" s="61">
        <f>IFERROR(VLOOKUP(Table1215[[#This Row],[Column2]],Table12[[Column2]:[Column54]],31,FALSE),"0")</f>
        <v>0</v>
      </c>
      <c r="AG205" s="61">
        <f>IFERROR(VLOOKUP(Table1215[[#This Row],[Column2]],Table12[[Column2]:[Column54]],32,FALSE),"0")</f>
        <v>0</v>
      </c>
      <c r="AH205" s="61">
        <f>IFERROR(VLOOKUP(Table1215[[#This Row],[Column2]],Table12[[Column2]:[Column54]],33,FALSE),"0")</f>
        <v>0</v>
      </c>
      <c r="AI205" s="61">
        <f>IFERROR(VLOOKUP(Table1215[[#This Row],[Column2]],Table12[[Column2]:[Column54]],34,FALSE),"0")</f>
        <v>0</v>
      </c>
      <c r="AJ205" s="67">
        <f>AVERAGE(Table1215[[#This Row],[Column31]],Table1215[[#This Row],[Column32]],Table1215[[#This Row],[Column33]])</f>
        <v>0</v>
      </c>
      <c r="AK205" s="61">
        <f>IFERROR(VLOOKUP(Table1215[[#This Row],[Column2]],Table12[[Column2]:[Column54]],36,FALSE),"0")</f>
        <v>0</v>
      </c>
      <c r="AL205" s="61">
        <f>IFERROR(VLOOKUP(Table1215[[#This Row],[Column2]],Table12[[Column2]:[Column54]],37,FALSE),"0")</f>
        <v>0</v>
      </c>
      <c r="AM205" s="61">
        <f>IFERROR(VLOOKUP(Table1215[[#This Row],[Column2]],Table12[[Column2]:[Column54]],38,FALSE),"0")</f>
        <v>0</v>
      </c>
      <c r="AN205" s="61">
        <f>IFERROR(VLOOKUP(Table1215[[#This Row],[Column2]],Table12[[Column2]:[Column54]],39,FALSE),"0")</f>
        <v>0</v>
      </c>
      <c r="AO205" s="61">
        <f>IFERROR(VLOOKUP(Table1215[[#This Row],[Column2]],Table12[[Column2]:[Column54]],40,FALSE),"0")</f>
        <v>0</v>
      </c>
      <c r="AP205" s="67">
        <f>AVERAGE(Table1215[[#This Row],[Column37]],Table1215[[#This Row],[Column38]],Table1215[[#This Row],[Column40]])</f>
        <v>0</v>
      </c>
      <c r="AQ205" s="61">
        <f>IFERROR(VLOOKUP(Table1215[[#This Row],[Column2]],Table12[[Column2]:[Column54]],42,FALSE),"0")</f>
        <v>0</v>
      </c>
      <c r="AR205" s="61">
        <f>IFERROR(VLOOKUP(Table1215[[#This Row],[Column2]],Table12[[Column2]:[Column54]],43,FALSE),"0")</f>
        <v>0</v>
      </c>
      <c r="AS205" s="61">
        <f>IFERROR(VLOOKUP(Table1215[[#This Row],[Column2]],Table12[[Column2]:[Column54]],44,FALSE),"0")</f>
        <v>0</v>
      </c>
      <c r="AT205" s="61">
        <f>IFERROR(VLOOKUP(Table1215[[#This Row],[Column2]],Table12[[Column2]:[Column54]],45,FALSE),"0")</f>
        <v>0</v>
      </c>
      <c r="AU205" s="61">
        <f>IFERROR(VLOOKUP(Table1215[[#This Row],[Column2]],Table12[[Column2]:[Column54]],46,FALSE),"0")</f>
        <v>0</v>
      </c>
      <c r="AV205" s="67">
        <f>Table1215[[#This Row],[Column43]]</f>
        <v>0</v>
      </c>
      <c r="AW205" s="61">
        <f>IFERROR(VLOOKUP(Table1215[[#This Row],[Column2]],Table12[[Column2]:[Column54]],48,FALSE),"0")</f>
        <v>0</v>
      </c>
      <c r="AX205" s="61">
        <f>IFERROR(VLOOKUP(Table1215[[#This Row],[Column2]],Table12[[Column2]:[Column54]],49,FALSE),"0")</f>
        <v>0</v>
      </c>
      <c r="AY205" s="61">
        <f>IFERROR(VLOOKUP(Table1215[[#This Row],[Column2]],Table12[[Column2]:[Column54]],50,FALSE),"0")</f>
        <v>0</v>
      </c>
      <c r="AZ205" s="61">
        <f>IFERROR(VLOOKUP(Table1215[[#This Row],[Column2]],Table12[[Column2]:[Column54]],51,FALSE),"0")</f>
        <v>0</v>
      </c>
      <c r="BA205" s="61">
        <f>IFERROR(VLOOKUP(Table1215[[#This Row],[Column2]],Table12[[Column2]:[Column54]],52,FALSE),"0")</f>
        <v>0</v>
      </c>
      <c r="BB205" s="67">
        <f>AVERAGE(Table1215[[#This Row],[Column52]],Table1215[[#This Row],[Column53]])</f>
        <v>0</v>
      </c>
    </row>
    <row r="206" spans="1:54" ht="23.1" customHeight="1" x14ac:dyDescent="0.3">
      <c r="A206" s="86">
        <v>203</v>
      </c>
      <c r="B206" s="63" t="s">
        <v>440</v>
      </c>
      <c r="C206" s="64" t="s">
        <v>441</v>
      </c>
      <c r="D206" s="63" t="s">
        <v>450</v>
      </c>
      <c r="E206" s="63" t="s">
        <v>289</v>
      </c>
      <c r="F206" s="63" t="str">
        <f>REPT(CHAR(160),10)&amp;Working!$E207</f>
        <v>          D</v>
      </c>
      <c r="G206" s="65">
        <f>IFERROR(VLOOKUP(Table1215[[#This Row],[Column2]],Table12[[Column2]:[Column54]],6,FALSE),"0")</f>
        <v>0</v>
      </c>
      <c r="H206" s="65">
        <f>IFERROR(VLOOKUP(Table1215[[#This Row],[Column2]],Table12[[Column2]:[Column54]],7,FALSE),"0")</f>
        <v>0</v>
      </c>
      <c r="I206" s="65">
        <f>IFERROR(VLOOKUP(Table1215[[#This Row],[Column2]],Table12[[Column2]:[Column54]],8,FALSE),"0")</f>
        <v>3</v>
      </c>
      <c r="J206" s="65">
        <f>IFERROR(VLOOKUP(Table1215[[#This Row],[Column2]],Table12[[Column2]:[Column54]],9,FALSE),"0")</f>
        <v>0</v>
      </c>
      <c r="K206" s="65">
        <f>IFERROR(VLOOKUP(Table1215[[#This Row],[Column2]],Table12[[Column2]:[Column54]],10,FALSE),"0")</f>
        <v>0</v>
      </c>
      <c r="L206" s="67">
        <f>Table1215[[#This Row],[Column9]]</f>
        <v>3</v>
      </c>
      <c r="M206" s="65">
        <f>IFERROR(VLOOKUP(Table1215[[#This Row],[Column2]],Table12[[Column2]:[Column54]],12,FALSE),"0")</f>
        <v>0</v>
      </c>
      <c r="N206" s="65">
        <f>IFERROR(VLOOKUP(Table1215[[#This Row],[Column2]],Table12[[Column2]:[Column54]],13,FALSE),"0")</f>
        <v>3</v>
      </c>
      <c r="O206" s="65">
        <f>IFERROR(VLOOKUP(Table1215[[#This Row],[Column2]],Table12[[Column2]:[Column54]],14,FALSE),"0")</f>
        <v>4</v>
      </c>
      <c r="P206" s="65">
        <f>IFERROR(VLOOKUP(Table1215[[#This Row],[Column2]],Table12[[Column2]:[Column54]],10,FALSE),"0")</f>
        <v>0</v>
      </c>
      <c r="Q206" s="65">
        <f>IFERROR(VLOOKUP(Table1215[[#This Row],[Column2]],Table12[[Column2]:[Column54]],16,FALSE),"0")</f>
        <v>4</v>
      </c>
      <c r="R206" s="67">
        <f>AVERAGE(Table1215[[#This Row],[Column14]],Table1215[[#This Row],[Column15]],Table1215[[#This Row],[Column17]])</f>
        <v>3.6666666666666665</v>
      </c>
      <c r="S206" s="65">
        <f>IFERROR(VLOOKUP(Table1215[[#This Row],[Column2]],Table12[[Column2]:[Column54]],18,FALSE),"0")</f>
        <v>0</v>
      </c>
      <c r="T206" s="65">
        <f>IFERROR(VLOOKUP(Table1215[[#This Row],[Column2]],Table12[[Column2]:[Column54]],19,FALSE),"0")</f>
        <v>0</v>
      </c>
      <c r="U206" s="65">
        <f>IFERROR(VLOOKUP(Table1215[[#This Row],[Column2]],Table12[[Column2]:[Column54]],20,FALSE),"0")</f>
        <v>0</v>
      </c>
      <c r="V206" s="65">
        <f>IFERROR(VLOOKUP(Table1215[[#This Row],[Column2]],Table12[[Column2]:[Column54]],21,FALSE),"0")</f>
        <v>0</v>
      </c>
      <c r="W206" s="65">
        <f>IFERROR(VLOOKUP(Table1215[[#This Row],[Column2]],Table12[[Column2]:[Column54]],22,FALSE),"0")</f>
        <v>0</v>
      </c>
      <c r="X206" s="67">
        <f>Table1215[[#This Row],[Column19]]</f>
        <v>0</v>
      </c>
      <c r="Y206" s="65">
        <f>IFERROR(VLOOKUP(Table1215[[#This Row],[Column2]],Table12[[Column2]:[Column54]],24,FALSE),"0")</f>
        <v>4</v>
      </c>
      <c r="Z206" s="65">
        <f>IFERROR(VLOOKUP(Table1215[[#This Row],[Column2]],Table12[[Column2]:[Column54]],25,FALSE),"0")</f>
        <v>0</v>
      </c>
      <c r="AA206" s="65">
        <f>IFERROR(VLOOKUP(Table1215[[#This Row],[Column2]],Table12[[Column2]:[Column54]],26,FALSE),"0")</f>
        <v>0</v>
      </c>
      <c r="AB206" s="65">
        <f>IFERROR(VLOOKUP(Table1215[[#This Row],[Column2]],Table12[[Column2]:[Column54]],27,FALSE),"0")</f>
        <v>0</v>
      </c>
      <c r="AC206" s="65">
        <f>IFERROR(VLOOKUP(Table1215[[#This Row],[Column2]],Table12[[Column2]:[Column54]],28,FALSE),"0")</f>
        <v>0</v>
      </c>
      <c r="AD206" s="67">
        <f>Table1215[[#This Row],[Column25]]</f>
        <v>4</v>
      </c>
      <c r="AE206" s="65">
        <f>IFERROR(VLOOKUP(Table1215[[#This Row],[Column2]],Table12[[Column2]:[Column54]],30,FALSE),"0")</f>
        <v>0</v>
      </c>
      <c r="AF206" s="65">
        <f>IFERROR(VLOOKUP(Table1215[[#This Row],[Column2]],Table12[[Column2]:[Column54]],31,FALSE),"0")</f>
        <v>0</v>
      </c>
      <c r="AG206" s="65">
        <f>IFERROR(VLOOKUP(Table1215[[#This Row],[Column2]],Table12[[Column2]:[Column54]],32,FALSE),"0")</f>
        <v>0</v>
      </c>
      <c r="AH206" s="65">
        <f>IFERROR(VLOOKUP(Table1215[[#This Row],[Column2]],Table12[[Column2]:[Column54]],33,FALSE),"0")</f>
        <v>0</v>
      </c>
      <c r="AI206" s="65">
        <f>IFERROR(VLOOKUP(Table1215[[#This Row],[Column2]],Table12[[Column2]:[Column54]],34,FALSE),"0")</f>
        <v>0</v>
      </c>
      <c r="AJ206" s="67">
        <f>AVERAGE(Table1215[[#This Row],[Column31]],Table1215[[#This Row],[Column32]],Table1215[[#This Row],[Column33]])</f>
        <v>0</v>
      </c>
      <c r="AK206" s="65">
        <f>IFERROR(VLOOKUP(Table1215[[#This Row],[Column2]],Table12[[Column2]:[Column54]],36,FALSE),"0")</f>
        <v>3</v>
      </c>
      <c r="AL206" s="65">
        <f>IFERROR(VLOOKUP(Table1215[[#This Row],[Column2]],Table12[[Column2]:[Column54]],37,FALSE),"0")</f>
        <v>4</v>
      </c>
      <c r="AM206" s="65">
        <f>IFERROR(VLOOKUP(Table1215[[#This Row],[Column2]],Table12[[Column2]:[Column54]],38,FALSE),"0")</f>
        <v>0</v>
      </c>
      <c r="AN206" s="65">
        <f>IFERROR(VLOOKUP(Table1215[[#This Row],[Column2]],Table12[[Column2]:[Column54]],39,FALSE),"0")</f>
        <v>3</v>
      </c>
      <c r="AO206" s="65">
        <f>IFERROR(VLOOKUP(Table1215[[#This Row],[Column2]],Table12[[Column2]:[Column54]],40,FALSE),"0")</f>
        <v>0</v>
      </c>
      <c r="AP206" s="67">
        <f>AVERAGE(Table1215[[#This Row],[Column37]],Table1215[[#This Row],[Column38]],Table1215[[#This Row],[Column40]])</f>
        <v>3.3333333333333335</v>
      </c>
      <c r="AQ206" s="65">
        <f>IFERROR(VLOOKUP(Table1215[[#This Row],[Column2]],Table12[[Column2]:[Column54]],42,FALSE),"0")</f>
        <v>3</v>
      </c>
      <c r="AR206" s="65">
        <f>IFERROR(VLOOKUP(Table1215[[#This Row],[Column2]],Table12[[Column2]:[Column54]],43,FALSE),"0")</f>
        <v>0</v>
      </c>
      <c r="AS206" s="65">
        <f>IFERROR(VLOOKUP(Table1215[[#This Row],[Column2]],Table12[[Column2]:[Column54]],44,FALSE),"0")</f>
        <v>0</v>
      </c>
      <c r="AT206" s="65">
        <f>IFERROR(VLOOKUP(Table1215[[#This Row],[Column2]],Table12[[Column2]:[Column54]],45,FALSE),"0")</f>
        <v>0</v>
      </c>
      <c r="AU206" s="65">
        <f>IFERROR(VLOOKUP(Table1215[[#This Row],[Column2]],Table12[[Column2]:[Column54]],46,FALSE),"0")</f>
        <v>0</v>
      </c>
      <c r="AV206" s="67">
        <f>Table1215[[#This Row],[Column43]]</f>
        <v>3</v>
      </c>
      <c r="AW206" s="65">
        <f>IFERROR(VLOOKUP(Table1215[[#This Row],[Column2]],Table12[[Column2]:[Column54]],48,FALSE),"0")</f>
        <v>0</v>
      </c>
      <c r="AX206" s="65">
        <f>IFERROR(VLOOKUP(Table1215[[#This Row],[Column2]],Table12[[Column2]:[Column54]],49,FALSE),"0")</f>
        <v>0</v>
      </c>
      <c r="AY206" s="65">
        <f>IFERROR(VLOOKUP(Table1215[[#This Row],[Column2]],Table12[[Column2]:[Column54]],50,FALSE),"0")</f>
        <v>0</v>
      </c>
      <c r="AZ206" s="65">
        <f>IFERROR(VLOOKUP(Table1215[[#This Row],[Column2]],Table12[[Column2]:[Column54]],51,FALSE),"0")</f>
        <v>3</v>
      </c>
      <c r="BA206" s="65">
        <f>IFERROR(VLOOKUP(Table1215[[#This Row],[Column2]],Table12[[Column2]:[Column54]],52,FALSE),"0")</f>
        <v>3</v>
      </c>
      <c r="BB206" s="67">
        <f>AVERAGE(Table1215[[#This Row],[Column52]],Table1215[[#This Row],[Column53]])</f>
        <v>3</v>
      </c>
    </row>
    <row r="207" spans="1:54" ht="23.1" customHeight="1" x14ac:dyDescent="0.3">
      <c r="A207" s="87">
        <v>204</v>
      </c>
      <c r="B207" s="70" t="s">
        <v>442</v>
      </c>
      <c r="C207" s="71" t="s">
        <v>443</v>
      </c>
      <c r="D207" s="70" t="s">
        <v>450</v>
      </c>
      <c r="E207" s="70" t="s">
        <v>289</v>
      </c>
      <c r="F207" s="70" t="str">
        <f>REPT(CHAR(160),10)&amp;Working!$E208</f>
        <v>          D</v>
      </c>
      <c r="G207" s="61">
        <f>IFERROR(VLOOKUP(Table1215[[#This Row],[Column2]],Table12[[Column2]:[Column54]],6,FALSE),"0")</f>
        <v>0</v>
      </c>
      <c r="H207" s="61">
        <f>IFERROR(VLOOKUP(Table1215[[#This Row],[Column2]],Table12[[Column2]:[Column54]],7,FALSE),"0")</f>
        <v>0</v>
      </c>
      <c r="I207" s="61">
        <f>IFERROR(VLOOKUP(Table1215[[#This Row],[Column2]],Table12[[Column2]:[Column54]],8,FALSE),"0")</f>
        <v>2</v>
      </c>
      <c r="J207" s="61">
        <f>IFERROR(VLOOKUP(Table1215[[#This Row],[Column2]],Table12[[Column2]:[Column54]],9,FALSE),"0")</f>
        <v>0</v>
      </c>
      <c r="K207" s="61">
        <f>IFERROR(VLOOKUP(Table1215[[#This Row],[Column2]],Table12[[Column2]:[Column54]],10,FALSE),"0")</f>
        <v>0</v>
      </c>
      <c r="L207" s="67">
        <f>Table1215[[#This Row],[Column9]]</f>
        <v>2</v>
      </c>
      <c r="M207" s="61">
        <f>IFERROR(VLOOKUP(Table1215[[#This Row],[Column2]],Table12[[Column2]:[Column54]],12,FALSE),"0")</f>
        <v>0</v>
      </c>
      <c r="N207" s="61">
        <f>IFERROR(VLOOKUP(Table1215[[#This Row],[Column2]],Table12[[Column2]:[Column54]],13,FALSE),"0")</f>
        <v>2</v>
      </c>
      <c r="O207" s="61">
        <f>IFERROR(VLOOKUP(Table1215[[#This Row],[Column2]],Table12[[Column2]:[Column54]],14,FALSE),"0")</f>
        <v>3</v>
      </c>
      <c r="P207" s="61">
        <f>IFERROR(VLOOKUP(Table1215[[#This Row],[Column2]],Table12[[Column2]:[Column54]],10,FALSE),"0")</f>
        <v>0</v>
      </c>
      <c r="Q207" s="61">
        <f>IFERROR(VLOOKUP(Table1215[[#This Row],[Column2]],Table12[[Column2]:[Column54]],16,FALSE),"0")</f>
        <v>3</v>
      </c>
      <c r="R207" s="67">
        <f>AVERAGE(Table1215[[#This Row],[Column14]],Table1215[[#This Row],[Column15]],Table1215[[#This Row],[Column17]])</f>
        <v>2.6666666666666665</v>
      </c>
      <c r="S207" s="61">
        <f>IFERROR(VLOOKUP(Table1215[[#This Row],[Column2]],Table12[[Column2]:[Column54]],18,FALSE),"0")</f>
        <v>0</v>
      </c>
      <c r="T207" s="61">
        <f>IFERROR(VLOOKUP(Table1215[[#This Row],[Column2]],Table12[[Column2]:[Column54]],19,FALSE),"0")</f>
        <v>0</v>
      </c>
      <c r="U207" s="61">
        <f>IFERROR(VLOOKUP(Table1215[[#This Row],[Column2]],Table12[[Column2]:[Column54]],20,FALSE),"0")</f>
        <v>0</v>
      </c>
      <c r="V207" s="61">
        <f>IFERROR(VLOOKUP(Table1215[[#This Row],[Column2]],Table12[[Column2]:[Column54]],21,FALSE),"0")</f>
        <v>0</v>
      </c>
      <c r="W207" s="61">
        <f>IFERROR(VLOOKUP(Table1215[[#This Row],[Column2]],Table12[[Column2]:[Column54]],22,FALSE),"0")</f>
        <v>0</v>
      </c>
      <c r="X207" s="67">
        <f>Table1215[[#This Row],[Column19]]</f>
        <v>0</v>
      </c>
      <c r="Y207" s="61">
        <f>IFERROR(VLOOKUP(Table1215[[#This Row],[Column2]],Table12[[Column2]:[Column54]],24,FALSE),"0")</f>
        <v>2</v>
      </c>
      <c r="Z207" s="61">
        <f>IFERROR(VLOOKUP(Table1215[[#This Row],[Column2]],Table12[[Column2]:[Column54]],25,FALSE),"0")</f>
        <v>0</v>
      </c>
      <c r="AA207" s="61">
        <f>IFERROR(VLOOKUP(Table1215[[#This Row],[Column2]],Table12[[Column2]:[Column54]],26,FALSE),"0")</f>
        <v>0</v>
      </c>
      <c r="AB207" s="61">
        <f>IFERROR(VLOOKUP(Table1215[[#This Row],[Column2]],Table12[[Column2]:[Column54]],27,FALSE),"0")</f>
        <v>0</v>
      </c>
      <c r="AC207" s="61">
        <f>IFERROR(VLOOKUP(Table1215[[#This Row],[Column2]],Table12[[Column2]:[Column54]],28,FALSE),"0")</f>
        <v>0</v>
      </c>
      <c r="AD207" s="67">
        <f>Table1215[[#This Row],[Column25]]</f>
        <v>2</v>
      </c>
      <c r="AE207" s="61">
        <f>IFERROR(VLOOKUP(Table1215[[#This Row],[Column2]],Table12[[Column2]:[Column54]],30,FALSE),"0")</f>
        <v>0</v>
      </c>
      <c r="AF207" s="61">
        <f>IFERROR(VLOOKUP(Table1215[[#This Row],[Column2]],Table12[[Column2]:[Column54]],31,FALSE),"0")</f>
        <v>0</v>
      </c>
      <c r="AG207" s="61">
        <f>IFERROR(VLOOKUP(Table1215[[#This Row],[Column2]],Table12[[Column2]:[Column54]],32,FALSE),"0")</f>
        <v>0</v>
      </c>
      <c r="AH207" s="61">
        <f>IFERROR(VLOOKUP(Table1215[[#This Row],[Column2]],Table12[[Column2]:[Column54]],33,FALSE),"0")</f>
        <v>0</v>
      </c>
      <c r="AI207" s="61">
        <f>IFERROR(VLOOKUP(Table1215[[#This Row],[Column2]],Table12[[Column2]:[Column54]],34,FALSE),"0")</f>
        <v>0</v>
      </c>
      <c r="AJ207" s="67">
        <f>AVERAGE(Table1215[[#This Row],[Column31]],Table1215[[#This Row],[Column32]],Table1215[[#This Row],[Column33]])</f>
        <v>0</v>
      </c>
      <c r="AK207" s="61">
        <f>IFERROR(VLOOKUP(Table1215[[#This Row],[Column2]],Table12[[Column2]:[Column54]],36,FALSE),"0")</f>
        <v>2</v>
      </c>
      <c r="AL207" s="61">
        <f>IFERROR(VLOOKUP(Table1215[[#This Row],[Column2]],Table12[[Column2]:[Column54]],37,FALSE),"0")</f>
        <v>3</v>
      </c>
      <c r="AM207" s="61">
        <f>IFERROR(VLOOKUP(Table1215[[#This Row],[Column2]],Table12[[Column2]:[Column54]],38,FALSE),"0")</f>
        <v>0</v>
      </c>
      <c r="AN207" s="61">
        <f>IFERROR(VLOOKUP(Table1215[[#This Row],[Column2]],Table12[[Column2]:[Column54]],39,FALSE),"0")</f>
        <v>3</v>
      </c>
      <c r="AO207" s="61">
        <f>IFERROR(VLOOKUP(Table1215[[#This Row],[Column2]],Table12[[Column2]:[Column54]],40,FALSE),"0")</f>
        <v>0</v>
      </c>
      <c r="AP207" s="67">
        <f>AVERAGE(Table1215[[#This Row],[Column37]],Table1215[[#This Row],[Column38]],Table1215[[#This Row],[Column40]])</f>
        <v>2.6666666666666665</v>
      </c>
      <c r="AQ207" s="61">
        <f>IFERROR(VLOOKUP(Table1215[[#This Row],[Column2]],Table12[[Column2]:[Column54]],42,FALSE),"0")</f>
        <v>3</v>
      </c>
      <c r="AR207" s="61">
        <f>IFERROR(VLOOKUP(Table1215[[#This Row],[Column2]],Table12[[Column2]:[Column54]],43,FALSE),"0")</f>
        <v>0</v>
      </c>
      <c r="AS207" s="61">
        <f>IFERROR(VLOOKUP(Table1215[[#This Row],[Column2]],Table12[[Column2]:[Column54]],44,FALSE),"0")</f>
        <v>0</v>
      </c>
      <c r="AT207" s="61">
        <f>IFERROR(VLOOKUP(Table1215[[#This Row],[Column2]],Table12[[Column2]:[Column54]],45,FALSE),"0")</f>
        <v>0</v>
      </c>
      <c r="AU207" s="61">
        <f>IFERROR(VLOOKUP(Table1215[[#This Row],[Column2]],Table12[[Column2]:[Column54]],46,FALSE),"0")</f>
        <v>0</v>
      </c>
      <c r="AV207" s="67">
        <f>Table1215[[#This Row],[Column43]]</f>
        <v>3</v>
      </c>
      <c r="AW207" s="61">
        <f>IFERROR(VLOOKUP(Table1215[[#This Row],[Column2]],Table12[[Column2]:[Column54]],48,FALSE),"0")</f>
        <v>0</v>
      </c>
      <c r="AX207" s="61">
        <f>IFERROR(VLOOKUP(Table1215[[#This Row],[Column2]],Table12[[Column2]:[Column54]],49,FALSE),"0")</f>
        <v>0</v>
      </c>
      <c r="AY207" s="61">
        <f>IFERROR(VLOOKUP(Table1215[[#This Row],[Column2]],Table12[[Column2]:[Column54]],50,FALSE),"0")</f>
        <v>0</v>
      </c>
      <c r="AZ207" s="61">
        <f>IFERROR(VLOOKUP(Table1215[[#This Row],[Column2]],Table12[[Column2]:[Column54]],51,FALSE),"0")</f>
        <v>3</v>
      </c>
      <c r="BA207" s="61">
        <f>IFERROR(VLOOKUP(Table1215[[#This Row],[Column2]],Table12[[Column2]:[Column54]],52,FALSE),"0")</f>
        <v>3</v>
      </c>
      <c r="BB207" s="67">
        <f>AVERAGE(Table1215[[#This Row],[Column52]],Table1215[[#This Row],[Column53]])</f>
        <v>3</v>
      </c>
    </row>
    <row r="208" spans="1:54" ht="23.1" customHeight="1" x14ac:dyDescent="0.3">
      <c r="A208" s="86">
        <v>205</v>
      </c>
      <c r="B208" s="63" t="s">
        <v>444</v>
      </c>
      <c r="C208" s="64" t="s">
        <v>445</v>
      </c>
      <c r="D208" s="63" t="s">
        <v>450</v>
      </c>
      <c r="E208" s="63" t="s">
        <v>289</v>
      </c>
      <c r="F208" s="63" t="str">
        <f>REPT(CHAR(160),10)&amp;Working!$E209</f>
        <v>          D</v>
      </c>
      <c r="G208" s="65">
        <f>IFERROR(VLOOKUP(Table1215[[#This Row],[Column2]],Table12[[Column2]:[Column54]],6,FALSE),"0")</f>
        <v>0</v>
      </c>
      <c r="H208" s="65">
        <f>IFERROR(VLOOKUP(Table1215[[#This Row],[Column2]],Table12[[Column2]:[Column54]],7,FALSE),"0")</f>
        <v>0</v>
      </c>
      <c r="I208" s="65">
        <f>IFERROR(VLOOKUP(Table1215[[#This Row],[Column2]],Table12[[Column2]:[Column54]],8,FALSE),"0")</f>
        <v>2</v>
      </c>
      <c r="J208" s="65">
        <f>IFERROR(VLOOKUP(Table1215[[#This Row],[Column2]],Table12[[Column2]:[Column54]],9,FALSE),"0")</f>
        <v>0</v>
      </c>
      <c r="K208" s="65">
        <f>IFERROR(VLOOKUP(Table1215[[#This Row],[Column2]],Table12[[Column2]:[Column54]],10,FALSE),"0")</f>
        <v>0</v>
      </c>
      <c r="L208" s="67">
        <f>Table1215[[#This Row],[Column9]]</f>
        <v>2</v>
      </c>
      <c r="M208" s="65">
        <f>IFERROR(VLOOKUP(Table1215[[#This Row],[Column2]],Table12[[Column2]:[Column54]],12,FALSE),"0")</f>
        <v>0</v>
      </c>
      <c r="N208" s="65">
        <f>IFERROR(VLOOKUP(Table1215[[#This Row],[Column2]],Table12[[Column2]:[Column54]],13,FALSE),"0")</f>
        <v>3</v>
      </c>
      <c r="O208" s="65">
        <f>IFERROR(VLOOKUP(Table1215[[#This Row],[Column2]],Table12[[Column2]:[Column54]],14,FALSE),"0")</f>
        <v>3</v>
      </c>
      <c r="P208" s="65">
        <f>IFERROR(VLOOKUP(Table1215[[#This Row],[Column2]],Table12[[Column2]:[Column54]],10,FALSE),"0")</f>
        <v>0</v>
      </c>
      <c r="Q208" s="65">
        <f>IFERROR(VLOOKUP(Table1215[[#This Row],[Column2]],Table12[[Column2]:[Column54]],16,FALSE),"0")</f>
        <v>3</v>
      </c>
      <c r="R208" s="67">
        <f>AVERAGE(Table1215[[#This Row],[Column14]],Table1215[[#This Row],[Column15]],Table1215[[#This Row],[Column17]])</f>
        <v>3</v>
      </c>
      <c r="S208" s="65">
        <f>IFERROR(VLOOKUP(Table1215[[#This Row],[Column2]],Table12[[Column2]:[Column54]],18,FALSE),"0")</f>
        <v>0</v>
      </c>
      <c r="T208" s="65">
        <f>IFERROR(VLOOKUP(Table1215[[#This Row],[Column2]],Table12[[Column2]:[Column54]],19,FALSE),"0")</f>
        <v>0</v>
      </c>
      <c r="U208" s="65">
        <f>IFERROR(VLOOKUP(Table1215[[#This Row],[Column2]],Table12[[Column2]:[Column54]],20,FALSE),"0")</f>
        <v>0</v>
      </c>
      <c r="V208" s="65">
        <f>IFERROR(VLOOKUP(Table1215[[#This Row],[Column2]],Table12[[Column2]:[Column54]],21,FALSE),"0")</f>
        <v>0</v>
      </c>
      <c r="W208" s="65">
        <f>IFERROR(VLOOKUP(Table1215[[#This Row],[Column2]],Table12[[Column2]:[Column54]],22,FALSE),"0")</f>
        <v>0</v>
      </c>
      <c r="X208" s="67">
        <f>Table1215[[#This Row],[Column19]]</f>
        <v>0</v>
      </c>
      <c r="Y208" s="65">
        <f>IFERROR(VLOOKUP(Table1215[[#This Row],[Column2]],Table12[[Column2]:[Column54]],24,FALSE),"0")</f>
        <v>2</v>
      </c>
      <c r="Z208" s="65">
        <f>IFERROR(VLOOKUP(Table1215[[#This Row],[Column2]],Table12[[Column2]:[Column54]],25,FALSE),"0")</f>
        <v>0</v>
      </c>
      <c r="AA208" s="65">
        <f>IFERROR(VLOOKUP(Table1215[[#This Row],[Column2]],Table12[[Column2]:[Column54]],26,FALSE),"0")</f>
        <v>0</v>
      </c>
      <c r="AB208" s="65">
        <f>IFERROR(VLOOKUP(Table1215[[#This Row],[Column2]],Table12[[Column2]:[Column54]],27,FALSE),"0")</f>
        <v>0</v>
      </c>
      <c r="AC208" s="65">
        <f>IFERROR(VLOOKUP(Table1215[[#This Row],[Column2]],Table12[[Column2]:[Column54]],28,FALSE),"0")</f>
        <v>0</v>
      </c>
      <c r="AD208" s="67">
        <f>Table1215[[#This Row],[Column25]]</f>
        <v>2</v>
      </c>
      <c r="AE208" s="65">
        <f>IFERROR(VLOOKUP(Table1215[[#This Row],[Column2]],Table12[[Column2]:[Column54]],30,FALSE),"0")</f>
        <v>0</v>
      </c>
      <c r="AF208" s="65">
        <f>IFERROR(VLOOKUP(Table1215[[#This Row],[Column2]],Table12[[Column2]:[Column54]],31,FALSE),"0")</f>
        <v>0</v>
      </c>
      <c r="AG208" s="65">
        <f>IFERROR(VLOOKUP(Table1215[[#This Row],[Column2]],Table12[[Column2]:[Column54]],32,FALSE),"0")</f>
        <v>0</v>
      </c>
      <c r="AH208" s="65">
        <f>IFERROR(VLOOKUP(Table1215[[#This Row],[Column2]],Table12[[Column2]:[Column54]],33,FALSE),"0")</f>
        <v>0</v>
      </c>
      <c r="AI208" s="65">
        <f>IFERROR(VLOOKUP(Table1215[[#This Row],[Column2]],Table12[[Column2]:[Column54]],34,FALSE),"0")</f>
        <v>0</v>
      </c>
      <c r="AJ208" s="67">
        <f>AVERAGE(Table1215[[#This Row],[Column31]],Table1215[[#This Row],[Column32]],Table1215[[#This Row],[Column33]])</f>
        <v>0</v>
      </c>
      <c r="AK208" s="65">
        <f>IFERROR(VLOOKUP(Table1215[[#This Row],[Column2]],Table12[[Column2]:[Column54]],36,FALSE),"0")</f>
        <v>2</v>
      </c>
      <c r="AL208" s="65">
        <f>IFERROR(VLOOKUP(Table1215[[#This Row],[Column2]],Table12[[Column2]:[Column54]],37,FALSE),"0")</f>
        <v>2</v>
      </c>
      <c r="AM208" s="65">
        <f>IFERROR(VLOOKUP(Table1215[[#This Row],[Column2]],Table12[[Column2]:[Column54]],38,FALSE),"0")</f>
        <v>0</v>
      </c>
      <c r="AN208" s="65">
        <f>IFERROR(VLOOKUP(Table1215[[#This Row],[Column2]],Table12[[Column2]:[Column54]],39,FALSE),"0")</f>
        <v>2</v>
      </c>
      <c r="AO208" s="65">
        <f>IFERROR(VLOOKUP(Table1215[[#This Row],[Column2]],Table12[[Column2]:[Column54]],40,FALSE),"0")</f>
        <v>0</v>
      </c>
      <c r="AP208" s="67">
        <f>AVERAGE(Table1215[[#This Row],[Column37]],Table1215[[#This Row],[Column38]],Table1215[[#This Row],[Column40]])</f>
        <v>2</v>
      </c>
      <c r="AQ208" s="65">
        <f>IFERROR(VLOOKUP(Table1215[[#This Row],[Column2]],Table12[[Column2]:[Column54]],42,FALSE),"0")</f>
        <v>2</v>
      </c>
      <c r="AR208" s="65">
        <f>IFERROR(VLOOKUP(Table1215[[#This Row],[Column2]],Table12[[Column2]:[Column54]],43,FALSE),"0")</f>
        <v>0</v>
      </c>
      <c r="AS208" s="65">
        <f>IFERROR(VLOOKUP(Table1215[[#This Row],[Column2]],Table12[[Column2]:[Column54]],44,FALSE),"0")</f>
        <v>0</v>
      </c>
      <c r="AT208" s="65">
        <f>IFERROR(VLOOKUP(Table1215[[#This Row],[Column2]],Table12[[Column2]:[Column54]],45,FALSE),"0")</f>
        <v>0</v>
      </c>
      <c r="AU208" s="65">
        <f>IFERROR(VLOOKUP(Table1215[[#This Row],[Column2]],Table12[[Column2]:[Column54]],46,FALSE),"0")</f>
        <v>0</v>
      </c>
      <c r="AV208" s="67">
        <f>Table1215[[#This Row],[Column43]]</f>
        <v>2</v>
      </c>
      <c r="AW208" s="65">
        <f>IFERROR(VLOOKUP(Table1215[[#This Row],[Column2]],Table12[[Column2]:[Column54]],48,FALSE),"0")</f>
        <v>0</v>
      </c>
      <c r="AX208" s="65">
        <f>IFERROR(VLOOKUP(Table1215[[#This Row],[Column2]],Table12[[Column2]:[Column54]],49,FALSE),"0")</f>
        <v>0</v>
      </c>
      <c r="AY208" s="65">
        <f>IFERROR(VLOOKUP(Table1215[[#This Row],[Column2]],Table12[[Column2]:[Column54]],50,FALSE),"0")</f>
        <v>0</v>
      </c>
      <c r="AZ208" s="65">
        <f>IFERROR(VLOOKUP(Table1215[[#This Row],[Column2]],Table12[[Column2]:[Column54]],51,FALSE),"0")</f>
        <v>3</v>
      </c>
      <c r="BA208" s="65">
        <f>IFERROR(VLOOKUP(Table1215[[#This Row],[Column2]],Table12[[Column2]:[Column54]],52,FALSE),"0")</f>
        <v>2</v>
      </c>
      <c r="BB208" s="67">
        <f>AVERAGE(Table1215[[#This Row],[Column52]],Table1215[[#This Row],[Column53]])</f>
        <v>2.5</v>
      </c>
    </row>
    <row r="209" spans="1:54" ht="23.1" customHeight="1" x14ac:dyDescent="0.3">
      <c r="A209" s="87">
        <v>206</v>
      </c>
      <c r="B209" s="70" t="s">
        <v>446</v>
      </c>
      <c r="C209" s="71" t="s">
        <v>447</v>
      </c>
      <c r="D209" s="70" t="s">
        <v>450</v>
      </c>
      <c r="E209" s="70" t="s">
        <v>289</v>
      </c>
      <c r="F209" s="70" t="str">
        <f>REPT(CHAR(160),10)&amp;Working!$E210</f>
        <v>          D</v>
      </c>
      <c r="G209" s="61">
        <f>IFERROR(VLOOKUP(Table1215[[#This Row],[Column2]],Table12[[Column2]:[Column54]],6,FALSE),"0")</f>
        <v>0</v>
      </c>
      <c r="H209" s="61">
        <f>IFERROR(VLOOKUP(Table1215[[#This Row],[Column2]],Table12[[Column2]:[Column54]],7,FALSE),"0")</f>
        <v>0</v>
      </c>
      <c r="I209" s="61">
        <f>IFERROR(VLOOKUP(Table1215[[#This Row],[Column2]],Table12[[Column2]:[Column54]],8,FALSE),"0")</f>
        <v>2</v>
      </c>
      <c r="J209" s="61">
        <f>IFERROR(VLOOKUP(Table1215[[#This Row],[Column2]],Table12[[Column2]:[Column54]],9,FALSE),"0")</f>
        <v>0</v>
      </c>
      <c r="K209" s="61">
        <f>IFERROR(VLOOKUP(Table1215[[#This Row],[Column2]],Table12[[Column2]:[Column54]],10,FALSE),"0")</f>
        <v>0</v>
      </c>
      <c r="L209" s="67">
        <f>Table1215[[#This Row],[Column9]]</f>
        <v>2</v>
      </c>
      <c r="M209" s="61">
        <f>IFERROR(VLOOKUP(Table1215[[#This Row],[Column2]],Table12[[Column2]:[Column54]],12,FALSE),"0")</f>
        <v>0</v>
      </c>
      <c r="N209" s="61">
        <f>IFERROR(VLOOKUP(Table1215[[#This Row],[Column2]],Table12[[Column2]:[Column54]],13,FALSE),"0")</f>
        <v>3</v>
      </c>
      <c r="O209" s="61">
        <f>IFERROR(VLOOKUP(Table1215[[#This Row],[Column2]],Table12[[Column2]:[Column54]],14,FALSE),"0")</f>
        <v>3</v>
      </c>
      <c r="P209" s="61">
        <f>IFERROR(VLOOKUP(Table1215[[#This Row],[Column2]],Table12[[Column2]:[Column54]],10,FALSE),"0")</f>
        <v>0</v>
      </c>
      <c r="Q209" s="61">
        <f>IFERROR(VLOOKUP(Table1215[[#This Row],[Column2]],Table12[[Column2]:[Column54]],16,FALSE),"0")</f>
        <v>3</v>
      </c>
      <c r="R209" s="67">
        <f>AVERAGE(Table1215[[#This Row],[Column14]],Table1215[[#This Row],[Column15]],Table1215[[#This Row],[Column17]])</f>
        <v>3</v>
      </c>
      <c r="S209" s="61">
        <f>IFERROR(VLOOKUP(Table1215[[#This Row],[Column2]],Table12[[Column2]:[Column54]],18,FALSE),"0")</f>
        <v>0</v>
      </c>
      <c r="T209" s="61">
        <f>IFERROR(VLOOKUP(Table1215[[#This Row],[Column2]],Table12[[Column2]:[Column54]],19,FALSE),"0")</f>
        <v>0</v>
      </c>
      <c r="U209" s="61">
        <f>IFERROR(VLOOKUP(Table1215[[#This Row],[Column2]],Table12[[Column2]:[Column54]],20,FALSE),"0")</f>
        <v>0</v>
      </c>
      <c r="V209" s="61">
        <f>IFERROR(VLOOKUP(Table1215[[#This Row],[Column2]],Table12[[Column2]:[Column54]],21,FALSE),"0")</f>
        <v>0</v>
      </c>
      <c r="W209" s="61">
        <f>IFERROR(VLOOKUP(Table1215[[#This Row],[Column2]],Table12[[Column2]:[Column54]],22,FALSE),"0")</f>
        <v>0</v>
      </c>
      <c r="X209" s="67">
        <f>Table1215[[#This Row],[Column19]]</f>
        <v>0</v>
      </c>
      <c r="Y209" s="61">
        <f>IFERROR(VLOOKUP(Table1215[[#This Row],[Column2]],Table12[[Column2]:[Column54]],24,FALSE),"0")</f>
        <v>2</v>
      </c>
      <c r="Z209" s="61">
        <f>IFERROR(VLOOKUP(Table1215[[#This Row],[Column2]],Table12[[Column2]:[Column54]],25,FALSE),"0")</f>
        <v>0</v>
      </c>
      <c r="AA209" s="61">
        <f>IFERROR(VLOOKUP(Table1215[[#This Row],[Column2]],Table12[[Column2]:[Column54]],26,FALSE),"0")</f>
        <v>0</v>
      </c>
      <c r="AB209" s="61">
        <f>IFERROR(VLOOKUP(Table1215[[#This Row],[Column2]],Table12[[Column2]:[Column54]],27,FALSE),"0")</f>
        <v>0</v>
      </c>
      <c r="AC209" s="61">
        <f>IFERROR(VLOOKUP(Table1215[[#This Row],[Column2]],Table12[[Column2]:[Column54]],28,FALSE),"0")</f>
        <v>0</v>
      </c>
      <c r="AD209" s="67">
        <f>Table1215[[#This Row],[Column25]]</f>
        <v>2</v>
      </c>
      <c r="AE209" s="61">
        <f>IFERROR(VLOOKUP(Table1215[[#This Row],[Column2]],Table12[[Column2]:[Column54]],30,FALSE),"0")</f>
        <v>0</v>
      </c>
      <c r="AF209" s="61">
        <f>IFERROR(VLOOKUP(Table1215[[#This Row],[Column2]],Table12[[Column2]:[Column54]],31,FALSE),"0")</f>
        <v>0</v>
      </c>
      <c r="AG209" s="61">
        <f>IFERROR(VLOOKUP(Table1215[[#This Row],[Column2]],Table12[[Column2]:[Column54]],32,FALSE),"0")</f>
        <v>0</v>
      </c>
      <c r="AH209" s="61">
        <f>IFERROR(VLOOKUP(Table1215[[#This Row],[Column2]],Table12[[Column2]:[Column54]],33,FALSE),"0")</f>
        <v>0</v>
      </c>
      <c r="AI209" s="61">
        <f>IFERROR(VLOOKUP(Table1215[[#This Row],[Column2]],Table12[[Column2]:[Column54]],34,FALSE),"0")</f>
        <v>0</v>
      </c>
      <c r="AJ209" s="67">
        <f>AVERAGE(Table1215[[#This Row],[Column31]],Table1215[[#This Row],[Column32]],Table1215[[#This Row],[Column33]])</f>
        <v>0</v>
      </c>
      <c r="AK209" s="61">
        <f>IFERROR(VLOOKUP(Table1215[[#This Row],[Column2]],Table12[[Column2]:[Column54]],36,FALSE),"0")</f>
        <v>2</v>
      </c>
      <c r="AL209" s="61">
        <f>IFERROR(VLOOKUP(Table1215[[#This Row],[Column2]],Table12[[Column2]:[Column54]],37,FALSE),"0")</f>
        <v>2</v>
      </c>
      <c r="AM209" s="61">
        <f>IFERROR(VLOOKUP(Table1215[[#This Row],[Column2]],Table12[[Column2]:[Column54]],38,FALSE),"0")</f>
        <v>0</v>
      </c>
      <c r="AN209" s="61">
        <f>IFERROR(VLOOKUP(Table1215[[#This Row],[Column2]],Table12[[Column2]:[Column54]],39,FALSE),"0")</f>
        <v>3</v>
      </c>
      <c r="AO209" s="61">
        <f>IFERROR(VLOOKUP(Table1215[[#This Row],[Column2]],Table12[[Column2]:[Column54]],40,FALSE),"0")</f>
        <v>0</v>
      </c>
      <c r="AP209" s="67">
        <f>AVERAGE(Table1215[[#This Row],[Column37]],Table1215[[#This Row],[Column38]],Table1215[[#This Row],[Column40]])</f>
        <v>2.3333333333333335</v>
      </c>
      <c r="AQ209" s="61">
        <f>IFERROR(VLOOKUP(Table1215[[#This Row],[Column2]],Table12[[Column2]:[Column54]],42,FALSE),"0")</f>
        <v>2</v>
      </c>
      <c r="AR209" s="61">
        <f>IFERROR(VLOOKUP(Table1215[[#This Row],[Column2]],Table12[[Column2]:[Column54]],43,FALSE),"0")</f>
        <v>0</v>
      </c>
      <c r="AS209" s="61">
        <f>IFERROR(VLOOKUP(Table1215[[#This Row],[Column2]],Table12[[Column2]:[Column54]],44,FALSE),"0")</f>
        <v>0</v>
      </c>
      <c r="AT209" s="61">
        <f>IFERROR(VLOOKUP(Table1215[[#This Row],[Column2]],Table12[[Column2]:[Column54]],45,FALSE),"0")</f>
        <v>0</v>
      </c>
      <c r="AU209" s="61">
        <f>IFERROR(VLOOKUP(Table1215[[#This Row],[Column2]],Table12[[Column2]:[Column54]],46,FALSE),"0")</f>
        <v>0</v>
      </c>
      <c r="AV209" s="67">
        <f>Table1215[[#This Row],[Column43]]</f>
        <v>2</v>
      </c>
      <c r="AW209" s="61">
        <f>IFERROR(VLOOKUP(Table1215[[#This Row],[Column2]],Table12[[Column2]:[Column54]],48,FALSE),"0")</f>
        <v>0</v>
      </c>
      <c r="AX209" s="61">
        <f>IFERROR(VLOOKUP(Table1215[[#This Row],[Column2]],Table12[[Column2]:[Column54]],49,FALSE),"0")</f>
        <v>0</v>
      </c>
      <c r="AY209" s="61">
        <f>IFERROR(VLOOKUP(Table1215[[#This Row],[Column2]],Table12[[Column2]:[Column54]],50,FALSE),"0")</f>
        <v>0</v>
      </c>
      <c r="AZ209" s="61">
        <f>IFERROR(VLOOKUP(Table1215[[#This Row],[Column2]],Table12[[Column2]:[Column54]],51,FALSE),"0")</f>
        <v>2</v>
      </c>
      <c r="BA209" s="61">
        <f>IFERROR(VLOOKUP(Table1215[[#This Row],[Column2]],Table12[[Column2]:[Column54]],52,FALSE),"0")</f>
        <v>3</v>
      </c>
      <c r="BB209" s="67">
        <f>AVERAGE(Table1215[[#This Row],[Column52]],Table1215[[#This Row],[Column53]])</f>
        <v>2.5</v>
      </c>
    </row>
    <row r="210" spans="1:54" ht="23.1" customHeight="1" x14ac:dyDescent="0.3">
      <c r="A210" s="86">
        <v>207</v>
      </c>
      <c r="B210" s="63" t="s">
        <v>448</v>
      </c>
      <c r="C210" s="64" t="s">
        <v>449</v>
      </c>
      <c r="D210" s="63" t="s">
        <v>450</v>
      </c>
      <c r="E210" s="63" t="s">
        <v>289</v>
      </c>
      <c r="F210" s="63" t="str">
        <f>REPT(CHAR(160),10)&amp;Working!$E211</f>
        <v>          D</v>
      </c>
      <c r="G210" s="65">
        <f>IFERROR(VLOOKUP(Table1215[[#This Row],[Column2]],Table12[[Column2]:[Column54]],6,FALSE),"0")</f>
        <v>0</v>
      </c>
      <c r="H210" s="65">
        <f>IFERROR(VLOOKUP(Table1215[[#This Row],[Column2]],Table12[[Column2]:[Column54]],7,FALSE),"0")</f>
        <v>0</v>
      </c>
      <c r="I210" s="65">
        <f>IFERROR(VLOOKUP(Table1215[[#This Row],[Column2]],Table12[[Column2]:[Column54]],8,FALSE),"0")</f>
        <v>2</v>
      </c>
      <c r="J210" s="65">
        <f>IFERROR(VLOOKUP(Table1215[[#This Row],[Column2]],Table12[[Column2]:[Column54]],9,FALSE),"0")</f>
        <v>0</v>
      </c>
      <c r="K210" s="65">
        <f>IFERROR(VLOOKUP(Table1215[[#This Row],[Column2]],Table12[[Column2]:[Column54]],10,FALSE),"0")</f>
        <v>0</v>
      </c>
      <c r="L210" s="67">
        <f>Table1215[[#This Row],[Column9]]</f>
        <v>2</v>
      </c>
      <c r="M210" s="65">
        <f>IFERROR(VLOOKUP(Table1215[[#This Row],[Column2]],Table12[[Column2]:[Column54]],12,FALSE),"0")</f>
        <v>0</v>
      </c>
      <c r="N210" s="65">
        <f>IFERROR(VLOOKUP(Table1215[[#This Row],[Column2]],Table12[[Column2]:[Column54]],13,FALSE),"0")</f>
        <v>2</v>
      </c>
      <c r="O210" s="65">
        <f>IFERROR(VLOOKUP(Table1215[[#This Row],[Column2]],Table12[[Column2]:[Column54]],14,FALSE),"0")</f>
        <v>3</v>
      </c>
      <c r="P210" s="65">
        <f>IFERROR(VLOOKUP(Table1215[[#This Row],[Column2]],Table12[[Column2]:[Column54]],10,FALSE),"0")</f>
        <v>0</v>
      </c>
      <c r="Q210" s="65">
        <f>IFERROR(VLOOKUP(Table1215[[#This Row],[Column2]],Table12[[Column2]:[Column54]],16,FALSE),"0")</f>
        <v>3</v>
      </c>
      <c r="R210" s="67">
        <f>AVERAGE(Table1215[[#This Row],[Column14]],Table1215[[#This Row],[Column15]],Table1215[[#This Row],[Column17]])</f>
        <v>2.6666666666666665</v>
      </c>
      <c r="S210" s="65">
        <f>IFERROR(VLOOKUP(Table1215[[#This Row],[Column2]],Table12[[Column2]:[Column54]],18,FALSE),"0")</f>
        <v>0</v>
      </c>
      <c r="T210" s="65">
        <f>IFERROR(VLOOKUP(Table1215[[#This Row],[Column2]],Table12[[Column2]:[Column54]],19,FALSE),"0")</f>
        <v>0</v>
      </c>
      <c r="U210" s="65">
        <f>IFERROR(VLOOKUP(Table1215[[#This Row],[Column2]],Table12[[Column2]:[Column54]],20,FALSE),"0")</f>
        <v>0</v>
      </c>
      <c r="V210" s="65">
        <f>IFERROR(VLOOKUP(Table1215[[#This Row],[Column2]],Table12[[Column2]:[Column54]],21,FALSE),"0")</f>
        <v>0</v>
      </c>
      <c r="W210" s="65">
        <f>IFERROR(VLOOKUP(Table1215[[#This Row],[Column2]],Table12[[Column2]:[Column54]],22,FALSE),"0")</f>
        <v>0</v>
      </c>
      <c r="X210" s="67">
        <f>Table1215[[#This Row],[Column19]]</f>
        <v>0</v>
      </c>
      <c r="Y210" s="65">
        <f>IFERROR(VLOOKUP(Table1215[[#This Row],[Column2]],Table12[[Column2]:[Column54]],24,FALSE),"0")</f>
        <v>2</v>
      </c>
      <c r="Z210" s="65">
        <f>IFERROR(VLOOKUP(Table1215[[#This Row],[Column2]],Table12[[Column2]:[Column54]],25,FALSE),"0")</f>
        <v>0</v>
      </c>
      <c r="AA210" s="65">
        <f>IFERROR(VLOOKUP(Table1215[[#This Row],[Column2]],Table12[[Column2]:[Column54]],26,FALSE),"0")</f>
        <v>0</v>
      </c>
      <c r="AB210" s="65">
        <f>IFERROR(VLOOKUP(Table1215[[#This Row],[Column2]],Table12[[Column2]:[Column54]],27,FALSE),"0")</f>
        <v>0</v>
      </c>
      <c r="AC210" s="65">
        <f>IFERROR(VLOOKUP(Table1215[[#This Row],[Column2]],Table12[[Column2]:[Column54]],28,FALSE),"0")</f>
        <v>0</v>
      </c>
      <c r="AD210" s="67">
        <f>Table1215[[#This Row],[Column25]]</f>
        <v>2</v>
      </c>
      <c r="AE210" s="65">
        <f>IFERROR(VLOOKUP(Table1215[[#This Row],[Column2]],Table12[[Column2]:[Column54]],30,FALSE),"0")</f>
        <v>0</v>
      </c>
      <c r="AF210" s="65">
        <f>IFERROR(VLOOKUP(Table1215[[#This Row],[Column2]],Table12[[Column2]:[Column54]],31,FALSE),"0")</f>
        <v>0</v>
      </c>
      <c r="AG210" s="65">
        <f>IFERROR(VLOOKUP(Table1215[[#This Row],[Column2]],Table12[[Column2]:[Column54]],32,FALSE),"0")</f>
        <v>0</v>
      </c>
      <c r="AH210" s="65">
        <f>IFERROR(VLOOKUP(Table1215[[#This Row],[Column2]],Table12[[Column2]:[Column54]],33,FALSE),"0")</f>
        <v>0</v>
      </c>
      <c r="AI210" s="65">
        <f>IFERROR(VLOOKUP(Table1215[[#This Row],[Column2]],Table12[[Column2]:[Column54]],34,FALSE),"0")</f>
        <v>0</v>
      </c>
      <c r="AJ210" s="67">
        <f>AVERAGE(Table1215[[#This Row],[Column31]],Table1215[[#This Row],[Column32]],Table1215[[#This Row],[Column33]])</f>
        <v>0</v>
      </c>
      <c r="AK210" s="65">
        <f>IFERROR(VLOOKUP(Table1215[[#This Row],[Column2]],Table12[[Column2]:[Column54]],36,FALSE),"0")</f>
        <v>2</v>
      </c>
      <c r="AL210" s="65">
        <f>IFERROR(VLOOKUP(Table1215[[#This Row],[Column2]],Table12[[Column2]:[Column54]],37,FALSE),"0")</f>
        <v>3</v>
      </c>
      <c r="AM210" s="65">
        <f>IFERROR(VLOOKUP(Table1215[[#This Row],[Column2]],Table12[[Column2]:[Column54]],38,FALSE),"0")</f>
        <v>0</v>
      </c>
      <c r="AN210" s="65">
        <f>IFERROR(VLOOKUP(Table1215[[#This Row],[Column2]],Table12[[Column2]:[Column54]],39,FALSE),"0")</f>
        <v>3</v>
      </c>
      <c r="AO210" s="65">
        <f>IFERROR(VLOOKUP(Table1215[[#This Row],[Column2]],Table12[[Column2]:[Column54]],40,FALSE),"0")</f>
        <v>0</v>
      </c>
      <c r="AP210" s="67">
        <f>AVERAGE(Table1215[[#This Row],[Column37]],Table1215[[#This Row],[Column38]],Table1215[[#This Row],[Column40]])</f>
        <v>2.6666666666666665</v>
      </c>
      <c r="AQ210" s="65">
        <f>IFERROR(VLOOKUP(Table1215[[#This Row],[Column2]],Table12[[Column2]:[Column54]],42,FALSE),"0")</f>
        <v>3</v>
      </c>
      <c r="AR210" s="65">
        <f>IFERROR(VLOOKUP(Table1215[[#This Row],[Column2]],Table12[[Column2]:[Column54]],43,FALSE),"0")</f>
        <v>0</v>
      </c>
      <c r="AS210" s="65">
        <f>IFERROR(VLOOKUP(Table1215[[#This Row],[Column2]],Table12[[Column2]:[Column54]],44,FALSE),"0")</f>
        <v>0</v>
      </c>
      <c r="AT210" s="65">
        <f>IFERROR(VLOOKUP(Table1215[[#This Row],[Column2]],Table12[[Column2]:[Column54]],45,FALSE),"0")</f>
        <v>0</v>
      </c>
      <c r="AU210" s="65">
        <f>IFERROR(VLOOKUP(Table1215[[#This Row],[Column2]],Table12[[Column2]:[Column54]],46,FALSE),"0")</f>
        <v>0</v>
      </c>
      <c r="AV210" s="67">
        <f>Table1215[[#This Row],[Column43]]</f>
        <v>3</v>
      </c>
      <c r="AW210" s="65">
        <f>IFERROR(VLOOKUP(Table1215[[#This Row],[Column2]],Table12[[Column2]:[Column54]],48,FALSE),"0")</f>
        <v>0</v>
      </c>
      <c r="AX210" s="65">
        <f>IFERROR(VLOOKUP(Table1215[[#This Row],[Column2]],Table12[[Column2]:[Column54]],49,FALSE),"0")</f>
        <v>0</v>
      </c>
      <c r="AY210" s="65">
        <f>IFERROR(VLOOKUP(Table1215[[#This Row],[Column2]],Table12[[Column2]:[Column54]],50,FALSE),"0")</f>
        <v>0</v>
      </c>
      <c r="AZ210" s="65">
        <f>IFERROR(VLOOKUP(Table1215[[#This Row],[Column2]],Table12[[Column2]:[Column54]],51,FALSE),"0")</f>
        <v>3</v>
      </c>
      <c r="BA210" s="65">
        <f>IFERROR(VLOOKUP(Table1215[[#This Row],[Column2]],Table12[[Column2]:[Column54]],52,FALSE),"0")</f>
        <v>3</v>
      </c>
      <c r="BB210" s="67">
        <f>AVERAGE(Table1215[[#This Row],[Column52]],Table1215[[#This Row],[Column53]])</f>
        <v>3</v>
      </c>
    </row>
    <row r="211" spans="1:54" ht="23.1" customHeight="1" x14ac:dyDescent="0.3">
      <c r="A211" s="87">
        <v>208</v>
      </c>
      <c r="B211" s="70" t="s">
        <v>74</v>
      </c>
      <c r="C211" s="71" t="s">
        <v>494</v>
      </c>
      <c r="D211" s="70" t="s">
        <v>450</v>
      </c>
      <c r="E211" s="70" t="s">
        <v>289</v>
      </c>
      <c r="F211" s="70" t="str">
        <f>REPT(CHAR(160),10)&amp;Working!$E212</f>
        <v>          D</v>
      </c>
      <c r="G211" s="61">
        <f>IFERROR(VLOOKUP(Table1215[[#This Row],[Column2]],Table12[[Column2]:[Column54]],6,FALSE),"0")</f>
        <v>0</v>
      </c>
      <c r="H211" s="61">
        <f>IFERROR(VLOOKUP(Table1215[[#This Row],[Column2]],Table12[[Column2]:[Column54]],7,FALSE),"0")</f>
        <v>0</v>
      </c>
      <c r="I211" s="61">
        <f>IFERROR(VLOOKUP(Table1215[[#This Row],[Column2]],Table12[[Column2]:[Column54]],8,FALSE),"0")</f>
        <v>3</v>
      </c>
      <c r="J211" s="61">
        <f>IFERROR(VLOOKUP(Table1215[[#This Row],[Column2]],Table12[[Column2]:[Column54]],9,FALSE),"0")</f>
        <v>0</v>
      </c>
      <c r="K211" s="61">
        <f>IFERROR(VLOOKUP(Table1215[[#This Row],[Column2]],Table12[[Column2]:[Column54]],10,FALSE),"0")</f>
        <v>0</v>
      </c>
      <c r="L211" s="67">
        <f>Table1215[[#This Row],[Column9]]</f>
        <v>3</v>
      </c>
      <c r="M211" s="61">
        <f>IFERROR(VLOOKUP(Table1215[[#This Row],[Column2]],Table12[[Column2]:[Column54]],12,FALSE),"0")</f>
        <v>0</v>
      </c>
      <c r="N211" s="61">
        <f>IFERROR(VLOOKUP(Table1215[[#This Row],[Column2]],Table12[[Column2]:[Column54]],13,FALSE),"0")</f>
        <v>4</v>
      </c>
      <c r="O211" s="61">
        <f>IFERROR(VLOOKUP(Table1215[[#This Row],[Column2]],Table12[[Column2]:[Column54]],14,FALSE),"0")</f>
        <v>3</v>
      </c>
      <c r="P211" s="61">
        <f>IFERROR(VLOOKUP(Table1215[[#This Row],[Column2]],Table12[[Column2]:[Column54]],10,FALSE),"0")</f>
        <v>0</v>
      </c>
      <c r="Q211" s="61">
        <f>IFERROR(VLOOKUP(Table1215[[#This Row],[Column2]],Table12[[Column2]:[Column54]],16,FALSE),"0")</f>
        <v>3</v>
      </c>
      <c r="R211" s="67">
        <f>AVERAGE(Table1215[[#This Row],[Column14]],Table1215[[#This Row],[Column15]],Table1215[[#This Row],[Column17]])</f>
        <v>3.3333333333333335</v>
      </c>
      <c r="S211" s="61">
        <f>IFERROR(VLOOKUP(Table1215[[#This Row],[Column2]],Table12[[Column2]:[Column54]],18,FALSE),"0")</f>
        <v>0</v>
      </c>
      <c r="T211" s="61">
        <f>IFERROR(VLOOKUP(Table1215[[#This Row],[Column2]],Table12[[Column2]:[Column54]],19,FALSE),"0")</f>
        <v>0</v>
      </c>
      <c r="U211" s="61">
        <f>IFERROR(VLOOKUP(Table1215[[#This Row],[Column2]],Table12[[Column2]:[Column54]],20,FALSE),"0")</f>
        <v>0</v>
      </c>
      <c r="V211" s="61">
        <f>IFERROR(VLOOKUP(Table1215[[#This Row],[Column2]],Table12[[Column2]:[Column54]],21,FALSE),"0")</f>
        <v>0</v>
      </c>
      <c r="W211" s="61">
        <f>IFERROR(VLOOKUP(Table1215[[#This Row],[Column2]],Table12[[Column2]:[Column54]],22,FALSE),"0")</f>
        <v>0</v>
      </c>
      <c r="X211" s="67">
        <f>Table1215[[#This Row],[Column19]]</f>
        <v>0</v>
      </c>
      <c r="Y211" s="61">
        <f>IFERROR(VLOOKUP(Table1215[[#This Row],[Column2]],Table12[[Column2]:[Column54]],24,FALSE),"0")</f>
        <v>4</v>
      </c>
      <c r="Z211" s="61">
        <f>IFERROR(VLOOKUP(Table1215[[#This Row],[Column2]],Table12[[Column2]:[Column54]],25,FALSE),"0")</f>
        <v>0</v>
      </c>
      <c r="AA211" s="61">
        <f>IFERROR(VLOOKUP(Table1215[[#This Row],[Column2]],Table12[[Column2]:[Column54]],26,FALSE),"0")</f>
        <v>0</v>
      </c>
      <c r="AB211" s="61">
        <f>IFERROR(VLOOKUP(Table1215[[#This Row],[Column2]],Table12[[Column2]:[Column54]],27,FALSE),"0")</f>
        <v>0</v>
      </c>
      <c r="AC211" s="61">
        <f>IFERROR(VLOOKUP(Table1215[[#This Row],[Column2]],Table12[[Column2]:[Column54]],28,FALSE),"0")</f>
        <v>0</v>
      </c>
      <c r="AD211" s="67">
        <f>Table1215[[#This Row],[Column25]]</f>
        <v>4</v>
      </c>
      <c r="AE211" s="61">
        <f>IFERROR(VLOOKUP(Table1215[[#This Row],[Column2]],Table12[[Column2]:[Column54]],30,FALSE),"0")</f>
        <v>0</v>
      </c>
      <c r="AF211" s="61">
        <f>IFERROR(VLOOKUP(Table1215[[#This Row],[Column2]],Table12[[Column2]:[Column54]],31,FALSE),"0")</f>
        <v>0</v>
      </c>
      <c r="AG211" s="61">
        <f>IFERROR(VLOOKUP(Table1215[[#This Row],[Column2]],Table12[[Column2]:[Column54]],32,FALSE),"0")</f>
        <v>0</v>
      </c>
      <c r="AH211" s="61">
        <f>IFERROR(VLOOKUP(Table1215[[#This Row],[Column2]],Table12[[Column2]:[Column54]],33,FALSE),"0")</f>
        <v>0</v>
      </c>
      <c r="AI211" s="61">
        <f>IFERROR(VLOOKUP(Table1215[[#This Row],[Column2]],Table12[[Column2]:[Column54]],34,FALSE),"0")</f>
        <v>0</v>
      </c>
      <c r="AJ211" s="67">
        <f>AVERAGE(Table1215[[#This Row],[Column31]],Table1215[[#This Row],[Column32]],Table1215[[#This Row],[Column33]])</f>
        <v>0</v>
      </c>
      <c r="AK211" s="61">
        <f>IFERROR(VLOOKUP(Table1215[[#This Row],[Column2]],Table12[[Column2]:[Column54]],36,FALSE),"0")</f>
        <v>2</v>
      </c>
      <c r="AL211" s="61">
        <f>IFERROR(VLOOKUP(Table1215[[#This Row],[Column2]],Table12[[Column2]:[Column54]],37,FALSE),"0")</f>
        <v>3</v>
      </c>
      <c r="AM211" s="61">
        <f>IFERROR(VLOOKUP(Table1215[[#This Row],[Column2]],Table12[[Column2]:[Column54]],38,FALSE),"0")</f>
        <v>0</v>
      </c>
      <c r="AN211" s="61">
        <f>IFERROR(VLOOKUP(Table1215[[#This Row],[Column2]],Table12[[Column2]:[Column54]],39,FALSE),"0")</f>
        <v>3</v>
      </c>
      <c r="AO211" s="61">
        <f>IFERROR(VLOOKUP(Table1215[[#This Row],[Column2]],Table12[[Column2]:[Column54]],40,FALSE),"0")</f>
        <v>0</v>
      </c>
      <c r="AP211" s="67">
        <f>AVERAGE(Table1215[[#This Row],[Column37]],Table1215[[#This Row],[Column38]],Table1215[[#This Row],[Column40]])</f>
        <v>2.6666666666666665</v>
      </c>
      <c r="AQ211" s="61">
        <f>IFERROR(VLOOKUP(Table1215[[#This Row],[Column2]],Table12[[Column2]:[Column54]],42,FALSE),"0")</f>
        <v>3</v>
      </c>
      <c r="AR211" s="61">
        <f>IFERROR(VLOOKUP(Table1215[[#This Row],[Column2]],Table12[[Column2]:[Column54]],43,FALSE),"0")</f>
        <v>0</v>
      </c>
      <c r="AS211" s="61">
        <f>IFERROR(VLOOKUP(Table1215[[#This Row],[Column2]],Table12[[Column2]:[Column54]],44,FALSE),"0")</f>
        <v>0</v>
      </c>
      <c r="AT211" s="61">
        <f>IFERROR(VLOOKUP(Table1215[[#This Row],[Column2]],Table12[[Column2]:[Column54]],45,FALSE),"0")</f>
        <v>0</v>
      </c>
      <c r="AU211" s="61">
        <f>IFERROR(VLOOKUP(Table1215[[#This Row],[Column2]],Table12[[Column2]:[Column54]],46,FALSE),"0")</f>
        <v>0</v>
      </c>
      <c r="AV211" s="67">
        <f>Table1215[[#This Row],[Column43]]</f>
        <v>3</v>
      </c>
      <c r="AW211" s="61">
        <f>IFERROR(VLOOKUP(Table1215[[#This Row],[Column2]],Table12[[Column2]:[Column54]],48,FALSE),"0")</f>
        <v>0</v>
      </c>
      <c r="AX211" s="61">
        <f>IFERROR(VLOOKUP(Table1215[[#This Row],[Column2]],Table12[[Column2]:[Column54]],49,FALSE),"0")</f>
        <v>0</v>
      </c>
      <c r="AY211" s="61">
        <f>IFERROR(VLOOKUP(Table1215[[#This Row],[Column2]],Table12[[Column2]:[Column54]],50,FALSE),"0")</f>
        <v>0</v>
      </c>
      <c r="AZ211" s="61">
        <f>IFERROR(VLOOKUP(Table1215[[#This Row],[Column2]],Table12[[Column2]:[Column54]],51,FALSE),"0")</f>
        <v>3</v>
      </c>
      <c r="BA211" s="61">
        <f>IFERROR(VLOOKUP(Table1215[[#This Row],[Column2]],Table12[[Column2]:[Column54]],52,FALSE),"0")</f>
        <v>3</v>
      </c>
      <c r="BB211" s="67">
        <f>AVERAGE(Table1215[[#This Row],[Column52]],Table1215[[#This Row],[Column53]])</f>
        <v>3</v>
      </c>
    </row>
    <row r="212" spans="1:54" ht="23.1" customHeight="1" x14ac:dyDescent="0.3">
      <c r="A212" s="86">
        <v>209</v>
      </c>
      <c r="B212" s="63" t="s">
        <v>451</v>
      </c>
      <c r="C212" s="64" t="s">
        <v>452</v>
      </c>
      <c r="D212" s="63" t="s">
        <v>450</v>
      </c>
      <c r="E212" s="63" t="s">
        <v>289</v>
      </c>
      <c r="F212" s="63" t="str">
        <f>REPT(CHAR(160),10)&amp;Working!$E213</f>
        <v>          D</v>
      </c>
      <c r="G212" s="65">
        <f>IFERROR(VLOOKUP(Table1215[[#This Row],[Column2]],Table12[[Column2]:[Column54]],6,FALSE),"0")</f>
        <v>0</v>
      </c>
      <c r="H212" s="65">
        <f>IFERROR(VLOOKUP(Table1215[[#This Row],[Column2]],Table12[[Column2]:[Column54]],7,FALSE),"0")</f>
        <v>0</v>
      </c>
      <c r="I212" s="65">
        <f>IFERROR(VLOOKUP(Table1215[[#This Row],[Column2]],Table12[[Column2]:[Column54]],8,FALSE),"0")</f>
        <v>2</v>
      </c>
      <c r="J212" s="65">
        <f>IFERROR(VLOOKUP(Table1215[[#This Row],[Column2]],Table12[[Column2]:[Column54]],9,FALSE),"0")</f>
        <v>0</v>
      </c>
      <c r="K212" s="65">
        <f>IFERROR(VLOOKUP(Table1215[[#This Row],[Column2]],Table12[[Column2]:[Column54]],10,FALSE),"0")</f>
        <v>0</v>
      </c>
      <c r="L212" s="67">
        <f>Table1215[[#This Row],[Column9]]</f>
        <v>2</v>
      </c>
      <c r="M212" s="65">
        <f>IFERROR(VLOOKUP(Table1215[[#This Row],[Column2]],Table12[[Column2]:[Column54]],12,FALSE),"0")</f>
        <v>0</v>
      </c>
      <c r="N212" s="65">
        <f>IFERROR(VLOOKUP(Table1215[[#This Row],[Column2]],Table12[[Column2]:[Column54]],13,FALSE),"0")</f>
        <v>2</v>
      </c>
      <c r="O212" s="65">
        <f>IFERROR(VLOOKUP(Table1215[[#This Row],[Column2]],Table12[[Column2]:[Column54]],14,FALSE),"0")</f>
        <v>2</v>
      </c>
      <c r="P212" s="65">
        <f>IFERROR(VLOOKUP(Table1215[[#This Row],[Column2]],Table12[[Column2]:[Column54]],10,FALSE),"0")</f>
        <v>0</v>
      </c>
      <c r="Q212" s="65">
        <f>IFERROR(VLOOKUP(Table1215[[#This Row],[Column2]],Table12[[Column2]:[Column54]],16,FALSE),"0")</f>
        <v>2</v>
      </c>
      <c r="R212" s="67">
        <f>AVERAGE(Table1215[[#This Row],[Column14]],Table1215[[#This Row],[Column15]],Table1215[[#This Row],[Column17]])</f>
        <v>2</v>
      </c>
      <c r="S212" s="65">
        <f>IFERROR(VLOOKUP(Table1215[[#This Row],[Column2]],Table12[[Column2]:[Column54]],18,FALSE),"0")</f>
        <v>0</v>
      </c>
      <c r="T212" s="65">
        <f>IFERROR(VLOOKUP(Table1215[[#This Row],[Column2]],Table12[[Column2]:[Column54]],19,FALSE),"0")</f>
        <v>0</v>
      </c>
      <c r="U212" s="65">
        <f>IFERROR(VLOOKUP(Table1215[[#This Row],[Column2]],Table12[[Column2]:[Column54]],20,FALSE),"0")</f>
        <v>0</v>
      </c>
      <c r="V212" s="65">
        <f>IFERROR(VLOOKUP(Table1215[[#This Row],[Column2]],Table12[[Column2]:[Column54]],21,FALSE),"0")</f>
        <v>0</v>
      </c>
      <c r="W212" s="65">
        <f>IFERROR(VLOOKUP(Table1215[[#This Row],[Column2]],Table12[[Column2]:[Column54]],22,FALSE),"0")</f>
        <v>0</v>
      </c>
      <c r="X212" s="67">
        <f>Table1215[[#This Row],[Column19]]</f>
        <v>0</v>
      </c>
      <c r="Y212" s="65">
        <f>IFERROR(VLOOKUP(Table1215[[#This Row],[Column2]],Table12[[Column2]:[Column54]],24,FALSE),"0")</f>
        <v>2</v>
      </c>
      <c r="Z212" s="65">
        <f>IFERROR(VLOOKUP(Table1215[[#This Row],[Column2]],Table12[[Column2]:[Column54]],25,FALSE),"0")</f>
        <v>0</v>
      </c>
      <c r="AA212" s="65">
        <f>IFERROR(VLOOKUP(Table1215[[#This Row],[Column2]],Table12[[Column2]:[Column54]],26,FALSE),"0")</f>
        <v>0</v>
      </c>
      <c r="AB212" s="65">
        <f>IFERROR(VLOOKUP(Table1215[[#This Row],[Column2]],Table12[[Column2]:[Column54]],27,FALSE),"0")</f>
        <v>0</v>
      </c>
      <c r="AC212" s="65">
        <f>IFERROR(VLOOKUP(Table1215[[#This Row],[Column2]],Table12[[Column2]:[Column54]],28,FALSE),"0")</f>
        <v>0</v>
      </c>
      <c r="AD212" s="67">
        <f>Table1215[[#This Row],[Column25]]</f>
        <v>2</v>
      </c>
      <c r="AE212" s="65">
        <f>IFERROR(VLOOKUP(Table1215[[#This Row],[Column2]],Table12[[Column2]:[Column54]],30,FALSE),"0")</f>
        <v>0</v>
      </c>
      <c r="AF212" s="65">
        <f>IFERROR(VLOOKUP(Table1215[[#This Row],[Column2]],Table12[[Column2]:[Column54]],31,FALSE),"0")</f>
        <v>0</v>
      </c>
      <c r="AG212" s="65">
        <f>IFERROR(VLOOKUP(Table1215[[#This Row],[Column2]],Table12[[Column2]:[Column54]],32,FALSE),"0")</f>
        <v>0</v>
      </c>
      <c r="AH212" s="65">
        <f>IFERROR(VLOOKUP(Table1215[[#This Row],[Column2]],Table12[[Column2]:[Column54]],33,FALSE),"0")</f>
        <v>0</v>
      </c>
      <c r="AI212" s="65">
        <f>IFERROR(VLOOKUP(Table1215[[#This Row],[Column2]],Table12[[Column2]:[Column54]],34,FALSE),"0")</f>
        <v>0</v>
      </c>
      <c r="AJ212" s="67">
        <f>AVERAGE(Table1215[[#This Row],[Column31]],Table1215[[#This Row],[Column32]],Table1215[[#This Row],[Column33]])</f>
        <v>0</v>
      </c>
      <c r="AK212" s="65">
        <f>IFERROR(VLOOKUP(Table1215[[#This Row],[Column2]],Table12[[Column2]:[Column54]],36,FALSE),"0")</f>
        <v>2</v>
      </c>
      <c r="AL212" s="65">
        <f>IFERROR(VLOOKUP(Table1215[[#This Row],[Column2]],Table12[[Column2]:[Column54]],37,FALSE),"0")</f>
        <v>2</v>
      </c>
      <c r="AM212" s="65">
        <f>IFERROR(VLOOKUP(Table1215[[#This Row],[Column2]],Table12[[Column2]:[Column54]],38,FALSE),"0")</f>
        <v>0</v>
      </c>
      <c r="AN212" s="65">
        <f>IFERROR(VLOOKUP(Table1215[[#This Row],[Column2]],Table12[[Column2]:[Column54]],39,FALSE),"0")</f>
        <v>3</v>
      </c>
      <c r="AO212" s="65">
        <f>IFERROR(VLOOKUP(Table1215[[#This Row],[Column2]],Table12[[Column2]:[Column54]],40,FALSE),"0")</f>
        <v>0</v>
      </c>
      <c r="AP212" s="67">
        <f>AVERAGE(Table1215[[#This Row],[Column37]],Table1215[[#This Row],[Column38]],Table1215[[#This Row],[Column40]])</f>
        <v>2.3333333333333335</v>
      </c>
      <c r="AQ212" s="65">
        <f>IFERROR(VLOOKUP(Table1215[[#This Row],[Column2]],Table12[[Column2]:[Column54]],42,FALSE),"0")</f>
        <v>2</v>
      </c>
      <c r="AR212" s="65">
        <f>IFERROR(VLOOKUP(Table1215[[#This Row],[Column2]],Table12[[Column2]:[Column54]],43,FALSE),"0")</f>
        <v>0</v>
      </c>
      <c r="AS212" s="65">
        <f>IFERROR(VLOOKUP(Table1215[[#This Row],[Column2]],Table12[[Column2]:[Column54]],44,FALSE),"0")</f>
        <v>0</v>
      </c>
      <c r="AT212" s="65">
        <f>IFERROR(VLOOKUP(Table1215[[#This Row],[Column2]],Table12[[Column2]:[Column54]],45,FALSE),"0")</f>
        <v>0</v>
      </c>
      <c r="AU212" s="65">
        <f>IFERROR(VLOOKUP(Table1215[[#This Row],[Column2]],Table12[[Column2]:[Column54]],46,FALSE),"0")</f>
        <v>0</v>
      </c>
      <c r="AV212" s="67">
        <f>Table1215[[#This Row],[Column43]]</f>
        <v>2</v>
      </c>
      <c r="AW212" s="65">
        <f>IFERROR(VLOOKUP(Table1215[[#This Row],[Column2]],Table12[[Column2]:[Column54]],48,FALSE),"0")</f>
        <v>0</v>
      </c>
      <c r="AX212" s="65">
        <f>IFERROR(VLOOKUP(Table1215[[#This Row],[Column2]],Table12[[Column2]:[Column54]],49,FALSE),"0")</f>
        <v>0</v>
      </c>
      <c r="AY212" s="65">
        <f>IFERROR(VLOOKUP(Table1215[[#This Row],[Column2]],Table12[[Column2]:[Column54]],50,FALSE),"0")</f>
        <v>0</v>
      </c>
      <c r="AZ212" s="65">
        <f>IFERROR(VLOOKUP(Table1215[[#This Row],[Column2]],Table12[[Column2]:[Column54]],51,FALSE),"0")</f>
        <v>3</v>
      </c>
      <c r="BA212" s="65">
        <f>IFERROR(VLOOKUP(Table1215[[#This Row],[Column2]],Table12[[Column2]:[Column54]],52,FALSE),"0")</f>
        <v>3</v>
      </c>
      <c r="BB212" s="67">
        <f>AVERAGE(Table1215[[#This Row],[Column52]],Table1215[[#This Row],[Column53]])</f>
        <v>3</v>
      </c>
    </row>
    <row r="213" spans="1:54" ht="23.1" customHeight="1" x14ac:dyDescent="0.3">
      <c r="A213" s="87">
        <v>210</v>
      </c>
      <c r="B213" s="70" t="s">
        <v>453</v>
      </c>
      <c r="C213" s="71" t="s">
        <v>454</v>
      </c>
      <c r="D213" s="70" t="s">
        <v>450</v>
      </c>
      <c r="E213" s="70" t="s">
        <v>289</v>
      </c>
      <c r="F213" s="70" t="str">
        <f>REPT(CHAR(160),10)&amp;Working!$E214</f>
        <v>          D</v>
      </c>
      <c r="G213" s="61">
        <f>IFERROR(VLOOKUP(Table1215[[#This Row],[Column2]],Table12[[Column2]:[Column54]],6,FALSE),"0")</f>
        <v>0</v>
      </c>
      <c r="H213" s="61">
        <f>IFERROR(VLOOKUP(Table1215[[#This Row],[Column2]],Table12[[Column2]:[Column54]],7,FALSE),"0")</f>
        <v>0</v>
      </c>
      <c r="I213" s="61">
        <f>IFERROR(VLOOKUP(Table1215[[#This Row],[Column2]],Table12[[Column2]:[Column54]],8,FALSE),"0")</f>
        <v>2</v>
      </c>
      <c r="J213" s="61">
        <f>IFERROR(VLOOKUP(Table1215[[#This Row],[Column2]],Table12[[Column2]:[Column54]],9,FALSE),"0")</f>
        <v>0</v>
      </c>
      <c r="K213" s="61">
        <f>IFERROR(VLOOKUP(Table1215[[#This Row],[Column2]],Table12[[Column2]:[Column54]],10,FALSE),"0")</f>
        <v>0</v>
      </c>
      <c r="L213" s="67">
        <f>Table1215[[#This Row],[Column9]]</f>
        <v>2</v>
      </c>
      <c r="M213" s="61">
        <f>IFERROR(VLOOKUP(Table1215[[#This Row],[Column2]],Table12[[Column2]:[Column54]],12,FALSE),"0")</f>
        <v>0</v>
      </c>
      <c r="N213" s="61">
        <f>IFERROR(VLOOKUP(Table1215[[#This Row],[Column2]],Table12[[Column2]:[Column54]],13,FALSE),"0")</f>
        <v>2</v>
      </c>
      <c r="O213" s="61">
        <f>IFERROR(VLOOKUP(Table1215[[#This Row],[Column2]],Table12[[Column2]:[Column54]],14,FALSE),"0")</f>
        <v>2</v>
      </c>
      <c r="P213" s="61">
        <f>IFERROR(VLOOKUP(Table1215[[#This Row],[Column2]],Table12[[Column2]:[Column54]],10,FALSE),"0")</f>
        <v>0</v>
      </c>
      <c r="Q213" s="61">
        <f>IFERROR(VLOOKUP(Table1215[[#This Row],[Column2]],Table12[[Column2]:[Column54]],16,FALSE),"0")</f>
        <v>2</v>
      </c>
      <c r="R213" s="67">
        <f>AVERAGE(Table1215[[#This Row],[Column14]],Table1215[[#This Row],[Column15]],Table1215[[#This Row],[Column17]])</f>
        <v>2</v>
      </c>
      <c r="S213" s="61">
        <f>IFERROR(VLOOKUP(Table1215[[#This Row],[Column2]],Table12[[Column2]:[Column54]],18,FALSE),"0")</f>
        <v>0</v>
      </c>
      <c r="T213" s="61">
        <f>IFERROR(VLOOKUP(Table1215[[#This Row],[Column2]],Table12[[Column2]:[Column54]],19,FALSE),"0")</f>
        <v>0</v>
      </c>
      <c r="U213" s="61">
        <f>IFERROR(VLOOKUP(Table1215[[#This Row],[Column2]],Table12[[Column2]:[Column54]],20,FALSE),"0")</f>
        <v>0</v>
      </c>
      <c r="V213" s="61">
        <f>IFERROR(VLOOKUP(Table1215[[#This Row],[Column2]],Table12[[Column2]:[Column54]],21,FALSE),"0")</f>
        <v>0</v>
      </c>
      <c r="W213" s="61">
        <f>IFERROR(VLOOKUP(Table1215[[#This Row],[Column2]],Table12[[Column2]:[Column54]],22,FALSE),"0")</f>
        <v>0</v>
      </c>
      <c r="X213" s="67">
        <f>Table1215[[#This Row],[Column19]]</f>
        <v>0</v>
      </c>
      <c r="Y213" s="61">
        <f>IFERROR(VLOOKUP(Table1215[[#This Row],[Column2]],Table12[[Column2]:[Column54]],24,FALSE),"0")</f>
        <v>3</v>
      </c>
      <c r="Z213" s="61">
        <f>IFERROR(VLOOKUP(Table1215[[#This Row],[Column2]],Table12[[Column2]:[Column54]],25,FALSE),"0")</f>
        <v>0</v>
      </c>
      <c r="AA213" s="61">
        <f>IFERROR(VLOOKUP(Table1215[[#This Row],[Column2]],Table12[[Column2]:[Column54]],26,FALSE),"0")</f>
        <v>0</v>
      </c>
      <c r="AB213" s="61">
        <f>IFERROR(VLOOKUP(Table1215[[#This Row],[Column2]],Table12[[Column2]:[Column54]],27,FALSE),"0")</f>
        <v>0</v>
      </c>
      <c r="AC213" s="61">
        <f>IFERROR(VLOOKUP(Table1215[[#This Row],[Column2]],Table12[[Column2]:[Column54]],28,FALSE),"0")</f>
        <v>0</v>
      </c>
      <c r="AD213" s="67">
        <f>Table1215[[#This Row],[Column25]]</f>
        <v>3</v>
      </c>
      <c r="AE213" s="61">
        <f>IFERROR(VLOOKUP(Table1215[[#This Row],[Column2]],Table12[[Column2]:[Column54]],30,FALSE),"0")</f>
        <v>0</v>
      </c>
      <c r="AF213" s="61">
        <f>IFERROR(VLOOKUP(Table1215[[#This Row],[Column2]],Table12[[Column2]:[Column54]],31,FALSE),"0")</f>
        <v>0</v>
      </c>
      <c r="AG213" s="61">
        <f>IFERROR(VLOOKUP(Table1215[[#This Row],[Column2]],Table12[[Column2]:[Column54]],32,FALSE),"0")</f>
        <v>0</v>
      </c>
      <c r="AH213" s="61">
        <f>IFERROR(VLOOKUP(Table1215[[#This Row],[Column2]],Table12[[Column2]:[Column54]],33,FALSE),"0")</f>
        <v>0</v>
      </c>
      <c r="AI213" s="61">
        <f>IFERROR(VLOOKUP(Table1215[[#This Row],[Column2]],Table12[[Column2]:[Column54]],34,FALSE),"0")</f>
        <v>0</v>
      </c>
      <c r="AJ213" s="67">
        <f>AVERAGE(Table1215[[#This Row],[Column31]],Table1215[[#This Row],[Column32]],Table1215[[#This Row],[Column33]])</f>
        <v>0</v>
      </c>
      <c r="AK213" s="61">
        <f>IFERROR(VLOOKUP(Table1215[[#This Row],[Column2]],Table12[[Column2]:[Column54]],36,FALSE),"0")</f>
        <v>3</v>
      </c>
      <c r="AL213" s="61">
        <f>IFERROR(VLOOKUP(Table1215[[#This Row],[Column2]],Table12[[Column2]:[Column54]],37,FALSE),"0")</f>
        <v>3</v>
      </c>
      <c r="AM213" s="61">
        <f>IFERROR(VLOOKUP(Table1215[[#This Row],[Column2]],Table12[[Column2]:[Column54]],38,FALSE),"0")</f>
        <v>0</v>
      </c>
      <c r="AN213" s="61">
        <f>IFERROR(VLOOKUP(Table1215[[#This Row],[Column2]],Table12[[Column2]:[Column54]],39,FALSE),"0")</f>
        <v>3</v>
      </c>
      <c r="AO213" s="61">
        <f>IFERROR(VLOOKUP(Table1215[[#This Row],[Column2]],Table12[[Column2]:[Column54]],40,FALSE),"0")</f>
        <v>0</v>
      </c>
      <c r="AP213" s="67">
        <f>AVERAGE(Table1215[[#This Row],[Column37]],Table1215[[#This Row],[Column38]],Table1215[[#This Row],[Column40]])</f>
        <v>3</v>
      </c>
      <c r="AQ213" s="61">
        <f>IFERROR(VLOOKUP(Table1215[[#This Row],[Column2]],Table12[[Column2]:[Column54]],42,FALSE),"0")</f>
        <v>2</v>
      </c>
      <c r="AR213" s="61">
        <f>IFERROR(VLOOKUP(Table1215[[#This Row],[Column2]],Table12[[Column2]:[Column54]],43,FALSE),"0")</f>
        <v>0</v>
      </c>
      <c r="AS213" s="61">
        <f>IFERROR(VLOOKUP(Table1215[[#This Row],[Column2]],Table12[[Column2]:[Column54]],44,FALSE),"0")</f>
        <v>0</v>
      </c>
      <c r="AT213" s="61">
        <f>IFERROR(VLOOKUP(Table1215[[#This Row],[Column2]],Table12[[Column2]:[Column54]],45,FALSE),"0")</f>
        <v>0</v>
      </c>
      <c r="AU213" s="61">
        <f>IFERROR(VLOOKUP(Table1215[[#This Row],[Column2]],Table12[[Column2]:[Column54]],46,FALSE),"0")</f>
        <v>0</v>
      </c>
      <c r="AV213" s="67">
        <f>Table1215[[#This Row],[Column43]]</f>
        <v>2</v>
      </c>
      <c r="AW213" s="61">
        <f>IFERROR(VLOOKUP(Table1215[[#This Row],[Column2]],Table12[[Column2]:[Column54]],48,FALSE),"0")</f>
        <v>0</v>
      </c>
      <c r="AX213" s="61">
        <f>IFERROR(VLOOKUP(Table1215[[#This Row],[Column2]],Table12[[Column2]:[Column54]],49,FALSE),"0")</f>
        <v>0</v>
      </c>
      <c r="AY213" s="61">
        <f>IFERROR(VLOOKUP(Table1215[[#This Row],[Column2]],Table12[[Column2]:[Column54]],50,FALSE),"0")</f>
        <v>0</v>
      </c>
      <c r="AZ213" s="61">
        <f>IFERROR(VLOOKUP(Table1215[[#This Row],[Column2]],Table12[[Column2]:[Column54]],51,FALSE),"0")</f>
        <v>3</v>
      </c>
      <c r="BA213" s="61">
        <f>IFERROR(VLOOKUP(Table1215[[#This Row],[Column2]],Table12[[Column2]:[Column54]],52,FALSE),"0")</f>
        <v>2</v>
      </c>
      <c r="BB213" s="67">
        <f>AVERAGE(Table1215[[#This Row],[Column52]],Table1215[[#This Row],[Column53]])</f>
        <v>2.5</v>
      </c>
    </row>
    <row r="214" spans="1:54" ht="23.1" customHeight="1" x14ac:dyDescent="0.3">
      <c r="A214" s="86">
        <v>211</v>
      </c>
      <c r="B214" s="63" t="s">
        <v>455</v>
      </c>
      <c r="C214" s="64" t="s">
        <v>456</v>
      </c>
      <c r="D214" s="63" t="s">
        <v>542</v>
      </c>
      <c r="E214" s="63" t="s">
        <v>289</v>
      </c>
      <c r="F214" s="63" t="str">
        <f>REPT(CHAR(160),10)&amp;Working!$E215</f>
        <v>          D</v>
      </c>
      <c r="G214" s="65">
        <f>IFERROR(VLOOKUP(Table1215[[#This Row],[Column2]],Table12[[Column2]:[Column54]],6,FALSE),"0")</f>
        <v>0</v>
      </c>
      <c r="H214" s="65">
        <f>IFERROR(VLOOKUP(Table1215[[#This Row],[Column2]],Table12[[Column2]:[Column54]],7,FALSE),"0")</f>
        <v>0</v>
      </c>
      <c r="I214" s="65">
        <f>IFERROR(VLOOKUP(Table1215[[#This Row],[Column2]],Table12[[Column2]:[Column54]],8,FALSE),"0")</f>
        <v>3</v>
      </c>
      <c r="J214" s="65">
        <f>IFERROR(VLOOKUP(Table1215[[#This Row],[Column2]],Table12[[Column2]:[Column54]],9,FALSE),"0")</f>
        <v>0</v>
      </c>
      <c r="K214" s="65">
        <f>IFERROR(VLOOKUP(Table1215[[#This Row],[Column2]],Table12[[Column2]:[Column54]],10,FALSE),"0")</f>
        <v>0</v>
      </c>
      <c r="L214" s="67">
        <f>Table1215[[#This Row],[Column9]]</f>
        <v>3</v>
      </c>
      <c r="M214" s="65">
        <f>IFERROR(VLOOKUP(Table1215[[#This Row],[Column2]],Table12[[Column2]:[Column54]],12,FALSE),"0")</f>
        <v>0</v>
      </c>
      <c r="N214" s="65">
        <f>IFERROR(VLOOKUP(Table1215[[#This Row],[Column2]],Table12[[Column2]:[Column54]],13,FALSE),"0")</f>
        <v>4</v>
      </c>
      <c r="O214" s="65">
        <f>IFERROR(VLOOKUP(Table1215[[#This Row],[Column2]],Table12[[Column2]:[Column54]],14,FALSE),"0")</f>
        <v>3</v>
      </c>
      <c r="P214" s="65">
        <f>IFERROR(VLOOKUP(Table1215[[#This Row],[Column2]],Table12[[Column2]:[Column54]],10,FALSE),"0")</f>
        <v>0</v>
      </c>
      <c r="Q214" s="65">
        <f>IFERROR(VLOOKUP(Table1215[[#This Row],[Column2]],Table12[[Column2]:[Column54]],16,FALSE),"0")</f>
        <v>3</v>
      </c>
      <c r="R214" s="67">
        <f>AVERAGE(Table1215[[#This Row],[Column14]],Table1215[[#This Row],[Column15]],Table1215[[#This Row],[Column17]])</f>
        <v>3.3333333333333335</v>
      </c>
      <c r="S214" s="65">
        <f>IFERROR(VLOOKUP(Table1215[[#This Row],[Column2]],Table12[[Column2]:[Column54]],18,FALSE),"0")</f>
        <v>0</v>
      </c>
      <c r="T214" s="65">
        <f>IFERROR(VLOOKUP(Table1215[[#This Row],[Column2]],Table12[[Column2]:[Column54]],19,FALSE),"0")</f>
        <v>0</v>
      </c>
      <c r="U214" s="65">
        <f>IFERROR(VLOOKUP(Table1215[[#This Row],[Column2]],Table12[[Column2]:[Column54]],20,FALSE),"0")</f>
        <v>0</v>
      </c>
      <c r="V214" s="65">
        <f>IFERROR(VLOOKUP(Table1215[[#This Row],[Column2]],Table12[[Column2]:[Column54]],21,FALSE),"0")</f>
        <v>0</v>
      </c>
      <c r="W214" s="65">
        <f>IFERROR(VLOOKUP(Table1215[[#This Row],[Column2]],Table12[[Column2]:[Column54]],22,FALSE),"0")</f>
        <v>0</v>
      </c>
      <c r="X214" s="67">
        <f>Table1215[[#This Row],[Column19]]</f>
        <v>0</v>
      </c>
      <c r="Y214" s="65">
        <f>IFERROR(VLOOKUP(Table1215[[#This Row],[Column2]],Table12[[Column2]:[Column54]],24,FALSE),"0")</f>
        <v>3</v>
      </c>
      <c r="Z214" s="65">
        <f>IFERROR(VLOOKUP(Table1215[[#This Row],[Column2]],Table12[[Column2]:[Column54]],25,FALSE),"0")</f>
        <v>0</v>
      </c>
      <c r="AA214" s="65">
        <f>IFERROR(VLOOKUP(Table1215[[#This Row],[Column2]],Table12[[Column2]:[Column54]],26,FALSE),"0")</f>
        <v>0</v>
      </c>
      <c r="AB214" s="65">
        <f>IFERROR(VLOOKUP(Table1215[[#This Row],[Column2]],Table12[[Column2]:[Column54]],27,FALSE),"0")</f>
        <v>0</v>
      </c>
      <c r="AC214" s="65">
        <f>IFERROR(VLOOKUP(Table1215[[#This Row],[Column2]],Table12[[Column2]:[Column54]],28,FALSE),"0")</f>
        <v>0</v>
      </c>
      <c r="AD214" s="67">
        <f>Table1215[[#This Row],[Column25]]</f>
        <v>3</v>
      </c>
      <c r="AE214" s="65">
        <f>IFERROR(VLOOKUP(Table1215[[#This Row],[Column2]],Table12[[Column2]:[Column54]],30,FALSE),"0")</f>
        <v>0</v>
      </c>
      <c r="AF214" s="65">
        <f>IFERROR(VLOOKUP(Table1215[[#This Row],[Column2]],Table12[[Column2]:[Column54]],31,FALSE),"0")</f>
        <v>0</v>
      </c>
      <c r="AG214" s="65">
        <f>IFERROR(VLOOKUP(Table1215[[#This Row],[Column2]],Table12[[Column2]:[Column54]],32,FALSE),"0")</f>
        <v>0</v>
      </c>
      <c r="AH214" s="65">
        <f>IFERROR(VLOOKUP(Table1215[[#This Row],[Column2]],Table12[[Column2]:[Column54]],33,FALSE),"0")</f>
        <v>0</v>
      </c>
      <c r="AI214" s="65">
        <f>IFERROR(VLOOKUP(Table1215[[#This Row],[Column2]],Table12[[Column2]:[Column54]],34,FALSE),"0")</f>
        <v>0</v>
      </c>
      <c r="AJ214" s="67">
        <f>AVERAGE(Table1215[[#This Row],[Column31]],Table1215[[#This Row],[Column32]],Table1215[[#This Row],[Column33]])</f>
        <v>0</v>
      </c>
      <c r="AK214" s="65">
        <f>IFERROR(VLOOKUP(Table1215[[#This Row],[Column2]],Table12[[Column2]:[Column54]],36,FALSE),"0")</f>
        <v>3</v>
      </c>
      <c r="AL214" s="65">
        <f>IFERROR(VLOOKUP(Table1215[[#This Row],[Column2]],Table12[[Column2]:[Column54]],37,FALSE),"0")</f>
        <v>3</v>
      </c>
      <c r="AM214" s="65">
        <f>IFERROR(VLOOKUP(Table1215[[#This Row],[Column2]],Table12[[Column2]:[Column54]],38,FALSE),"0")</f>
        <v>0</v>
      </c>
      <c r="AN214" s="65">
        <f>IFERROR(VLOOKUP(Table1215[[#This Row],[Column2]],Table12[[Column2]:[Column54]],39,FALSE),"0")</f>
        <v>4</v>
      </c>
      <c r="AO214" s="65">
        <f>IFERROR(VLOOKUP(Table1215[[#This Row],[Column2]],Table12[[Column2]:[Column54]],40,FALSE),"0")</f>
        <v>0</v>
      </c>
      <c r="AP214" s="67">
        <f>AVERAGE(Table1215[[#This Row],[Column37]],Table1215[[#This Row],[Column38]],Table1215[[#This Row],[Column40]])</f>
        <v>3.3333333333333335</v>
      </c>
      <c r="AQ214" s="65">
        <f>IFERROR(VLOOKUP(Table1215[[#This Row],[Column2]],Table12[[Column2]:[Column54]],42,FALSE),"0")</f>
        <v>3</v>
      </c>
      <c r="AR214" s="65">
        <f>IFERROR(VLOOKUP(Table1215[[#This Row],[Column2]],Table12[[Column2]:[Column54]],43,FALSE),"0")</f>
        <v>0</v>
      </c>
      <c r="AS214" s="65">
        <f>IFERROR(VLOOKUP(Table1215[[#This Row],[Column2]],Table12[[Column2]:[Column54]],44,FALSE),"0")</f>
        <v>0</v>
      </c>
      <c r="AT214" s="65">
        <f>IFERROR(VLOOKUP(Table1215[[#This Row],[Column2]],Table12[[Column2]:[Column54]],45,FALSE),"0")</f>
        <v>0</v>
      </c>
      <c r="AU214" s="65">
        <f>IFERROR(VLOOKUP(Table1215[[#This Row],[Column2]],Table12[[Column2]:[Column54]],46,FALSE),"0")</f>
        <v>0</v>
      </c>
      <c r="AV214" s="67">
        <f>Table1215[[#This Row],[Column43]]</f>
        <v>3</v>
      </c>
      <c r="AW214" s="65">
        <f>IFERROR(VLOOKUP(Table1215[[#This Row],[Column2]],Table12[[Column2]:[Column54]],48,FALSE),"0")</f>
        <v>0</v>
      </c>
      <c r="AX214" s="65">
        <f>IFERROR(VLOOKUP(Table1215[[#This Row],[Column2]],Table12[[Column2]:[Column54]],49,FALSE),"0")</f>
        <v>0</v>
      </c>
      <c r="AY214" s="65">
        <f>IFERROR(VLOOKUP(Table1215[[#This Row],[Column2]],Table12[[Column2]:[Column54]],50,FALSE),"0")</f>
        <v>0</v>
      </c>
      <c r="AZ214" s="65">
        <f>IFERROR(VLOOKUP(Table1215[[#This Row],[Column2]],Table12[[Column2]:[Column54]],51,FALSE),"0")</f>
        <v>3</v>
      </c>
      <c r="BA214" s="65">
        <f>IFERROR(VLOOKUP(Table1215[[#This Row],[Column2]],Table12[[Column2]:[Column54]],52,FALSE),"0")</f>
        <v>3</v>
      </c>
      <c r="BB214" s="67">
        <f>AVERAGE(Table1215[[#This Row],[Column52]],Table1215[[#This Row],[Column53]])</f>
        <v>3</v>
      </c>
    </row>
    <row r="215" spans="1:54" ht="23.1" customHeight="1" x14ac:dyDescent="0.3">
      <c r="A215" s="87">
        <v>212</v>
      </c>
      <c r="B215" s="70" t="s">
        <v>457</v>
      </c>
      <c r="C215" s="71" t="s">
        <v>458</v>
      </c>
      <c r="D215" s="70" t="s">
        <v>542</v>
      </c>
      <c r="E215" s="70" t="s">
        <v>289</v>
      </c>
      <c r="F215" s="70" t="str">
        <f>REPT(CHAR(160),10)&amp;Working!$E216</f>
        <v>          D</v>
      </c>
      <c r="G215" s="61">
        <f>IFERROR(VLOOKUP(Table1215[[#This Row],[Column2]],Table12[[Column2]:[Column54]],6,FALSE),"0")</f>
        <v>0</v>
      </c>
      <c r="H215" s="61">
        <f>IFERROR(VLOOKUP(Table1215[[#This Row],[Column2]],Table12[[Column2]:[Column54]],7,FALSE),"0")</f>
        <v>0</v>
      </c>
      <c r="I215" s="61">
        <f>IFERROR(VLOOKUP(Table1215[[#This Row],[Column2]],Table12[[Column2]:[Column54]],8,FALSE),"0")</f>
        <v>4</v>
      </c>
      <c r="J215" s="61">
        <f>IFERROR(VLOOKUP(Table1215[[#This Row],[Column2]],Table12[[Column2]:[Column54]],9,FALSE),"0")</f>
        <v>0</v>
      </c>
      <c r="K215" s="61">
        <f>IFERROR(VLOOKUP(Table1215[[#This Row],[Column2]],Table12[[Column2]:[Column54]],10,FALSE),"0")</f>
        <v>0</v>
      </c>
      <c r="L215" s="67">
        <f>Table1215[[#This Row],[Column9]]</f>
        <v>4</v>
      </c>
      <c r="M215" s="61">
        <f>IFERROR(VLOOKUP(Table1215[[#This Row],[Column2]],Table12[[Column2]:[Column54]],12,FALSE),"0")</f>
        <v>0</v>
      </c>
      <c r="N215" s="61">
        <f>IFERROR(VLOOKUP(Table1215[[#This Row],[Column2]],Table12[[Column2]:[Column54]],13,FALSE),"0")</f>
        <v>5</v>
      </c>
      <c r="O215" s="61">
        <f>IFERROR(VLOOKUP(Table1215[[#This Row],[Column2]],Table12[[Column2]:[Column54]],14,FALSE),"0")</f>
        <v>5</v>
      </c>
      <c r="P215" s="61">
        <f>IFERROR(VLOOKUP(Table1215[[#This Row],[Column2]],Table12[[Column2]:[Column54]],10,FALSE),"0")</f>
        <v>0</v>
      </c>
      <c r="Q215" s="61">
        <f>IFERROR(VLOOKUP(Table1215[[#This Row],[Column2]],Table12[[Column2]:[Column54]],16,FALSE),"0")</f>
        <v>5</v>
      </c>
      <c r="R215" s="67">
        <f>AVERAGE(Table1215[[#This Row],[Column14]],Table1215[[#This Row],[Column15]],Table1215[[#This Row],[Column17]])</f>
        <v>5</v>
      </c>
      <c r="S215" s="61">
        <f>IFERROR(VLOOKUP(Table1215[[#This Row],[Column2]],Table12[[Column2]:[Column54]],18,FALSE),"0")</f>
        <v>0</v>
      </c>
      <c r="T215" s="61">
        <f>IFERROR(VLOOKUP(Table1215[[#This Row],[Column2]],Table12[[Column2]:[Column54]],19,FALSE),"0")</f>
        <v>0</v>
      </c>
      <c r="U215" s="61">
        <f>IFERROR(VLOOKUP(Table1215[[#This Row],[Column2]],Table12[[Column2]:[Column54]],20,FALSE),"0")</f>
        <v>0</v>
      </c>
      <c r="V215" s="61">
        <f>IFERROR(VLOOKUP(Table1215[[#This Row],[Column2]],Table12[[Column2]:[Column54]],21,FALSE),"0")</f>
        <v>0</v>
      </c>
      <c r="W215" s="61">
        <f>IFERROR(VLOOKUP(Table1215[[#This Row],[Column2]],Table12[[Column2]:[Column54]],22,FALSE),"0")</f>
        <v>0</v>
      </c>
      <c r="X215" s="67">
        <f>Table1215[[#This Row],[Column19]]</f>
        <v>0</v>
      </c>
      <c r="Y215" s="61">
        <f>IFERROR(VLOOKUP(Table1215[[#This Row],[Column2]],Table12[[Column2]:[Column54]],24,FALSE),"0")</f>
        <v>5</v>
      </c>
      <c r="Z215" s="61">
        <f>IFERROR(VLOOKUP(Table1215[[#This Row],[Column2]],Table12[[Column2]:[Column54]],25,FALSE),"0")</f>
        <v>0</v>
      </c>
      <c r="AA215" s="61">
        <f>IFERROR(VLOOKUP(Table1215[[#This Row],[Column2]],Table12[[Column2]:[Column54]],26,FALSE),"0")</f>
        <v>0</v>
      </c>
      <c r="AB215" s="61">
        <f>IFERROR(VLOOKUP(Table1215[[#This Row],[Column2]],Table12[[Column2]:[Column54]],27,FALSE),"0")</f>
        <v>0</v>
      </c>
      <c r="AC215" s="61">
        <f>IFERROR(VLOOKUP(Table1215[[#This Row],[Column2]],Table12[[Column2]:[Column54]],28,FALSE),"0")</f>
        <v>0</v>
      </c>
      <c r="AD215" s="67">
        <f>Table1215[[#This Row],[Column25]]</f>
        <v>5</v>
      </c>
      <c r="AE215" s="61">
        <f>IFERROR(VLOOKUP(Table1215[[#This Row],[Column2]],Table12[[Column2]:[Column54]],30,FALSE),"0")</f>
        <v>0</v>
      </c>
      <c r="AF215" s="61">
        <f>IFERROR(VLOOKUP(Table1215[[#This Row],[Column2]],Table12[[Column2]:[Column54]],31,FALSE),"0")</f>
        <v>0</v>
      </c>
      <c r="AG215" s="61">
        <f>IFERROR(VLOOKUP(Table1215[[#This Row],[Column2]],Table12[[Column2]:[Column54]],32,FALSE),"0")</f>
        <v>0</v>
      </c>
      <c r="AH215" s="61">
        <f>IFERROR(VLOOKUP(Table1215[[#This Row],[Column2]],Table12[[Column2]:[Column54]],33,FALSE),"0")</f>
        <v>0</v>
      </c>
      <c r="AI215" s="61">
        <f>IFERROR(VLOOKUP(Table1215[[#This Row],[Column2]],Table12[[Column2]:[Column54]],34,FALSE),"0")</f>
        <v>0</v>
      </c>
      <c r="AJ215" s="67">
        <f>AVERAGE(Table1215[[#This Row],[Column31]],Table1215[[#This Row],[Column32]],Table1215[[#This Row],[Column33]])</f>
        <v>0</v>
      </c>
      <c r="AK215" s="61">
        <f>IFERROR(VLOOKUP(Table1215[[#This Row],[Column2]],Table12[[Column2]:[Column54]],36,FALSE),"0")</f>
        <v>4</v>
      </c>
      <c r="AL215" s="61">
        <f>IFERROR(VLOOKUP(Table1215[[#This Row],[Column2]],Table12[[Column2]:[Column54]],37,FALSE),"0")</f>
        <v>4</v>
      </c>
      <c r="AM215" s="61">
        <f>IFERROR(VLOOKUP(Table1215[[#This Row],[Column2]],Table12[[Column2]:[Column54]],38,FALSE),"0")</f>
        <v>0</v>
      </c>
      <c r="AN215" s="61">
        <f>IFERROR(VLOOKUP(Table1215[[#This Row],[Column2]],Table12[[Column2]:[Column54]],39,FALSE),"0")</f>
        <v>4</v>
      </c>
      <c r="AO215" s="61">
        <f>IFERROR(VLOOKUP(Table1215[[#This Row],[Column2]],Table12[[Column2]:[Column54]],40,FALSE),"0")</f>
        <v>0</v>
      </c>
      <c r="AP215" s="67">
        <f>AVERAGE(Table1215[[#This Row],[Column37]],Table1215[[#This Row],[Column38]],Table1215[[#This Row],[Column40]])</f>
        <v>4</v>
      </c>
      <c r="AQ215" s="61">
        <f>IFERROR(VLOOKUP(Table1215[[#This Row],[Column2]],Table12[[Column2]:[Column54]],42,FALSE),"0")</f>
        <v>3</v>
      </c>
      <c r="AR215" s="61">
        <f>IFERROR(VLOOKUP(Table1215[[#This Row],[Column2]],Table12[[Column2]:[Column54]],43,FALSE),"0")</f>
        <v>0</v>
      </c>
      <c r="AS215" s="61">
        <f>IFERROR(VLOOKUP(Table1215[[#This Row],[Column2]],Table12[[Column2]:[Column54]],44,FALSE),"0")</f>
        <v>0</v>
      </c>
      <c r="AT215" s="61">
        <f>IFERROR(VLOOKUP(Table1215[[#This Row],[Column2]],Table12[[Column2]:[Column54]],45,FALSE),"0")</f>
        <v>0</v>
      </c>
      <c r="AU215" s="61">
        <f>IFERROR(VLOOKUP(Table1215[[#This Row],[Column2]],Table12[[Column2]:[Column54]],46,FALSE),"0")</f>
        <v>0</v>
      </c>
      <c r="AV215" s="67">
        <f>Table1215[[#This Row],[Column43]]</f>
        <v>3</v>
      </c>
      <c r="AW215" s="61">
        <f>IFERROR(VLOOKUP(Table1215[[#This Row],[Column2]],Table12[[Column2]:[Column54]],48,FALSE),"0")</f>
        <v>0</v>
      </c>
      <c r="AX215" s="61">
        <f>IFERROR(VLOOKUP(Table1215[[#This Row],[Column2]],Table12[[Column2]:[Column54]],49,FALSE),"0")</f>
        <v>0</v>
      </c>
      <c r="AY215" s="61">
        <f>IFERROR(VLOOKUP(Table1215[[#This Row],[Column2]],Table12[[Column2]:[Column54]],50,FALSE),"0")</f>
        <v>0</v>
      </c>
      <c r="AZ215" s="61">
        <f>IFERROR(VLOOKUP(Table1215[[#This Row],[Column2]],Table12[[Column2]:[Column54]],51,FALSE),"0")</f>
        <v>3</v>
      </c>
      <c r="BA215" s="61">
        <f>IFERROR(VLOOKUP(Table1215[[#This Row],[Column2]],Table12[[Column2]:[Column54]],52,FALSE),"0")</f>
        <v>4</v>
      </c>
      <c r="BB215" s="67">
        <f>AVERAGE(Table1215[[#This Row],[Column52]],Table1215[[#This Row],[Column53]])</f>
        <v>3.5</v>
      </c>
    </row>
    <row r="216" spans="1:54" ht="23.1" customHeight="1" x14ac:dyDescent="0.3">
      <c r="A216" s="86">
        <v>213</v>
      </c>
      <c r="B216" s="63" t="s">
        <v>459</v>
      </c>
      <c r="C216" s="64" t="s">
        <v>460</v>
      </c>
      <c r="D216" s="63" t="s">
        <v>542</v>
      </c>
      <c r="E216" s="63" t="s">
        <v>289</v>
      </c>
      <c r="F216" s="63" t="str">
        <f>REPT(CHAR(160),10)&amp;Working!$E217</f>
        <v>          D</v>
      </c>
      <c r="G216" s="65">
        <f>IFERROR(VLOOKUP(Table1215[[#This Row],[Column2]],Table12[[Column2]:[Column54]],6,FALSE),"0")</f>
        <v>0</v>
      </c>
      <c r="H216" s="65">
        <f>IFERROR(VLOOKUP(Table1215[[#This Row],[Column2]],Table12[[Column2]:[Column54]],7,FALSE),"0")</f>
        <v>0</v>
      </c>
      <c r="I216" s="65">
        <f>IFERROR(VLOOKUP(Table1215[[#This Row],[Column2]],Table12[[Column2]:[Column54]],8,FALSE),"0")</f>
        <v>1</v>
      </c>
      <c r="J216" s="65">
        <f>IFERROR(VLOOKUP(Table1215[[#This Row],[Column2]],Table12[[Column2]:[Column54]],9,FALSE),"0")</f>
        <v>0</v>
      </c>
      <c r="K216" s="65">
        <f>IFERROR(VLOOKUP(Table1215[[#This Row],[Column2]],Table12[[Column2]:[Column54]],10,FALSE),"0")</f>
        <v>0</v>
      </c>
      <c r="L216" s="67">
        <f>Table1215[[#This Row],[Column9]]</f>
        <v>1</v>
      </c>
      <c r="M216" s="65">
        <f>IFERROR(VLOOKUP(Table1215[[#This Row],[Column2]],Table12[[Column2]:[Column54]],12,FALSE),"0")</f>
        <v>0</v>
      </c>
      <c r="N216" s="65">
        <f>IFERROR(VLOOKUP(Table1215[[#This Row],[Column2]],Table12[[Column2]:[Column54]],13,FALSE),"0")</f>
        <v>2</v>
      </c>
      <c r="O216" s="65">
        <f>IFERROR(VLOOKUP(Table1215[[#This Row],[Column2]],Table12[[Column2]:[Column54]],14,FALSE),"0")</f>
        <v>2</v>
      </c>
      <c r="P216" s="65">
        <f>IFERROR(VLOOKUP(Table1215[[#This Row],[Column2]],Table12[[Column2]:[Column54]],10,FALSE),"0")</f>
        <v>0</v>
      </c>
      <c r="Q216" s="65">
        <f>IFERROR(VLOOKUP(Table1215[[#This Row],[Column2]],Table12[[Column2]:[Column54]],16,FALSE),"0")</f>
        <v>2</v>
      </c>
      <c r="R216" s="67">
        <f>AVERAGE(Table1215[[#This Row],[Column14]],Table1215[[#This Row],[Column15]],Table1215[[#This Row],[Column17]])</f>
        <v>2</v>
      </c>
      <c r="S216" s="65">
        <f>IFERROR(VLOOKUP(Table1215[[#This Row],[Column2]],Table12[[Column2]:[Column54]],18,FALSE),"0")</f>
        <v>0</v>
      </c>
      <c r="T216" s="65">
        <f>IFERROR(VLOOKUP(Table1215[[#This Row],[Column2]],Table12[[Column2]:[Column54]],19,FALSE),"0")</f>
        <v>0</v>
      </c>
      <c r="U216" s="65">
        <f>IFERROR(VLOOKUP(Table1215[[#This Row],[Column2]],Table12[[Column2]:[Column54]],20,FALSE),"0")</f>
        <v>0</v>
      </c>
      <c r="V216" s="65">
        <f>IFERROR(VLOOKUP(Table1215[[#This Row],[Column2]],Table12[[Column2]:[Column54]],21,FALSE),"0")</f>
        <v>0</v>
      </c>
      <c r="W216" s="65">
        <f>IFERROR(VLOOKUP(Table1215[[#This Row],[Column2]],Table12[[Column2]:[Column54]],22,FALSE),"0")</f>
        <v>0</v>
      </c>
      <c r="X216" s="67">
        <f>Table1215[[#This Row],[Column19]]</f>
        <v>0</v>
      </c>
      <c r="Y216" s="65">
        <f>IFERROR(VLOOKUP(Table1215[[#This Row],[Column2]],Table12[[Column2]:[Column54]],24,FALSE),"0")</f>
        <v>3</v>
      </c>
      <c r="Z216" s="65">
        <f>IFERROR(VLOOKUP(Table1215[[#This Row],[Column2]],Table12[[Column2]:[Column54]],25,FALSE),"0")</f>
        <v>0</v>
      </c>
      <c r="AA216" s="65">
        <f>IFERROR(VLOOKUP(Table1215[[#This Row],[Column2]],Table12[[Column2]:[Column54]],26,FALSE),"0")</f>
        <v>0</v>
      </c>
      <c r="AB216" s="65">
        <f>IFERROR(VLOOKUP(Table1215[[#This Row],[Column2]],Table12[[Column2]:[Column54]],27,FALSE),"0")</f>
        <v>0</v>
      </c>
      <c r="AC216" s="65">
        <f>IFERROR(VLOOKUP(Table1215[[#This Row],[Column2]],Table12[[Column2]:[Column54]],28,FALSE),"0")</f>
        <v>0</v>
      </c>
      <c r="AD216" s="67">
        <f>Table1215[[#This Row],[Column25]]</f>
        <v>3</v>
      </c>
      <c r="AE216" s="65">
        <f>IFERROR(VLOOKUP(Table1215[[#This Row],[Column2]],Table12[[Column2]:[Column54]],30,FALSE),"0")</f>
        <v>0</v>
      </c>
      <c r="AF216" s="65">
        <f>IFERROR(VLOOKUP(Table1215[[#This Row],[Column2]],Table12[[Column2]:[Column54]],31,FALSE),"0")</f>
        <v>0</v>
      </c>
      <c r="AG216" s="65">
        <f>IFERROR(VLOOKUP(Table1215[[#This Row],[Column2]],Table12[[Column2]:[Column54]],32,FALSE),"0")</f>
        <v>0</v>
      </c>
      <c r="AH216" s="65">
        <f>IFERROR(VLOOKUP(Table1215[[#This Row],[Column2]],Table12[[Column2]:[Column54]],33,FALSE),"0")</f>
        <v>0</v>
      </c>
      <c r="AI216" s="65">
        <f>IFERROR(VLOOKUP(Table1215[[#This Row],[Column2]],Table12[[Column2]:[Column54]],34,FALSE),"0")</f>
        <v>0</v>
      </c>
      <c r="AJ216" s="67">
        <f>AVERAGE(Table1215[[#This Row],[Column31]],Table1215[[#This Row],[Column32]],Table1215[[#This Row],[Column33]])</f>
        <v>0</v>
      </c>
      <c r="AK216" s="65">
        <f>IFERROR(VLOOKUP(Table1215[[#This Row],[Column2]],Table12[[Column2]:[Column54]],36,FALSE),"0")</f>
        <v>1</v>
      </c>
      <c r="AL216" s="65">
        <f>IFERROR(VLOOKUP(Table1215[[#This Row],[Column2]],Table12[[Column2]:[Column54]],37,FALSE),"0")</f>
        <v>1</v>
      </c>
      <c r="AM216" s="65">
        <f>IFERROR(VLOOKUP(Table1215[[#This Row],[Column2]],Table12[[Column2]:[Column54]],38,FALSE),"0")</f>
        <v>0</v>
      </c>
      <c r="AN216" s="65">
        <f>IFERROR(VLOOKUP(Table1215[[#This Row],[Column2]],Table12[[Column2]:[Column54]],39,FALSE),"0")</f>
        <v>1</v>
      </c>
      <c r="AO216" s="65">
        <f>IFERROR(VLOOKUP(Table1215[[#This Row],[Column2]],Table12[[Column2]:[Column54]],40,FALSE),"0")</f>
        <v>0</v>
      </c>
      <c r="AP216" s="67">
        <f>AVERAGE(Table1215[[#This Row],[Column37]],Table1215[[#This Row],[Column38]],Table1215[[#This Row],[Column40]])</f>
        <v>1</v>
      </c>
      <c r="AQ216" s="65">
        <f>IFERROR(VLOOKUP(Table1215[[#This Row],[Column2]],Table12[[Column2]:[Column54]],42,FALSE),"0")</f>
        <v>2</v>
      </c>
      <c r="AR216" s="65">
        <f>IFERROR(VLOOKUP(Table1215[[#This Row],[Column2]],Table12[[Column2]:[Column54]],43,FALSE),"0")</f>
        <v>0</v>
      </c>
      <c r="AS216" s="65">
        <f>IFERROR(VLOOKUP(Table1215[[#This Row],[Column2]],Table12[[Column2]:[Column54]],44,FALSE),"0")</f>
        <v>0</v>
      </c>
      <c r="AT216" s="65">
        <f>IFERROR(VLOOKUP(Table1215[[#This Row],[Column2]],Table12[[Column2]:[Column54]],45,FALSE),"0")</f>
        <v>0</v>
      </c>
      <c r="AU216" s="65">
        <f>IFERROR(VLOOKUP(Table1215[[#This Row],[Column2]],Table12[[Column2]:[Column54]],46,FALSE),"0")</f>
        <v>0</v>
      </c>
      <c r="AV216" s="67">
        <f>Table1215[[#This Row],[Column43]]</f>
        <v>2</v>
      </c>
      <c r="AW216" s="65">
        <f>IFERROR(VLOOKUP(Table1215[[#This Row],[Column2]],Table12[[Column2]:[Column54]],48,FALSE),"0")</f>
        <v>0</v>
      </c>
      <c r="AX216" s="65">
        <f>IFERROR(VLOOKUP(Table1215[[#This Row],[Column2]],Table12[[Column2]:[Column54]],49,FALSE),"0")</f>
        <v>0</v>
      </c>
      <c r="AY216" s="65">
        <f>IFERROR(VLOOKUP(Table1215[[#This Row],[Column2]],Table12[[Column2]:[Column54]],50,FALSE),"0")</f>
        <v>0</v>
      </c>
      <c r="AZ216" s="65">
        <f>IFERROR(VLOOKUP(Table1215[[#This Row],[Column2]],Table12[[Column2]:[Column54]],51,FALSE),"0")</f>
        <v>2</v>
      </c>
      <c r="BA216" s="65">
        <f>IFERROR(VLOOKUP(Table1215[[#This Row],[Column2]],Table12[[Column2]:[Column54]],52,FALSE),"0")</f>
        <v>1</v>
      </c>
      <c r="BB216" s="67">
        <f>AVERAGE(Table1215[[#This Row],[Column52]],Table1215[[#This Row],[Column53]])</f>
        <v>1.5</v>
      </c>
    </row>
    <row r="217" spans="1:54" ht="23.1" customHeight="1" x14ac:dyDescent="0.3">
      <c r="A217" s="87">
        <v>214</v>
      </c>
      <c r="B217" s="70" t="s">
        <v>461</v>
      </c>
      <c r="C217" s="71" t="s">
        <v>462</v>
      </c>
      <c r="D217" s="70" t="s">
        <v>450</v>
      </c>
      <c r="E217" s="70" t="s">
        <v>289</v>
      </c>
      <c r="F217" s="70" t="str">
        <f>REPT(CHAR(160),10)&amp;Working!$E218</f>
        <v>          D</v>
      </c>
      <c r="G217" s="61">
        <f>IFERROR(VLOOKUP(Table1215[[#This Row],[Column2]],Table12[[Column2]:[Column54]],6,FALSE),"0")</f>
        <v>0</v>
      </c>
      <c r="H217" s="61">
        <f>IFERROR(VLOOKUP(Table1215[[#This Row],[Column2]],Table12[[Column2]:[Column54]],7,FALSE),"0")</f>
        <v>0</v>
      </c>
      <c r="I217" s="61">
        <f>IFERROR(VLOOKUP(Table1215[[#This Row],[Column2]],Table12[[Column2]:[Column54]],8,FALSE),"0")</f>
        <v>3</v>
      </c>
      <c r="J217" s="61">
        <f>IFERROR(VLOOKUP(Table1215[[#This Row],[Column2]],Table12[[Column2]:[Column54]],9,FALSE),"0")</f>
        <v>0</v>
      </c>
      <c r="K217" s="61">
        <f>IFERROR(VLOOKUP(Table1215[[#This Row],[Column2]],Table12[[Column2]:[Column54]],10,FALSE),"0")</f>
        <v>0</v>
      </c>
      <c r="L217" s="67">
        <f>Table1215[[#This Row],[Column9]]</f>
        <v>3</v>
      </c>
      <c r="M217" s="61">
        <f>IFERROR(VLOOKUP(Table1215[[#This Row],[Column2]],Table12[[Column2]:[Column54]],12,FALSE),"0")</f>
        <v>0</v>
      </c>
      <c r="N217" s="61">
        <f>IFERROR(VLOOKUP(Table1215[[#This Row],[Column2]],Table12[[Column2]:[Column54]],13,FALSE),"0")</f>
        <v>2</v>
      </c>
      <c r="O217" s="61">
        <f>IFERROR(VLOOKUP(Table1215[[#This Row],[Column2]],Table12[[Column2]:[Column54]],14,FALSE),"0")</f>
        <v>4</v>
      </c>
      <c r="P217" s="61">
        <f>IFERROR(VLOOKUP(Table1215[[#This Row],[Column2]],Table12[[Column2]:[Column54]],10,FALSE),"0")</f>
        <v>0</v>
      </c>
      <c r="Q217" s="61">
        <f>IFERROR(VLOOKUP(Table1215[[#This Row],[Column2]],Table12[[Column2]:[Column54]],16,FALSE),"0")</f>
        <v>4</v>
      </c>
      <c r="R217" s="67">
        <f>AVERAGE(Table1215[[#This Row],[Column14]],Table1215[[#This Row],[Column15]],Table1215[[#This Row],[Column17]])</f>
        <v>3.3333333333333335</v>
      </c>
      <c r="S217" s="61">
        <f>IFERROR(VLOOKUP(Table1215[[#This Row],[Column2]],Table12[[Column2]:[Column54]],18,FALSE),"0")</f>
        <v>0</v>
      </c>
      <c r="T217" s="61">
        <f>IFERROR(VLOOKUP(Table1215[[#This Row],[Column2]],Table12[[Column2]:[Column54]],19,FALSE),"0")</f>
        <v>0</v>
      </c>
      <c r="U217" s="61">
        <f>IFERROR(VLOOKUP(Table1215[[#This Row],[Column2]],Table12[[Column2]:[Column54]],20,FALSE),"0")</f>
        <v>0</v>
      </c>
      <c r="V217" s="61">
        <f>IFERROR(VLOOKUP(Table1215[[#This Row],[Column2]],Table12[[Column2]:[Column54]],21,FALSE),"0")</f>
        <v>0</v>
      </c>
      <c r="W217" s="61">
        <f>IFERROR(VLOOKUP(Table1215[[#This Row],[Column2]],Table12[[Column2]:[Column54]],22,FALSE),"0")</f>
        <v>0</v>
      </c>
      <c r="X217" s="67">
        <f>Table1215[[#This Row],[Column19]]</f>
        <v>0</v>
      </c>
      <c r="Y217" s="61">
        <f>IFERROR(VLOOKUP(Table1215[[#This Row],[Column2]],Table12[[Column2]:[Column54]],24,FALSE),"0")</f>
        <v>3</v>
      </c>
      <c r="Z217" s="61">
        <f>IFERROR(VLOOKUP(Table1215[[#This Row],[Column2]],Table12[[Column2]:[Column54]],25,FALSE),"0")</f>
        <v>0</v>
      </c>
      <c r="AA217" s="61">
        <f>IFERROR(VLOOKUP(Table1215[[#This Row],[Column2]],Table12[[Column2]:[Column54]],26,FALSE),"0")</f>
        <v>0</v>
      </c>
      <c r="AB217" s="61">
        <f>IFERROR(VLOOKUP(Table1215[[#This Row],[Column2]],Table12[[Column2]:[Column54]],27,FALSE),"0")</f>
        <v>0</v>
      </c>
      <c r="AC217" s="61">
        <f>IFERROR(VLOOKUP(Table1215[[#This Row],[Column2]],Table12[[Column2]:[Column54]],28,FALSE),"0")</f>
        <v>0</v>
      </c>
      <c r="AD217" s="67">
        <f>Table1215[[#This Row],[Column25]]</f>
        <v>3</v>
      </c>
      <c r="AE217" s="61">
        <f>IFERROR(VLOOKUP(Table1215[[#This Row],[Column2]],Table12[[Column2]:[Column54]],30,FALSE),"0")</f>
        <v>0</v>
      </c>
      <c r="AF217" s="61">
        <f>IFERROR(VLOOKUP(Table1215[[#This Row],[Column2]],Table12[[Column2]:[Column54]],31,FALSE),"0")</f>
        <v>0</v>
      </c>
      <c r="AG217" s="61">
        <f>IFERROR(VLOOKUP(Table1215[[#This Row],[Column2]],Table12[[Column2]:[Column54]],32,FALSE),"0")</f>
        <v>0</v>
      </c>
      <c r="AH217" s="61">
        <f>IFERROR(VLOOKUP(Table1215[[#This Row],[Column2]],Table12[[Column2]:[Column54]],33,FALSE),"0")</f>
        <v>0</v>
      </c>
      <c r="AI217" s="61">
        <f>IFERROR(VLOOKUP(Table1215[[#This Row],[Column2]],Table12[[Column2]:[Column54]],34,FALSE),"0")</f>
        <v>0</v>
      </c>
      <c r="AJ217" s="67">
        <f>AVERAGE(Table1215[[#This Row],[Column31]],Table1215[[#This Row],[Column32]],Table1215[[#This Row],[Column33]])</f>
        <v>0</v>
      </c>
      <c r="AK217" s="61">
        <f>IFERROR(VLOOKUP(Table1215[[#This Row],[Column2]],Table12[[Column2]:[Column54]],36,FALSE),"0")</f>
        <v>3</v>
      </c>
      <c r="AL217" s="61">
        <f>IFERROR(VLOOKUP(Table1215[[#This Row],[Column2]],Table12[[Column2]:[Column54]],37,FALSE),"0")</f>
        <v>3</v>
      </c>
      <c r="AM217" s="61">
        <f>IFERROR(VLOOKUP(Table1215[[#This Row],[Column2]],Table12[[Column2]:[Column54]],38,FALSE),"0")</f>
        <v>0</v>
      </c>
      <c r="AN217" s="61">
        <f>IFERROR(VLOOKUP(Table1215[[#This Row],[Column2]],Table12[[Column2]:[Column54]],39,FALSE),"0")</f>
        <v>4</v>
      </c>
      <c r="AO217" s="61">
        <f>IFERROR(VLOOKUP(Table1215[[#This Row],[Column2]],Table12[[Column2]:[Column54]],40,FALSE),"0")</f>
        <v>0</v>
      </c>
      <c r="AP217" s="67">
        <f>AVERAGE(Table1215[[#This Row],[Column37]],Table1215[[#This Row],[Column38]],Table1215[[#This Row],[Column40]])</f>
        <v>3.3333333333333335</v>
      </c>
      <c r="AQ217" s="61">
        <f>IFERROR(VLOOKUP(Table1215[[#This Row],[Column2]],Table12[[Column2]:[Column54]],42,FALSE),"0")</f>
        <v>3</v>
      </c>
      <c r="AR217" s="61">
        <f>IFERROR(VLOOKUP(Table1215[[#This Row],[Column2]],Table12[[Column2]:[Column54]],43,FALSE),"0")</f>
        <v>0</v>
      </c>
      <c r="AS217" s="61">
        <f>IFERROR(VLOOKUP(Table1215[[#This Row],[Column2]],Table12[[Column2]:[Column54]],44,FALSE),"0")</f>
        <v>0</v>
      </c>
      <c r="AT217" s="61">
        <f>IFERROR(VLOOKUP(Table1215[[#This Row],[Column2]],Table12[[Column2]:[Column54]],45,FALSE),"0")</f>
        <v>0</v>
      </c>
      <c r="AU217" s="61">
        <f>IFERROR(VLOOKUP(Table1215[[#This Row],[Column2]],Table12[[Column2]:[Column54]],46,FALSE),"0")</f>
        <v>0</v>
      </c>
      <c r="AV217" s="67">
        <f>Table1215[[#This Row],[Column43]]</f>
        <v>3</v>
      </c>
      <c r="AW217" s="61">
        <f>IFERROR(VLOOKUP(Table1215[[#This Row],[Column2]],Table12[[Column2]:[Column54]],48,FALSE),"0")</f>
        <v>0</v>
      </c>
      <c r="AX217" s="61">
        <f>IFERROR(VLOOKUP(Table1215[[#This Row],[Column2]],Table12[[Column2]:[Column54]],49,FALSE),"0")</f>
        <v>0</v>
      </c>
      <c r="AY217" s="61">
        <f>IFERROR(VLOOKUP(Table1215[[#This Row],[Column2]],Table12[[Column2]:[Column54]],50,FALSE),"0")</f>
        <v>0</v>
      </c>
      <c r="AZ217" s="61">
        <f>IFERROR(VLOOKUP(Table1215[[#This Row],[Column2]],Table12[[Column2]:[Column54]],51,FALSE),"0")</f>
        <v>3</v>
      </c>
      <c r="BA217" s="61">
        <f>IFERROR(VLOOKUP(Table1215[[#This Row],[Column2]],Table12[[Column2]:[Column54]],52,FALSE),"0")</f>
        <v>3</v>
      </c>
      <c r="BB217" s="67">
        <f>AVERAGE(Table1215[[#This Row],[Column52]],Table1215[[#This Row],[Column53]])</f>
        <v>3</v>
      </c>
    </row>
    <row r="218" spans="1:54" ht="23.1" customHeight="1" x14ac:dyDescent="0.3">
      <c r="A218" s="86">
        <v>215</v>
      </c>
      <c r="B218" s="63" t="s">
        <v>463</v>
      </c>
      <c r="C218" s="64" t="s">
        <v>464</v>
      </c>
      <c r="D218" s="63" t="s">
        <v>450</v>
      </c>
      <c r="E218" s="63" t="s">
        <v>289</v>
      </c>
      <c r="F218" s="63" t="str">
        <f>REPT(CHAR(160),10)&amp;Working!$E219</f>
        <v>          D</v>
      </c>
      <c r="G218" s="65">
        <f>IFERROR(VLOOKUP(Table1215[[#This Row],[Column2]],Table12[[Column2]:[Column54]],6,FALSE),"0")</f>
        <v>0</v>
      </c>
      <c r="H218" s="65">
        <f>IFERROR(VLOOKUP(Table1215[[#This Row],[Column2]],Table12[[Column2]:[Column54]],7,FALSE),"0")</f>
        <v>0</v>
      </c>
      <c r="I218" s="65">
        <f>IFERROR(VLOOKUP(Table1215[[#This Row],[Column2]],Table12[[Column2]:[Column54]],8,FALSE),"0")</f>
        <v>2</v>
      </c>
      <c r="J218" s="65">
        <f>IFERROR(VLOOKUP(Table1215[[#This Row],[Column2]],Table12[[Column2]:[Column54]],9,FALSE),"0")</f>
        <v>0</v>
      </c>
      <c r="K218" s="65">
        <f>IFERROR(VLOOKUP(Table1215[[#This Row],[Column2]],Table12[[Column2]:[Column54]],10,FALSE),"0")</f>
        <v>0</v>
      </c>
      <c r="L218" s="67">
        <f>Table1215[[#This Row],[Column9]]</f>
        <v>2</v>
      </c>
      <c r="M218" s="65">
        <f>IFERROR(VLOOKUP(Table1215[[#This Row],[Column2]],Table12[[Column2]:[Column54]],12,FALSE),"0")</f>
        <v>0</v>
      </c>
      <c r="N218" s="65">
        <f>IFERROR(VLOOKUP(Table1215[[#This Row],[Column2]],Table12[[Column2]:[Column54]],13,FALSE),"0")</f>
        <v>2</v>
      </c>
      <c r="O218" s="65">
        <f>IFERROR(VLOOKUP(Table1215[[#This Row],[Column2]],Table12[[Column2]:[Column54]],14,FALSE),"0")</f>
        <v>3</v>
      </c>
      <c r="P218" s="65">
        <f>IFERROR(VLOOKUP(Table1215[[#This Row],[Column2]],Table12[[Column2]:[Column54]],10,FALSE),"0")</f>
        <v>0</v>
      </c>
      <c r="Q218" s="65">
        <f>IFERROR(VLOOKUP(Table1215[[#This Row],[Column2]],Table12[[Column2]:[Column54]],16,FALSE),"0")</f>
        <v>3</v>
      </c>
      <c r="R218" s="67">
        <f>AVERAGE(Table1215[[#This Row],[Column14]],Table1215[[#This Row],[Column15]],Table1215[[#This Row],[Column17]])</f>
        <v>2.6666666666666665</v>
      </c>
      <c r="S218" s="65">
        <f>IFERROR(VLOOKUP(Table1215[[#This Row],[Column2]],Table12[[Column2]:[Column54]],18,FALSE),"0")</f>
        <v>0</v>
      </c>
      <c r="T218" s="65">
        <f>IFERROR(VLOOKUP(Table1215[[#This Row],[Column2]],Table12[[Column2]:[Column54]],19,FALSE),"0")</f>
        <v>0</v>
      </c>
      <c r="U218" s="65">
        <f>IFERROR(VLOOKUP(Table1215[[#This Row],[Column2]],Table12[[Column2]:[Column54]],20,FALSE),"0")</f>
        <v>0</v>
      </c>
      <c r="V218" s="65">
        <f>IFERROR(VLOOKUP(Table1215[[#This Row],[Column2]],Table12[[Column2]:[Column54]],21,FALSE),"0")</f>
        <v>0</v>
      </c>
      <c r="W218" s="65">
        <f>IFERROR(VLOOKUP(Table1215[[#This Row],[Column2]],Table12[[Column2]:[Column54]],22,FALSE),"0")</f>
        <v>0</v>
      </c>
      <c r="X218" s="67">
        <f>Table1215[[#This Row],[Column19]]</f>
        <v>0</v>
      </c>
      <c r="Y218" s="65">
        <f>IFERROR(VLOOKUP(Table1215[[#This Row],[Column2]],Table12[[Column2]:[Column54]],24,FALSE),"0")</f>
        <v>2</v>
      </c>
      <c r="Z218" s="65">
        <f>IFERROR(VLOOKUP(Table1215[[#This Row],[Column2]],Table12[[Column2]:[Column54]],25,FALSE),"0")</f>
        <v>0</v>
      </c>
      <c r="AA218" s="65">
        <f>IFERROR(VLOOKUP(Table1215[[#This Row],[Column2]],Table12[[Column2]:[Column54]],26,FALSE),"0")</f>
        <v>0</v>
      </c>
      <c r="AB218" s="65">
        <f>IFERROR(VLOOKUP(Table1215[[#This Row],[Column2]],Table12[[Column2]:[Column54]],27,FALSE),"0")</f>
        <v>0</v>
      </c>
      <c r="AC218" s="65">
        <f>IFERROR(VLOOKUP(Table1215[[#This Row],[Column2]],Table12[[Column2]:[Column54]],28,FALSE),"0")</f>
        <v>0</v>
      </c>
      <c r="AD218" s="67">
        <f>Table1215[[#This Row],[Column25]]</f>
        <v>2</v>
      </c>
      <c r="AE218" s="65">
        <f>IFERROR(VLOOKUP(Table1215[[#This Row],[Column2]],Table12[[Column2]:[Column54]],30,FALSE),"0")</f>
        <v>0</v>
      </c>
      <c r="AF218" s="65">
        <f>IFERROR(VLOOKUP(Table1215[[#This Row],[Column2]],Table12[[Column2]:[Column54]],31,FALSE),"0")</f>
        <v>0</v>
      </c>
      <c r="AG218" s="65">
        <f>IFERROR(VLOOKUP(Table1215[[#This Row],[Column2]],Table12[[Column2]:[Column54]],32,FALSE),"0")</f>
        <v>0</v>
      </c>
      <c r="AH218" s="65">
        <f>IFERROR(VLOOKUP(Table1215[[#This Row],[Column2]],Table12[[Column2]:[Column54]],33,FALSE),"0")</f>
        <v>0</v>
      </c>
      <c r="AI218" s="65">
        <f>IFERROR(VLOOKUP(Table1215[[#This Row],[Column2]],Table12[[Column2]:[Column54]],34,FALSE),"0")</f>
        <v>0</v>
      </c>
      <c r="AJ218" s="67">
        <f>AVERAGE(Table1215[[#This Row],[Column31]],Table1215[[#This Row],[Column32]],Table1215[[#This Row],[Column33]])</f>
        <v>0</v>
      </c>
      <c r="AK218" s="65">
        <f>IFERROR(VLOOKUP(Table1215[[#This Row],[Column2]],Table12[[Column2]:[Column54]],36,FALSE),"0")</f>
        <v>2</v>
      </c>
      <c r="AL218" s="65">
        <f>IFERROR(VLOOKUP(Table1215[[#This Row],[Column2]],Table12[[Column2]:[Column54]],37,FALSE),"0")</f>
        <v>2</v>
      </c>
      <c r="AM218" s="65">
        <f>IFERROR(VLOOKUP(Table1215[[#This Row],[Column2]],Table12[[Column2]:[Column54]],38,FALSE),"0")</f>
        <v>0</v>
      </c>
      <c r="AN218" s="65">
        <f>IFERROR(VLOOKUP(Table1215[[#This Row],[Column2]],Table12[[Column2]:[Column54]],39,FALSE),"0")</f>
        <v>3</v>
      </c>
      <c r="AO218" s="65">
        <f>IFERROR(VLOOKUP(Table1215[[#This Row],[Column2]],Table12[[Column2]:[Column54]],40,FALSE),"0")</f>
        <v>0</v>
      </c>
      <c r="AP218" s="67">
        <f>AVERAGE(Table1215[[#This Row],[Column37]],Table1215[[#This Row],[Column38]],Table1215[[#This Row],[Column40]])</f>
        <v>2.3333333333333335</v>
      </c>
      <c r="AQ218" s="65">
        <f>IFERROR(VLOOKUP(Table1215[[#This Row],[Column2]],Table12[[Column2]:[Column54]],42,FALSE),"0")</f>
        <v>2</v>
      </c>
      <c r="AR218" s="65">
        <f>IFERROR(VLOOKUP(Table1215[[#This Row],[Column2]],Table12[[Column2]:[Column54]],43,FALSE),"0")</f>
        <v>0</v>
      </c>
      <c r="AS218" s="65">
        <f>IFERROR(VLOOKUP(Table1215[[#This Row],[Column2]],Table12[[Column2]:[Column54]],44,FALSE),"0")</f>
        <v>0</v>
      </c>
      <c r="AT218" s="65">
        <f>IFERROR(VLOOKUP(Table1215[[#This Row],[Column2]],Table12[[Column2]:[Column54]],45,FALSE),"0")</f>
        <v>0</v>
      </c>
      <c r="AU218" s="65">
        <f>IFERROR(VLOOKUP(Table1215[[#This Row],[Column2]],Table12[[Column2]:[Column54]],46,FALSE),"0")</f>
        <v>0</v>
      </c>
      <c r="AV218" s="67">
        <f>Table1215[[#This Row],[Column43]]</f>
        <v>2</v>
      </c>
      <c r="AW218" s="65">
        <f>IFERROR(VLOOKUP(Table1215[[#This Row],[Column2]],Table12[[Column2]:[Column54]],48,FALSE),"0")</f>
        <v>0</v>
      </c>
      <c r="AX218" s="65">
        <f>IFERROR(VLOOKUP(Table1215[[#This Row],[Column2]],Table12[[Column2]:[Column54]],49,FALSE),"0")</f>
        <v>0</v>
      </c>
      <c r="AY218" s="65">
        <f>IFERROR(VLOOKUP(Table1215[[#This Row],[Column2]],Table12[[Column2]:[Column54]],50,FALSE),"0")</f>
        <v>0</v>
      </c>
      <c r="AZ218" s="65">
        <f>IFERROR(VLOOKUP(Table1215[[#This Row],[Column2]],Table12[[Column2]:[Column54]],51,FALSE),"0")</f>
        <v>3</v>
      </c>
      <c r="BA218" s="65">
        <f>IFERROR(VLOOKUP(Table1215[[#This Row],[Column2]],Table12[[Column2]:[Column54]],52,FALSE),"0")</f>
        <v>3</v>
      </c>
      <c r="BB218" s="67">
        <f>AVERAGE(Table1215[[#This Row],[Column52]],Table1215[[#This Row],[Column53]])</f>
        <v>3</v>
      </c>
    </row>
    <row r="219" spans="1:54" ht="23.1" customHeight="1" x14ac:dyDescent="0.3">
      <c r="A219" s="87">
        <v>216</v>
      </c>
      <c r="B219" s="70" t="s">
        <v>465</v>
      </c>
      <c r="C219" s="71" t="s">
        <v>466</v>
      </c>
      <c r="D219" s="70" t="s">
        <v>450</v>
      </c>
      <c r="E219" s="70" t="s">
        <v>289</v>
      </c>
      <c r="F219" s="70" t="str">
        <f>REPT(CHAR(160),10)&amp;Working!$E220</f>
        <v>          D</v>
      </c>
      <c r="G219" s="61">
        <f>IFERROR(VLOOKUP(Table1215[[#This Row],[Column2]],Table12[[Column2]:[Column54]],6,FALSE),"0")</f>
        <v>0</v>
      </c>
      <c r="H219" s="61">
        <f>IFERROR(VLOOKUP(Table1215[[#This Row],[Column2]],Table12[[Column2]:[Column54]],7,FALSE),"0")</f>
        <v>0</v>
      </c>
      <c r="I219" s="61">
        <f>IFERROR(VLOOKUP(Table1215[[#This Row],[Column2]],Table12[[Column2]:[Column54]],8,FALSE),"0")</f>
        <v>2</v>
      </c>
      <c r="J219" s="61">
        <f>IFERROR(VLOOKUP(Table1215[[#This Row],[Column2]],Table12[[Column2]:[Column54]],9,FALSE),"0")</f>
        <v>0</v>
      </c>
      <c r="K219" s="61">
        <f>IFERROR(VLOOKUP(Table1215[[#This Row],[Column2]],Table12[[Column2]:[Column54]],10,FALSE),"0")</f>
        <v>0</v>
      </c>
      <c r="L219" s="67">
        <f>Table1215[[#This Row],[Column9]]</f>
        <v>2</v>
      </c>
      <c r="M219" s="61">
        <f>IFERROR(VLOOKUP(Table1215[[#This Row],[Column2]],Table12[[Column2]:[Column54]],12,FALSE),"0")</f>
        <v>0</v>
      </c>
      <c r="N219" s="61">
        <f>IFERROR(VLOOKUP(Table1215[[#This Row],[Column2]],Table12[[Column2]:[Column54]],13,FALSE),"0")</f>
        <v>2</v>
      </c>
      <c r="O219" s="61">
        <f>IFERROR(VLOOKUP(Table1215[[#This Row],[Column2]],Table12[[Column2]:[Column54]],14,FALSE),"0")</f>
        <v>3</v>
      </c>
      <c r="P219" s="61">
        <f>IFERROR(VLOOKUP(Table1215[[#This Row],[Column2]],Table12[[Column2]:[Column54]],10,FALSE),"0")</f>
        <v>0</v>
      </c>
      <c r="Q219" s="61">
        <f>IFERROR(VLOOKUP(Table1215[[#This Row],[Column2]],Table12[[Column2]:[Column54]],16,FALSE),"0")</f>
        <v>3</v>
      </c>
      <c r="R219" s="67">
        <f>AVERAGE(Table1215[[#This Row],[Column14]],Table1215[[#This Row],[Column15]],Table1215[[#This Row],[Column17]])</f>
        <v>2.6666666666666665</v>
      </c>
      <c r="S219" s="61">
        <f>IFERROR(VLOOKUP(Table1215[[#This Row],[Column2]],Table12[[Column2]:[Column54]],18,FALSE),"0")</f>
        <v>0</v>
      </c>
      <c r="T219" s="61">
        <f>IFERROR(VLOOKUP(Table1215[[#This Row],[Column2]],Table12[[Column2]:[Column54]],19,FALSE),"0")</f>
        <v>0</v>
      </c>
      <c r="U219" s="61">
        <f>IFERROR(VLOOKUP(Table1215[[#This Row],[Column2]],Table12[[Column2]:[Column54]],20,FALSE),"0")</f>
        <v>0</v>
      </c>
      <c r="V219" s="61">
        <f>IFERROR(VLOOKUP(Table1215[[#This Row],[Column2]],Table12[[Column2]:[Column54]],21,FALSE),"0")</f>
        <v>0</v>
      </c>
      <c r="W219" s="61">
        <f>IFERROR(VLOOKUP(Table1215[[#This Row],[Column2]],Table12[[Column2]:[Column54]],22,FALSE),"0")</f>
        <v>0</v>
      </c>
      <c r="X219" s="67">
        <f>Table1215[[#This Row],[Column19]]</f>
        <v>0</v>
      </c>
      <c r="Y219" s="61">
        <f>IFERROR(VLOOKUP(Table1215[[#This Row],[Column2]],Table12[[Column2]:[Column54]],24,FALSE),"0")</f>
        <v>3</v>
      </c>
      <c r="Z219" s="61">
        <f>IFERROR(VLOOKUP(Table1215[[#This Row],[Column2]],Table12[[Column2]:[Column54]],25,FALSE),"0")</f>
        <v>0</v>
      </c>
      <c r="AA219" s="61">
        <f>IFERROR(VLOOKUP(Table1215[[#This Row],[Column2]],Table12[[Column2]:[Column54]],26,FALSE),"0")</f>
        <v>0</v>
      </c>
      <c r="AB219" s="61">
        <f>IFERROR(VLOOKUP(Table1215[[#This Row],[Column2]],Table12[[Column2]:[Column54]],27,FALSE),"0")</f>
        <v>0</v>
      </c>
      <c r="AC219" s="61">
        <f>IFERROR(VLOOKUP(Table1215[[#This Row],[Column2]],Table12[[Column2]:[Column54]],28,FALSE),"0")</f>
        <v>0</v>
      </c>
      <c r="AD219" s="67">
        <f>Table1215[[#This Row],[Column25]]</f>
        <v>3</v>
      </c>
      <c r="AE219" s="61">
        <f>IFERROR(VLOOKUP(Table1215[[#This Row],[Column2]],Table12[[Column2]:[Column54]],30,FALSE),"0")</f>
        <v>0</v>
      </c>
      <c r="AF219" s="61">
        <f>IFERROR(VLOOKUP(Table1215[[#This Row],[Column2]],Table12[[Column2]:[Column54]],31,FALSE),"0")</f>
        <v>0</v>
      </c>
      <c r="AG219" s="61">
        <f>IFERROR(VLOOKUP(Table1215[[#This Row],[Column2]],Table12[[Column2]:[Column54]],32,FALSE),"0")</f>
        <v>0</v>
      </c>
      <c r="AH219" s="61">
        <f>IFERROR(VLOOKUP(Table1215[[#This Row],[Column2]],Table12[[Column2]:[Column54]],33,FALSE),"0")</f>
        <v>0</v>
      </c>
      <c r="AI219" s="61">
        <f>IFERROR(VLOOKUP(Table1215[[#This Row],[Column2]],Table12[[Column2]:[Column54]],34,FALSE),"0")</f>
        <v>0</v>
      </c>
      <c r="AJ219" s="67">
        <f>AVERAGE(Table1215[[#This Row],[Column31]],Table1215[[#This Row],[Column32]],Table1215[[#This Row],[Column33]])</f>
        <v>0</v>
      </c>
      <c r="AK219" s="61">
        <f>IFERROR(VLOOKUP(Table1215[[#This Row],[Column2]],Table12[[Column2]:[Column54]],36,FALSE),"0")</f>
        <v>2</v>
      </c>
      <c r="AL219" s="61">
        <f>IFERROR(VLOOKUP(Table1215[[#This Row],[Column2]],Table12[[Column2]:[Column54]],37,FALSE),"0")</f>
        <v>3</v>
      </c>
      <c r="AM219" s="61">
        <f>IFERROR(VLOOKUP(Table1215[[#This Row],[Column2]],Table12[[Column2]:[Column54]],38,FALSE),"0")</f>
        <v>0</v>
      </c>
      <c r="AN219" s="61">
        <f>IFERROR(VLOOKUP(Table1215[[#This Row],[Column2]],Table12[[Column2]:[Column54]],39,FALSE),"0")</f>
        <v>3</v>
      </c>
      <c r="AO219" s="61">
        <f>IFERROR(VLOOKUP(Table1215[[#This Row],[Column2]],Table12[[Column2]:[Column54]],40,FALSE),"0")</f>
        <v>0</v>
      </c>
      <c r="AP219" s="67">
        <f>AVERAGE(Table1215[[#This Row],[Column37]],Table1215[[#This Row],[Column38]],Table1215[[#This Row],[Column40]])</f>
        <v>2.6666666666666665</v>
      </c>
      <c r="AQ219" s="61">
        <f>IFERROR(VLOOKUP(Table1215[[#This Row],[Column2]],Table12[[Column2]:[Column54]],42,FALSE),"0")</f>
        <v>3</v>
      </c>
      <c r="AR219" s="61">
        <f>IFERROR(VLOOKUP(Table1215[[#This Row],[Column2]],Table12[[Column2]:[Column54]],43,FALSE),"0")</f>
        <v>0</v>
      </c>
      <c r="AS219" s="61">
        <f>IFERROR(VLOOKUP(Table1215[[#This Row],[Column2]],Table12[[Column2]:[Column54]],44,FALSE),"0")</f>
        <v>0</v>
      </c>
      <c r="AT219" s="61">
        <f>IFERROR(VLOOKUP(Table1215[[#This Row],[Column2]],Table12[[Column2]:[Column54]],45,FALSE),"0")</f>
        <v>0</v>
      </c>
      <c r="AU219" s="61">
        <f>IFERROR(VLOOKUP(Table1215[[#This Row],[Column2]],Table12[[Column2]:[Column54]],46,FALSE),"0")</f>
        <v>0</v>
      </c>
      <c r="AV219" s="67">
        <f>Table1215[[#This Row],[Column43]]</f>
        <v>3</v>
      </c>
      <c r="AW219" s="61">
        <f>IFERROR(VLOOKUP(Table1215[[#This Row],[Column2]],Table12[[Column2]:[Column54]],48,FALSE),"0")</f>
        <v>0</v>
      </c>
      <c r="AX219" s="61">
        <f>IFERROR(VLOOKUP(Table1215[[#This Row],[Column2]],Table12[[Column2]:[Column54]],49,FALSE),"0")</f>
        <v>0</v>
      </c>
      <c r="AY219" s="61">
        <f>IFERROR(VLOOKUP(Table1215[[#This Row],[Column2]],Table12[[Column2]:[Column54]],50,FALSE),"0")</f>
        <v>0</v>
      </c>
      <c r="AZ219" s="61">
        <f>IFERROR(VLOOKUP(Table1215[[#This Row],[Column2]],Table12[[Column2]:[Column54]],51,FALSE),"0")</f>
        <v>2</v>
      </c>
      <c r="BA219" s="61">
        <f>IFERROR(VLOOKUP(Table1215[[#This Row],[Column2]],Table12[[Column2]:[Column54]],52,FALSE),"0")</f>
        <v>2</v>
      </c>
      <c r="BB219" s="67">
        <f>AVERAGE(Table1215[[#This Row],[Column52]],Table1215[[#This Row],[Column53]])</f>
        <v>2</v>
      </c>
    </row>
    <row r="220" spans="1:54" ht="23.1" customHeight="1" x14ac:dyDescent="0.3">
      <c r="A220" s="86">
        <v>217</v>
      </c>
      <c r="B220" s="63" t="s">
        <v>467</v>
      </c>
      <c r="C220" s="64" t="s">
        <v>468</v>
      </c>
      <c r="D220" s="63" t="s">
        <v>542</v>
      </c>
      <c r="E220" s="63" t="s">
        <v>289</v>
      </c>
      <c r="F220" s="63" t="str">
        <f>REPT(CHAR(160),10)&amp;Working!$E221</f>
        <v>          D</v>
      </c>
      <c r="G220" s="65">
        <f>IFERROR(VLOOKUP(Table1215[[#This Row],[Column2]],Table12[[Column2]:[Column54]],6,FALSE),"0")</f>
        <v>0</v>
      </c>
      <c r="H220" s="65">
        <f>IFERROR(VLOOKUP(Table1215[[#This Row],[Column2]],Table12[[Column2]:[Column54]],7,FALSE),"0")</f>
        <v>0</v>
      </c>
      <c r="I220" s="65">
        <f>IFERROR(VLOOKUP(Table1215[[#This Row],[Column2]],Table12[[Column2]:[Column54]],8,FALSE),"0")</f>
        <v>3</v>
      </c>
      <c r="J220" s="65">
        <f>IFERROR(VLOOKUP(Table1215[[#This Row],[Column2]],Table12[[Column2]:[Column54]],9,FALSE),"0")</f>
        <v>0</v>
      </c>
      <c r="K220" s="65">
        <f>IFERROR(VLOOKUP(Table1215[[#This Row],[Column2]],Table12[[Column2]:[Column54]],10,FALSE),"0")</f>
        <v>0</v>
      </c>
      <c r="L220" s="67">
        <f>Table1215[[#This Row],[Column9]]</f>
        <v>3</v>
      </c>
      <c r="M220" s="65">
        <f>IFERROR(VLOOKUP(Table1215[[#This Row],[Column2]],Table12[[Column2]:[Column54]],12,FALSE),"0")</f>
        <v>0</v>
      </c>
      <c r="N220" s="65">
        <f>IFERROR(VLOOKUP(Table1215[[#This Row],[Column2]],Table12[[Column2]:[Column54]],13,FALSE),"0")</f>
        <v>4</v>
      </c>
      <c r="O220" s="65">
        <f>IFERROR(VLOOKUP(Table1215[[#This Row],[Column2]],Table12[[Column2]:[Column54]],14,FALSE),"0")</f>
        <v>5</v>
      </c>
      <c r="P220" s="65">
        <f>IFERROR(VLOOKUP(Table1215[[#This Row],[Column2]],Table12[[Column2]:[Column54]],10,FALSE),"0")</f>
        <v>0</v>
      </c>
      <c r="Q220" s="65">
        <f>IFERROR(VLOOKUP(Table1215[[#This Row],[Column2]],Table12[[Column2]:[Column54]],16,FALSE),"0")</f>
        <v>5</v>
      </c>
      <c r="R220" s="67">
        <f>AVERAGE(Table1215[[#This Row],[Column14]],Table1215[[#This Row],[Column15]],Table1215[[#This Row],[Column17]])</f>
        <v>4.666666666666667</v>
      </c>
      <c r="S220" s="65">
        <f>IFERROR(VLOOKUP(Table1215[[#This Row],[Column2]],Table12[[Column2]:[Column54]],18,FALSE),"0")</f>
        <v>0</v>
      </c>
      <c r="T220" s="65">
        <f>IFERROR(VLOOKUP(Table1215[[#This Row],[Column2]],Table12[[Column2]:[Column54]],19,FALSE),"0")</f>
        <v>0</v>
      </c>
      <c r="U220" s="65">
        <f>IFERROR(VLOOKUP(Table1215[[#This Row],[Column2]],Table12[[Column2]:[Column54]],20,FALSE),"0")</f>
        <v>0</v>
      </c>
      <c r="V220" s="65">
        <f>IFERROR(VLOOKUP(Table1215[[#This Row],[Column2]],Table12[[Column2]:[Column54]],21,FALSE),"0")</f>
        <v>0</v>
      </c>
      <c r="W220" s="65">
        <f>IFERROR(VLOOKUP(Table1215[[#This Row],[Column2]],Table12[[Column2]:[Column54]],22,FALSE),"0")</f>
        <v>0</v>
      </c>
      <c r="X220" s="67">
        <f>Table1215[[#This Row],[Column19]]</f>
        <v>0</v>
      </c>
      <c r="Y220" s="65">
        <f>IFERROR(VLOOKUP(Table1215[[#This Row],[Column2]],Table12[[Column2]:[Column54]],24,FALSE),"0")</f>
        <v>4</v>
      </c>
      <c r="Z220" s="65">
        <f>IFERROR(VLOOKUP(Table1215[[#This Row],[Column2]],Table12[[Column2]:[Column54]],25,FALSE),"0")</f>
        <v>0</v>
      </c>
      <c r="AA220" s="65">
        <f>IFERROR(VLOOKUP(Table1215[[#This Row],[Column2]],Table12[[Column2]:[Column54]],26,FALSE),"0")</f>
        <v>0</v>
      </c>
      <c r="AB220" s="65">
        <f>IFERROR(VLOOKUP(Table1215[[#This Row],[Column2]],Table12[[Column2]:[Column54]],27,FALSE),"0")</f>
        <v>0</v>
      </c>
      <c r="AC220" s="65">
        <f>IFERROR(VLOOKUP(Table1215[[#This Row],[Column2]],Table12[[Column2]:[Column54]],28,FALSE),"0")</f>
        <v>0</v>
      </c>
      <c r="AD220" s="67">
        <f>Table1215[[#This Row],[Column25]]</f>
        <v>4</v>
      </c>
      <c r="AE220" s="65">
        <f>IFERROR(VLOOKUP(Table1215[[#This Row],[Column2]],Table12[[Column2]:[Column54]],30,FALSE),"0")</f>
        <v>0</v>
      </c>
      <c r="AF220" s="65">
        <f>IFERROR(VLOOKUP(Table1215[[#This Row],[Column2]],Table12[[Column2]:[Column54]],31,FALSE),"0")</f>
        <v>0</v>
      </c>
      <c r="AG220" s="65">
        <f>IFERROR(VLOOKUP(Table1215[[#This Row],[Column2]],Table12[[Column2]:[Column54]],32,FALSE),"0")</f>
        <v>0</v>
      </c>
      <c r="AH220" s="65">
        <f>IFERROR(VLOOKUP(Table1215[[#This Row],[Column2]],Table12[[Column2]:[Column54]],33,FALSE),"0")</f>
        <v>0</v>
      </c>
      <c r="AI220" s="65">
        <f>IFERROR(VLOOKUP(Table1215[[#This Row],[Column2]],Table12[[Column2]:[Column54]],34,FALSE),"0")</f>
        <v>0</v>
      </c>
      <c r="AJ220" s="67">
        <f>AVERAGE(Table1215[[#This Row],[Column31]],Table1215[[#This Row],[Column32]],Table1215[[#This Row],[Column33]])</f>
        <v>0</v>
      </c>
      <c r="AK220" s="65">
        <f>IFERROR(VLOOKUP(Table1215[[#This Row],[Column2]],Table12[[Column2]:[Column54]],36,FALSE),"0")</f>
        <v>3</v>
      </c>
      <c r="AL220" s="65">
        <f>IFERROR(VLOOKUP(Table1215[[#This Row],[Column2]],Table12[[Column2]:[Column54]],37,FALSE),"0")</f>
        <v>3</v>
      </c>
      <c r="AM220" s="65">
        <f>IFERROR(VLOOKUP(Table1215[[#This Row],[Column2]],Table12[[Column2]:[Column54]],38,FALSE),"0")</f>
        <v>0</v>
      </c>
      <c r="AN220" s="65">
        <f>IFERROR(VLOOKUP(Table1215[[#This Row],[Column2]],Table12[[Column2]:[Column54]],39,FALSE),"0")</f>
        <v>4</v>
      </c>
      <c r="AO220" s="65">
        <f>IFERROR(VLOOKUP(Table1215[[#This Row],[Column2]],Table12[[Column2]:[Column54]],40,FALSE),"0")</f>
        <v>0</v>
      </c>
      <c r="AP220" s="67">
        <f>AVERAGE(Table1215[[#This Row],[Column37]],Table1215[[#This Row],[Column38]],Table1215[[#This Row],[Column40]])</f>
        <v>3.3333333333333335</v>
      </c>
      <c r="AQ220" s="65">
        <f>IFERROR(VLOOKUP(Table1215[[#This Row],[Column2]],Table12[[Column2]:[Column54]],42,FALSE),"0")</f>
        <v>4</v>
      </c>
      <c r="AR220" s="65">
        <f>IFERROR(VLOOKUP(Table1215[[#This Row],[Column2]],Table12[[Column2]:[Column54]],43,FALSE),"0")</f>
        <v>0</v>
      </c>
      <c r="AS220" s="65">
        <f>IFERROR(VLOOKUP(Table1215[[#This Row],[Column2]],Table12[[Column2]:[Column54]],44,FALSE),"0")</f>
        <v>0</v>
      </c>
      <c r="AT220" s="65">
        <f>IFERROR(VLOOKUP(Table1215[[#This Row],[Column2]],Table12[[Column2]:[Column54]],45,FALSE),"0")</f>
        <v>0</v>
      </c>
      <c r="AU220" s="65">
        <f>IFERROR(VLOOKUP(Table1215[[#This Row],[Column2]],Table12[[Column2]:[Column54]],46,FALSE),"0")</f>
        <v>0</v>
      </c>
      <c r="AV220" s="67">
        <f>Table1215[[#This Row],[Column43]]</f>
        <v>4</v>
      </c>
      <c r="AW220" s="65">
        <f>IFERROR(VLOOKUP(Table1215[[#This Row],[Column2]],Table12[[Column2]:[Column54]],48,FALSE),"0")</f>
        <v>0</v>
      </c>
      <c r="AX220" s="65">
        <f>IFERROR(VLOOKUP(Table1215[[#This Row],[Column2]],Table12[[Column2]:[Column54]],49,FALSE),"0")</f>
        <v>0</v>
      </c>
      <c r="AY220" s="65">
        <f>IFERROR(VLOOKUP(Table1215[[#This Row],[Column2]],Table12[[Column2]:[Column54]],50,FALSE),"0")</f>
        <v>0</v>
      </c>
      <c r="AZ220" s="65">
        <f>IFERROR(VLOOKUP(Table1215[[#This Row],[Column2]],Table12[[Column2]:[Column54]],51,FALSE),"0")</f>
        <v>3</v>
      </c>
      <c r="BA220" s="65">
        <f>IFERROR(VLOOKUP(Table1215[[#This Row],[Column2]],Table12[[Column2]:[Column54]],52,FALSE),"0")</f>
        <v>3</v>
      </c>
      <c r="BB220" s="67">
        <f>AVERAGE(Table1215[[#This Row],[Column52]],Table1215[[#This Row],[Column53]])</f>
        <v>3</v>
      </c>
    </row>
    <row r="221" spans="1:54" ht="23.1" customHeight="1" x14ac:dyDescent="0.3">
      <c r="A221" s="87">
        <v>218</v>
      </c>
      <c r="B221" s="70" t="s">
        <v>469</v>
      </c>
      <c r="C221" s="71" t="s">
        <v>470</v>
      </c>
      <c r="D221" s="70" t="s">
        <v>450</v>
      </c>
      <c r="E221" s="70" t="s">
        <v>289</v>
      </c>
      <c r="F221" s="70" t="str">
        <f>REPT(CHAR(160),10)&amp;Working!$E222</f>
        <v>          D</v>
      </c>
      <c r="G221" s="61">
        <f>IFERROR(VLOOKUP(Table1215[[#This Row],[Column2]],Table12[[Column2]:[Column54]],6,FALSE),"0")</f>
        <v>0</v>
      </c>
      <c r="H221" s="61">
        <f>IFERROR(VLOOKUP(Table1215[[#This Row],[Column2]],Table12[[Column2]:[Column54]],7,FALSE),"0")</f>
        <v>0</v>
      </c>
      <c r="I221" s="61">
        <f>IFERROR(VLOOKUP(Table1215[[#This Row],[Column2]],Table12[[Column2]:[Column54]],8,FALSE),"0")</f>
        <v>2</v>
      </c>
      <c r="J221" s="61">
        <f>IFERROR(VLOOKUP(Table1215[[#This Row],[Column2]],Table12[[Column2]:[Column54]],9,FALSE),"0")</f>
        <v>0</v>
      </c>
      <c r="K221" s="61">
        <f>IFERROR(VLOOKUP(Table1215[[#This Row],[Column2]],Table12[[Column2]:[Column54]],10,FALSE),"0")</f>
        <v>0</v>
      </c>
      <c r="L221" s="67">
        <f>Table1215[[#This Row],[Column9]]</f>
        <v>2</v>
      </c>
      <c r="M221" s="61">
        <f>IFERROR(VLOOKUP(Table1215[[#This Row],[Column2]],Table12[[Column2]:[Column54]],12,FALSE),"0")</f>
        <v>0</v>
      </c>
      <c r="N221" s="61">
        <f>IFERROR(VLOOKUP(Table1215[[#This Row],[Column2]],Table12[[Column2]:[Column54]],13,FALSE),"0")</f>
        <v>2</v>
      </c>
      <c r="O221" s="61">
        <f>IFERROR(VLOOKUP(Table1215[[#This Row],[Column2]],Table12[[Column2]:[Column54]],14,FALSE),"0")</f>
        <v>3</v>
      </c>
      <c r="P221" s="61">
        <f>IFERROR(VLOOKUP(Table1215[[#This Row],[Column2]],Table12[[Column2]:[Column54]],10,FALSE),"0")</f>
        <v>0</v>
      </c>
      <c r="Q221" s="61">
        <f>IFERROR(VLOOKUP(Table1215[[#This Row],[Column2]],Table12[[Column2]:[Column54]],16,FALSE),"0")</f>
        <v>3</v>
      </c>
      <c r="R221" s="67">
        <f>AVERAGE(Table1215[[#This Row],[Column14]],Table1215[[#This Row],[Column15]],Table1215[[#This Row],[Column17]])</f>
        <v>2.6666666666666665</v>
      </c>
      <c r="S221" s="61">
        <f>IFERROR(VLOOKUP(Table1215[[#This Row],[Column2]],Table12[[Column2]:[Column54]],18,FALSE),"0")</f>
        <v>0</v>
      </c>
      <c r="T221" s="61">
        <f>IFERROR(VLOOKUP(Table1215[[#This Row],[Column2]],Table12[[Column2]:[Column54]],19,FALSE),"0")</f>
        <v>0</v>
      </c>
      <c r="U221" s="61">
        <f>IFERROR(VLOOKUP(Table1215[[#This Row],[Column2]],Table12[[Column2]:[Column54]],20,FALSE),"0")</f>
        <v>0</v>
      </c>
      <c r="V221" s="61">
        <f>IFERROR(VLOOKUP(Table1215[[#This Row],[Column2]],Table12[[Column2]:[Column54]],21,FALSE),"0")</f>
        <v>0</v>
      </c>
      <c r="W221" s="61">
        <f>IFERROR(VLOOKUP(Table1215[[#This Row],[Column2]],Table12[[Column2]:[Column54]],22,FALSE),"0")</f>
        <v>0</v>
      </c>
      <c r="X221" s="67">
        <f>Table1215[[#This Row],[Column19]]</f>
        <v>0</v>
      </c>
      <c r="Y221" s="61">
        <f>IFERROR(VLOOKUP(Table1215[[#This Row],[Column2]],Table12[[Column2]:[Column54]],24,FALSE),"0")</f>
        <v>2</v>
      </c>
      <c r="Z221" s="61">
        <f>IFERROR(VLOOKUP(Table1215[[#This Row],[Column2]],Table12[[Column2]:[Column54]],25,FALSE),"0")</f>
        <v>0</v>
      </c>
      <c r="AA221" s="61">
        <f>IFERROR(VLOOKUP(Table1215[[#This Row],[Column2]],Table12[[Column2]:[Column54]],26,FALSE),"0")</f>
        <v>0</v>
      </c>
      <c r="AB221" s="61">
        <f>IFERROR(VLOOKUP(Table1215[[#This Row],[Column2]],Table12[[Column2]:[Column54]],27,FALSE),"0")</f>
        <v>0</v>
      </c>
      <c r="AC221" s="61">
        <f>IFERROR(VLOOKUP(Table1215[[#This Row],[Column2]],Table12[[Column2]:[Column54]],28,FALSE),"0")</f>
        <v>0</v>
      </c>
      <c r="AD221" s="67">
        <f>Table1215[[#This Row],[Column25]]</f>
        <v>2</v>
      </c>
      <c r="AE221" s="61">
        <f>IFERROR(VLOOKUP(Table1215[[#This Row],[Column2]],Table12[[Column2]:[Column54]],30,FALSE),"0")</f>
        <v>0</v>
      </c>
      <c r="AF221" s="61">
        <f>IFERROR(VLOOKUP(Table1215[[#This Row],[Column2]],Table12[[Column2]:[Column54]],31,FALSE),"0")</f>
        <v>0</v>
      </c>
      <c r="AG221" s="61">
        <f>IFERROR(VLOOKUP(Table1215[[#This Row],[Column2]],Table12[[Column2]:[Column54]],32,FALSE),"0")</f>
        <v>0</v>
      </c>
      <c r="AH221" s="61">
        <f>IFERROR(VLOOKUP(Table1215[[#This Row],[Column2]],Table12[[Column2]:[Column54]],33,FALSE),"0")</f>
        <v>0</v>
      </c>
      <c r="AI221" s="61">
        <f>IFERROR(VLOOKUP(Table1215[[#This Row],[Column2]],Table12[[Column2]:[Column54]],34,FALSE),"0")</f>
        <v>0</v>
      </c>
      <c r="AJ221" s="67">
        <f>AVERAGE(Table1215[[#This Row],[Column31]],Table1215[[#This Row],[Column32]],Table1215[[#This Row],[Column33]])</f>
        <v>0</v>
      </c>
      <c r="AK221" s="61">
        <f>IFERROR(VLOOKUP(Table1215[[#This Row],[Column2]],Table12[[Column2]:[Column54]],36,FALSE),"0")</f>
        <v>2</v>
      </c>
      <c r="AL221" s="61">
        <f>IFERROR(VLOOKUP(Table1215[[#This Row],[Column2]],Table12[[Column2]:[Column54]],37,FALSE),"0")</f>
        <v>2</v>
      </c>
      <c r="AM221" s="61">
        <f>IFERROR(VLOOKUP(Table1215[[#This Row],[Column2]],Table12[[Column2]:[Column54]],38,FALSE),"0")</f>
        <v>0</v>
      </c>
      <c r="AN221" s="61">
        <f>IFERROR(VLOOKUP(Table1215[[#This Row],[Column2]],Table12[[Column2]:[Column54]],39,FALSE),"0")</f>
        <v>2</v>
      </c>
      <c r="AO221" s="61">
        <f>IFERROR(VLOOKUP(Table1215[[#This Row],[Column2]],Table12[[Column2]:[Column54]],40,FALSE),"0")</f>
        <v>0</v>
      </c>
      <c r="AP221" s="67">
        <f>AVERAGE(Table1215[[#This Row],[Column37]],Table1215[[#This Row],[Column38]],Table1215[[#This Row],[Column40]])</f>
        <v>2</v>
      </c>
      <c r="AQ221" s="61">
        <f>IFERROR(VLOOKUP(Table1215[[#This Row],[Column2]],Table12[[Column2]:[Column54]],42,FALSE),"0")</f>
        <v>2</v>
      </c>
      <c r="AR221" s="61">
        <f>IFERROR(VLOOKUP(Table1215[[#This Row],[Column2]],Table12[[Column2]:[Column54]],43,FALSE),"0")</f>
        <v>0</v>
      </c>
      <c r="AS221" s="61">
        <f>IFERROR(VLOOKUP(Table1215[[#This Row],[Column2]],Table12[[Column2]:[Column54]],44,FALSE),"0")</f>
        <v>0</v>
      </c>
      <c r="AT221" s="61">
        <f>IFERROR(VLOOKUP(Table1215[[#This Row],[Column2]],Table12[[Column2]:[Column54]],45,FALSE),"0")</f>
        <v>0</v>
      </c>
      <c r="AU221" s="61">
        <f>IFERROR(VLOOKUP(Table1215[[#This Row],[Column2]],Table12[[Column2]:[Column54]],46,FALSE),"0")</f>
        <v>0</v>
      </c>
      <c r="AV221" s="67">
        <f>Table1215[[#This Row],[Column43]]</f>
        <v>2</v>
      </c>
      <c r="AW221" s="61">
        <f>IFERROR(VLOOKUP(Table1215[[#This Row],[Column2]],Table12[[Column2]:[Column54]],48,FALSE),"0")</f>
        <v>0</v>
      </c>
      <c r="AX221" s="61">
        <f>IFERROR(VLOOKUP(Table1215[[#This Row],[Column2]],Table12[[Column2]:[Column54]],49,FALSE),"0")</f>
        <v>0</v>
      </c>
      <c r="AY221" s="61">
        <f>IFERROR(VLOOKUP(Table1215[[#This Row],[Column2]],Table12[[Column2]:[Column54]],50,FALSE),"0")</f>
        <v>0</v>
      </c>
      <c r="AZ221" s="61">
        <f>IFERROR(VLOOKUP(Table1215[[#This Row],[Column2]],Table12[[Column2]:[Column54]],51,FALSE),"0")</f>
        <v>3</v>
      </c>
      <c r="BA221" s="61">
        <f>IFERROR(VLOOKUP(Table1215[[#This Row],[Column2]],Table12[[Column2]:[Column54]],52,FALSE),"0")</f>
        <v>2</v>
      </c>
      <c r="BB221" s="67">
        <f>AVERAGE(Table1215[[#This Row],[Column52]],Table1215[[#This Row],[Column53]])</f>
        <v>2.5</v>
      </c>
    </row>
    <row r="222" spans="1:54" ht="23.1" customHeight="1" x14ac:dyDescent="0.3">
      <c r="A222" s="86">
        <v>219</v>
      </c>
      <c r="B222" s="63" t="s">
        <v>471</v>
      </c>
      <c r="C222" s="64" t="s">
        <v>472</v>
      </c>
      <c r="D222" s="63" t="s">
        <v>450</v>
      </c>
      <c r="E222" s="63" t="s">
        <v>289</v>
      </c>
      <c r="F222" s="63" t="str">
        <f>REPT(CHAR(160),10)&amp;Working!$E223</f>
        <v>          D</v>
      </c>
      <c r="G222" s="65">
        <f>IFERROR(VLOOKUP(Table1215[[#This Row],[Column2]],Table12[[Column2]:[Column54]],6,FALSE),"0")</f>
        <v>0</v>
      </c>
      <c r="H222" s="65">
        <f>IFERROR(VLOOKUP(Table1215[[#This Row],[Column2]],Table12[[Column2]:[Column54]],7,FALSE),"0")</f>
        <v>0</v>
      </c>
      <c r="I222" s="65">
        <f>IFERROR(VLOOKUP(Table1215[[#This Row],[Column2]],Table12[[Column2]:[Column54]],8,FALSE),"0")</f>
        <v>3</v>
      </c>
      <c r="J222" s="65">
        <f>IFERROR(VLOOKUP(Table1215[[#This Row],[Column2]],Table12[[Column2]:[Column54]],9,FALSE),"0")</f>
        <v>0</v>
      </c>
      <c r="K222" s="65">
        <f>IFERROR(VLOOKUP(Table1215[[#This Row],[Column2]],Table12[[Column2]:[Column54]],10,FALSE),"0")</f>
        <v>0</v>
      </c>
      <c r="L222" s="67">
        <f>Table1215[[#This Row],[Column9]]</f>
        <v>3</v>
      </c>
      <c r="M222" s="65">
        <f>IFERROR(VLOOKUP(Table1215[[#This Row],[Column2]],Table12[[Column2]:[Column54]],12,FALSE),"0")</f>
        <v>0</v>
      </c>
      <c r="N222" s="65">
        <f>IFERROR(VLOOKUP(Table1215[[#This Row],[Column2]],Table12[[Column2]:[Column54]],13,FALSE),"0")</f>
        <v>3</v>
      </c>
      <c r="O222" s="65">
        <f>IFERROR(VLOOKUP(Table1215[[#This Row],[Column2]],Table12[[Column2]:[Column54]],14,FALSE),"0")</f>
        <v>3</v>
      </c>
      <c r="P222" s="65">
        <f>IFERROR(VLOOKUP(Table1215[[#This Row],[Column2]],Table12[[Column2]:[Column54]],10,FALSE),"0")</f>
        <v>0</v>
      </c>
      <c r="Q222" s="65">
        <f>IFERROR(VLOOKUP(Table1215[[#This Row],[Column2]],Table12[[Column2]:[Column54]],16,FALSE),"0")</f>
        <v>3</v>
      </c>
      <c r="R222" s="67">
        <f>AVERAGE(Table1215[[#This Row],[Column14]],Table1215[[#This Row],[Column15]],Table1215[[#This Row],[Column17]])</f>
        <v>3</v>
      </c>
      <c r="S222" s="65">
        <f>IFERROR(VLOOKUP(Table1215[[#This Row],[Column2]],Table12[[Column2]:[Column54]],18,FALSE),"0")</f>
        <v>0</v>
      </c>
      <c r="T222" s="65">
        <f>IFERROR(VLOOKUP(Table1215[[#This Row],[Column2]],Table12[[Column2]:[Column54]],19,FALSE),"0")</f>
        <v>0</v>
      </c>
      <c r="U222" s="65">
        <f>IFERROR(VLOOKUP(Table1215[[#This Row],[Column2]],Table12[[Column2]:[Column54]],20,FALSE),"0")</f>
        <v>0</v>
      </c>
      <c r="V222" s="65">
        <f>IFERROR(VLOOKUP(Table1215[[#This Row],[Column2]],Table12[[Column2]:[Column54]],21,FALSE),"0")</f>
        <v>0</v>
      </c>
      <c r="W222" s="65">
        <f>IFERROR(VLOOKUP(Table1215[[#This Row],[Column2]],Table12[[Column2]:[Column54]],22,FALSE),"0")</f>
        <v>0</v>
      </c>
      <c r="X222" s="67">
        <f>Table1215[[#This Row],[Column19]]</f>
        <v>0</v>
      </c>
      <c r="Y222" s="65">
        <f>IFERROR(VLOOKUP(Table1215[[#This Row],[Column2]],Table12[[Column2]:[Column54]],24,FALSE),"0")</f>
        <v>3</v>
      </c>
      <c r="Z222" s="65">
        <f>IFERROR(VLOOKUP(Table1215[[#This Row],[Column2]],Table12[[Column2]:[Column54]],25,FALSE),"0")</f>
        <v>0</v>
      </c>
      <c r="AA222" s="65">
        <f>IFERROR(VLOOKUP(Table1215[[#This Row],[Column2]],Table12[[Column2]:[Column54]],26,FALSE),"0")</f>
        <v>0</v>
      </c>
      <c r="AB222" s="65">
        <f>IFERROR(VLOOKUP(Table1215[[#This Row],[Column2]],Table12[[Column2]:[Column54]],27,FALSE),"0")</f>
        <v>0</v>
      </c>
      <c r="AC222" s="65">
        <f>IFERROR(VLOOKUP(Table1215[[#This Row],[Column2]],Table12[[Column2]:[Column54]],28,FALSE),"0")</f>
        <v>0</v>
      </c>
      <c r="AD222" s="67">
        <f>Table1215[[#This Row],[Column25]]</f>
        <v>3</v>
      </c>
      <c r="AE222" s="65">
        <f>IFERROR(VLOOKUP(Table1215[[#This Row],[Column2]],Table12[[Column2]:[Column54]],30,FALSE),"0")</f>
        <v>0</v>
      </c>
      <c r="AF222" s="65">
        <f>IFERROR(VLOOKUP(Table1215[[#This Row],[Column2]],Table12[[Column2]:[Column54]],31,FALSE),"0")</f>
        <v>0</v>
      </c>
      <c r="AG222" s="65">
        <f>IFERROR(VLOOKUP(Table1215[[#This Row],[Column2]],Table12[[Column2]:[Column54]],32,FALSE),"0")</f>
        <v>0</v>
      </c>
      <c r="AH222" s="65">
        <f>IFERROR(VLOOKUP(Table1215[[#This Row],[Column2]],Table12[[Column2]:[Column54]],33,FALSE),"0")</f>
        <v>0</v>
      </c>
      <c r="AI222" s="65">
        <f>IFERROR(VLOOKUP(Table1215[[#This Row],[Column2]],Table12[[Column2]:[Column54]],34,FALSE),"0")</f>
        <v>0</v>
      </c>
      <c r="AJ222" s="67">
        <f>AVERAGE(Table1215[[#This Row],[Column31]],Table1215[[#This Row],[Column32]],Table1215[[#This Row],[Column33]])</f>
        <v>0</v>
      </c>
      <c r="AK222" s="65">
        <f>IFERROR(VLOOKUP(Table1215[[#This Row],[Column2]],Table12[[Column2]:[Column54]],36,FALSE),"0")</f>
        <v>2</v>
      </c>
      <c r="AL222" s="65">
        <f>IFERROR(VLOOKUP(Table1215[[#This Row],[Column2]],Table12[[Column2]:[Column54]],37,FALSE),"0")</f>
        <v>2</v>
      </c>
      <c r="AM222" s="65">
        <f>IFERROR(VLOOKUP(Table1215[[#This Row],[Column2]],Table12[[Column2]:[Column54]],38,FALSE),"0")</f>
        <v>0</v>
      </c>
      <c r="AN222" s="65">
        <f>IFERROR(VLOOKUP(Table1215[[#This Row],[Column2]],Table12[[Column2]:[Column54]],39,FALSE),"0")</f>
        <v>3</v>
      </c>
      <c r="AO222" s="65">
        <f>IFERROR(VLOOKUP(Table1215[[#This Row],[Column2]],Table12[[Column2]:[Column54]],40,FALSE),"0")</f>
        <v>0</v>
      </c>
      <c r="AP222" s="67">
        <f>AVERAGE(Table1215[[#This Row],[Column37]],Table1215[[#This Row],[Column38]],Table1215[[#This Row],[Column40]])</f>
        <v>2.3333333333333335</v>
      </c>
      <c r="AQ222" s="65">
        <f>IFERROR(VLOOKUP(Table1215[[#This Row],[Column2]],Table12[[Column2]:[Column54]],42,FALSE),"0")</f>
        <v>3</v>
      </c>
      <c r="AR222" s="65">
        <f>IFERROR(VLOOKUP(Table1215[[#This Row],[Column2]],Table12[[Column2]:[Column54]],43,FALSE),"0")</f>
        <v>0</v>
      </c>
      <c r="AS222" s="65">
        <f>IFERROR(VLOOKUP(Table1215[[#This Row],[Column2]],Table12[[Column2]:[Column54]],44,FALSE),"0")</f>
        <v>0</v>
      </c>
      <c r="AT222" s="65">
        <f>IFERROR(VLOOKUP(Table1215[[#This Row],[Column2]],Table12[[Column2]:[Column54]],45,FALSE),"0")</f>
        <v>0</v>
      </c>
      <c r="AU222" s="65">
        <f>IFERROR(VLOOKUP(Table1215[[#This Row],[Column2]],Table12[[Column2]:[Column54]],46,FALSE),"0")</f>
        <v>0</v>
      </c>
      <c r="AV222" s="67">
        <f>Table1215[[#This Row],[Column43]]</f>
        <v>3</v>
      </c>
      <c r="AW222" s="65">
        <f>IFERROR(VLOOKUP(Table1215[[#This Row],[Column2]],Table12[[Column2]:[Column54]],48,FALSE),"0")</f>
        <v>0</v>
      </c>
      <c r="AX222" s="65">
        <f>IFERROR(VLOOKUP(Table1215[[#This Row],[Column2]],Table12[[Column2]:[Column54]],49,FALSE),"0")</f>
        <v>0</v>
      </c>
      <c r="AY222" s="65">
        <f>IFERROR(VLOOKUP(Table1215[[#This Row],[Column2]],Table12[[Column2]:[Column54]],50,FALSE),"0")</f>
        <v>0</v>
      </c>
      <c r="AZ222" s="65">
        <f>IFERROR(VLOOKUP(Table1215[[#This Row],[Column2]],Table12[[Column2]:[Column54]],51,FALSE),"0")</f>
        <v>3</v>
      </c>
      <c r="BA222" s="65">
        <f>IFERROR(VLOOKUP(Table1215[[#This Row],[Column2]],Table12[[Column2]:[Column54]],52,FALSE),"0")</f>
        <v>2</v>
      </c>
      <c r="BB222" s="67">
        <f>AVERAGE(Table1215[[#This Row],[Column52]],Table1215[[#This Row],[Column53]])</f>
        <v>2.5</v>
      </c>
    </row>
    <row r="223" spans="1:54" ht="23.1" customHeight="1" x14ac:dyDescent="0.3">
      <c r="A223" s="87">
        <v>220</v>
      </c>
      <c r="B223" s="70" t="s">
        <v>473</v>
      </c>
      <c r="C223" s="71" t="s">
        <v>474</v>
      </c>
      <c r="D223" s="70" t="s">
        <v>542</v>
      </c>
      <c r="E223" s="70" t="s">
        <v>289</v>
      </c>
      <c r="F223" s="70" t="str">
        <f>REPT(CHAR(160),10)&amp;Working!$E224</f>
        <v>          D</v>
      </c>
      <c r="G223" s="61">
        <f>IFERROR(VLOOKUP(Table1215[[#This Row],[Column2]],Table12[[Column2]:[Column54]],6,FALSE),"0")</f>
        <v>0</v>
      </c>
      <c r="H223" s="61">
        <f>IFERROR(VLOOKUP(Table1215[[#This Row],[Column2]],Table12[[Column2]:[Column54]],7,FALSE),"0")</f>
        <v>0</v>
      </c>
      <c r="I223" s="61">
        <f>IFERROR(VLOOKUP(Table1215[[#This Row],[Column2]],Table12[[Column2]:[Column54]],8,FALSE),"0")</f>
        <v>0</v>
      </c>
      <c r="J223" s="61">
        <f>IFERROR(VLOOKUP(Table1215[[#This Row],[Column2]],Table12[[Column2]:[Column54]],9,FALSE),"0")</f>
        <v>0</v>
      </c>
      <c r="K223" s="61">
        <f>IFERROR(VLOOKUP(Table1215[[#This Row],[Column2]],Table12[[Column2]:[Column54]],10,FALSE),"0")</f>
        <v>0</v>
      </c>
      <c r="L223" s="67">
        <f>Table1215[[#This Row],[Column9]]</f>
        <v>0</v>
      </c>
      <c r="M223" s="61">
        <f>IFERROR(VLOOKUP(Table1215[[#This Row],[Column2]],Table12[[Column2]:[Column54]],12,FALSE),"0")</f>
        <v>0</v>
      </c>
      <c r="N223" s="61">
        <f>IFERROR(VLOOKUP(Table1215[[#This Row],[Column2]],Table12[[Column2]:[Column54]],13,FALSE),"0")</f>
        <v>0</v>
      </c>
      <c r="O223" s="61">
        <f>IFERROR(VLOOKUP(Table1215[[#This Row],[Column2]],Table12[[Column2]:[Column54]],14,FALSE),"0")</f>
        <v>0</v>
      </c>
      <c r="P223" s="61">
        <f>IFERROR(VLOOKUP(Table1215[[#This Row],[Column2]],Table12[[Column2]:[Column54]],10,FALSE),"0")</f>
        <v>0</v>
      </c>
      <c r="Q223" s="61">
        <f>IFERROR(VLOOKUP(Table1215[[#This Row],[Column2]],Table12[[Column2]:[Column54]],16,FALSE),"0")</f>
        <v>0</v>
      </c>
      <c r="R223" s="67">
        <f>AVERAGE(Table1215[[#This Row],[Column14]],Table1215[[#This Row],[Column15]],Table1215[[#This Row],[Column17]])</f>
        <v>0</v>
      </c>
      <c r="S223" s="61">
        <f>IFERROR(VLOOKUP(Table1215[[#This Row],[Column2]],Table12[[Column2]:[Column54]],18,FALSE),"0")</f>
        <v>0</v>
      </c>
      <c r="T223" s="61">
        <f>IFERROR(VLOOKUP(Table1215[[#This Row],[Column2]],Table12[[Column2]:[Column54]],19,FALSE),"0")</f>
        <v>0</v>
      </c>
      <c r="U223" s="61">
        <f>IFERROR(VLOOKUP(Table1215[[#This Row],[Column2]],Table12[[Column2]:[Column54]],20,FALSE),"0")</f>
        <v>0</v>
      </c>
      <c r="V223" s="61">
        <f>IFERROR(VLOOKUP(Table1215[[#This Row],[Column2]],Table12[[Column2]:[Column54]],21,FALSE),"0")</f>
        <v>0</v>
      </c>
      <c r="W223" s="61">
        <f>IFERROR(VLOOKUP(Table1215[[#This Row],[Column2]],Table12[[Column2]:[Column54]],22,FALSE),"0")</f>
        <v>0</v>
      </c>
      <c r="X223" s="67">
        <f>Table1215[[#This Row],[Column19]]</f>
        <v>0</v>
      </c>
      <c r="Y223" s="61">
        <f>IFERROR(VLOOKUP(Table1215[[#This Row],[Column2]],Table12[[Column2]:[Column54]],24,FALSE),"0")</f>
        <v>0</v>
      </c>
      <c r="Z223" s="61">
        <f>IFERROR(VLOOKUP(Table1215[[#This Row],[Column2]],Table12[[Column2]:[Column54]],25,FALSE),"0")</f>
        <v>0</v>
      </c>
      <c r="AA223" s="61">
        <f>IFERROR(VLOOKUP(Table1215[[#This Row],[Column2]],Table12[[Column2]:[Column54]],26,FALSE),"0")</f>
        <v>0</v>
      </c>
      <c r="AB223" s="61">
        <f>IFERROR(VLOOKUP(Table1215[[#This Row],[Column2]],Table12[[Column2]:[Column54]],27,FALSE),"0")</f>
        <v>0</v>
      </c>
      <c r="AC223" s="61">
        <f>IFERROR(VLOOKUP(Table1215[[#This Row],[Column2]],Table12[[Column2]:[Column54]],28,FALSE),"0")</f>
        <v>0</v>
      </c>
      <c r="AD223" s="67">
        <f>Table1215[[#This Row],[Column25]]</f>
        <v>0</v>
      </c>
      <c r="AE223" s="61">
        <f>IFERROR(VLOOKUP(Table1215[[#This Row],[Column2]],Table12[[Column2]:[Column54]],30,FALSE),"0")</f>
        <v>0</v>
      </c>
      <c r="AF223" s="61">
        <f>IFERROR(VLOOKUP(Table1215[[#This Row],[Column2]],Table12[[Column2]:[Column54]],31,FALSE),"0")</f>
        <v>0</v>
      </c>
      <c r="AG223" s="61">
        <f>IFERROR(VLOOKUP(Table1215[[#This Row],[Column2]],Table12[[Column2]:[Column54]],32,FALSE),"0")</f>
        <v>0</v>
      </c>
      <c r="AH223" s="61">
        <f>IFERROR(VLOOKUP(Table1215[[#This Row],[Column2]],Table12[[Column2]:[Column54]],33,FALSE),"0")</f>
        <v>0</v>
      </c>
      <c r="AI223" s="61">
        <f>IFERROR(VLOOKUP(Table1215[[#This Row],[Column2]],Table12[[Column2]:[Column54]],34,FALSE),"0")</f>
        <v>0</v>
      </c>
      <c r="AJ223" s="67">
        <f>AVERAGE(Table1215[[#This Row],[Column31]],Table1215[[#This Row],[Column32]],Table1215[[#This Row],[Column33]])</f>
        <v>0</v>
      </c>
      <c r="AK223" s="61">
        <f>IFERROR(VLOOKUP(Table1215[[#This Row],[Column2]],Table12[[Column2]:[Column54]],36,FALSE),"0")</f>
        <v>0</v>
      </c>
      <c r="AL223" s="61">
        <f>IFERROR(VLOOKUP(Table1215[[#This Row],[Column2]],Table12[[Column2]:[Column54]],37,FALSE),"0")</f>
        <v>0</v>
      </c>
      <c r="AM223" s="61">
        <f>IFERROR(VLOOKUP(Table1215[[#This Row],[Column2]],Table12[[Column2]:[Column54]],38,FALSE),"0")</f>
        <v>0</v>
      </c>
      <c r="AN223" s="61">
        <f>IFERROR(VLOOKUP(Table1215[[#This Row],[Column2]],Table12[[Column2]:[Column54]],39,FALSE),"0")</f>
        <v>0</v>
      </c>
      <c r="AO223" s="61">
        <f>IFERROR(VLOOKUP(Table1215[[#This Row],[Column2]],Table12[[Column2]:[Column54]],40,FALSE),"0")</f>
        <v>0</v>
      </c>
      <c r="AP223" s="67">
        <f>AVERAGE(Table1215[[#This Row],[Column37]],Table1215[[#This Row],[Column38]],Table1215[[#This Row],[Column40]])</f>
        <v>0</v>
      </c>
      <c r="AQ223" s="61">
        <f>IFERROR(VLOOKUP(Table1215[[#This Row],[Column2]],Table12[[Column2]:[Column54]],42,FALSE),"0")</f>
        <v>0</v>
      </c>
      <c r="AR223" s="61">
        <f>IFERROR(VLOOKUP(Table1215[[#This Row],[Column2]],Table12[[Column2]:[Column54]],43,FALSE),"0")</f>
        <v>0</v>
      </c>
      <c r="AS223" s="61">
        <f>IFERROR(VLOOKUP(Table1215[[#This Row],[Column2]],Table12[[Column2]:[Column54]],44,FALSE),"0")</f>
        <v>0</v>
      </c>
      <c r="AT223" s="61">
        <f>IFERROR(VLOOKUP(Table1215[[#This Row],[Column2]],Table12[[Column2]:[Column54]],45,FALSE),"0")</f>
        <v>0</v>
      </c>
      <c r="AU223" s="61">
        <f>IFERROR(VLOOKUP(Table1215[[#This Row],[Column2]],Table12[[Column2]:[Column54]],46,FALSE),"0")</f>
        <v>0</v>
      </c>
      <c r="AV223" s="67">
        <f>Table1215[[#This Row],[Column43]]</f>
        <v>0</v>
      </c>
      <c r="AW223" s="61">
        <f>IFERROR(VLOOKUP(Table1215[[#This Row],[Column2]],Table12[[Column2]:[Column54]],48,FALSE),"0")</f>
        <v>0</v>
      </c>
      <c r="AX223" s="61">
        <f>IFERROR(VLOOKUP(Table1215[[#This Row],[Column2]],Table12[[Column2]:[Column54]],49,FALSE),"0")</f>
        <v>0</v>
      </c>
      <c r="AY223" s="61">
        <f>IFERROR(VLOOKUP(Table1215[[#This Row],[Column2]],Table12[[Column2]:[Column54]],50,FALSE),"0")</f>
        <v>0</v>
      </c>
      <c r="AZ223" s="61">
        <f>IFERROR(VLOOKUP(Table1215[[#This Row],[Column2]],Table12[[Column2]:[Column54]],51,FALSE),"0")</f>
        <v>0</v>
      </c>
      <c r="BA223" s="61">
        <f>IFERROR(VLOOKUP(Table1215[[#This Row],[Column2]],Table12[[Column2]:[Column54]],52,FALSE),"0")</f>
        <v>0</v>
      </c>
      <c r="BB223" s="67">
        <f>AVERAGE(Table1215[[#This Row],[Column52]],Table1215[[#This Row],[Column53]])</f>
        <v>0</v>
      </c>
    </row>
    <row r="224" spans="1:54" ht="23.1" customHeight="1" x14ac:dyDescent="0.3">
      <c r="A224" s="86">
        <v>221</v>
      </c>
      <c r="B224" s="63" t="s">
        <v>475</v>
      </c>
      <c r="C224" s="64" t="s">
        <v>476</v>
      </c>
      <c r="D224" s="63" t="s">
        <v>450</v>
      </c>
      <c r="E224" s="63" t="s">
        <v>289</v>
      </c>
      <c r="F224" s="63" t="str">
        <f>REPT(CHAR(160),10)&amp;Working!$E225</f>
        <v>          D</v>
      </c>
      <c r="G224" s="65">
        <f>IFERROR(VLOOKUP(Table1215[[#This Row],[Column2]],Table12[[Column2]:[Column54]],6,FALSE),"0")</f>
        <v>0</v>
      </c>
      <c r="H224" s="65">
        <f>IFERROR(VLOOKUP(Table1215[[#This Row],[Column2]],Table12[[Column2]:[Column54]],7,FALSE),"0")</f>
        <v>0</v>
      </c>
      <c r="I224" s="65">
        <f>IFERROR(VLOOKUP(Table1215[[#This Row],[Column2]],Table12[[Column2]:[Column54]],8,FALSE),"0")</f>
        <v>0</v>
      </c>
      <c r="J224" s="65">
        <f>IFERROR(VLOOKUP(Table1215[[#This Row],[Column2]],Table12[[Column2]:[Column54]],9,FALSE),"0")</f>
        <v>0</v>
      </c>
      <c r="K224" s="65">
        <f>IFERROR(VLOOKUP(Table1215[[#This Row],[Column2]],Table12[[Column2]:[Column54]],10,FALSE),"0")</f>
        <v>0</v>
      </c>
      <c r="L224" s="67">
        <f>Table1215[[#This Row],[Column9]]</f>
        <v>0</v>
      </c>
      <c r="M224" s="65">
        <f>IFERROR(VLOOKUP(Table1215[[#This Row],[Column2]],Table12[[Column2]:[Column54]],12,FALSE),"0")</f>
        <v>0</v>
      </c>
      <c r="N224" s="65">
        <f>IFERROR(VLOOKUP(Table1215[[#This Row],[Column2]],Table12[[Column2]:[Column54]],13,FALSE),"0")</f>
        <v>0</v>
      </c>
      <c r="O224" s="65">
        <f>IFERROR(VLOOKUP(Table1215[[#This Row],[Column2]],Table12[[Column2]:[Column54]],14,FALSE),"0")</f>
        <v>0</v>
      </c>
      <c r="P224" s="65">
        <f>IFERROR(VLOOKUP(Table1215[[#This Row],[Column2]],Table12[[Column2]:[Column54]],10,FALSE),"0")</f>
        <v>0</v>
      </c>
      <c r="Q224" s="65">
        <f>IFERROR(VLOOKUP(Table1215[[#This Row],[Column2]],Table12[[Column2]:[Column54]],16,FALSE),"0")</f>
        <v>0</v>
      </c>
      <c r="R224" s="67">
        <f>AVERAGE(Table1215[[#This Row],[Column14]],Table1215[[#This Row],[Column15]],Table1215[[#This Row],[Column17]])</f>
        <v>0</v>
      </c>
      <c r="S224" s="65">
        <f>IFERROR(VLOOKUP(Table1215[[#This Row],[Column2]],Table12[[Column2]:[Column54]],18,FALSE),"0")</f>
        <v>0</v>
      </c>
      <c r="T224" s="65">
        <f>IFERROR(VLOOKUP(Table1215[[#This Row],[Column2]],Table12[[Column2]:[Column54]],19,FALSE),"0")</f>
        <v>0</v>
      </c>
      <c r="U224" s="65">
        <f>IFERROR(VLOOKUP(Table1215[[#This Row],[Column2]],Table12[[Column2]:[Column54]],20,FALSE),"0")</f>
        <v>0</v>
      </c>
      <c r="V224" s="65">
        <f>IFERROR(VLOOKUP(Table1215[[#This Row],[Column2]],Table12[[Column2]:[Column54]],21,FALSE),"0")</f>
        <v>0</v>
      </c>
      <c r="W224" s="65">
        <f>IFERROR(VLOOKUP(Table1215[[#This Row],[Column2]],Table12[[Column2]:[Column54]],22,FALSE),"0")</f>
        <v>0</v>
      </c>
      <c r="X224" s="67">
        <f>Table1215[[#This Row],[Column19]]</f>
        <v>0</v>
      </c>
      <c r="Y224" s="65">
        <f>IFERROR(VLOOKUP(Table1215[[#This Row],[Column2]],Table12[[Column2]:[Column54]],24,FALSE),"0")</f>
        <v>0</v>
      </c>
      <c r="Z224" s="65">
        <f>IFERROR(VLOOKUP(Table1215[[#This Row],[Column2]],Table12[[Column2]:[Column54]],25,FALSE),"0")</f>
        <v>0</v>
      </c>
      <c r="AA224" s="65">
        <f>IFERROR(VLOOKUP(Table1215[[#This Row],[Column2]],Table12[[Column2]:[Column54]],26,FALSE),"0")</f>
        <v>0</v>
      </c>
      <c r="AB224" s="65">
        <f>IFERROR(VLOOKUP(Table1215[[#This Row],[Column2]],Table12[[Column2]:[Column54]],27,FALSE),"0")</f>
        <v>0</v>
      </c>
      <c r="AC224" s="65">
        <f>IFERROR(VLOOKUP(Table1215[[#This Row],[Column2]],Table12[[Column2]:[Column54]],28,FALSE),"0")</f>
        <v>0</v>
      </c>
      <c r="AD224" s="67">
        <f>Table1215[[#This Row],[Column25]]</f>
        <v>0</v>
      </c>
      <c r="AE224" s="65">
        <f>IFERROR(VLOOKUP(Table1215[[#This Row],[Column2]],Table12[[Column2]:[Column54]],30,FALSE),"0")</f>
        <v>0</v>
      </c>
      <c r="AF224" s="65">
        <f>IFERROR(VLOOKUP(Table1215[[#This Row],[Column2]],Table12[[Column2]:[Column54]],31,FALSE),"0")</f>
        <v>0</v>
      </c>
      <c r="AG224" s="65">
        <f>IFERROR(VLOOKUP(Table1215[[#This Row],[Column2]],Table12[[Column2]:[Column54]],32,FALSE),"0")</f>
        <v>0</v>
      </c>
      <c r="AH224" s="65">
        <f>IFERROR(VLOOKUP(Table1215[[#This Row],[Column2]],Table12[[Column2]:[Column54]],33,FALSE),"0")</f>
        <v>0</v>
      </c>
      <c r="AI224" s="65">
        <f>IFERROR(VLOOKUP(Table1215[[#This Row],[Column2]],Table12[[Column2]:[Column54]],34,FALSE),"0")</f>
        <v>0</v>
      </c>
      <c r="AJ224" s="67">
        <f>AVERAGE(Table1215[[#This Row],[Column31]],Table1215[[#This Row],[Column32]],Table1215[[#This Row],[Column33]])</f>
        <v>0</v>
      </c>
      <c r="AK224" s="65">
        <f>IFERROR(VLOOKUP(Table1215[[#This Row],[Column2]],Table12[[Column2]:[Column54]],36,FALSE),"0")</f>
        <v>0</v>
      </c>
      <c r="AL224" s="65">
        <f>IFERROR(VLOOKUP(Table1215[[#This Row],[Column2]],Table12[[Column2]:[Column54]],37,FALSE),"0")</f>
        <v>0</v>
      </c>
      <c r="AM224" s="65">
        <f>IFERROR(VLOOKUP(Table1215[[#This Row],[Column2]],Table12[[Column2]:[Column54]],38,FALSE),"0")</f>
        <v>0</v>
      </c>
      <c r="AN224" s="65">
        <f>IFERROR(VLOOKUP(Table1215[[#This Row],[Column2]],Table12[[Column2]:[Column54]],39,FALSE),"0")</f>
        <v>0</v>
      </c>
      <c r="AO224" s="65">
        <f>IFERROR(VLOOKUP(Table1215[[#This Row],[Column2]],Table12[[Column2]:[Column54]],40,FALSE),"0")</f>
        <v>0</v>
      </c>
      <c r="AP224" s="67">
        <f>AVERAGE(Table1215[[#This Row],[Column37]],Table1215[[#This Row],[Column38]],Table1215[[#This Row],[Column40]])</f>
        <v>0</v>
      </c>
      <c r="AQ224" s="65">
        <f>IFERROR(VLOOKUP(Table1215[[#This Row],[Column2]],Table12[[Column2]:[Column54]],42,FALSE),"0")</f>
        <v>0</v>
      </c>
      <c r="AR224" s="65">
        <f>IFERROR(VLOOKUP(Table1215[[#This Row],[Column2]],Table12[[Column2]:[Column54]],43,FALSE),"0")</f>
        <v>0</v>
      </c>
      <c r="AS224" s="65">
        <f>IFERROR(VLOOKUP(Table1215[[#This Row],[Column2]],Table12[[Column2]:[Column54]],44,FALSE),"0")</f>
        <v>0</v>
      </c>
      <c r="AT224" s="65">
        <f>IFERROR(VLOOKUP(Table1215[[#This Row],[Column2]],Table12[[Column2]:[Column54]],45,FALSE),"0")</f>
        <v>0</v>
      </c>
      <c r="AU224" s="65">
        <f>IFERROR(VLOOKUP(Table1215[[#This Row],[Column2]],Table12[[Column2]:[Column54]],46,FALSE),"0")</f>
        <v>0</v>
      </c>
      <c r="AV224" s="67">
        <f>Table1215[[#This Row],[Column43]]</f>
        <v>0</v>
      </c>
      <c r="AW224" s="65">
        <f>IFERROR(VLOOKUP(Table1215[[#This Row],[Column2]],Table12[[Column2]:[Column54]],48,FALSE),"0")</f>
        <v>0</v>
      </c>
      <c r="AX224" s="65">
        <f>IFERROR(VLOOKUP(Table1215[[#This Row],[Column2]],Table12[[Column2]:[Column54]],49,FALSE),"0")</f>
        <v>0</v>
      </c>
      <c r="AY224" s="65">
        <f>IFERROR(VLOOKUP(Table1215[[#This Row],[Column2]],Table12[[Column2]:[Column54]],50,FALSE),"0")</f>
        <v>0</v>
      </c>
      <c r="AZ224" s="65">
        <f>IFERROR(VLOOKUP(Table1215[[#This Row],[Column2]],Table12[[Column2]:[Column54]],51,FALSE),"0")</f>
        <v>0</v>
      </c>
      <c r="BA224" s="65">
        <f>IFERROR(VLOOKUP(Table1215[[#This Row],[Column2]],Table12[[Column2]:[Column54]],52,FALSE),"0")</f>
        <v>0</v>
      </c>
      <c r="BB224" s="67">
        <f>AVERAGE(Table1215[[#This Row],[Column52]],Table1215[[#This Row],[Column53]])</f>
        <v>0</v>
      </c>
    </row>
    <row r="225" spans="1:54" ht="23.1" customHeight="1" x14ac:dyDescent="0.3">
      <c r="A225" s="87">
        <v>222</v>
      </c>
      <c r="B225" s="70" t="s">
        <v>477</v>
      </c>
      <c r="C225" s="71" t="s">
        <v>478</v>
      </c>
      <c r="D225" s="70" t="s">
        <v>450</v>
      </c>
      <c r="E225" s="70" t="s">
        <v>289</v>
      </c>
      <c r="F225" s="70" t="str">
        <f>REPT(CHAR(160),10)&amp;Working!$E226</f>
        <v>          D</v>
      </c>
      <c r="G225" s="61">
        <f>IFERROR(VLOOKUP(Table1215[[#This Row],[Column2]],Table12[[Column2]:[Column54]],6,FALSE),"0")</f>
        <v>0</v>
      </c>
      <c r="H225" s="61">
        <f>IFERROR(VLOOKUP(Table1215[[#This Row],[Column2]],Table12[[Column2]:[Column54]],7,FALSE),"0")</f>
        <v>0</v>
      </c>
      <c r="I225" s="61">
        <f>IFERROR(VLOOKUP(Table1215[[#This Row],[Column2]],Table12[[Column2]:[Column54]],8,FALSE),"0")</f>
        <v>2</v>
      </c>
      <c r="J225" s="61">
        <f>IFERROR(VLOOKUP(Table1215[[#This Row],[Column2]],Table12[[Column2]:[Column54]],9,FALSE),"0")</f>
        <v>0</v>
      </c>
      <c r="K225" s="61">
        <f>IFERROR(VLOOKUP(Table1215[[#This Row],[Column2]],Table12[[Column2]:[Column54]],10,FALSE),"0")</f>
        <v>0</v>
      </c>
      <c r="L225" s="67">
        <f>Table1215[[#This Row],[Column9]]</f>
        <v>2</v>
      </c>
      <c r="M225" s="61">
        <f>IFERROR(VLOOKUP(Table1215[[#This Row],[Column2]],Table12[[Column2]:[Column54]],12,FALSE),"0")</f>
        <v>0</v>
      </c>
      <c r="N225" s="61">
        <f>IFERROR(VLOOKUP(Table1215[[#This Row],[Column2]],Table12[[Column2]:[Column54]],13,FALSE),"0")</f>
        <v>4</v>
      </c>
      <c r="O225" s="61">
        <f>IFERROR(VLOOKUP(Table1215[[#This Row],[Column2]],Table12[[Column2]:[Column54]],14,FALSE),"0")</f>
        <v>3</v>
      </c>
      <c r="P225" s="61">
        <f>IFERROR(VLOOKUP(Table1215[[#This Row],[Column2]],Table12[[Column2]:[Column54]],10,FALSE),"0")</f>
        <v>0</v>
      </c>
      <c r="Q225" s="61">
        <f>IFERROR(VLOOKUP(Table1215[[#This Row],[Column2]],Table12[[Column2]:[Column54]],16,FALSE),"0")</f>
        <v>3</v>
      </c>
      <c r="R225" s="67">
        <f>AVERAGE(Table1215[[#This Row],[Column14]],Table1215[[#This Row],[Column15]],Table1215[[#This Row],[Column17]])</f>
        <v>3.3333333333333335</v>
      </c>
      <c r="S225" s="61">
        <f>IFERROR(VLOOKUP(Table1215[[#This Row],[Column2]],Table12[[Column2]:[Column54]],18,FALSE),"0")</f>
        <v>0</v>
      </c>
      <c r="T225" s="61">
        <f>IFERROR(VLOOKUP(Table1215[[#This Row],[Column2]],Table12[[Column2]:[Column54]],19,FALSE),"0")</f>
        <v>0</v>
      </c>
      <c r="U225" s="61">
        <f>IFERROR(VLOOKUP(Table1215[[#This Row],[Column2]],Table12[[Column2]:[Column54]],20,FALSE),"0")</f>
        <v>0</v>
      </c>
      <c r="V225" s="61">
        <f>IFERROR(VLOOKUP(Table1215[[#This Row],[Column2]],Table12[[Column2]:[Column54]],21,FALSE),"0")</f>
        <v>0</v>
      </c>
      <c r="W225" s="61">
        <f>IFERROR(VLOOKUP(Table1215[[#This Row],[Column2]],Table12[[Column2]:[Column54]],22,FALSE),"0")</f>
        <v>0</v>
      </c>
      <c r="X225" s="67">
        <f>Table1215[[#This Row],[Column19]]</f>
        <v>0</v>
      </c>
      <c r="Y225" s="61">
        <f>IFERROR(VLOOKUP(Table1215[[#This Row],[Column2]],Table12[[Column2]:[Column54]],24,FALSE),"0")</f>
        <v>3</v>
      </c>
      <c r="Z225" s="61">
        <f>IFERROR(VLOOKUP(Table1215[[#This Row],[Column2]],Table12[[Column2]:[Column54]],25,FALSE),"0")</f>
        <v>0</v>
      </c>
      <c r="AA225" s="61">
        <f>IFERROR(VLOOKUP(Table1215[[#This Row],[Column2]],Table12[[Column2]:[Column54]],26,FALSE),"0")</f>
        <v>0</v>
      </c>
      <c r="AB225" s="61">
        <f>IFERROR(VLOOKUP(Table1215[[#This Row],[Column2]],Table12[[Column2]:[Column54]],27,FALSE),"0")</f>
        <v>0</v>
      </c>
      <c r="AC225" s="61">
        <f>IFERROR(VLOOKUP(Table1215[[#This Row],[Column2]],Table12[[Column2]:[Column54]],28,FALSE),"0")</f>
        <v>0</v>
      </c>
      <c r="AD225" s="67">
        <f>Table1215[[#This Row],[Column25]]</f>
        <v>3</v>
      </c>
      <c r="AE225" s="61">
        <f>IFERROR(VLOOKUP(Table1215[[#This Row],[Column2]],Table12[[Column2]:[Column54]],30,FALSE),"0")</f>
        <v>0</v>
      </c>
      <c r="AF225" s="61">
        <f>IFERROR(VLOOKUP(Table1215[[#This Row],[Column2]],Table12[[Column2]:[Column54]],31,FALSE),"0")</f>
        <v>0</v>
      </c>
      <c r="AG225" s="61">
        <f>IFERROR(VLOOKUP(Table1215[[#This Row],[Column2]],Table12[[Column2]:[Column54]],32,FALSE),"0")</f>
        <v>0</v>
      </c>
      <c r="AH225" s="61">
        <f>IFERROR(VLOOKUP(Table1215[[#This Row],[Column2]],Table12[[Column2]:[Column54]],33,FALSE),"0")</f>
        <v>0</v>
      </c>
      <c r="AI225" s="61">
        <f>IFERROR(VLOOKUP(Table1215[[#This Row],[Column2]],Table12[[Column2]:[Column54]],34,FALSE),"0")</f>
        <v>0</v>
      </c>
      <c r="AJ225" s="67">
        <f>AVERAGE(Table1215[[#This Row],[Column31]],Table1215[[#This Row],[Column32]],Table1215[[#This Row],[Column33]])</f>
        <v>0</v>
      </c>
      <c r="AK225" s="61">
        <f>IFERROR(VLOOKUP(Table1215[[#This Row],[Column2]],Table12[[Column2]:[Column54]],36,FALSE),"0")</f>
        <v>3</v>
      </c>
      <c r="AL225" s="61">
        <f>IFERROR(VLOOKUP(Table1215[[#This Row],[Column2]],Table12[[Column2]:[Column54]],37,FALSE),"0")</f>
        <v>2</v>
      </c>
      <c r="AM225" s="61">
        <f>IFERROR(VLOOKUP(Table1215[[#This Row],[Column2]],Table12[[Column2]:[Column54]],38,FALSE),"0")</f>
        <v>0</v>
      </c>
      <c r="AN225" s="61">
        <f>IFERROR(VLOOKUP(Table1215[[#This Row],[Column2]],Table12[[Column2]:[Column54]],39,FALSE),"0")</f>
        <v>2</v>
      </c>
      <c r="AO225" s="61">
        <f>IFERROR(VLOOKUP(Table1215[[#This Row],[Column2]],Table12[[Column2]:[Column54]],40,FALSE),"0")</f>
        <v>0</v>
      </c>
      <c r="AP225" s="67">
        <f>AVERAGE(Table1215[[#This Row],[Column37]],Table1215[[#This Row],[Column38]],Table1215[[#This Row],[Column40]])</f>
        <v>2.3333333333333335</v>
      </c>
      <c r="AQ225" s="61">
        <f>IFERROR(VLOOKUP(Table1215[[#This Row],[Column2]],Table12[[Column2]:[Column54]],42,FALSE),"0")</f>
        <v>3</v>
      </c>
      <c r="AR225" s="61">
        <f>IFERROR(VLOOKUP(Table1215[[#This Row],[Column2]],Table12[[Column2]:[Column54]],43,FALSE),"0")</f>
        <v>0</v>
      </c>
      <c r="AS225" s="61">
        <f>IFERROR(VLOOKUP(Table1215[[#This Row],[Column2]],Table12[[Column2]:[Column54]],44,FALSE),"0")</f>
        <v>0</v>
      </c>
      <c r="AT225" s="61">
        <f>IFERROR(VLOOKUP(Table1215[[#This Row],[Column2]],Table12[[Column2]:[Column54]],45,FALSE),"0")</f>
        <v>0</v>
      </c>
      <c r="AU225" s="61">
        <f>IFERROR(VLOOKUP(Table1215[[#This Row],[Column2]],Table12[[Column2]:[Column54]],46,FALSE),"0")</f>
        <v>0</v>
      </c>
      <c r="AV225" s="67">
        <f>Table1215[[#This Row],[Column43]]</f>
        <v>3</v>
      </c>
      <c r="AW225" s="61">
        <f>IFERROR(VLOOKUP(Table1215[[#This Row],[Column2]],Table12[[Column2]:[Column54]],48,FALSE),"0")</f>
        <v>0</v>
      </c>
      <c r="AX225" s="61">
        <f>IFERROR(VLOOKUP(Table1215[[#This Row],[Column2]],Table12[[Column2]:[Column54]],49,FALSE),"0")</f>
        <v>0</v>
      </c>
      <c r="AY225" s="61">
        <f>IFERROR(VLOOKUP(Table1215[[#This Row],[Column2]],Table12[[Column2]:[Column54]],50,FALSE),"0")</f>
        <v>0</v>
      </c>
      <c r="AZ225" s="61">
        <f>IFERROR(VLOOKUP(Table1215[[#This Row],[Column2]],Table12[[Column2]:[Column54]],51,FALSE),"0")</f>
        <v>3</v>
      </c>
      <c r="BA225" s="61">
        <f>IFERROR(VLOOKUP(Table1215[[#This Row],[Column2]],Table12[[Column2]:[Column54]],52,FALSE),"0")</f>
        <v>3</v>
      </c>
      <c r="BB225" s="67">
        <f>AVERAGE(Table1215[[#This Row],[Column52]],Table1215[[#This Row],[Column53]])</f>
        <v>3</v>
      </c>
    </row>
    <row r="226" spans="1:54" ht="23.1" customHeight="1" x14ac:dyDescent="0.3">
      <c r="A226" s="86">
        <v>223</v>
      </c>
      <c r="B226" s="63" t="s">
        <v>479</v>
      </c>
      <c r="C226" s="64" t="s">
        <v>480</v>
      </c>
      <c r="D226" s="63" t="s">
        <v>450</v>
      </c>
      <c r="E226" s="63" t="s">
        <v>289</v>
      </c>
      <c r="F226" s="63" t="str">
        <f>REPT(CHAR(160),10)&amp;Working!$E227</f>
        <v>          D</v>
      </c>
      <c r="G226" s="65">
        <f>IFERROR(VLOOKUP(Table1215[[#This Row],[Column2]],Table12[[Column2]:[Column54]],6,FALSE),"0")</f>
        <v>0</v>
      </c>
      <c r="H226" s="65">
        <f>IFERROR(VLOOKUP(Table1215[[#This Row],[Column2]],Table12[[Column2]:[Column54]],7,FALSE),"0")</f>
        <v>0</v>
      </c>
      <c r="I226" s="65">
        <f>IFERROR(VLOOKUP(Table1215[[#This Row],[Column2]],Table12[[Column2]:[Column54]],8,FALSE),"0")</f>
        <v>2</v>
      </c>
      <c r="J226" s="65">
        <f>IFERROR(VLOOKUP(Table1215[[#This Row],[Column2]],Table12[[Column2]:[Column54]],9,FALSE),"0")</f>
        <v>0</v>
      </c>
      <c r="K226" s="65">
        <f>IFERROR(VLOOKUP(Table1215[[#This Row],[Column2]],Table12[[Column2]:[Column54]],10,FALSE),"0")</f>
        <v>0</v>
      </c>
      <c r="L226" s="67">
        <f>Table1215[[#This Row],[Column9]]</f>
        <v>2</v>
      </c>
      <c r="M226" s="65">
        <f>IFERROR(VLOOKUP(Table1215[[#This Row],[Column2]],Table12[[Column2]:[Column54]],12,FALSE),"0")</f>
        <v>0</v>
      </c>
      <c r="N226" s="65">
        <f>IFERROR(VLOOKUP(Table1215[[#This Row],[Column2]],Table12[[Column2]:[Column54]],13,FALSE),"0")</f>
        <v>2</v>
      </c>
      <c r="O226" s="65">
        <f>IFERROR(VLOOKUP(Table1215[[#This Row],[Column2]],Table12[[Column2]:[Column54]],14,FALSE),"0")</f>
        <v>1</v>
      </c>
      <c r="P226" s="65">
        <f>IFERROR(VLOOKUP(Table1215[[#This Row],[Column2]],Table12[[Column2]:[Column54]],10,FALSE),"0")</f>
        <v>0</v>
      </c>
      <c r="Q226" s="65">
        <f>IFERROR(VLOOKUP(Table1215[[#This Row],[Column2]],Table12[[Column2]:[Column54]],16,FALSE),"0")</f>
        <v>1</v>
      </c>
      <c r="R226" s="67">
        <f>AVERAGE(Table1215[[#This Row],[Column14]],Table1215[[#This Row],[Column15]],Table1215[[#This Row],[Column17]])</f>
        <v>1.3333333333333333</v>
      </c>
      <c r="S226" s="65">
        <f>IFERROR(VLOOKUP(Table1215[[#This Row],[Column2]],Table12[[Column2]:[Column54]],18,FALSE),"0")</f>
        <v>0</v>
      </c>
      <c r="T226" s="65">
        <f>IFERROR(VLOOKUP(Table1215[[#This Row],[Column2]],Table12[[Column2]:[Column54]],19,FALSE),"0")</f>
        <v>0</v>
      </c>
      <c r="U226" s="65">
        <f>IFERROR(VLOOKUP(Table1215[[#This Row],[Column2]],Table12[[Column2]:[Column54]],20,FALSE),"0")</f>
        <v>0</v>
      </c>
      <c r="V226" s="65">
        <f>IFERROR(VLOOKUP(Table1215[[#This Row],[Column2]],Table12[[Column2]:[Column54]],21,FALSE),"0")</f>
        <v>0</v>
      </c>
      <c r="W226" s="65">
        <f>IFERROR(VLOOKUP(Table1215[[#This Row],[Column2]],Table12[[Column2]:[Column54]],22,FALSE),"0")</f>
        <v>0</v>
      </c>
      <c r="X226" s="67">
        <f>Table1215[[#This Row],[Column19]]</f>
        <v>0</v>
      </c>
      <c r="Y226" s="65">
        <f>IFERROR(VLOOKUP(Table1215[[#This Row],[Column2]],Table12[[Column2]:[Column54]],24,FALSE),"0")</f>
        <v>2</v>
      </c>
      <c r="Z226" s="65">
        <f>IFERROR(VLOOKUP(Table1215[[#This Row],[Column2]],Table12[[Column2]:[Column54]],25,FALSE),"0")</f>
        <v>0</v>
      </c>
      <c r="AA226" s="65">
        <f>IFERROR(VLOOKUP(Table1215[[#This Row],[Column2]],Table12[[Column2]:[Column54]],26,FALSE),"0")</f>
        <v>0</v>
      </c>
      <c r="AB226" s="65">
        <f>IFERROR(VLOOKUP(Table1215[[#This Row],[Column2]],Table12[[Column2]:[Column54]],27,FALSE),"0")</f>
        <v>0</v>
      </c>
      <c r="AC226" s="65">
        <f>IFERROR(VLOOKUP(Table1215[[#This Row],[Column2]],Table12[[Column2]:[Column54]],28,FALSE),"0")</f>
        <v>0</v>
      </c>
      <c r="AD226" s="67">
        <f>Table1215[[#This Row],[Column25]]</f>
        <v>2</v>
      </c>
      <c r="AE226" s="65">
        <f>IFERROR(VLOOKUP(Table1215[[#This Row],[Column2]],Table12[[Column2]:[Column54]],30,FALSE),"0")</f>
        <v>0</v>
      </c>
      <c r="AF226" s="65">
        <f>IFERROR(VLOOKUP(Table1215[[#This Row],[Column2]],Table12[[Column2]:[Column54]],31,FALSE),"0")</f>
        <v>0</v>
      </c>
      <c r="AG226" s="65">
        <f>IFERROR(VLOOKUP(Table1215[[#This Row],[Column2]],Table12[[Column2]:[Column54]],32,FALSE),"0")</f>
        <v>0</v>
      </c>
      <c r="AH226" s="65">
        <f>IFERROR(VLOOKUP(Table1215[[#This Row],[Column2]],Table12[[Column2]:[Column54]],33,FALSE),"0")</f>
        <v>0</v>
      </c>
      <c r="AI226" s="65">
        <f>IFERROR(VLOOKUP(Table1215[[#This Row],[Column2]],Table12[[Column2]:[Column54]],34,FALSE),"0")</f>
        <v>0</v>
      </c>
      <c r="AJ226" s="67">
        <f>AVERAGE(Table1215[[#This Row],[Column31]],Table1215[[#This Row],[Column32]],Table1215[[#This Row],[Column33]])</f>
        <v>0</v>
      </c>
      <c r="AK226" s="65">
        <f>IFERROR(VLOOKUP(Table1215[[#This Row],[Column2]],Table12[[Column2]:[Column54]],36,FALSE),"0")</f>
        <v>3</v>
      </c>
      <c r="AL226" s="65">
        <f>IFERROR(VLOOKUP(Table1215[[#This Row],[Column2]],Table12[[Column2]:[Column54]],37,FALSE),"0")</f>
        <v>2</v>
      </c>
      <c r="AM226" s="65">
        <f>IFERROR(VLOOKUP(Table1215[[#This Row],[Column2]],Table12[[Column2]:[Column54]],38,FALSE),"0")</f>
        <v>0</v>
      </c>
      <c r="AN226" s="65">
        <f>IFERROR(VLOOKUP(Table1215[[#This Row],[Column2]],Table12[[Column2]:[Column54]],39,FALSE),"0")</f>
        <v>3</v>
      </c>
      <c r="AO226" s="65">
        <f>IFERROR(VLOOKUP(Table1215[[#This Row],[Column2]],Table12[[Column2]:[Column54]],40,FALSE),"0")</f>
        <v>0</v>
      </c>
      <c r="AP226" s="67">
        <f>AVERAGE(Table1215[[#This Row],[Column37]],Table1215[[#This Row],[Column38]],Table1215[[#This Row],[Column40]])</f>
        <v>2.6666666666666665</v>
      </c>
      <c r="AQ226" s="65">
        <f>IFERROR(VLOOKUP(Table1215[[#This Row],[Column2]],Table12[[Column2]:[Column54]],42,FALSE),"0")</f>
        <v>2</v>
      </c>
      <c r="AR226" s="65">
        <f>IFERROR(VLOOKUP(Table1215[[#This Row],[Column2]],Table12[[Column2]:[Column54]],43,FALSE),"0")</f>
        <v>0</v>
      </c>
      <c r="AS226" s="65">
        <f>IFERROR(VLOOKUP(Table1215[[#This Row],[Column2]],Table12[[Column2]:[Column54]],44,FALSE),"0")</f>
        <v>0</v>
      </c>
      <c r="AT226" s="65">
        <f>IFERROR(VLOOKUP(Table1215[[#This Row],[Column2]],Table12[[Column2]:[Column54]],45,FALSE),"0")</f>
        <v>0</v>
      </c>
      <c r="AU226" s="65">
        <f>IFERROR(VLOOKUP(Table1215[[#This Row],[Column2]],Table12[[Column2]:[Column54]],46,FALSE),"0")</f>
        <v>0</v>
      </c>
      <c r="AV226" s="67">
        <f>Table1215[[#This Row],[Column43]]</f>
        <v>2</v>
      </c>
      <c r="AW226" s="65">
        <f>IFERROR(VLOOKUP(Table1215[[#This Row],[Column2]],Table12[[Column2]:[Column54]],48,FALSE),"0")</f>
        <v>0</v>
      </c>
      <c r="AX226" s="65">
        <f>IFERROR(VLOOKUP(Table1215[[#This Row],[Column2]],Table12[[Column2]:[Column54]],49,FALSE),"0")</f>
        <v>0</v>
      </c>
      <c r="AY226" s="65">
        <f>IFERROR(VLOOKUP(Table1215[[#This Row],[Column2]],Table12[[Column2]:[Column54]],50,FALSE),"0")</f>
        <v>0</v>
      </c>
      <c r="AZ226" s="65">
        <f>IFERROR(VLOOKUP(Table1215[[#This Row],[Column2]],Table12[[Column2]:[Column54]],51,FALSE),"0")</f>
        <v>2</v>
      </c>
      <c r="BA226" s="65">
        <f>IFERROR(VLOOKUP(Table1215[[#This Row],[Column2]],Table12[[Column2]:[Column54]],52,FALSE),"0")</f>
        <v>4</v>
      </c>
      <c r="BB226" s="67">
        <f>AVERAGE(Table1215[[#This Row],[Column52]],Table1215[[#This Row],[Column53]])</f>
        <v>3</v>
      </c>
    </row>
    <row r="227" spans="1:54" ht="23.1" customHeight="1" x14ac:dyDescent="0.3">
      <c r="A227" s="87">
        <v>224</v>
      </c>
      <c r="B227" s="70" t="s">
        <v>481</v>
      </c>
      <c r="C227" s="71" t="s">
        <v>482</v>
      </c>
      <c r="D227" s="70" t="s">
        <v>450</v>
      </c>
      <c r="E227" s="70" t="s">
        <v>289</v>
      </c>
      <c r="F227" s="70" t="str">
        <f>REPT(CHAR(160),10)&amp;Working!$E228</f>
        <v>          D</v>
      </c>
      <c r="G227" s="61">
        <f>IFERROR(VLOOKUP(Table1215[[#This Row],[Column2]],Table12[[Column2]:[Column54]],6,FALSE),"0")</f>
        <v>0</v>
      </c>
      <c r="H227" s="61">
        <f>IFERROR(VLOOKUP(Table1215[[#This Row],[Column2]],Table12[[Column2]:[Column54]],7,FALSE),"0")</f>
        <v>0</v>
      </c>
      <c r="I227" s="61">
        <f>IFERROR(VLOOKUP(Table1215[[#This Row],[Column2]],Table12[[Column2]:[Column54]],8,FALSE),"0")</f>
        <v>3</v>
      </c>
      <c r="J227" s="61">
        <f>IFERROR(VLOOKUP(Table1215[[#This Row],[Column2]],Table12[[Column2]:[Column54]],9,FALSE),"0")</f>
        <v>0</v>
      </c>
      <c r="K227" s="61">
        <f>IFERROR(VLOOKUP(Table1215[[#This Row],[Column2]],Table12[[Column2]:[Column54]],10,FALSE),"0")</f>
        <v>0</v>
      </c>
      <c r="L227" s="67">
        <f>Table1215[[#This Row],[Column9]]</f>
        <v>3</v>
      </c>
      <c r="M227" s="61">
        <f>IFERROR(VLOOKUP(Table1215[[#This Row],[Column2]],Table12[[Column2]:[Column54]],12,FALSE),"0")</f>
        <v>0</v>
      </c>
      <c r="N227" s="61">
        <f>IFERROR(VLOOKUP(Table1215[[#This Row],[Column2]],Table12[[Column2]:[Column54]],13,FALSE),"0")</f>
        <v>3</v>
      </c>
      <c r="O227" s="61">
        <f>IFERROR(VLOOKUP(Table1215[[#This Row],[Column2]],Table12[[Column2]:[Column54]],14,FALSE),"0")</f>
        <v>3</v>
      </c>
      <c r="P227" s="61">
        <f>IFERROR(VLOOKUP(Table1215[[#This Row],[Column2]],Table12[[Column2]:[Column54]],10,FALSE),"0")</f>
        <v>0</v>
      </c>
      <c r="Q227" s="61">
        <f>IFERROR(VLOOKUP(Table1215[[#This Row],[Column2]],Table12[[Column2]:[Column54]],16,FALSE),"0")</f>
        <v>3</v>
      </c>
      <c r="R227" s="67">
        <f>AVERAGE(Table1215[[#This Row],[Column14]],Table1215[[#This Row],[Column15]],Table1215[[#This Row],[Column17]])</f>
        <v>3</v>
      </c>
      <c r="S227" s="61">
        <f>IFERROR(VLOOKUP(Table1215[[#This Row],[Column2]],Table12[[Column2]:[Column54]],18,FALSE),"0")</f>
        <v>0</v>
      </c>
      <c r="T227" s="61">
        <f>IFERROR(VLOOKUP(Table1215[[#This Row],[Column2]],Table12[[Column2]:[Column54]],19,FALSE),"0")</f>
        <v>0</v>
      </c>
      <c r="U227" s="61">
        <f>IFERROR(VLOOKUP(Table1215[[#This Row],[Column2]],Table12[[Column2]:[Column54]],20,FALSE),"0")</f>
        <v>0</v>
      </c>
      <c r="V227" s="61">
        <f>IFERROR(VLOOKUP(Table1215[[#This Row],[Column2]],Table12[[Column2]:[Column54]],21,FALSE),"0")</f>
        <v>0</v>
      </c>
      <c r="W227" s="61">
        <f>IFERROR(VLOOKUP(Table1215[[#This Row],[Column2]],Table12[[Column2]:[Column54]],22,FALSE),"0")</f>
        <v>0</v>
      </c>
      <c r="X227" s="67">
        <f>Table1215[[#This Row],[Column19]]</f>
        <v>0</v>
      </c>
      <c r="Y227" s="61">
        <f>IFERROR(VLOOKUP(Table1215[[#This Row],[Column2]],Table12[[Column2]:[Column54]],24,FALSE),"0")</f>
        <v>3</v>
      </c>
      <c r="Z227" s="61">
        <f>IFERROR(VLOOKUP(Table1215[[#This Row],[Column2]],Table12[[Column2]:[Column54]],25,FALSE),"0")</f>
        <v>0</v>
      </c>
      <c r="AA227" s="61">
        <f>IFERROR(VLOOKUP(Table1215[[#This Row],[Column2]],Table12[[Column2]:[Column54]],26,FALSE),"0")</f>
        <v>0</v>
      </c>
      <c r="AB227" s="61">
        <f>IFERROR(VLOOKUP(Table1215[[#This Row],[Column2]],Table12[[Column2]:[Column54]],27,FALSE),"0")</f>
        <v>0</v>
      </c>
      <c r="AC227" s="61">
        <f>IFERROR(VLOOKUP(Table1215[[#This Row],[Column2]],Table12[[Column2]:[Column54]],28,FALSE),"0")</f>
        <v>0</v>
      </c>
      <c r="AD227" s="67">
        <f>Table1215[[#This Row],[Column25]]</f>
        <v>3</v>
      </c>
      <c r="AE227" s="61">
        <f>IFERROR(VLOOKUP(Table1215[[#This Row],[Column2]],Table12[[Column2]:[Column54]],30,FALSE),"0")</f>
        <v>0</v>
      </c>
      <c r="AF227" s="61">
        <f>IFERROR(VLOOKUP(Table1215[[#This Row],[Column2]],Table12[[Column2]:[Column54]],31,FALSE),"0")</f>
        <v>0</v>
      </c>
      <c r="AG227" s="61">
        <f>IFERROR(VLOOKUP(Table1215[[#This Row],[Column2]],Table12[[Column2]:[Column54]],32,FALSE),"0")</f>
        <v>0</v>
      </c>
      <c r="AH227" s="61">
        <f>IFERROR(VLOOKUP(Table1215[[#This Row],[Column2]],Table12[[Column2]:[Column54]],33,FALSE),"0")</f>
        <v>0</v>
      </c>
      <c r="AI227" s="61">
        <f>IFERROR(VLOOKUP(Table1215[[#This Row],[Column2]],Table12[[Column2]:[Column54]],34,FALSE),"0")</f>
        <v>0</v>
      </c>
      <c r="AJ227" s="67">
        <f>AVERAGE(Table1215[[#This Row],[Column31]],Table1215[[#This Row],[Column32]],Table1215[[#This Row],[Column33]])</f>
        <v>0</v>
      </c>
      <c r="AK227" s="61">
        <f>IFERROR(VLOOKUP(Table1215[[#This Row],[Column2]],Table12[[Column2]:[Column54]],36,FALSE),"0")</f>
        <v>2</v>
      </c>
      <c r="AL227" s="61">
        <f>IFERROR(VLOOKUP(Table1215[[#This Row],[Column2]],Table12[[Column2]:[Column54]],37,FALSE),"0")</f>
        <v>3</v>
      </c>
      <c r="AM227" s="61">
        <f>IFERROR(VLOOKUP(Table1215[[#This Row],[Column2]],Table12[[Column2]:[Column54]],38,FALSE),"0")</f>
        <v>0</v>
      </c>
      <c r="AN227" s="61">
        <f>IFERROR(VLOOKUP(Table1215[[#This Row],[Column2]],Table12[[Column2]:[Column54]],39,FALSE),"0")</f>
        <v>3</v>
      </c>
      <c r="AO227" s="61">
        <f>IFERROR(VLOOKUP(Table1215[[#This Row],[Column2]],Table12[[Column2]:[Column54]],40,FALSE),"0")</f>
        <v>0</v>
      </c>
      <c r="AP227" s="67">
        <f>AVERAGE(Table1215[[#This Row],[Column37]],Table1215[[#This Row],[Column38]],Table1215[[#This Row],[Column40]])</f>
        <v>2.6666666666666665</v>
      </c>
      <c r="AQ227" s="61">
        <f>IFERROR(VLOOKUP(Table1215[[#This Row],[Column2]],Table12[[Column2]:[Column54]],42,FALSE),"0")</f>
        <v>3</v>
      </c>
      <c r="AR227" s="61">
        <f>IFERROR(VLOOKUP(Table1215[[#This Row],[Column2]],Table12[[Column2]:[Column54]],43,FALSE),"0")</f>
        <v>0</v>
      </c>
      <c r="AS227" s="61">
        <f>IFERROR(VLOOKUP(Table1215[[#This Row],[Column2]],Table12[[Column2]:[Column54]],44,FALSE),"0")</f>
        <v>0</v>
      </c>
      <c r="AT227" s="61">
        <f>IFERROR(VLOOKUP(Table1215[[#This Row],[Column2]],Table12[[Column2]:[Column54]],45,FALSE),"0")</f>
        <v>0</v>
      </c>
      <c r="AU227" s="61">
        <f>IFERROR(VLOOKUP(Table1215[[#This Row],[Column2]],Table12[[Column2]:[Column54]],46,FALSE),"0")</f>
        <v>0</v>
      </c>
      <c r="AV227" s="67">
        <f>Table1215[[#This Row],[Column43]]</f>
        <v>3</v>
      </c>
      <c r="AW227" s="61">
        <f>IFERROR(VLOOKUP(Table1215[[#This Row],[Column2]],Table12[[Column2]:[Column54]],48,FALSE),"0")</f>
        <v>0</v>
      </c>
      <c r="AX227" s="61">
        <f>IFERROR(VLOOKUP(Table1215[[#This Row],[Column2]],Table12[[Column2]:[Column54]],49,FALSE),"0")</f>
        <v>0</v>
      </c>
      <c r="AY227" s="61">
        <f>IFERROR(VLOOKUP(Table1215[[#This Row],[Column2]],Table12[[Column2]:[Column54]],50,FALSE),"0")</f>
        <v>0</v>
      </c>
      <c r="AZ227" s="61">
        <f>IFERROR(VLOOKUP(Table1215[[#This Row],[Column2]],Table12[[Column2]:[Column54]],51,FALSE),"0")</f>
        <v>3</v>
      </c>
      <c r="BA227" s="61">
        <f>IFERROR(VLOOKUP(Table1215[[#This Row],[Column2]],Table12[[Column2]:[Column54]],52,FALSE),"0")</f>
        <v>2</v>
      </c>
      <c r="BB227" s="67">
        <f>AVERAGE(Table1215[[#This Row],[Column52]],Table1215[[#This Row],[Column53]])</f>
        <v>2.5</v>
      </c>
    </row>
    <row r="228" spans="1:54" ht="23.1" customHeight="1" x14ac:dyDescent="0.3">
      <c r="A228" s="86">
        <v>225</v>
      </c>
      <c r="B228" s="63" t="s">
        <v>483</v>
      </c>
      <c r="C228" s="64" t="s">
        <v>540</v>
      </c>
      <c r="D228" s="63" t="s">
        <v>450</v>
      </c>
      <c r="E228" s="63" t="s">
        <v>289</v>
      </c>
      <c r="F228" s="63" t="str">
        <f>REPT(CHAR(160),10)&amp;Working!$E229</f>
        <v>          D</v>
      </c>
      <c r="G228" s="65">
        <f>IFERROR(VLOOKUP(Table1215[[#This Row],[Column2]],Table12[[Column2]:[Column54]],6,FALSE),"0")</f>
        <v>0</v>
      </c>
      <c r="H228" s="65">
        <f>IFERROR(VLOOKUP(Table1215[[#This Row],[Column2]],Table12[[Column2]:[Column54]],7,FALSE),"0")</f>
        <v>0</v>
      </c>
      <c r="I228" s="65">
        <f>IFERROR(VLOOKUP(Table1215[[#This Row],[Column2]],Table12[[Column2]:[Column54]],8,FALSE),"0")</f>
        <v>2</v>
      </c>
      <c r="J228" s="65">
        <f>IFERROR(VLOOKUP(Table1215[[#This Row],[Column2]],Table12[[Column2]:[Column54]],9,FALSE),"0")</f>
        <v>0</v>
      </c>
      <c r="K228" s="65">
        <f>IFERROR(VLOOKUP(Table1215[[#This Row],[Column2]],Table12[[Column2]:[Column54]],10,FALSE),"0")</f>
        <v>0</v>
      </c>
      <c r="L228" s="67">
        <f>Table1215[[#This Row],[Column9]]</f>
        <v>2</v>
      </c>
      <c r="M228" s="65">
        <f>IFERROR(VLOOKUP(Table1215[[#This Row],[Column2]],Table12[[Column2]:[Column54]],12,FALSE),"0")</f>
        <v>0</v>
      </c>
      <c r="N228" s="65">
        <f>IFERROR(VLOOKUP(Table1215[[#This Row],[Column2]],Table12[[Column2]:[Column54]],13,FALSE),"0")</f>
        <v>2</v>
      </c>
      <c r="O228" s="65">
        <f>IFERROR(VLOOKUP(Table1215[[#This Row],[Column2]],Table12[[Column2]:[Column54]],14,FALSE),"0")</f>
        <v>3</v>
      </c>
      <c r="P228" s="65">
        <f>IFERROR(VLOOKUP(Table1215[[#This Row],[Column2]],Table12[[Column2]:[Column54]],10,FALSE),"0")</f>
        <v>0</v>
      </c>
      <c r="Q228" s="65">
        <f>IFERROR(VLOOKUP(Table1215[[#This Row],[Column2]],Table12[[Column2]:[Column54]],16,FALSE),"0")</f>
        <v>3</v>
      </c>
      <c r="R228" s="67">
        <f>AVERAGE(Table1215[[#This Row],[Column14]],Table1215[[#This Row],[Column15]],Table1215[[#This Row],[Column17]])</f>
        <v>2.6666666666666665</v>
      </c>
      <c r="S228" s="65">
        <f>IFERROR(VLOOKUP(Table1215[[#This Row],[Column2]],Table12[[Column2]:[Column54]],18,FALSE),"0")</f>
        <v>0</v>
      </c>
      <c r="T228" s="65">
        <f>IFERROR(VLOOKUP(Table1215[[#This Row],[Column2]],Table12[[Column2]:[Column54]],19,FALSE),"0")</f>
        <v>0</v>
      </c>
      <c r="U228" s="65">
        <f>IFERROR(VLOOKUP(Table1215[[#This Row],[Column2]],Table12[[Column2]:[Column54]],20,FALSE),"0")</f>
        <v>0</v>
      </c>
      <c r="V228" s="65">
        <f>IFERROR(VLOOKUP(Table1215[[#This Row],[Column2]],Table12[[Column2]:[Column54]],21,FALSE),"0")</f>
        <v>0</v>
      </c>
      <c r="W228" s="65">
        <f>IFERROR(VLOOKUP(Table1215[[#This Row],[Column2]],Table12[[Column2]:[Column54]],22,FALSE),"0")</f>
        <v>0</v>
      </c>
      <c r="X228" s="67">
        <f>Table1215[[#This Row],[Column19]]</f>
        <v>0</v>
      </c>
      <c r="Y228" s="65">
        <f>IFERROR(VLOOKUP(Table1215[[#This Row],[Column2]],Table12[[Column2]:[Column54]],24,FALSE),"0")</f>
        <v>2</v>
      </c>
      <c r="Z228" s="65">
        <f>IFERROR(VLOOKUP(Table1215[[#This Row],[Column2]],Table12[[Column2]:[Column54]],25,FALSE),"0")</f>
        <v>0</v>
      </c>
      <c r="AA228" s="65">
        <f>IFERROR(VLOOKUP(Table1215[[#This Row],[Column2]],Table12[[Column2]:[Column54]],26,FALSE),"0")</f>
        <v>0</v>
      </c>
      <c r="AB228" s="65">
        <f>IFERROR(VLOOKUP(Table1215[[#This Row],[Column2]],Table12[[Column2]:[Column54]],27,FALSE),"0")</f>
        <v>0</v>
      </c>
      <c r="AC228" s="65">
        <f>IFERROR(VLOOKUP(Table1215[[#This Row],[Column2]],Table12[[Column2]:[Column54]],28,FALSE),"0")</f>
        <v>0</v>
      </c>
      <c r="AD228" s="67">
        <f>Table1215[[#This Row],[Column25]]</f>
        <v>2</v>
      </c>
      <c r="AE228" s="65">
        <f>IFERROR(VLOOKUP(Table1215[[#This Row],[Column2]],Table12[[Column2]:[Column54]],30,FALSE),"0")</f>
        <v>0</v>
      </c>
      <c r="AF228" s="65">
        <f>IFERROR(VLOOKUP(Table1215[[#This Row],[Column2]],Table12[[Column2]:[Column54]],31,FALSE),"0")</f>
        <v>0</v>
      </c>
      <c r="AG228" s="65">
        <f>IFERROR(VLOOKUP(Table1215[[#This Row],[Column2]],Table12[[Column2]:[Column54]],32,FALSE),"0")</f>
        <v>0</v>
      </c>
      <c r="AH228" s="65">
        <f>IFERROR(VLOOKUP(Table1215[[#This Row],[Column2]],Table12[[Column2]:[Column54]],33,FALSE),"0")</f>
        <v>0</v>
      </c>
      <c r="AI228" s="65">
        <f>IFERROR(VLOOKUP(Table1215[[#This Row],[Column2]],Table12[[Column2]:[Column54]],34,FALSE),"0")</f>
        <v>0</v>
      </c>
      <c r="AJ228" s="67">
        <f>AVERAGE(Table1215[[#This Row],[Column31]],Table1215[[#This Row],[Column32]],Table1215[[#This Row],[Column33]])</f>
        <v>0</v>
      </c>
      <c r="AK228" s="65">
        <f>IFERROR(VLOOKUP(Table1215[[#This Row],[Column2]],Table12[[Column2]:[Column54]],36,FALSE),"0")</f>
        <v>2</v>
      </c>
      <c r="AL228" s="65">
        <f>IFERROR(VLOOKUP(Table1215[[#This Row],[Column2]],Table12[[Column2]:[Column54]],37,FALSE),"0")</f>
        <v>2</v>
      </c>
      <c r="AM228" s="65">
        <f>IFERROR(VLOOKUP(Table1215[[#This Row],[Column2]],Table12[[Column2]:[Column54]],38,FALSE),"0")</f>
        <v>0</v>
      </c>
      <c r="AN228" s="65">
        <f>IFERROR(VLOOKUP(Table1215[[#This Row],[Column2]],Table12[[Column2]:[Column54]],39,FALSE),"0")</f>
        <v>3</v>
      </c>
      <c r="AO228" s="65">
        <f>IFERROR(VLOOKUP(Table1215[[#This Row],[Column2]],Table12[[Column2]:[Column54]],40,FALSE),"0")</f>
        <v>0</v>
      </c>
      <c r="AP228" s="67">
        <f>AVERAGE(Table1215[[#This Row],[Column37]],Table1215[[#This Row],[Column38]],Table1215[[#This Row],[Column40]])</f>
        <v>2.3333333333333335</v>
      </c>
      <c r="AQ228" s="65">
        <f>IFERROR(VLOOKUP(Table1215[[#This Row],[Column2]],Table12[[Column2]:[Column54]],42,FALSE),"0")</f>
        <v>2</v>
      </c>
      <c r="AR228" s="65">
        <f>IFERROR(VLOOKUP(Table1215[[#This Row],[Column2]],Table12[[Column2]:[Column54]],43,FALSE),"0")</f>
        <v>0</v>
      </c>
      <c r="AS228" s="65">
        <f>IFERROR(VLOOKUP(Table1215[[#This Row],[Column2]],Table12[[Column2]:[Column54]],44,FALSE),"0")</f>
        <v>0</v>
      </c>
      <c r="AT228" s="65">
        <f>IFERROR(VLOOKUP(Table1215[[#This Row],[Column2]],Table12[[Column2]:[Column54]],45,FALSE),"0")</f>
        <v>0</v>
      </c>
      <c r="AU228" s="65">
        <f>IFERROR(VLOOKUP(Table1215[[#This Row],[Column2]],Table12[[Column2]:[Column54]],46,FALSE),"0")</f>
        <v>0</v>
      </c>
      <c r="AV228" s="67">
        <f>Table1215[[#This Row],[Column43]]</f>
        <v>2</v>
      </c>
      <c r="AW228" s="65">
        <f>IFERROR(VLOOKUP(Table1215[[#This Row],[Column2]],Table12[[Column2]:[Column54]],48,FALSE),"0")</f>
        <v>0</v>
      </c>
      <c r="AX228" s="65">
        <f>IFERROR(VLOOKUP(Table1215[[#This Row],[Column2]],Table12[[Column2]:[Column54]],49,FALSE),"0")</f>
        <v>0</v>
      </c>
      <c r="AY228" s="65">
        <f>IFERROR(VLOOKUP(Table1215[[#This Row],[Column2]],Table12[[Column2]:[Column54]],50,FALSE),"0")</f>
        <v>0</v>
      </c>
      <c r="AZ228" s="65">
        <f>IFERROR(VLOOKUP(Table1215[[#This Row],[Column2]],Table12[[Column2]:[Column54]],51,FALSE),"0")</f>
        <v>3</v>
      </c>
      <c r="BA228" s="65">
        <f>IFERROR(VLOOKUP(Table1215[[#This Row],[Column2]],Table12[[Column2]:[Column54]],52,FALSE),"0")</f>
        <v>2</v>
      </c>
      <c r="BB228" s="67">
        <f>AVERAGE(Table1215[[#This Row],[Column52]],Table1215[[#This Row],[Column53]])</f>
        <v>2.5</v>
      </c>
    </row>
    <row r="229" spans="1:54" ht="23.1" customHeight="1" x14ac:dyDescent="0.3">
      <c r="A229" s="87">
        <v>226</v>
      </c>
      <c r="B229" s="70" t="s">
        <v>484</v>
      </c>
      <c r="C229" s="71" t="s">
        <v>485</v>
      </c>
      <c r="D229" s="70" t="s">
        <v>450</v>
      </c>
      <c r="E229" s="70" t="s">
        <v>289</v>
      </c>
      <c r="F229" s="70" t="str">
        <f>REPT(CHAR(160),10)&amp;Working!$E230</f>
        <v>          D</v>
      </c>
      <c r="G229" s="61">
        <f>IFERROR(VLOOKUP(Table1215[[#This Row],[Column2]],Table12[[Column2]:[Column54]],6,FALSE),"0")</f>
        <v>0</v>
      </c>
      <c r="H229" s="61">
        <f>IFERROR(VLOOKUP(Table1215[[#This Row],[Column2]],Table12[[Column2]:[Column54]],7,FALSE),"0")</f>
        <v>0</v>
      </c>
      <c r="I229" s="61">
        <f>IFERROR(VLOOKUP(Table1215[[#This Row],[Column2]],Table12[[Column2]:[Column54]],8,FALSE),"0")</f>
        <v>2</v>
      </c>
      <c r="J229" s="61">
        <f>IFERROR(VLOOKUP(Table1215[[#This Row],[Column2]],Table12[[Column2]:[Column54]],9,FALSE),"0")</f>
        <v>0</v>
      </c>
      <c r="K229" s="61">
        <f>IFERROR(VLOOKUP(Table1215[[#This Row],[Column2]],Table12[[Column2]:[Column54]],10,FALSE),"0")</f>
        <v>0</v>
      </c>
      <c r="L229" s="67">
        <f>Table1215[[#This Row],[Column9]]</f>
        <v>2</v>
      </c>
      <c r="M229" s="61">
        <f>IFERROR(VLOOKUP(Table1215[[#This Row],[Column2]],Table12[[Column2]:[Column54]],12,FALSE),"0")</f>
        <v>0</v>
      </c>
      <c r="N229" s="61">
        <f>IFERROR(VLOOKUP(Table1215[[#This Row],[Column2]],Table12[[Column2]:[Column54]],13,FALSE),"0")</f>
        <v>3</v>
      </c>
      <c r="O229" s="61">
        <f>IFERROR(VLOOKUP(Table1215[[#This Row],[Column2]],Table12[[Column2]:[Column54]],14,FALSE),"0")</f>
        <v>3</v>
      </c>
      <c r="P229" s="61">
        <f>IFERROR(VLOOKUP(Table1215[[#This Row],[Column2]],Table12[[Column2]:[Column54]],10,FALSE),"0")</f>
        <v>0</v>
      </c>
      <c r="Q229" s="61">
        <f>IFERROR(VLOOKUP(Table1215[[#This Row],[Column2]],Table12[[Column2]:[Column54]],16,FALSE),"0")</f>
        <v>3</v>
      </c>
      <c r="R229" s="67">
        <f>AVERAGE(Table1215[[#This Row],[Column14]],Table1215[[#This Row],[Column15]],Table1215[[#This Row],[Column17]])</f>
        <v>3</v>
      </c>
      <c r="S229" s="61">
        <f>IFERROR(VLOOKUP(Table1215[[#This Row],[Column2]],Table12[[Column2]:[Column54]],18,FALSE),"0")</f>
        <v>0</v>
      </c>
      <c r="T229" s="61">
        <f>IFERROR(VLOOKUP(Table1215[[#This Row],[Column2]],Table12[[Column2]:[Column54]],19,FALSE),"0")</f>
        <v>0</v>
      </c>
      <c r="U229" s="61">
        <f>IFERROR(VLOOKUP(Table1215[[#This Row],[Column2]],Table12[[Column2]:[Column54]],20,FALSE),"0")</f>
        <v>0</v>
      </c>
      <c r="V229" s="61">
        <f>IFERROR(VLOOKUP(Table1215[[#This Row],[Column2]],Table12[[Column2]:[Column54]],21,FALSE),"0")</f>
        <v>0</v>
      </c>
      <c r="W229" s="61">
        <f>IFERROR(VLOOKUP(Table1215[[#This Row],[Column2]],Table12[[Column2]:[Column54]],22,FALSE),"0")</f>
        <v>0</v>
      </c>
      <c r="X229" s="67">
        <f>Table1215[[#This Row],[Column19]]</f>
        <v>0</v>
      </c>
      <c r="Y229" s="61">
        <f>IFERROR(VLOOKUP(Table1215[[#This Row],[Column2]],Table12[[Column2]:[Column54]],24,FALSE),"0")</f>
        <v>3</v>
      </c>
      <c r="Z229" s="61">
        <f>IFERROR(VLOOKUP(Table1215[[#This Row],[Column2]],Table12[[Column2]:[Column54]],25,FALSE),"0")</f>
        <v>0</v>
      </c>
      <c r="AA229" s="61">
        <f>IFERROR(VLOOKUP(Table1215[[#This Row],[Column2]],Table12[[Column2]:[Column54]],26,FALSE),"0")</f>
        <v>0</v>
      </c>
      <c r="AB229" s="61">
        <f>IFERROR(VLOOKUP(Table1215[[#This Row],[Column2]],Table12[[Column2]:[Column54]],27,FALSE),"0")</f>
        <v>0</v>
      </c>
      <c r="AC229" s="61">
        <f>IFERROR(VLOOKUP(Table1215[[#This Row],[Column2]],Table12[[Column2]:[Column54]],28,FALSE),"0")</f>
        <v>0</v>
      </c>
      <c r="AD229" s="67">
        <f>Table1215[[#This Row],[Column25]]</f>
        <v>3</v>
      </c>
      <c r="AE229" s="61">
        <f>IFERROR(VLOOKUP(Table1215[[#This Row],[Column2]],Table12[[Column2]:[Column54]],30,FALSE),"0")</f>
        <v>0</v>
      </c>
      <c r="AF229" s="61">
        <f>IFERROR(VLOOKUP(Table1215[[#This Row],[Column2]],Table12[[Column2]:[Column54]],31,FALSE),"0")</f>
        <v>0</v>
      </c>
      <c r="AG229" s="61">
        <f>IFERROR(VLOOKUP(Table1215[[#This Row],[Column2]],Table12[[Column2]:[Column54]],32,FALSE),"0")</f>
        <v>0</v>
      </c>
      <c r="AH229" s="61">
        <f>IFERROR(VLOOKUP(Table1215[[#This Row],[Column2]],Table12[[Column2]:[Column54]],33,FALSE),"0")</f>
        <v>0</v>
      </c>
      <c r="AI229" s="61">
        <f>IFERROR(VLOOKUP(Table1215[[#This Row],[Column2]],Table12[[Column2]:[Column54]],34,FALSE),"0")</f>
        <v>0</v>
      </c>
      <c r="AJ229" s="67">
        <f>AVERAGE(Table1215[[#This Row],[Column31]],Table1215[[#This Row],[Column32]],Table1215[[#This Row],[Column33]])</f>
        <v>0</v>
      </c>
      <c r="AK229" s="61">
        <f>IFERROR(VLOOKUP(Table1215[[#This Row],[Column2]],Table12[[Column2]:[Column54]],36,FALSE),"0")</f>
        <v>2</v>
      </c>
      <c r="AL229" s="61">
        <f>IFERROR(VLOOKUP(Table1215[[#This Row],[Column2]],Table12[[Column2]:[Column54]],37,FALSE),"0")</f>
        <v>2</v>
      </c>
      <c r="AM229" s="61">
        <f>IFERROR(VLOOKUP(Table1215[[#This Row],[Column2]],Table12[[Column2]:[Column54]],38,FALSE),"0")</f>
        <v>0</v>
      </c>
      <c r="AN229" s="61">
        <f>IFERROR(VLOOKUP(Table1215[[#This Row],[Column2]],Table12[[Column2]:[Column54]],39,FALSE),"0")</f>
        <v>3</v>
      </c>
      <c r="AO229" s="61">
        <f>IFERROR(VLOOKUP(Table1215[[#This Row],[Column2]],Table12[[Column2]:[Column54]],40,FALSE),"0")</f>
        <v>0</v>
      </c>
      <c r="AP229" s="67">
        <f>AVERAGE(Table1215[[#This Row],[Column37]],Table1215[[#This Row],[Column38]],Table1215[[#This Row],[Column40]])</f>
        <v>2.3333333333333335</v>
      </c>
      <c r="AQ229" s="61">
        <f>IFERROR(VLOOKUP(Table1215[[#This Row],[Column2]],Table12[[Column2]:[Column54]],42,FALSE),"0")</f>
        <v>0</v>
      </c>
      <c r="AR229" s="61">
        <f>IFERROR(VLOOKUP(Table1215[[#This Row],[Column2]],Table12[[Column2]:[Column54]],43,FALSE),"0")</f>
        <v>0</v>
      </c>
      <c r="AS229" s="61">
        <f>IFERROR(VLOOKUP(Table1215[[#This Row],[Column2]],Table12[[Column2]:[Column54]],44,FALSE),"0")</f>
        <v>0</v>
      </c>
      <c r="AT229" s="61">
        <f>IFERROR(VLOOKUP(Table1215[[#This Row],[Column2]],Table12[[Column2]:[Column54]],45,FALSE),"0")</f>
        <v>0</v>
      </c>
      <c r="AU229" s="61">
        <f>IFERROR(VLOOKUP(Table1215[[#This Row],[Column2]],Table12[[Column2]:[Column54]],46,FALSE),"0")</f>
        <v>0</v>
      </c>
      <c r="AV229" s="67">
        <f>Table1215[[#This Row],[Column43]]</f>
        <v>0</v>
      </c>
      <c r="AW229" s="61">
        <f>IFERROR(VLOOKUP(Table1215[[#This Row],[Column2]],Table12[[Column2]:[Column54]],48,FALSE),"0")</f>
        <v>0</v>
      </c>
      <c r="AX229" s="61">
        <f>IFERROR(VLOOKUP(Table1215[[#This Row],[Column2]],Table12[[Column2]:[Column54]],49,FALSE),"0")</f>
        <v>0</v>
      </c>
      <c r="AY229" s="61">
        <f>IFERROR(VLOOKUP(Table1215[[#This Row],[Column2]],Table12[[Column2]:[Column54]],50,FALSE),"0")</f>
        <v>0</v>
      </c>
      <c r="AZ229" s="61">
        <f>IFERROR(VLOOKUP(Table1215[[#This Row],[Column2]],Table12[[Column2]:[Column54]],51,FALSE),"0")</f>
        <v>3</v>
      </c>
      <c r="BA229" s="61">
        <f>IFERROR(VLOOKUP(Table1215[[#This Row],[Column2]],Table12[[Column2]:[Column54]],52,FALSE),"0")</f>
        <v>3</v>
      </c>
      <c r="BB229" s="67">
        <f>AVERAGE(Table1215[[#This Row],[Column52]],Table1215[[#This Row],[Column53]])</f>
        <v>3</v>
      </c>
    </row>
    <row r="230" spans="1:54" ht="23.1" customHeight="1" x14ac:dyDescent="0.3">
      <c r="A230" s="86">
        <v>227</v>
      </c>
      <c r="B230" s="63" t="s">
        <v>486</v>
      </c>
      <c r="C230" s="64" t="s">
        <v>487</v>
      </c>
      <c r="D230" s="63" t="s">
        <v>450</v>
      </c>
      <c r="E230" s="63" t="s">
        <v>289</v>
      </c>
      <c r="F230" s="63" t="str">
        <f>REPT(CHAR(160),10)&amp;Working!$E231</f>
        <v>          D</v>
      </c>
      <c r="G230" s="65">
        <f>IFERROR(VLOOKUP(Table1215[[#This Row],[Column2]],Table12[[Column2]:[Column54]],6,FALSE),"0")</f>
        <v>0</v>
      </c>
      <c r="H230" s="65">
        <f>IFERROR(VLOOKUP(Table1215[[#This Row],[Column2]],Table12[[Column2]:[Column54]],7,FALSE),"0")</f>
        <v>0</v>
      </c>
      <c r="I230" s="65" t="str">
        <f>IFERROR(VLOOKUP(Table1215[[#This Row],[Column2]],Table12[[Column2]:[Column54]],8,FALSE),"0")</f>
        <v>A</v>
      </c>
      <c r="J230" s="65">
        <f>IFERROR(VLOOKUP(Table1215[[#This Row],[Column2]],Table12[[Column2]:[Column54]],9,FALSE),"0")</f>
        <v>0</v>
      </c>
      <c r="K230" s="65">
        <f>IFERROR(VLOOKUP(Table1215[[#This Row],[Column2]],Table12[[Column2]:[Column54]],10,FALSE),"0")</f>
        <v>0</v>
      </c>
      <c r="L230" s="67" t="str">
        <f>Table1215[[#This Row],[Column9]]</f>
        <v>A</v>
      </c>
      <c r="M230" s="65">
        <f>IFERROR(VLOOKUP(Table1215[[#This Row],[Column2]],Table12[[Column2]:[Column54]],12,FALSE),"0")</f>
        <v>0</v>
      </c>
      <c r="N230" s="65" t="str">
        <f>IFERROR(VLOOKUP(Table1215[[#This Row],[Column2]],Table12[[Column2]:[Column54]],13,FALSE),"0")</f>
        <v>0</v>
      </c>
      <c r="O230" s="65" t="str">
        <f>IFERROR(VLOOKUP(Table1215[[#This Row],[Column2]],Table12[[Column2]:[Column54]],14,FALSE),"0")</f>
        <v>0</v>
      </c>
      <c r="P230" s="65">
        <f>IFERROR(VLOOKUP(Table1215[[#This Row],[Column2]],Table12[[Column2]:[Column54]],10,FALSE),"0")</f>
        <v>0</v>
      </c>
      <c r="Q230" s="65" t="str">
        <f>IFERROR(VLOOKUP(Table1215[[#This Row],[Column2]],Table12[[Column2]:[Column54]],16,FALSE),"0")</f>
        <v>0</v>
      </c>
      <c r="R230" s="67" t="e">
        <f>AVERAGE(Table1215[[#This Row],[Column14]],Table1215[[#This Row],[Column15]],Table1215[[#This Row],[Column17]])</f>
        <v>#DIV/0!</v>
      </c>
      <c r="S230" s="65">
        <f>IFERROR(VLOOKUP(Table1215[[#This Row],[Column2]],Table12[[Column2]:[Column54]],18,FALSE),"0")</f>
        <v>0</v>
      </c>
      <c r="T230" s="65">
        <f>IFERROR(VLOOKUP(Table1215[[#This Row],[Column2]],Table12[[Column2]:[Column54]],19,FALSE),"0")</f>
        <v>0</v>
      </c>
      <c r="U230" s="65">
        <f>IFERROR(VLOOKUP(Table1215[[#This Row],[Column2]],Table12[[Column2]:[Column54]],20,FALSE),"0")</f>
        <v>0</v>
      </c>
      <c r="V230" s="65">
        <f>IFERROR(VLOOKUP(Table1215[[#This Row],[Column2]],Table12[[Column2]:[Column54]],21,FALSE),"0")</f>
        <v>0</v>
      </c>
      <c r="W230" s="65">
        <f>IFERROR(VLOOKUP(Table1215[[#This Row],[Column2]],Table12[[Column2]:[Column54]],22,FALSE),"0")</f>
        <v>0</v>
      </c>
      <c r="X230" s="67">
        <f>Table1215[[#This Row],[Column19]]</f>
        <v>0</v>
      </c>
      <c r="Y230" s="65" t="str">
        <f>IFERROR(VLOOKUP(Table1215[[#This Row],[Column2]],Table12[[Column2]:[Column54]],24,FALSE),"0")</f>
        <v>0</v>
      </c>
      <c r="Z230" s="65">
        <f>IFERROR(VLOOKUP(Table1215[[#This Row],[Column2]],Table12[[Column2]:[Column54]],25,FALSE),"0")</f>
        <v>0</v>
      </c>
      <c r="AA230" s="65">
        <f>IFERROR(VLOOKUP(Table1215[[#This Row],[Column2]],Table12[[Column2]:[Column54]],26,FALSE),"0")</f>
        <v>0</v>
      </c>
      <c r="AB230" s="65">
        <f>IFERROR(VLOOKUP(Table1215[[#This Row],[Column2]],Table12[[Column2]:[Column54]],27,FALSE),"0")</f>
        <v>0</v>
      </c>
      <c r="AC230" s="65">
        <f>IFERROR(VLOOKUP(Table1215[[#This Row],[Column2]],Table12[[Column2]:[Column54]],28,FALSE),"0")</f>
        <v>0</v>
      </c>
      <c r="AD230" s="67" t="str">
        <f>Table1215[[#This Row],[Column25]]</f>
        <v>0</v>
      </c>
      <c r="AE230" s="65">
        <f>IFERROR(VLOOKUP(Table1215[[#This Row],[Column2]],Table12[[Column2]:[Column54]],30,FALSE),"0")</f>
        <v>0</v>
      </c>
      <c r="AF230" s="65">
        <f>IFERROR(VLOOKUP(Table1215[[#This Row],[Column2]],Table12[[Column2]:[Column54]],31,FALSE),"0")</f>
        <v>0</v>
      </c>
      <c r="AG230" s="65">
        <f>IFERROR(VLOOKUP(Table1215[[#This Row],[Column2]],Table12[[Column2]:[Column54]],32,FALSE),"0")</f>
        <v>0</v>
      </c>
      <c r="AH230" s="65">
        <f>IFERROR(VLOOKUP(Table1215[[#This Row],[Column2]],Table12[[Column2]:[Column54]],33,FALSE),"0")</f>
        <v>0</v>
      </c>
      <c r="AI230" s="65">
        <f>IFERROR(VLOOKUP(Table1215[[#This Row],[Column2]],Table12[[Column2]:[Column54]],34,FALSE),"0")</f>
        <v>0</v>
      </c>
      <c r="AJ230" s="67">
        <f>AVERAGE(Table1215[[#This Row],[Column31]],Table1215[[#This Row],[Column32]],Table1215[[#This Row],[Column33]])</f>
        <v>0</v>
      </c>
      <c r="AK230" s="65" t="str">
        <f>IFERROR(VLOOKUP(Table1215[[#This Row],[Column2]],Table12[[Column2]:[Column54]],36,FALSE),"0")</f>
        <v>0</v>
      </c>
      <c r="AL230" s="65" t="str">
        <f>IFERROR(VLOOKUP(Table1215[[#This Row],[Column2]],Table12[[Column2]:[Column54]],37,FALSE),"0")</f>
        <v>0</v>
      </c>
      <c r="AM230" s="65">
        <f>IFERROR(VLOOKUP(Table1215[[#This Row],[Column2]],Table12[[Column2]:[Column54]],38,FALSE),"0")</f>
        <v>0</v>
      </c>
      <c r="AN230" s="65" t="str">
        <f>IFERROR(VLOOKUP(Table1215[[#This Row],[Column2]],Table12[[Column2]:[Column54]],39,FALSE),"0")</f>
        <v>0</v>
      </c>
      <c r="AO230" s="65">
        <f>IFERROR(VLOOKUP(Table1215[[#This Row],[Column2]],Table12[[Column2]:[Column54]],40,FALSE),"0")</f>
        <v>0</v>
      </c>
      <c r="AP230" s="67" t="e">
        <f>AVERAGE(Table1215[[#This Row],[Column37]],Table1215[[#This Row],[Column38]],Table1215[[#This Row],[Column40]])</f>
        <v>#DIV/0!</v>
      </c>
      <c r="AQ230" s="65" t="str">
        <f>IFERROR(VLOOKUP(Table1215[[#This Row],[Column2]],Table12[[Column2]:[Column54]],42,FALSE),"0")</f>
        <v>0</v>
      </c>
      <c r="AR230" s="65">
        <f>IFERROR(VLOOKUP(Table1215[[#This Row],[Column2]],Table12[[Column2]:[Column54]],43,FALSE),"0")</f>
        <v>0</v>
      </c>
      <c r="AS230" s="65">
        <f>IFERROR(VLOOKUP(Table1215[[#This Row],[Column2]],Table12[[Column2]:[Column54]],44,FALSE),"0")</f>
        <v>0</v>
      </c>
      <c r="AT230" s="65">
        <f>IFERROR(VLOOKUP(Table1215[[#This Row],[Column2]],Table12[[Column2]:[Column54]],45,FALSE),"0")</f>
        <v>0</v>
      </c>
      <c r="AU230" s="65">
        <f>IFERROR(VLOOKUP(Table1215[[#This Row],[Column2]],Table12[[Column2]:[Column54]],46,FALSE),"0")</f>
        <v>0</v>
      </c>
      <c r="AV230" s="67" t="str">
        <f>Table1215[[#This Row],[Column43]]</f>
        <v>0</v>
      </c>
      <c r="AW230" s="65">
        <f>IFERROR(VLOOKUP(Table1215[[#This Row],[Column2]],Table12[[Column2]:[Column54]],48,FALSE),"0")</f>
        <v>0</v>
      </c>
      <c r="AX230" s="65">
        <f>IFERROR(VLOOKUP(Table1215[[#This Row],[Column2]],Table12[[Column2]:[Column54]],49,FALSE),"0")</f>
        <v>0</v>
      </c>
      <c r="AY230" s="65">
        <f>IFERROR(VLOOKUP(Table1215[[#This Row],[Column2]],Table12[[Column2]:[Column54]],50,FALSE),"0")</f>
        <v>0</v>
      </c>
      <c r="AZ230" s="65" t="str">
        <f>IFERROR(VLOOKUP(Table1215[[#This Row],[Column2]],Table12[[Column2]:[Column54]],51,FALSE),"0")</f>
        <v>0</v>
      </c>
      <c r="BA230" s="65" t="str">
        <f>IFERROR(VLOOKUP(Table1215[[#This Row],[Column2]],Table12[[Column2]:[Column54]],52,FALSE),"0")</f>
        <v>0</v>
      </c>
      <c r="BB230" s="67" t="e">
        <f>AVERAGE(Table1215[[#This Row],[Column52]],Table1215[[#This Row],[Column53]])</f>
        <v>#DIV/0!</v>
      </c>
    </row>
    <row r="231" spans="1:54" ht="23.1" customHeight="1" x14ac:dyDescent="0.3">
      <c r="A231" s="87">
        <v>228</v>
      </c>
      <c r="B231" s="70" t="s">
        <v>541</v>
      </c>
      <c r="C231" s="71" t="s">
        <v>488</v>
      </c>
      <c r="D231" s="70" t="s">
        <v>545</v>
      </c>
      <c r="E231" s="70" t="s">
        <v>289</v>
      </c>
      <c r="F231" s="70" t="str">
        <f>REPT(CHAR(160),10)&amp;Working!$E232</f>
        <v>          D</v>
      </c>
      <c r="G231" s="61">
        <f>IFERROR(VLOOKUP(Table1215[[#This Row],[Column2]],Table12[[Column2]:[Column54]],6,FALSE),"0")</f>
        <v>0</v>
      </c>
      <c r="H231" s="61">
        <f>IFERROR(VLOOKUP(Table1215[[#This Row],[Column2]],Table12[[Column2]:[Column54]],7,FALSE),"0")</f>
        <v>0</v>
      </c>
      <c r="I231" s="61" t="str">
        <f>IFERROR(VLOOKUP(Table1215[[#This Row],[Column2]],Table12[[Column2]:[Column54]],8,FALSE),"0")</f>
        <v>A</v>
      </c>
      <c r="J231" s="61">
        <f>IFERROR(VLOOKUP(Table1215[[#This Row],[Column2]],Table12[[Column2]:[Column54]],9,FALSE),"0")</f>
        <v>0</v>
      </c>
      <c r="K231" s="61">
        <f>IFERROR(VLOOKUP(Table1215[[#This Row],[Column2]],Table12[[Column2]:[Column54]],10,FALSE),"0")</f>
        <v>0</v>
      </c>
      <c r="L231" s="67" t="str">
        <f>Table1215[[#This Row],[Column9]]</f>
        <v>A</v>
      </c>
      <c r="M231" s="61">
        <f>IFERROR(VLOOKUP(Table1215[[#This Row],[Column2]],Table12[[Column2]:[Column54]],12,FALSE),"0")</f>
        <v>0</v>
      </c>
      <c r="N231" s="61" t="str">
        <f>IFERROR(VLOOKUP(Table1215[[#This Row],[Column2]],Table12[[Column2]:[Column54]],13,FALSE),"0")</f>
        <v>0</v>
      </c>
      <c r="O231" s="61" t="str">
        <f>IFERROR(VLOOKUP(Table1215[[#This Row],[Column2]],Table12[[Column2]:[Column54]],14,FALSE),"0")</f>
        <v>0</v>
      </c>
      <c r="P231" s="61">
        <f>IFERROR(VLOOKUP(Table1215[[#This Row],[Column2]],Table12[[Column2]:[Column54]],10,FALSE),"0")</f>
        <v>0</v>
      </c>
      <c r="Q231" s="61" t="str">
        <f>IFERROR(VLOOKUP(Table1215[[#This Row],[Column2]],Table12[[Column2]:[Column54]],16,FALSE),"0")</f>
        <v>0</v>
      </c>
      <c r="R231" s="67" t="e">
        <f>AVERAGE(Table1215[[#This Row],[Column14]],Table1215[[#This Row],[Column15]],Table1215[[#This Row],[Column17]])</f>
        <v>#DIV/0!</v>
      </c>
      <c r="S231" s="61">
        <f>IFERROR(VLOOKUP(Table1215[[#This Row],[Column2]],Table12[[Column2]:[Column54]],18,FALSE),"0")</f>
        <v>0</v>
      </c>
      <c r="T231" s="61">
        <f>IFERROR(VLOOKUP(Table1215[[#This Row],[Column2]],Table12[[Column2]:[Column54]],19,FALSE),"0")</f>
        <v>0</v>
      </c>
      <c r="U231" s="61">
        <f>IFERROR(VLOOKUP(Table1215[[#This Row],[Column2]],Table12[[Column2]:[Column54]],20,FALSE),"0")</f>
        <v>0</v>
      </c>
      <c r="V231" s="61">
        <f>IFERROR(VLOOKUP(Table1215[[#This Row],[Column2]],Table12[[Column2]:[Column54]],21,FALSE),"0")</f>
        <v>0</v>
      </c>
      <c r="W231" s="61">
        <f>IFERROR(VLOOKUP(Table1215[[#This Row],[Column2]],Table12[[Column2]:[Column54]],22,FALSE),"0")</f>
        <v>0</v>
      </c>
      <c r="X231" s="67">
        <f>Table1215[[#This Row],[Column19]]</f>
        <v>0</v>
      </c>
      <c r="Y231" s="61" t="str">
        <f>IFERROR(VLOOKUP(Table1215[[#This Row],[Column2]],Table12[[Column2]:[Column54]],24,FALSE),"0")</f>
        <v>0</v>
      </c>
      <c r="Z231" s="61">
        <f>IFERROR(VLOOKUP(Table1215[[#This Row],[Column2]],Table12[[Column2]:[Column54]],25,FALSE),"0")</f>
        <v>0</v>
      </c>
      <c r="AA231" s="61">
        <f>IFERROR(VLOOKUP(Table1215[[#This Row],[Column2]],Table12[[Column2]:[Column54]],26,FALSE),"0")</f>
        <v>0</v>
      </c>
      <c r="AB231" s="61">
        <f>IFERROR(VLOOKUP(Table1215[[#This Row],[Column2]],Table12[[Column2]:[Column54]],27,FALSE),"0")</f>
        <v>0</v>
      </c>
      <c r="AC231" s="61">
        <f>IFERROR(VLOOKUP(Table1215[[#This Row],[Column2]],Table12[[Column2]:[Column54]],28,FALSE),"0")</f>
        <v>0</v>
      </c>
      <c r="AD231" s="67" t="str">
        <f>Table1215[[#This Row],[Column25]]</f>
        <v>0</v>
      </c>
      <c r="AE231" s="61">
        <f>IFERROR(VLOOKUP(Table1215[[#This Row],[Column2]],Table12[[Column2]:[Column54]],30,FALSE),"0")</f>
        <v>0</v>
      </c>
      <c r="AF231" s="61">
        <f>IFERROR(VLOOKUP(Table1215[[#This Row],[Column2]],Table12[[Column2]:[Column54]],31,FALSE),"0")</f>
        <v>0</v>
      </c>
      <c r="AG231" s="61">
        <f>IFERROR(VLOOKUP(Table1215[[#This Row],[Column2]],Table12[[Column2]:[Column54]],32,FALSE),"0")</f>
        <v>0</v>
      </c>
      <c r="AH231" s="61">
        <f>IFERROR(VLOOKUP(Table1215[[#This Row],[Column2]],Table12[[Column2]:[Column54]],33,FALSE),"0")</f>
        <v>0</v>
      </c>
      <c r="AI231" s="61">
        <f>IFERROR(VLOOKUP(Table1215[[#This Row],[Column2]],Table12[[Column2]:[Column54]],34,FALSE),"0")</f>
        <v>0</v>
      </c>
      <c r="AJ231" s="67">
        <f>AVERAGE(Table1215[[#This Row],[Column31]],Table1215[[#This Row],[Column32]],Table1215[[#This Row],[Column33]])</f>
        <v>0</v>
      </c>
      <c r="AK231" s="61" t="str">
        <f>IFERROR(VLOOKUP(Table1215[[#This Row],[Column2]],Table12[[Column2]:[Column54]],36,FALSE),"0")</f>
        <v>0</v>
      </c>
      <c r="AL231" s="61" t="str">
        <f>IFERROR(VLOOKUP(Table1215[[#This Row],[Column2]],Table12[[Column2]:[Column54]],37,FALSE),"0")</f>
        <v>0</v>
      </c>
      <c r="AM231" s="61">
        <f>IFERROR(VLOOKUP(Table1215[[#This Row],[Column2]],Table12[[Column2]:[Column54]],38,FALSE),"0")</f>
        <v>0</v>
      </c>
      <c r="AN231" s="61" t="str">
        <f>IFERROR(VLOOKUP(Table1215[[#This Row],[Column2]],Table12[[Column2]:[Column54]],39,FALSE),"0")</f>
        <v>0</v>
      </c>
      <c r="AO231" s="61">
        <f>IFERROR(VLOOKUP(Table1215[[#This Row],[Column2]],Table12[[Column2]:[Column54]],40,FALSE),"0")</f>
        <v>0</v>
      </c>
      <c r="AP231" s="67" t="e">
        <f>AVERAGE(Table1215[[#This Row],[Column37]],Table1215[[#This Row],[Column38]],Table1215[[#This Row],[Column40]])</f>
        <v>#DIV/0!</v>
      </c>
      <c r="AQ231" s="61" t="str">
        <f>IFERROR(VLOOKUP(Table1215[[#This Row],[Column2]],Table12[[Column2]:[Column54]],42,FALSE),"0")</f>
        <v>0</v>
      </c>
      <c r="AR231" s="61">
        <f>IFERROR(VLOOKUP(Table1215[[#This Row],[Column2]],Table12[[Column2]:[Column54]],43,FALSE),"0")</f>
        <v>0</v>
      </c>
      <c r="AS231" s="61">
        <f>IFERROR(VLOOKUP(Table1215[[#This Row],[Column2]],Table12[[Column2]:[Column54]],44,FALSE),"0")</f>
        <v>0</v>
      </c>
      <c r="AT231" s="61">
        <f>IFERROR(VLOOKUP(Table1215[[#This Row],[Column2]],Table12[[Column2]:[Column54]],45,FALSE),"0")</f>
        <v>0</v>
      </c>
      <c r="AU231" s="61">
        <f>IFERROR(VLOOKUP(Table1215[[#This Row],[Column2]],Table12[[Column2]:[Column54]],46,FALSE),"0")</f>
        <v>0</v>
      </c>
      <c r="AV231" s="67" t="str">
        <f>Table1215[[#This Row],[Column43]]</f>
        <v>0</v>
      </c>
      <c r="AW231" s="61">
        <f>IFERROR(VLOOKUP(Table1215[[#This Row],[Column2]],Table12[[Column2]:[Column54]],48,FALSE),"0")</f>
        <v>0</v>
      </c>
      <c r="AX231" s="61">
        <f>IFERROR(VLOOKUP(Table1215[[#This Row],[Column2]],Table12[[Column2]:[Column54]],49,FALSE),"0")</f>
        <v>0</v>
      </c>
      <c r="AY231" s="61">
        <f>IFERROR(VLOOKUP(Table1215[[#This Row],[Column2]],Table12[[Column2]:[Column54]],50,FALSE),"0")</f>
        <v>0</v>
      </c>
      <c r="AZ231" s="61" t="str">
        <f>IFERROR(VLOOKUP(Table1215[[#This Row],[Column2]],Table12[[Column2]:[Column54]],51,FALSE),"0")</f>
        <v>0</v>
      </c>
      <c r="BA231" s="61" t="str">
        <f>IFERROR(VLOOKUP(Table1215[[#This Row],[Column2]],Table12[[Column2]:[Column54]],52,FALSE),"0")</f>
        <v>0</v>
      </c>
      <c r="BB231" s="67" t="e">
        <f>AVERAGE(Table1215[[#This Row],[Column52]],Table1215[[#This Row],[Column53]])</f>
        <v>#DIV/0!</v>
      </c>
    </row>
    <row r="232" spans="1:54" x14ac:dyDescent="0.3">
      <c r="R232" s="37"/>
      <c r="X232" s="37"/>
      <c r="AD232" s="37"/>
      <c r="AJ232" s="37"/>
      <c r="AK232" s="16"/>
      <c r="AP232" s="37"/>
      <c r="AS232" s="56"/>
      <c r="AV232" s="37"/>
      <c r="BB232" s="37"/>
    </row>
    <row r="233" spans="1:54" x14ac:dyDescent="0.3">
      <c r="R233" s="37"/>
      <c r="X233" s="37"/>
      <c r="AD233" s="37"/>
      <c r="AJ233" s="37"/>
      <c r="AP233" s="37"/>
      <c r="AS233" s="20"/>
      <c r="AV233" s="37"/>
      <c r="BB233" s="37"/>
    </row>
    <row r="234" spans="1:54" x14ac:dyDescent="0.3">
      <c r="R234" s="37"/>
      <c r="X234" s="37"/>
      <c r="AD234" s="37"/>
      <c r="AJ234" s="37"/>
      <c r="AP234" s="37"/>
      <c r="AV234" s="37"/>
      <c r="BB234" s="37"/>
    </row>
    <row r="235" spans="1:54" x14ac:dyDescent="0.3">
      <c r="R235" s="37"/>
      <c r="X235" s="37"/>
      <c r="AD235" s="37"/>
      <c r="AJ235" s="37"/>
      <c r="AP235" s="37"/>
      <c r="AV235" s="37"/>
      <c r="BB235" s="37"/>
    </row>
    <row r="236" spans="1:54" x14ac:dyDescent="0.3">
      <c r="R236" s="37"/>
      <c r="X236" s="37"/>
      <c r="AD236" s="37"/>
      <c r="AJ236" s="37"/>
      <c r="AP236" s="37"/>
      <c r="AV236" s="37"/>
      <c r="BB236" s="37"/>
    </row>
    <row r="237" spans="1:54" x14ac:dyDescent="0.3">
      <c r="R237" s="37"/>
      <c r="X237" s="37"/>
      <c r="AD237" s="37"/>
      <c r="AJ237" s="37"/>
      <c r="AP237" s="37"/>
      <c r="AV237" s="37"/>
      <c r="BB237" s="37"/>
    </row>
    <row r="238" spans="1:54" x14ac:dyDescent="0.3">
      <c r="R238" s="37"/>
      <c r="X238" s="37"/>
      <c r="AD238" s="37"/>
      <c r="AJ238" s="37"/>
      <c r="AP238" s="37"/>
      <c r="AV238" s="37"/>
      <c r="BB238" s="37"/>
    </row>
    <row r="239" spans="1:54" x14ac:dyDescent="0.3">
      <c r="R239" s="37"/>
      <c r="X239" s="37"/>
      <c r="AD239" s="37"/>
      <c r="AJ239" s="37"/>
      <c r="AP239" s="37"/>
      <c r="AV239" s="37"/>
      <c r="BB239" s="37"/>
    </row>
    <row r="240" spans="1:54" x14ac:dyDescent="0.3">
      <c r="R240" s="37"/>
      <c r="X240" s="37"/>
      <c r="AD240" s="37"/>
      <c r="AJ240" s="37"/>
      <c r="AP240" s="37"/>
      <c r="AV240" s="37"/>
      <c r="BB240" s="37"/>
    </row>
    <row r="241" spans="18:54" x14ac:dyDescent="0.3">
      <c r="R241" s="37"/>
      <c r="X241" s="37"/>
      <c r="AD241" s="37"/>
      <c r="AJ241" s="37"/>
      <c r="AP241" s="37"/>
      <c r="AV241" s="37"/>
      <c r="BB241" s="37"/>
    </row>
    <row r="242" spans="18:54" x14ac:dyDescent="0.3">
      <c r="R242" s="37"/>
      <c r="X242" s="37"/>
      <c r="AD242" s="37"/>
      <c r="AJ242" s="37"/>
      <c r="AP242" s="37"/>
      <c r="AV242" s="37"/>
      <c r="BB242" s="37"/>
    </row>
    <row r="243" spans="18:54" x14ac:dyDescent="0.3">
      <c r="R243" s="37"/>
      <c r="X243" s="37"/>
      <c r="AD243" s="37"/>
      <c r="AJ243" s="37"/>
      <c r="AP243" s="37"/>
      <c r="AV243" s="37"/>
      <c r="BB243" s="37"/>
    </row>
    <row r="244" spans="18:54" x14ac:dyDescent="0.3">
      <c r="R244" s="37"/>
      <c r="X244" s="37"/>
      <c r="AD244" s="37"/>
      <c r="AJ244" s="37"/>
      <c r="AP244" s="37"/>
      <c r="AV244" s="37"/>
      <c r="BB244" s="37"/>
    </row>
    <row r="245" spans="18:54" x14ac:dyDescent="0.3">
      <c r="R245" s="37"/>
      <c r="X245" s="37"/>
      <c r="AD245" s="37"/>
      <c r="AJ245" s="37"/>
      <c r="AP245" s="37"/>
      <c r="AV245" s="37"/>
      <c r="BB245" s="37"/>
    </row>
    <row r="246" spans="18:54" x14ac:dyDescent="0.3">
      <c r="R246" s="37"/>
      <c r="X246" s="37"/>
      <c r="AD246" s="37"/>
      <c r="AJ246" s="37"/>
      <c r="AP246" s="37"/>
      <c r="AV246" s="37"/>
      <c r="BB246" s="37"/>
    </row>
    <row r="247" spans="18:54" x14ac:dyDescent="0.3">
      <c r="R247" s="37"/>
      <c r="X247" s="37"/>
      <c r="AD247" s="37"/>
      <c r="AJ247" s="37"/>
      <c r="AP247" s="37"/>
      <c r="AV247" s="37"/>
      <c r="BB247" s="37"/>
    </row>
    <row r="248" spans="18:54" x14ac:dyDescent="0.3">
      <c r="R248" s="37"/>
      <c r="X248" s="37"/>
      <c r="AD248" s="37"/>
      <c r="AJ248" s="37"/>
      <c r="AP248" s="37"/>
      <c r="AV248" s="37"/>
      <c r="BB248" s="37"/>
    </row>
    <row r="249" spans="18:54" x14ac:dyDescent="0.3">
      <c r="R249" s="37"/>
      <c r="X249" s="37"/>
      <c r="AD249" s="37"/>
      <c r="AJ249" s="37"/>
      <c r="AP249" s="37"/>
      <c r="AV249" s="37"/>
      <c r="BB249" s="37"/>
    </row>
    <row r="250" spans="18:54" x14ac:dyDescent="0.3">
      <c r="R250" s="37"/>
      <c r="X250" s="37"/>
      <c r="AD250" s="37"/>
      <c r="AJ250" s="37"/>
      <c r="AP250" s="37"/>
      <c r="AV250" s="37"/>
      <c r="BB250" s="37"/>
    </row>
    <row r="251" spans="18:54" x14ac:dyDescent="0.3">
      <c r="R251" s="37"/>
      <c r="X251" s="37"/>
      <c r="AD251" s="37"/>
      <c r="AJ251" s="37"/>
      <c r="AP251" s="37"/>
      <c r="AV251" s="37"/>
      <c r="BB251" s="37"/>
    </row>
    <row r="252" spans="18:54" x14ac:dyDescent="0.3">
      <c r="R252" s="37"/>
      <c r="X252" s="37"/>
      <c r="AD252" s="37"/>
      <c r="AJ252" s="37"/>
      <c r="AP252" s="37"/>
      <c r="AV252" s="37"/>
      <c r="BB252" s="37"/>
    </row>
    <row r="253" spans="18:54" x14ac:dyDescent="0.3">
      <c r="R253" s="37"/>
      <c r="X253" s="37"/>
      <c r="AD253" s="37"/>
      <c r="AJ253" s="37"/>
      <c r="AP253" s="37"/>
      <c r="AV253" s="37"/>
      <c r="BB253" s="37"/>
    </row>
    <row r="254" spans="18:54" x14ac:dyDescent="0.3">
      <c r="R254" s="37"/>
      <c r="X254" s="37"/>
      <c r="AD254" s="37"/>
      <c r="AJ254" s="37"/>
      <c r="AP254" s="37"/>
      <c r="AV254" s="37"/>
      <c r="BB254" s="37"/>
    </row>
    <row r="255" spans="18:54" x14ac:dyDescent="0.3">
      <c r="R255" s="37"/>
      <c r="X255" s="37"/>
      <c r="AD255" s="37"/>
      <c r="AJ255" s="37"/>
      <c r="AP255" s="37"/>
      <c r="AV255" s="37"/>
      <c r="BB255" s="37"/>
    </row>
    <row r="256" spans="18:54" x14ac:dyDescent="0.3">
      <c r="R256" s="37"/>
      <c r="X256" s="37"/>
      <c r="AD256" s="37"/>
      <c r="AJ256" s="37"/>
      <c r="AP256" s="37"/>
      <c r="AV256" s="37"/>
      <c r="BB256" s="37"/>
    </row>
    <row r="257" spans="18:54" x14ac:dyDescent="0.3">
      <c r="R257" s="37"/>
      <c r="X257" s="37"/>
      <c r="AD257" s="37"/>
      <c r="AJ257" s="37"/>
      <c r="AP257" s="37"/>
      <c r="AV257" s="37"/>
      <c r="BB257" s="37"/>
    </row>
    <row r="258" spans="18:54" x14ac:dyDescent="0.3">
      <c r="R258" s="37"/>
      <c r="X258" s="37"/>
      <c r="AD258" s="37"/>
      <c r="AJ258" s="37"/>
      <c r="AP258" s="37"/>
      <c r="AV258" s="37"/>
      <c r="BB258" s="37"/>
    </row>
    <row r="259" spans="18:54" x14ac:dyDescent="0.3">
      <c r="R259" s="37"/>
      <c r="X259" s="37"/>
      <c r="AD259" s="37"/>
      <c r="AJ259" s="37"/>
      <c r="AP259" s="37"/>
      <c r="AV259" s="37"/>
      <c r="BB259" s="37"/>
    </row>
    <row r="260" spans="18:54" x14ac:dyDescent="0.3">
      <c r="R260" s="37"/>
      <c r="X260" s="37"/>
      <c r="AD260" s="37"/>
      <c r="AJ260" s="37"/>
      <c r="AP260" s="37"/>
      <c r="AV260" s="37"/>
      <c r="BB260" s="37"/>
    </row>
    <row r="261" spans="18:54" x14ac:dyDescent="0.3">
      <c r="R261" s="37"/>
      <c r="X261" s="37"/>
      <c r="AD261" s="37"/>
      <c r="AJ261" s="37"/>
      <c r="AP261" s="37"/>
      <c r="AV261" s="37"/>
      <c r="BB261" s="37"/>
    </row>
    <row r="262" spans="18:54" x14ac:dyDescent="0.3">
      <c r="R262" s="37"/>
      <c r="X262" s="37"/>
      <c r="AD262" s="37"/>
      <c r="AJ262" s="37"/>
      <c r="AP262" s="37"/>
      <c r="AV262" s="37"/>
      <c r="BB262" s="37"/>
    </row>
    <row r="263" spans="18:54" x14ac:dyDescent="0.3">
      <c r="R263" s="37"/>
      <c r="X263" s="37"/>
      <c r="AD263" s="37"/>
      <c r="AJ263" s="37"/>
      <c r="AP263" s="37"/>
      <c r="AV263" s="37"/>
      <c r="BB263" s="37"/>
    </row>
    <row r="264" spans="18:54" x14ac:dyDescent="0.3">
      <c r="R264" s="37"/>
      <c r="X264" s="37"/>
      <c r="AD264" s="37"/>
      <c r="AJ264" s="37"/>
      <c r="AP264" s="37"/>
      <c r="AV264" s="37"/>
      <c r="BB264" s="37"/>
    </row>
    <row r="265" spans="18:54" x14ac:dyDescent="0.3">
      <c r="R265" s="37"/>
      <c r="X265" s="37"/>
      <c r="AD265" s="37"/>
      <c r="AJ265" s="37"/>
      <c r="AP265" s="37"/>
      <c r="AV265" s="37"/>
      <c r="BB265" s="37"/>
    </row>
    <row r="266" spans="18:54" x14ac:dyDescent="0.3">
      <c r="R266" s="37"/>
      <c r="X266" s="37"/>
      <c r="AD266" s="37"/>
      <c r="AJ266" s="37"/>
      <c r="AP266" s="37"/>
      <c r="AV266" s="37"/>
      <c r="BB266" s="37"/>
    </row>
    <row r="267" spans="18:54" x14ac:dyDescent="0.3">
      <c r="R267" s="37"/>
      <c r="X267" s="37"/>
      <c r="AD267" s="37"/>
      <c r="AJ267" s="37"/>
      <c r="AP267" s="37"/>
      <c r="AV267" s="37"/>
      <c r="BB267" s="37"/>
    </row>
    <row r="268" spans="18:54" x14ac:dyDescent="0.3">
      <c r="R268" s="37"/>
      <c r="X268" s="37"/>
      <c r="AD268" s="37"/>
      <c r="AJ268" s="37"/>
      <c r="AP268" s="37"/>
      <c r="AV268" s="37"/>
      <c r="BB268" s="37"/>
    </row>
    <row r="269" spans="18:54" x14ac:dyDescent="0.3">
      <c r="R269" s="37"/>
      <c r="X269" s="37"/>
      <c r="AD269" s="37"/>
      <c r="AJ269" s="37"/>
      <c r="AP269" s="37"/>
      <c r="AV269" s="37"/>
      <c r="BB269" s="37"/>
    </row>
    <row r="270" spans="18:54" x14ac:dyDescent="0.3">
      <c r="R270" s="37"/>
      <c r="X270" s="37"/>
      <c r="AD270" s="37"/>
      <c r="AJ270" s="37"/>
      <c r="AP270" s="37"/>
      <c r="AV270" s="37"/>
      <c r="BB270" s="37"/>
    </row>
    <row r="271" spans="18:54" x14ac:dyDescent="0.3">
      <c r="R271" s="37"/>
      <c r="X271" s="37"/>
      <c r="AD271" s="37"/>
      <c r="AJ271" s="37"/>
      <c r="AP271" s="37"/>
      <c r="AV271" s="37"/>
      <c r="BB271" s="37"/>
    </row>
    <row r="272" spans="18:54" x14ac:dyDescent="0.3">
      <c r="R272" s="37"/>
      <c r="X272" s="37"/>
      <c r="AD272" s="37"/>
      <c r="AJ272" s="37"/>
      <c r="AP272" s="37"/>
      <c r="AV272" s="37"/>
      <c r="BB272" s="37"/>
    </row>
    <row r="273" spans="18:54" x14ac:dyDescent="0.3">
      <c r="R273" s="37"/>
      <c r="X273" s="37"/>
      <c r="AD273" s="37"/>
      <c r="AJ273" s="37"/>
      <c r="AP273" s="37"/>
      <c r="AV273" s="37"/>
      <c r="BB273" s="37"/>
    </row>
    <row r="274" spans="18:54" x14ac:dyDescent="0.3">
      <c r="R274" s="37"/>
      <c r="X274" s="37"/>
      <c r="AD274" s="37"/>
      <c r="AJ274" s="37"/>
      <c r="AP274" s="37"/>
      <c r="AV274" s="37"/>
      <c r="BB274" s="37"/>
    </row>
    <row r="275" spans="18:54" x14ac:dyDescent="0.3">
      <c r="R275" s="37"/>
      <c r="X275" s="37"/>
      <c r="AD275" s="37"/>
      <c r="AJ275" s="37"/>
      <c r="AP275" s="37"/>
      <c r="AV275" s="37"/>
      <c r="BB275" s="37"/>
    </row>
    <row r="276" spans="18:54" x14ac:dyDescent="0.3">
      <c r="R276" s="37"/>
      <c r="X276" s="37"/>
      <c r="AD276" s="37"/>
      <c r="AJ276" s="37"/>
      <c r="AP276" s="37"/>
      <c r="AV276" s="37"/>
      <c r="BB276" s="37"/>
    </row>
    <row r="277" spans="18:54" x14ac:dyDescent="0.3">
      <c r="R277" s="37"/>
      <c r="X277" s="37"/>
      <c r="AD277" s="37"/>
      <c r="AJ277" s="37"/>
      <c r="AP277" s="37"/>
      <c r="AV277" s="37"/>
      <c r="BB277" s="37"/>
    </row>
    <row r="278" spans="18:54" x14ac:dyDescent="0.3">
      <c r="R278" s="37"/>
      <c r="X278" s="37"/>
      <c r="AD278" s="37"/>
      <c r="AJ278" s="37"/>
      <c r="AP278" s="37"/>
      <c r="AV278" s="37"/>
      <c r="BB278" s="37"/>
    </row>
    <row r="279" spans="18:54" x14ac:dyDescent="0.3">
      <c r="R279" s="37"/>
      <c r="X279" s="37"/>
      <c r="AD279" s="37"/>
      <c r="AJ279" s="37"/>
      <c r="AP279" s="37"/>
      <c r="AV279" s="37"/>
      <c r="BB279" s="37"/>
    </row>
    <row r="280" spans="18:54" x14ac:dyDescent="0.3">
      <c r="R280" s="37"/>
      <c r="X280" s="37"/>
      <c r="AD280" s="37"/>
      <c r="AJ280" s="37"/>
      <c r="AP280" s="37"/>
      <c r="AV280" s="37"/>
      <c r="BB280" s="37"/>
    </row>
    <row r="281" spans="18:54" x14ac:dyDescent="0.3">
      <c r="R281" s="37"/>
      <c r="X281" s="37"/>
      <c r="AD281" s="37"/>
      <c r="AJ281" s="37"/>
      <c r="AP281" s="37"/>
      <c r="AV281" s="37"/>
      <c r="BB281" s="37"/>
    </row>
    <row r="282" spans="18:54" x14ac:dyDescent="0.3">
      <c r="R282" s="37"/>
      <c r="X282" s="37"/>
      <c r="AD282" s="37"/>
      <c r="AJ282" s="37"/>
      <c r="AP282" s="37"/>
      <c r="AV282" s="37"/>
      <c r="BB282" s="37"/>
    </row>
    <row r="283" spans="18:54" x14ac:dyDescent="0.3">
      <c r="R283" s="37"/>
      <c r="X283" s="37"/>
      <c r="AD283" s="37"/>
      <c r="AJ283" s="37"/>
      <c r="AP283" s="37"/>
      <c r="AV283" s="37"/>
      <c r="BB283" s="37"/>
    </row>
    <row r="284" spans="18:54" x14ac:dyDescent="0.3">
      <c r="R284" s="37"/>
      <c r="X284" s="37"/>
      <c r="AD284" s="37"/>
      <c r="AJ284" s="37"/>
      <c r="AP284" s="37"/>
      <c r="AV284" s="37"/>
      <c r="BB284" s="37"/>
    </row>
    <row r="285" spans="18:54" x14ac:dyDescent="0.3">
      <c r="R285" s="37"/>
      <c r="X285" s="37"/>
      <c r="AD285" s="37"/>
      <c r="AJ285" s="37"/>
      <c r="AP285" s="37"/>
      <c r="AV285" s="37"/>
      <c r="BB285" s="37"/>
    </row>
    <row r="286" spans="18:54" x14ac:dyDescent="0.3">
      <c r="R286" s="37"/>
      <c r="X286" s="37"/>
      <c r="AD286" s="37"/>
      <c r="AJ286" s="37"/>
      <c r="AP286" s="37"/>
      <c r="AV286" s="37"/>
      <c r="BB286" s="37"/>
    </row>
    <row r="287" spans="18:54" x14ac:dyDescent="0.3">
      <c r="R287" s="37"/>
      <c r="X287" s="37"/>
      <c r="AD287" s="37"/>
      <c r="AJ287" s="37"/>
      <c r="AP287" s="37"/>
      <c r="AV287" s="37"/>
      <c r="BB287" s="37"/>
    </row>
    <row r="288" spans="18:54" x14ac:dyDescent="0.3">
      <c r="R288" s="37"/>
      <c r="X288" s="37"/>
      <c r="AD288" s="37"/>
      <c r="AJ288" s="37"/>
      <c r="AP288" s="37"/>
      <c r="AV288" s="37"/>
      <c r="BB288" s="37"/>
    </row>
    <row r="289" spans="18:54" x14ac:dyDescent="0.3">
      <c r="R289" s="37"/>
      <c r="X289" s="37"/>
      <c r="AD289" s="37"/>
      <c r="AJ289" s="37"/>
      <c r="AP289" s="37"/>
      <c r="AV289" s="37"/>
      <c r="BB289" s="37"/>
    </row>
    <row r="290" spans="18:54" x14ac:dyDescent="0.3">
      <c r="R290" s="37"/>
      <c r="X290" s="37"/>
      <c r="AD290" s="37"/>
      <c r="AJ290" s="37"/>
      <c r="AP290" s="37"/>
      <c r="AV290" s="37"/>
      <c r="BB290" s="37"/>
    </row>
    <row r="291" spans="18:54" x14ac:dyDescent="0.3">
      <c r="R291" s="37"/>
      <c r="X291" s="37"/>
      <c r="AD291" s="37"/>
      <c r="AJ291" s="37"/>
      <c r="AP291" s="37"/>
      <c r="AV291" s="37"/>
      <c r="BB291" s="37"/>
    </row>
    <row r="292" spans="18:54" x14ac:dyDescent="0.3">
      <c r="R292" s="37"/>
      <c r="X292" s="37"/>
      <c r="AD292" s="37"/>
      <c r="AJ292" s="37"/>
      <c r="AP292" s="37"/>
      <c r="AV292" s="37"/>
      <c r="BB292" s="37"/>
    </row>
    <row r="293" spans="18:54" x14ac:dyDescent="0.3">
      <c r="R293" s="37"/>
      <c r="X293" s="37"/>
      <c r="AD293" s="37"/>
      <c r="AJ293" s="37"/>
      <c r="AP293" s="37"/>
      <c r="AV293" s="37"/>
      <c r="BB293" s="37"/>
    </row>
    <row r="294" spans="18:54" x14ac:dyDescent="0.3">
      <c r="R294" s="37"/>
      <c r="X294" s="37"/>
      <c r="AD294" s="37"/>
      <c r="AJ294" s="37"/>
      <c r="AP294" s="37"/>
      <c r="AV294" s="37"/>
      <c r="BB294" s="37"/>
    </row>
    <row r="295" spans="18:54" x14ac:dyDescent="0.3">
      <c r="R295" s="37"/>
      <c r="X295" s="37"/>
      <c r="AD295" s="37"/>
      <c r="AJ295" s="37"/>
      <c r="AP295" s="37"/>
      <c r="AV295" s="37"/>
      <c r="BB295" s="37"/>
    </row>
    <row r="296" spans="18:54" x14ac:dyDescent="0.3">
      <c r="R296" s="37"/>
      <c r="X296" s="37"/>
      <c r="AD296" s="37"/>
      <c r="AJ296" s="37"/>
      <c r="AP296" s="37"/>
      <c r="AV296" s="37"/>
      <c r="BB296" s="37"/>
    </row>
    <row r="297" spans="18:54" x14ac:dyDescent="0.3">
      <c r="R297" s="37"/>
      <c r="X297" s="37"/>
      <c r="AD297" s="37"/>
      <c r="AJ297" s="37"/>
      <c r="AP297" s="37"/>
      <c r="AV297" s="37"/>
      <c r="BB297" s="37"/>
    </row>
    <row r="298" spans="18:54" x14ac:dyDescent="0.3">
      <c r="R298" s="37"/>
      <c r="X298" s="37"/>
      <c r="AD298" s="37"/>
      <c r="AJ298" s="37"/>
      <c r="AP298" s="37"/>
      <c r="AV298" s="37"/>
      <c r="BB298" s="37"/>
    </row>
    <row r="299" spans="18:54" x14ac:dyDescent="0.3">
      <c r="R299" s="37"/>
      <c r="X299" s="37"/>
      <c r="AD299" s="37"/>
      <c r="AJ299" s="37"/>
      <c r="AP299" s="37"/>
      <c r="AV299" s="37"/>
      <c r="BB299" s="37"/>
    </row>
    <row r="300" spans="18:54" x14ac:dyDescent="0.3">
      <c r="R300" s="37"/>
      <c r="X300" s="37"/>
      <c r="AD300" s="37"/>
      <c r="AJ300" s="37"/>
      <c r="AP300" s="37"/>
      <c r="AV300" s="37"/>
      <c r="BB300" s="37"/>
    </row>
    <row r="301" spans="18:54" x14ac:dyDescent="0.3">
      <c r="R301" s="37"/>
      <c r="X301" s="37"/>
      <c r="AD301" s="37"/>
      <c r="AJ301" s="37"/>
      <c r="AP301" s="37"/>
      <c r="AV301" s="37"/>
      <c r="BB301" s="37"/>
    </row>
    <row r="302" spans="18:54" x14ac:dyDescent="0.3">
      <c r="R302" s="37"/>
      <c r="X302" s="37"/>
      <c r="AD302" s="37"/>
      <c r="AJ302" s="37"/>
      <c r="AP302" s="37"/>
      <c r="AV302" s="37"/>
      <c r="BB302" s="37"/>
    </row>
    <row r="303" spans="18:54" x14ac:dyDescent="0.3">
      <c r="R303" s="37"/>
      <c r="X303" s="37"/>
      <c r="AD303" s="37"/>
      <c r="AJ303" s="37"/>
      <c r="AP303" s="37"/>
      <c r="AV303" s="37"/>
      <c r="BB303" s="37"/>
    </row>
    <row r="304" spans="18:54" x14ac:dyDescent="0.3">
      <c r="R304" s="37"/>
      <c r="X304" s="37"/>
      <c r="AD304" s="37"/>
      <c r="AJ304" s="37"/>
      <c r="AP304" s="37"/>
      <c r="AV304" s="37"/>
      <c r="BB304" s="37"/>
    </row>
    <row r="305" spans="18:54" x14ac:dyDescent="0.3">
      <c r="R305" s="37"/>
      <c r="X305" s="37"/>
      <c r="AD305" s="37"/>
      <c r="AJ305" s="37"/>
      <c r="AP305" s="37"/>
      <c r="AV305" s="37"/>
      <c r="BB305" s="37"/>
    </row>
    <row r="306" spans="18:54" x14ac:dyDescent="0.3">
      <c r="R306" s="37"/>
      <c r="X306" s="37"/>
      <c r="AD306" s="37"/>
      <c r="AJ306" s="37"/>
      <c r="AP306" s="37"/>
      <c r="AV306" s="37"/>
      <c r="BB306" s="37"/>
    </row>
    <row r="307" spans="18:54" x14ac:dyDescent="0.3">
      <c r="R307" s="37"/>
      <c r="X307" s="37"/>
      <c r="AD307" s="37"/>
      <c r="AJ307" s="37"/>
      <c r="AP307" s="37"/>
      <c r="AV307" s="37"/>
      <c r="BB307" s="37"/>
    </row>
    <row r="308" spans="18:54" x14ac:dyDescent="0.3">
      <c r="R308" s="37"/>
      <c r="X308" s="37"/>
      <c r="AD308" s="37"/>
      <c r="AJ308" s="37"/>
      <c r="AP308" s="37"/>
      <c r="AV308" s="37"/>
      <c r="BB308" s="37"/>
    </row>
    <row r="309" spans="18:54" x14ac:dyDescent="0.3">
      <c r="R309" s="37"/>
      <c r="X309" s="37"/>
      <c r="AD309" s="37"/>
      <c r="AJ309" s="37"/>
      <c r="AP309" s="37"/>
      <c r="AV309" s="37"/>
      <c r="BB309" s="37"/>
    </row>
    <row r="310" spans="18:54" x14ac:dyDescent="0.3">
      <c r="R310" s="37"/>
      <c r="X310" s="37"/>
      <c r="AD310" s="37"/>
      <c r="AJ310" s="37"/>
      <c r="AP310" s="37"/>
      <c r="AV310" s="37"/>
      <c r="BB310" s="37"/>
    </row>
    <row r="311" spans="18:54" x14ac:dyDescent="0.3">
      <c r="R311" s="37"/>
      <c r="X311" s="37"/>
      <c r="AD311" s="37"/>
      <c r="AJ311" s="37"/>
      <c r="AP311" s="37"/>
      <c r="AV311" s="37"/>
      <c r="BB311" s="37"/>
    </row>
    <row r="312" spans="18:54" x14ac:dyDescent="0.3">
      <c r="R312" s="37"/>
      <c r="X312" s="37"/>
      <c r="AD312" s="37"/>
      <c r="AJ312" s="37"/>
      <c r="AP312" s="37"/>
      <c r="AV312" s="37"/>
      <c r="BB312" s="37"/>
    </row>
    <row r="313" spans="18:54" x14ac:dyDescent="0.3">
      <c r="R313" s="37"/>
      <c r="X313" s="37"/>
      <c r="AD313" s="37"/>
      <c r="AJ313" s="37"/>
      <c r="AP313" s="37"/>
      <c r="AV313" s="37"/>
      <c r="BB313" s="37"/>
    </row>
    <row r="314" spans="18:54" x14ac:dyDescent="0.3">
      <c r="R314" s="37"/>
      <c r="X314" s="37"/>
      <c r="AD314" s="37"/>
      <c r="AJ314" s="37"/>
      <c r="AP314" s="37"/>
      <c r="AV314" s="37"/>
      <c r="BB314" s="37"/>
    </row>
    <row r="315" spans="18:54" x14ac:dyDescent="0.3">
      <c r="R315" s="37"/>
      <c r="X315" s="37"/>
      <c r="AD315" s="37"/>
      <c r="AJ315" s="37"/>
      <c r="AP315" s="37"/>
      <c r="AV315" s="37"/>
      <c r="BB315" s="37"/>
    </row>
    <row r="316" spans="18:54" x14ac:dyDescent="0.3">
      <c r="R316" s="37"/>
      <c r="X316" s="37"/>
      <c r="AD316" s="37"/>
      <c r="AJ316" s="37"/>
      <c r="AP316" s="37"/>
      <c r="AV316" s="37"/>
      <c r="BB316" s="37"/>
    </row>
    <row r="317" spans="18:54" x14ac:dyDescent="0.3">
      <c r="R317" s="37"/>
      <c r="X317" s="37"/>
      <c r="AD317" s="37"/>
      <c r="AJ317" s="37"/>
      <c r="AP317" s="37"/>
      <c r="AV317" s="37"/>
      <c r="BB317" s="37"/>
    </row>
    <row r="318" spans="18:54" x14ac:dyDescent="0.3">
      <c r="R318" s="37"/>
      <c r="X318" s="37"/>
      <c r="AD318" s="37"/>
      <c r="AJ318" s="37"/>
      <c r="AP318" s="37"/>
      <c r="AV318" s="37"/>
      <c r="BB318" s="37"/>
    </row>
    <row r="319" spans="18:54" x14ac:dyDescent="0.3">
      <c r="R319" s="37"/>
      <c r="X319" s="37"/>
      <c r="AD319" s="37"/>
      <c r="AJ319" s="37"/>
      <c r="AP319" s="37"/>
      <c r="AV319" s="37"/>
      <c r="BB319" s="37"/>
    </row>
    <row r="320" spans="18:54" x14ac:dyDescent="0.3">
      <c r="R320" s="37"/>
      <c r="X320" s="37"/>
      <c r="AD320" s="37"/>
      <c r="AJ320" s="37"/>
      <c r="AP320" s="37"/>
      <c r="AV320" s="37"/>
      <c r="BB320" s="37"/>
    </row>
    <row r="321" spans="18:54" x14ac:dyDescent="0.3">
      <c r="R321" s="37"/>
      <c r="X321" s="37"/>
      <c r="AD321" s="37"/>
      <c r="AJ321" s="37"/>
      <c r="AP321" s="37"/>
      <c r="AV321" s="37"/>
      <c r="BB321" s="37"/>
    </row>
    <row r="322" spans="18:54" x14ac:dyDescent="0.3">
      <c r="R322" s="37"/>
      <c r="X322" s="37"/>
      <c r="AD322" s="37"/>
      <c r="AJ322" s="37"/>
      <c r="AP322" s="37"/>
      <c r="AV322" s="37"/>
      <c r="BB322" s="37"/>
    </row>
    <row r="323" spans="18:54" x14ac:dyDescent="0.3">
      <c r="R323" s="37"/>
      <c r="X323" s="37"/>
      <c r="AD323" s="37"/>
      <c r="AJ323" s="37"/>
      <c r="AP323" s="37"/>
      <c r="AV323" s="37"/>
      <c r="BB323" s="37"/>
    </row>
    <row r="324" spans="18:54" x14ac:dyDescent="0.3">
      <c r="R324" s="37"/>
      <c r="X324" s="37"/>
      <c r="AD324" s="37"/>
      <c r="AJ324" s="37"/>
      <c r="AP324" s="37"/>
      <c r="AV324" s="37"/>
      <c r="BB324" s="37"/>
    </row>
    <row r="325" spans="18:54" x14ac:dyDescent="0.3">
      <c r="R325" s="37"/>
      <c r="X325" s="37"/>
      <c r="AD325" s="37"/>
      <c r="AJ325" s="37"/>
      <c r="AP325" s="37"/>
      <c r="AV325" s="37"/>
      <c r="BB325" s="37"/>
    </row>
    <row r="326" spans="18:54" x14ac:dyDescent="0.3">
      <c r="R326" s="37"/>
      <c r="X326" s="37"/>
      <c r="AD326" s="37"/>
      <c r="AJ326" s="37"/>
      <c r="AP326" s="37"/>
      <c r="AV326" s="37"/>
      <c r="BB326" s="37"/>
    </row>
    <row r="327" spans="18:54" x14ac:dyDescent="0.3">
      <c r="R327" s="37"/>
      <c r="X327" s="37"/>
      <c r="AD327" s="37"/>
      <c r="AJ327" s="37"/>
      <c r="AP327" s="37"/>
      <c r="AV327" s="37"/>
      <c r="BB327" s="37"/>
    </row>
    <row r="328" spans="18:54" x14ac:dyDescent="0.3">
      <c r="R328" s="37"/>
      <c r="X328" s="37"/>
      <c r="AD328" s="37"/>
      <c r="AJ328" s="37"/>
      <c r="AP328" s="37"/>
      <c r="AV328" s="37"/>
      <c r="BB328" s="37"/>
    </row>
    <row r="329" spans="18:54" x14ac:dyDescent="0.3">
      <c r="R329" s="37"/>
      <c r="X329" s="37"/>
      <c r="AD329" s="37"/>
      <c r="AJ329" s="37"/>
      <c r="AP329" s="37"/>
      <c r="AV329" s="37"/>
      <c r="BB329" s="37"/>
    </row>
    <row r="330" spans="18:54" x14ac:dyDescent="0.3">
      <c r="R330" s="37"/>
      <c r="X330" s="37"/>
      <c r="AD330" s="37"/>
      <c r="AJ330" s="37"/>
      <c r="AP330" s="37"/>
      <c r="AV330" s="37"/>
      <c r="BB330" s="37"/>
    </row>
    <row r="331" spans="18:54" x14ac:dyDescent="0.3">
      <c r="R331" s="37"/>
      <c r="X331" s="37"/>
      <c r="AD331" s="37"/>
      <c r="AJ331" s="37"/>
      <c r="AP331" s="37"/>
      <c r="AV331" s="37"/>
      <c r="BB331" s="37"/>
    </row>
    <row r="332" spans="18:54" x14ac:dyDescent="0.3">
      <c r="R332" s="37"/>
      <c r="X332" s="37"/>
      <c r="AD332" s="37"/>
      <c r="AJ332" s="37"/>
      <c r="AP332" s="37"/>
      <c r="AV332" s="37"/>
      <c r="BB332" s="37"/>
    </row>
    <row r="333" spans="18:54" x14ac:dyDescent="0.3">
      <c r="R333" s="37"/>
      <c r="X333" s="37"/>
      <c r="AD333" s="37"/>
      <c r="AJ333" s="37"/>
      <c r="AP333" s="37"/>
      <c r="AV333" s="37"/>
      <c r="BB333" s="37"/>
    </row>
    <row r="334" spans="18:54" x14ac:dyDescent="0.3">
      <c r="R334" s="37"/>
      <c r="X334" s="37"/>
      <c r="AD334" s="37"/>
      <c r="AJ334" s="37"/>
      <c r="AP334" s="37"/>
      <c r="AV334" s="37"/>
      <c r="BB334" s="37"/>
    </row>
    <row r="335" spans="18:54" x14ac:dyDescent="0.3">
      <c r="R335" s="37"/>
      <c r="X335" s="37"/>
      <c r="AD335" s="37"/>
      <c r="AJ335" s="37"/>
      <c r="AP335" s="37"/>
      <c r="AV335" s="37"/>
      <c r="BB335" s="37"/>
    </row>
    <row r="336" spans="18:54" x14ac:dyDescent="0.3">
      <c r="R336" s="37"/>
      <c r="X336" s="37"/>
      <c r="AD336" s="37"/>
      <c r="AJ336" s="37"/>
      <c r="AP336" s="37"/>
      <c r="AV336" s="37"/>
      <c r="BB336" s="37"/>
    </row>
    <row r="337" spans="18:54" x14ac:dyDescent="0.3">
      <c r="R337" s="37"/>
      <c r="X337" s="37"/>
      <c r="AD337" s="37"/>
      <c r="AJ337" s="37"/>
      <c r="AP337" s="37"/>
      <c r="AV337" s="37"/>
      <c r="BB337" s="37"/>
    </row>
    <row r="338" spans="18:54" x14ac:dyDescent="0.3">
      <c r="R338" s="37"/>
      <c r="X338" s="37"/>
      <c r="AD338" s="37"/>
      <c r="AJ338" s="37"/>
      <c r="AP338" s="37"/>
      <c r="AV338" s="37"/>
      <c r="BB338" s="37"/>
    </row>
    <row r="339" spans="18:54" x14ac:dyDescent="0.3">
      <c r="R339" s="37"/>
      <c r="X339" s="37"/>
      <c r="AD339" s="37"/>
      <c r="AJ339" s="37"/>
      <c r="AP339" s="37"/>
      <c r="AV339" s="37"/>
      <c r="BB339" s="37"/>
    </row>
    <row r="340" spans="18:54" x14ac:dyDescent="0.3">
      <c r="R340" s="37"/>
      <c r="X340" s="37"/>
      <c r="AD340" s="37"/>
      <c r="AJ340" s="37"/>
      <c r="AP340" s="37"/>
      <c r="AV340" s="37"/>
      <c r="BB340" s="37"/>
    </row>
    <row r="341" spans="18:54" x14ac:dyDescent="0.3">
      <c r="R341" s="37"/>
      <c r="X341" s="37"/>
      <c r="AD341" s="37"/>
      <c r="AJ341" s="37"/>
      <c r="AP341" s="37"/>
      <c r="AV341" s="37"/>
      <c r="BB341" s="37"/>
    </row>
    <row r="342" spans="18:54" x14ac:dyDescent="0.3">
      <c r="R342" s="37"/>
      <c r="X342" s="37"/>
      <c r="AD342" s="37"/>
      <c r="AJ342" s="37"/>
      <c r="AP342" s="37"/>
      <c r="AV342" s="37"/>
      <c r="BB342" s="37"/>
    </row>
    <row r="343" spans="18:54" x14ac:dyDescent="0.3">
      <c r="R343" s="37"/>
      <c r="X343" s="37"/>
      <c r="AD343" s="37"/>
      <c r="AJ343" s="37"/>
      <c r="AP343" s="37"/>
      <c r="AV343" s="37"/>
      <c r="BB343" s="37"/>
    </row>
    <row r="344" spans="18:54" x14ac:dyDescent="0.3">
      <c r="R344" s="37"/>
      <c r="X344" s="37"/>
      <c r="AD344" s="37"/>
      <c r="AJ344" s="37"/>
      <c r="AP344" s="37"/>
      <c r="AV344" s="37"/>
      <c r="BB344" s="37"/>
    </row>
    <row r="345" spans="18:54" x14ac:dyDescent="0.3">
      <c r="R345" s="37"/>
      <c r="X345" s="37"/>
      <c r="AD345" s="37"/>
      <c r="AJ345" s="37"/>
      <c r="AP345" s="37"/>
      <c r="AV345" s="37"/>
      <c r="BB345" s="37"/>
    </row>
    <row r="346" spans="18:54" x14ac:dyDescent="0.3">
      <c r="R346" s="37"/>
      <c r="X346" s="37"/>
      <c r="AD346" s="37"/>
      <c r="AJ346" s="37"/>
      <c r="AP346" s="37"/>
      <c r="AV346" s="37"/>
      <c r="BB346" s="37"/>
    </row>
    <row r="347" spans="18:54" x14ac:dyDescent="0.3">
      <c r="R347" s="37"/>
      <c r="X347" s="37"/>
      <c r="AD347" s="37"/>
      <c r="AJ347" s="37"/>
      <c r="AP347" s="37"/>
      <c r="AV347" s="37"/>
      <c r="BB347" s="37"/>
    </row>
    <row r="348" spans="18:54" x14ac:dyDescent="0.3">
      <c r="R348" s="37"/>
      <c r="X348" s="37"/>
      <c r="AD348" s="37"/>
      <c r="AJ348" s="37"/>
      <c r="AP348" s="37"/>
      <c r="AV348" s="37"/>
      <c r="BB348" s="37"/>
    </row>
    <row r="349" spans="18:54" x14ac:dyDescent="0.3">
      <c r="R349" s="37"/>
      <c r="X349" s="37"/>
      <c r="AD349" s="37"/>
      <c r="AJ349" s="37"/>
      <c r="AP349" s="37"/>
      <c r="AV349" s="37"/>
      <c r="BB349" s="37"/>
    </row>
    <row r="350" spans="18:54" x14ac:dyDescent="0.3">
      <c r="R350" s="37"/>
      <c r="X350" s="37"/>
      <c r="AD350" s="37"/>
      <c r="AJ350" s="37"/>
      <c r="AP350" s="37"/>
      <c r="AV350" s="37"/>
      <c r="BB350" s="37"/>
    </row>
    <row r="351" spans="18:54" x14ac:dyDescent="0.3">
      <c r="R351" s="37"/>
      <c r="X351" s="37"/>
      <c r="AD351" s="37"/>
      <c r="AJ351" s="37"/>
      <c r="AP351" s="37"/>
      <c r="AV351" s="37"/>
      <c r="BB351" s="37"/>
    </row>
    <row r="352" spans="18:54" x14ac:dyDescent="0.3">
      <c r="R352" s="37"/>
      <c r="X352" s="37"/>
      <c r="AD352" s="37"/>
      <c r="AJ352" s="37"/>
      <c r="AP352" s="37"/>
      <c r="AV352" s="37"/>
      <c r="BB352" s="37"/>
    </row>
    <row r="353" spans="18:54" x14ac:dyDescent="0.3">
      <c r="R353" s="37"/>
      <c r="X353" s="37"/>
      <c r="AD353" s="37"/>
      <c r="AJ353" s="37"/>
      <c r="AP353" s="37"/>
      <c r="AV353" s="37"/>
      <c r="BB353" s="37"/>
    </row>
    <row r="354" spans="18:54" x14ac:dyDescent="0.3">
      <c r="R354" s="37"/>
      <c r="X354" s="37"/>
      <c r="AD354" s="37"/>
      <c r="AJ354" s="37"/>
      <c r="AP354" s="37"/>
      <c r="AV354" s="37"/>
      <c r="BB354" s="37"/>
    </row>
    <row r="355" spans="18:54" x14ac:dyDescent="0.3">
      <c r="R355" s="37"/>
      <c r="X355" s="37"/>
      <c r="AD355" s="37"/>
      <c r="AJ355" s="37"/>
      <c r="AP355" s="37"/>
      <c r="AV355" s="37"/>
      <c r="BB355" s="37"/>
    </row>
    <row r="356" spans="18:54" x14ac:dyDescent="0.3">
      <c r="R356" s="37"/>
      <c r="X356" s="37"/>
      <c r="AD356" s="37"/>
      <c r="AJ356" s="37"/>
      <c r="AP356" s="37"/>
      <c r="AV356" s="37"/>
      <c r="BB356" s="37"/>
    </row>
    <row r="357" spans="18:54" x14ac:dyDescent="0.3">
      <c r="R357" s="37"/>
      <c r="X357" s="37"/>
      <c r="AD357" s="37"/>
      <c r="AJ357" s="37"/>
      <c r="AP357" s="37"/>
      <c r="AV357" s="37"/>
      <c r="BB357" s="37"/>
    </row>
    <row r="358" spans="18:54" x14ac:dyDescent="0.3">
      <c r="R358" s="37"/>
      <c r="X358" s="37"/>
      <c r="AD358" s="37"/>
      <c r="AJ358" s="37"/>
      <c r="AP358" s="37"/>
      <c r="AV358" s="37"/>
      <c r="BB358" s="37"/>
    </row>
    <row r="359" spans="18:54" x14ac:dyDescent="0.3">
      <c r="R359" s="37"/>
      <c r="X359" s="37"/>
      <c r="AD359" s="37"/>
      <c r="AJ359" s="37"/>
      <c r="AP359" s="37"/>
      <c r="AV359" s="37"/>
      <c r="BB359" s="37"/>
    </row>
    <row r="360" spans="18:54" x14ac:dyDescent="0.3">
      <c r="R360" s="37"/>
      <c r="X360" s="37"/>
      <c r="AD360" s="37"/>
      <c r="AJ360" s="37"/>
      <c r="AP360" s="37"/>
      <c r="AV360" s="37"/>
      <c r="BB360" s="37"/>
    </row>
    <row r="361" spans="18:54" x14ac:dyDescent="0.3">
      <c r="R361" s="37"/>
      <c r="X361" s="37"/>
      <c r="AD361" s="37"/>
      <c r="AJ361" s="37"/>
      <c r="AP361" s="37"/>
      <c r="AV361" s="37"/>
      <c r="BB361" s="37"/>
    </row>
    <row r="362" spans="18:54" x14ac:dyDescent="0.3">
      <c r="R362" s="37"/>
      <c r="X362" s="37"/>
      <c r="AD362" s="37"/>
      <c r="AJ362" s="37"/>
      <c r="AP362" s="37"/>
      <c r="AV362" s="37"/>
      <c r="BB362" s="37"/>
    </row>
    <row r="363" spans="18:54" x14ac:dyDescent="0.3">
      <c r="R363" s="37"/>
      <c r="X363" s="37"/>
      <c r="AD363" s="37"/>
      <c r="AJ363" s="37"/>
      <c r="AP363" s="37"/>
      <c r="AV363" s="37"/>
      <c r="BB363" s="37"/>
    </row>
    <row r="364" spans="18:54" x14ac:dyDescent="0.3">
      <c r="R364" s="37"/>
      <c r="X364" s="37"/>
      <c r="AD364" s="37"/>
      <c r="AJ364" s="37"/>
      <c r="AP364" s="37"/>
      <c r="AV364" s="37"/>
      <c r="BB364" s="37"/>
    </row>
    <row r="365" spans="18:54" x14ac:dyDescent="0.3">
      <c r="R365" s="37"/>
      <c r="X365" s="37"/>
      <c r="AD365" s="37"/>
      <c r="AJ365" s="37"/>
      <c r="AP365" s="37"/>
      <c r="AV365" s="37"/>
      <c r="BB365" s="37"/>
    </row>
    <row r="366" spans="18:54" x14ac:dyDescent="0.3">
      <c r="R366" s="37"/>
      <c r="X366" s="37"/>
      <c r="AD366" s="37"/>
      <c r="AJ366" s="37"/>
      <c r="AP366" s="37"/>
      <c r="AV366" s="37"/>
      <c r="BB366" s="37"/>
    </row>
    <row r="367" spans="18:54" x14ac:dyDescent="0.3">
      <c r="R367" s="37"/>
      <c r="X367" s="37"/>
      <c r="AD367" s="37"/>
      <c r="AJ367" s="37"/>
      <c r="AP367" s="37"/>
      <c r="AV367" s="37"/>
      <c r="BB367" s="37"/>
    </row>
    <row r="368" spans="18:54" x14ac:dyDescent="0.3">
      <c r="R368" s="37"/>
      <c r="X368" s="37"/>
      <c r="AD368" s="37"/>
      <c r="AJ368" s="37"/>
      <c r="AP368" s="37"/>
      <c r="AV368" s="37"/>
      <c r="BB368" s="37"/>
    </row>
    <row r="369" spans="18:54" x14ac:dyDescent="0.3">
      <c r="R369" s="37"/>
      <c r="X369" s="37"/>
      <c r="AD369" s="37"/>
      <c r="AJ369" s="37"/>
      <c r="AP369" s="37"/>
      <c r="AV369" s="37"/>
      <c r="BB369" s="37"/>
    </row>
    <row r="370" spans="18:54" x14ac:dyDescent="0.3">
      <c r="R370" s="37"/>
      <c r="X370" s="37"/>
      <c r="AD370" s="37"/>
      <c r="AJ370" s="37"/>
      <c r="AP370" s="37"/>
      <c r="AV370" s="37"/>
      <c r="BB370" s="37"/>
    </row>
    <row r="371" spans="18:54" x14ac:dyDescent="0.3">
      <c r="R371" s="37"/>
      <c r="X371" s="37"/>
      <c r="AD371" s="37"/>
      <c r="AJ371" s="37"/>
      <c r="AP371" s="37"/>
      <c r="AV371" s="37"/>
      <c r="BB371" s="37"/>
    </row>
    <row r="372" spans="18:54" x14ac:dyDescent="0.3">
      <c r="R372" s="37"/>
      <c r="X372" s="37"/>
      <c r="AD372" s="37"/>
      <c r="AJ372" s="37"/>
      <c r="AP372" s="37"/>
      <c r="AV372" s="37"/>
      <c r="BB372" s="37"/>
    </row>
    <row r="373" spans="18:54" x14ac:dyDescent="0.3">
      <c r="R373" s="37"/>
      <c r="X373" s="37"/>
      <c r="AD373" s="37"/>
      <c r="AJ373" s="37"/>
      <c r="AP373" s="37"/>
      <c r="AV373" s="37"/>
      <c r="BB373" s="37"/>
    </row>
    <row r="374" spans="18:54" x14ac:dyDescent="0.3">
      <c r="R374" s="38"/>
      <c r="X374" s="38"/>
      <c r="AD374" s="38"/>
      <c r="AJ374" s="38"/>
      <c r="AP374" s="38"/>
      <c r="AV374" s="38"/>
      <c r="BB374" s="38"/>
    </row>
    <row r="375" spans="18:54" x14ac:dyDescent="0.3">
      <c r="R375" s="37"/>
      <c r="X375" s="37"/>
      <c r="AD375" s="37"/>
      <c r="AJ375" s="37"/>
      <c r="AP375" s="37"/>
      <c r="AV375" s="37"/>
      <c r="BB375" s="37"/>
    </row>
    <row r="376" spans="18:54" x14ac:dyDescent="0.3">
      <c r="R376" s="37"/>
      <c r="X376" s="37"/>
      <c r="AD376" s="37"/>
      <c r="AJ376" s="37"/>
      <c r="AP376" s="37"/>
      <c r="AV376" s="37"/>
      <c r="BB376" s="37"/>
    </row>
    <row r="377" spans="18:54" x14ac:dyDescent="0.3">
      <c r="R377" s="37"/>
      <c r="X377" s="37"/>
      <c r="AD377" s="37"/>
      <c r="AJ377" s="37"/>
      <c r="AP377" s="37"/>
      <c r="AV377" s="37"/>
      <c r="BB377" s="37"/>
    </row>
    <row r="378" spans="18:54" x14ac:dyDescent="0.3">
      <c r="R378" s="37"/>
      <c r="X378" s="37"/>
      <c r="AD378" s="37"/>
      <c r="AJ378" s="37"/>
      <c r="AP378" s="37"/>
      <c r="AV378" s="37"/>
      <c r="BB378" s="37"/>
    </row>
    <row r="379" spans="18:54" x14ac:dyDescent="0.3">
      <c r="R379" s="37"/>
      <c r="X379" s="37"/>
      <c r="AD379" s="37"/>
      <c r="AJ379" s="37"/>
      <c r="AP379" s="37"/>
      <c r="AV379" s="37"/>
      <c r="BB379" s="37"/>
    </row>
  </sheetData>
  <mergeCells count="24">
    <mergeCell ref="AV2:AV3"/>
    <mergeCell ref="AW2:BA2"/>
    <mergeCell ref="BB2:BB3"/>
    <mergeCell ref="AD2:AD3"/>
    <mergeCell ref="AE2:AI2"/>
    <mergeCell ref="AJ2:AJ3"/>
    <mergeCell ref="AK2:AO2"/>
    <mergeCell ref="AP2:AP3"/>
    <mergeCell ref="AQ2:AU2"/>
    <mergeCell ref="Y2:AC2"/>
    <mergeCell ref="A1:B1"/>
    <mergeCell ref="C1:D1"/>
    <mergeCell ref="A2:A3"/>
    <mergeCell ref="B2:B3"/>
    <mergeCell ref="C2:C3"/>
    <mergeCell ref="D2:D3"/>
    <mergeCell ref="E2:E3"/>
    <mergeCell ref="F2:F3"/>
    <mergeCell ref="G2:K2"/>
    <mergeCell ref="L2:L3"/>
    <mergeCell ref="M2:Q2"/>
    <mergeCell ref="R2:R3"/>
    <mergeCell ref="S2:W2"/>
    <mergeCell ref="X2:X3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8A01F-9638-41CE-BD9E-A1E023B1096E}">
  <dimension ref="A1:BA232"/>
  <sheetViews>
    <sheetView topLeftCell="AL1" workbookViewId="0">
      <selection activeCell="BA3" sqref="BA3:BA230"/>
    </sheetView>
  </sheetViews>
  <sheetFormatPr defaultRowHeight="15.6" x14ac:dyDescent="0.3"/>
  <cols>
    <col min="1" max="1" width="11.109375" style="110" customWidth="1"/>
    <col min="2" max="2" width="21.6640625" style="110" customWidth="1"/>
    <col min="3" max="3" width="22.77734375" style="108" customWidth="1"/>
    <col min="4" max="5" width="12.44140625" style="110" customWidth="1"/>
    <col min="6" max="8" width="11.109375" style="110" customWidth="1"/>
    <col min="9" max="10" width="12.21875" style="109" customWidth="1"/>
    <col min="11" max="11" width="12.77734375" style="111" customWidth="1"/>
    <col min="12" max="12" width="13" style="109" customWidth="1"/>
    <col min="13" max="16" width="12.21875" style="109" customWidth="1"/>
    <col min="17" max="17" width="12.77734375" style="111" customWidth="1"/>
    <col min="18" max="22" width="12.21875" style="109" customWidth="1"/>
    <col min="23" max="23" width="12.77734375" style="111" customWidth="1"/>
    <col min="24" max="28" width="12.21875" style="109" customWidth="1"/>
    <col min="29" max="29" width="12.77734375" style="111" customWidth="1"/>
    <col min="30" max="34" width="12.21875" style="109" customWidth="1"/>
    <col min="35" max="35" width="12.77734375" style="111" customWidth="1"/>
    <col min="36" max="40" width="12.21875" style="109" customWidth="1"/>
    <col min="41" max="41" width="12.77734375" style="111" customWidth="1"/>
    <col min="42" max="46" width="12.21875" style="109" customWidth="1"/>
    <col min="47" max="47" width="12.77734375" style="111" customWidth="1"/>
    <col min="48" max="52" width="12.21875" style="109" customWidth="1"/>
    <col min="53" max="53" width="12.77734375" style="111" customWidth="1"/>
    <col min="54" max="16384" width="8.88671875" style="109"/>
  </cols>
  <sheetData>
    <row r="1" spans="1:53" s="3" customFormat="1" ht="21.6" customHeight="1" x14ac:dyDescent="0.3">
      <c r="A1" s="127" t="s">
        <v>0</v>
      </c>
      <c r="B1" s="127" t="s">
        <v>26</v>
      </c>
      <c r="C1" s="129" t="s">
        <v>27</v>
      </c>
      <c r="D1" s="127" t="s">
        <v>489</v>
      </c>
      <c r="E1" s="127" t="s">
        <v>25</v>
      </c>
      <c r="F1" s="121" t="s">
        <v>495</v>
      </c>
      <c r="G1" s="121"/>
      <c r="H1" s="121"/>
      <c r="I1" s="121"/>
      <c r="J1" s="121"/>
      <c r="K1" s="123" t="s">
        <v>28</v>
      </c>
      <c r="L1" s="121" t="s">
        <v>496</v>
      </c>
      <c r="M1" s="121"/>
      <c r="N1" s="121"/>
      <c r="O1" s="121"/>
      <c r="P1" s="121"/>
      <c r="Q1" s="123" t="s">
        <v>28</v>
      </c>
      <c r="R1" s="121" t="s">
        <v>497</v>
      </c>
      <c r="S1" s="121"/>
      <c r="T1" s="121"/>
      <c r="U1" s="121"/>
      <c r="V1" s="121"/>
      <c r="W1" s="123" t="s">
        <v>28</v>
      </c>
      <c r="X1" s="121" t="s">
        <v>498</v>
      </c>
      <c r="Y1" s="121"/>
      <c r="Z1" s="121"/>
      <c r="AA1" s="121"/>
      <c r="AB1" s="121"/>
      <c r="AC1" s="123" t="s">
        <v>28</v>
      </c>
      <c r="AD1" s="121" t="s">
        <v>499</v>
      </c>
      <c r="AE1" s="121"/>
      <c r="AF1" s="121"/>
      <c r="AG1" s="121"/>
      <c r="AH1" s="121"/>
      <c r="AI1" s="123" t="s">
        <v>28</v>
      </c>
      <c r="AJ1" s="121" t="s">
        <v>500</v>
      </c>
      <c r="AK1" s="121"/>
      <c r="AL1" s="121"/>
      <c r="AM1" s="121"/>
      <c r="AN1" s="121"/>
      <c r="AO1" s="123" t="s">
        <v>28</v>
      </c>
      <c r="AP1" s="121" t="s">
        <v>501</v>
      </c>
      <c r="AQ1" s="121"/>
      <c r="AR1" s="121"/>
      <c r="AS1" s="121"/>
      <c r="AT1" s="121"/>
      <c r="AU1" s="123" t="s">
        <v>28</v>
      </c>
      <c r="AV1" s="121" t="s">
        <v>29</v>
      </c>
      <c r="AW1" s="121"/>
      <c r="AX1" s="121"/>
      <c r="AY1" s="121"/>
      <c r="AZ1" s="121"/>
      <c r="BA1" s="123" t="s">
        <v>28</v>
      </c>
    </row>
    <row r="2" spans="1:53" s="3" customFormat="1" ht="20.100000000000001" customHeight="1" x14ac:dyDescent="0.3">
      <c r="A2" s="128"/>
      <c r="B2" s="128"/>
      <c r="C2" s="130"/>
      <c r="D2" s="128"/>
      <c r="E2" s="128"/>
      <c r="F2" s="100" t="s">
        <v>502</v>
      </c>
      <c r="G2" s="100" t="s">
        <v>503</v>
      </c>
      <c r="H2" s="100" t="s">
        <v>504</v>
      </c>
      <c r="I2" s="100" t="s">
        <v>505</v>
      </c>
      <c r="J2" s="100" t="s">
        <v>506</v>
      </c>
      <c r="K2" s="133"/>
      <c r="L2" s="100" t="s">
        <v>507</v>
      </c>
      <c r="M2" s="100" t="s">
        <v>508</v>
      </c>
      <c r="N2" s="100" t="s">
        <v>509</v>
      </c>
      <c r="O2" s="100" t="s">
        <v>510</v>
      </c>
      <c r="P2" s="100" t="s">
        <v>511</v>
      </c>
      <c r="Q2" s="133"/>
      <c r="R2" s="100" t="s">
        <v>512</v>
      </c>
      <c r="S2" s="100" t="s">
        <v>513</v>
      </c>
      <c r="T2" s="100" t="s">
        <v>514</v>
      </c>
      <c r="U2" s="100" t="s">
        <v>515</v>
      </c>
      <c r="V2" s="100" t="s">
        <v>516</v>
      </c>
      <c r="W2" s="133"/>
      <c r="X2" s="100" t="s">
        <v>517</v>
      </c>
      <c r="Y2" s="100" t="s">
        <v>518</v>
      </c>
      <c r="Z2" s="100" t="s">
        <v>519</v>
      </c>
      <c r="AA2" s="100" t="s">
        <v>520</v>
      </c>
      <c r="AB2" s="100" t="s">
        <v>521</v>
      </c>
      <c r="AC2" s="133"/>
      <c r="AD2" s="100" t="s">
        <v>522</v>
      </c>
      <c r="AE2" s="100" t="s">
        <v>523</v>
      </c>
      <c r="AF2" s="100" t="s">
        <v>524</v>
      </c>
      <c r="AG2" s="100" t="s">
        <v>525</v>
      </c>
      <c r="AH2" s="100" t="s">
        <v>526</v>
      </c>
      <c r="AI2" s="133"/>
      <c r="AJ2" s="100" t="s">
        <v>527</v>
      </c>
      <c r="AK2" s="100" t="s">
        <v>528</v>
      </c>
      <c r="AL2" s="100" t="s">
        <v>529</v>
      </c>
      <c r="AM2" s="100" t="s">
        <v>530</v>
      </c>
      <c r="AN2" s="100" t="s">
        <v>531</v>
      </c>
      <c r="AO2" s="133"/>
      <c r="AP2" s="100" t="s">
        <v>532</v>
      </c>
      <c r="AQ2" s="100" t="s">
        <v>533</v>
      </c>
      <c r="AR2" s="100" t="s">
        <v>534</v>
      </c>
      <c r="AS2" s="100" t="s">
        <v>535</v>
      </c>
      <c r="AT2" s="100" t="s">
        <v>536</v>
      </c>
      <c r="AU2" s="133"/>
      <c r="AV2" s="100" t="s">
        <v>30</v>
      </c>
      <c r="AW2" s="100" t="s">
        <v>31</v>
      </c>
      <c r="AX2" s="100" t="s">
        <v>32</v>
      </c>
      <c r="AY2" s="100" t="s">
        <v>33</v>
      </c>
      <c r="AZ2" s="100" t="s">
        <v>34</v>
      </c>
      <c r="BA2" s="133"/>
    </row>
    <row r="3" spans="1:53" ht="23.1" customHeight="1" x14ac:dyDescent="0.3">
      <c r="A3" s="49">
        <v>1</v>
      </c>
      <c r="B3" s="49" t="s">
        <v>36</v>
      </c>
      <c r="C3" s="49" t="s">
        <v>37</v>
      </c>
      <c r="D3" s="49" t="s">
        <v>542</v>
      </c>
      <c r="E3" s="49" t="s">
        <v>35</v>
      </c>
      <c r="F3" s="49">
        <v>4</v>
      </c>
      <c r="G3" s="49">
        <v>4</v>
      </c>
      <c r="H3" s="49">
        <v>4</v>
      </c>
      <c r="I3" s="49">
        <v>4</v>
      </c>
      <c r="J3" s="49"/>
      <c r="K3" s="59">
        <f>IFERROR(AVERAGE(F3,G3,H3,I3),"0")</f>
        <v>4</v>
      </c>
      <c r="L3" s="49">
        <v>3</v>
      </c>
      <c r="M3" s="49">
        <v>4</v>
      </c>
      <c r="N3" s="49">
        <v>3</v>
      </c>
      <c r="O3" s="49">
        <v>4</v>
      </c>
      <c r="P3" s="49">
        <v>3</v>
      </c>
      <c r="Q3" s="59">
        <f>IFERROR(AVERAGE(M3,N3,L3,O3,P3),"0")</f>
        <v>3.4</v>
      </c>
      <c r="R3" s="49"/>
      <c r="S3" s="49">
        <v>3</v>
      </c>
      <c r="T3" s="49"/>
      <c r="U3" s="49"/>
      <c r="V3" s="49"/>
      <c r="W3" s="59">
        <f>S3</f>
        <v>3</v>
      </c>
      <c r="X3" s="49"/>
      <c r="Y3" s="49"/>
      <c r="Z3" s="49"/>
      <c r="AA3" s="49"/>
      <c r="AB3" s="49"/>
      <c r="AC3" s="59" t="str">
        <f>IFERROR(AVERAGE(Y3,X3),"A")</f>
        <v>A</v>
      </c>
      <c r="AD3" s="49"/>
      <c r="AE3" s="49"/>
      <c r="AF3" s="49"/>
      <c r="AG3" s="49"/>
      <c r="AH3" s="49"/>
      <c r="AI3" s="59" t="str">
        <f>IFERROR(AVERAGE(AF3,AD3),"A")</f>
        <v>A</v>
      </c>
      <c r="AJ3" s="49">
        <v>3</v>
      </c>
      <c r="AK3" s="49">
        <v>4</v>
      </c>
      <c r="AL3" s="49"/>
      <c r="AM3" s="49">
        <v>3</v>
      </c>
      <c r="AN3" s="49"/>
      <c r="AO3" s="59">
        <f>IFERROR(AVERAGE(AJ3,AK3,AAM3),"0")</f>
        <v>3.5</v>
      </c>
      <c r="AP3" s="49">
        <v>3</v>
      </c>
      <c r="AQ3" s="49"/>
      <c r="AR3" s="49"/>
      <c r="AS3" s="49"/>
      <c r="AT3" s="49"/>
      <c r="AU3" s="59">
        <f>AP3</f>
        <v>3</v>
      </c>
      <c r="AV3" s="49"/>
      <c r="AW3" s="49"/>
      <c r="AX3" s="49"/>
      <c r="AY3" s="49">
        <v>3</v>
      </c>
      <c r="AZ3" s="49">
        <v>3</v>
      </c>
      <c r="BA3" s="59" t="s">
        <v>636</v>
      </c>
    </row>
    <row r="4" spans="1:53" ht="23.1" customHeight="1" x14ac:dyDescent="0.3">
      <c r="A4" s="7">
        <v>2</v>
      </c>
      <c r="B4" s="7" t="s">
        <v>75</v>
      </c>
      <c r="C4" s="7" t="s">
        <v>76</v>
      </c>
      <c r="D4" s="7" t="s">
        <v>450</v>
      </c>
      <c r="E4" s="7" t="s">
        <v>35</v>
      </c>
      <c r="F4" s="49">
        <v>2</v>
      </c>
      <c r="G4" s="49">
        <v>1</v>
      </c>
      <c r="H4" s="49">
        <v>2</v>
      </c>
      <c r="I4" s="49">
        <v>3</v>
      </c>
      <c r="J4" s="7"/>
      <c r="K4" s="59">
        <f t="shared" ref="K4:K67" si="0">IFERROR(AVERAGE(F4,G4,H4,I4),"0")</f>
        <v>2</v>
      </c>
      <c r="L4" s="49">
        <v>3</v>
      </c>
      <c r="M4" s="49">
        <v>2</v>
      </c>
      <c r="N4" s="49">
        <v>3</v>
      </c>
      <c r="O4" s="49">
        <v>3</v>
      </c>
      <c r="P4" s="49">
        <v>2</v>
      </c>
      <c r="Q4" s="59">
        <f t="shared" ref="Q4:Q67" si="1">IFERROR(AVERAGE(M4,N4,L4,O4,P4),"0")</f>
        <v>2.6</v>
      </c>
      <c r="R4" s="49"/>
      <c r="S4" s="49">
        <v>4</v>
      </c>
      <c r="T4" s="7"/>
      <c r="U4" s="49"/>
      <c r="V4" s="7"/>
      <c r="W4" s="59">
        <f t="shared" ref="W4:W67" si="2">S4</f>
        <v>4</v>
      </c>
      <c r="X4" s="49"/>
      <c r="Y4" s="49"/>
      <c r="Z4" s="7"/>
      <c r="AA4" s="7"/>
      <c r="AB4" s="7"/>
      <c r="AC4" s="59" t="str">
        <f t="shared" ref="AC4:AC67" si="3">IFERROR(AVERAGE(Y4,X4),"A")</f>
        <v>A</v>
      </c>
      <c r="AD4" s="49"/>
      <c r="AE4" s="7"/>
      <c r="AF4" s="49"/>
      <c r="AG4" s="7"/>
      <c r="AH4" s="7"/>
      <c r="AI4" s="59" t="str">
        <f t="shared" ref="AI4:AI67" si="4">IFERROR(AVERAGE(AF4,AD4),"A")</f>
        <v>A</v>
      </c>
      <c r="AJ4" s="49">
        <v>3</v>
      </c>
      <c r="AK4" s="49">
        <v>3</v>
      </c>
      <c r="AL4" s="7"/>
      <c r="AM4" s="49">
        <v>4</v>
      </c>
      <c r="AN4" s="7"/>
      <c r="AO4" s="59">
        <f t="shared" ref="AO4:AO67" si="5">IFERROR(AVERAGE(AJ4,AK4,AAM4),"0")</f>
        <v>3</v>
      </c>
      <c r="AP4" s="49">
        <v>3</v>
      </c>
      <c r="AQ4" s="49"/>
      <c r="AR4" s="49"/>
      <c r="AS4" s="7"/>
      <c r="AT4" s="7"/>
      <c r="AU4" s="59">
        <f t="shared" ref="AU4:AU67" si="6">AP4</f>
        <v>3</v>
      </c>
      <c r="AV4" s="7"/>
      <c r="AW4" s="7"/>
      <c r="AX4" s="49"/>
      <c r="AY4" s="49">
        <v>3</v>
      </c>
      <c r="AZ4" s="49">
        <v>3</v>
      </c>
      <c r="BA4" s="59">
        <f t="shared" ref="BA4:BA67" si="7">IFERROR(AVERAGE(AY4,AZ4),"0")</f>
        <v>3</v>
      </c>
    </row>
    <row r="5" spans="1:53" ht="23.1" customHeight="1" x14ac:dyDescent="0.3">
      <c r="A5" s="49">
        <v>3</v>
      </c>
      <c r="B5" s="49" t="s">
        <v>64</v>
      </c>
      <c r="C5" s="49" t="s">
        <v>65</v>
      </c>
      <c r="D5" s="49" t="s">
        <v>542</v>
      </c>
      <c r="E5" s="49" t="s">
        <v>35</v>
      </c>
      <c r="F5" s="49">
        <v>2</v>
      </c>
      <c r="G5" s="49">
        <v>1</v>
      </c>
      <c r="H5" s="49">
        <v>3</v>
      </c>
      <c r="I5" s="49">
        <v>3</v>
      </c>
      <c r="J5" s="49"/>
      <c r="K5" s="59">
        <f t="shared" si="0"/>
        <v>2.25</v>
      </c>
      <c r="L5" s="49">
        <v>2</v>
      </c>
      <c r="M5" s="49">
        <v>3</v>
      </c>
      <c r="N5" s="49">
        <v>3</v>
      </c>
      <c r="O5" s="49">
        <v>3</v>
      </c>
      <c r="P5" s="49">
        <v>3</v>
      </c>
      <c r="Q5" s="59">
        <f t="shared" si="1"/>
        <v>2.8</v>
      </c>
      <c r="R5" s="49"/>
      <c r="S5" s="49">
        <v>3</v>
      </c>
      <c r="T5" s="49"/>
      <c r="U5" s="49"/>
      <c r="V5" s="49"/>
      <c r="W5" s="59">
        <f t="shared" si="2"/>
        <v>3</v>
      </c>
      <c r="X5" s="49"/>
      <c r="Y5" s="49"/>
      <c r="Z5" s="49"/>
      <c r="AA5" s="49"/>
      <c r="AB5" s="49"/>
      <c r="AC5" s="59" t="str">
        <f t="shared" si="3"/>
        <v>A</v>
      </c>
      <c r="AD5" s="49"/>
      <c r="AE5" s="49"/>
      <c r="AF5" s="49"/>
      <c r="AG5" s="49"/>
      <c r="AH5" s="49"/>
      <c r="AI5" s="59" t="str">
        <f t="shared" si="4"/>
        <v>A</v>
      </c>
      <c r="AJ5" s="49">
        <v>3</v>
      </c>
      <c r="AK5" s="49">
        <v>3</v>
      </c>
      <c r="AL5" s="49"/>
      <c r="AM5" s="49">
        <v>3</v>
      </c>
      <c r="AN5" s="49"/>
      <c r="AO5" s="59">
        <f t="shared" si="5"/>
        <v>3</v>
      </c>
      <c r="AP5" s="49">
        <v>3</v>
      </c>
      <c r="AQ5" s="49"/>
      <c r="AR5" s="49"/>
      <c r="AS5" s="49"/>
      <c r="AT5" s="49"/>
      <c r="AU5" s="59">
        <f t="shared" si="6"/>
        <v>3</v>
      </c>
      <c r="AV5" s="49"/>
      <c r="AW5" s="49"/>
      <c r="AX5" s="49"/>
      <c r="AY5" s="49">
        <v>3</v>
      </c>
      <c r="AZ5" s="49">
        <v>4</v>
      </c>
      <c r="BA5" s="59">
        <f t="shared" si="7"/>
        <v>3.5</v>
      </c>
    </row>
    <row r="6" spans="1:53" ht="23.1" customHeight="1" x14ac:dyDescent="0.3">
      <c r="A6" s="7">
        <v>4</v>
      </c>
      <c r="B6" s="7" t="s">
        <v>99</v>
      </c>
      <c r="C6" s="7" t="s">
        <v>100</v>
      </c>
      <c r="D6" s="7" t="s">
        <v>450</v>
      </c>
      <c r="E6" s="7" t="s">
        <v>35</v>
      </c>
      <c r="F6" s="49">
        <v>2</v>
      </c>
      <c r="G6" s="49">
        <v>4</v>
      </c>
      <c r="H6" s="49">
        <v>2</v>
      </c>
      <c r="I6" s="49">
        <v>4</v>
      </c>
      <c r="J6" s="7"/>
      <c r="K6" s="59">
        <f t="shared" si="0"/>
        <v>3</v>
      </c>
      <c r="L6" s="49">
        <v>3</v>
      </c>
      <c r="M6" s="49">
        <v>3</v>
      </c>
      <c r="N6" s="49">
        <v>4</v>
      </c>
      <c r="O6" s="49">
        <v>3</v>
      </c>
      <c r="P6" s="49">
        <v>2</v>
      </c>
      <c r="Q6" s="59">
        <f t="shared" si="1"/>
        <v>3</v>
      </c>
      <c r="R6" s="49"/>
      <c r="S6" s="49">
        <v>4</v>
      </c>
      <c r="T6" s="7"/>
      <c r="U6" s="49"/>
      <c r="V6" s="7"/>
      <c r="W6" s="59">
        <f t="shared" si="2"/>
        <v>4</v>
      </c>
      <c r="X6" s="49"/>
      <c r="Y6" s="49"/>
      <c r="Z6" s="7"/>
      <c r="AA6" s="7"/>
      <c r="AB6" s="7"/>
      <c r="AC6" s="59" t="str">
        <f t="shared" si="3"/>
        <v>A</v>
      </c>
      <c r="AD6" s="49"/>
      <c r="AE6" s="7"/>
      <c r="AF6" s="49"/>
      <c r="AG6" s="7"/>
      <c r="AH6" s="7"/>
      <c r="AI6" s="59" t="str">
        <f t="shared" si="4"/>
        <v>A</v>
      </c>
      <c r="AJ6" s="49">
        <v>3</v>
      </c>
      <c r="AK6" s="49">
        <v>3</v>
      </c>
      <c r="AL6" s="7"/>
      <c r="AM6" s="49">
        <v>3</v>
      </c>
      <c r="AN6" s="7"/>
      <c r="AO6" s="59">
        <f t="shared" si="5"/>
        <v>3</v>
      </c>
      <c r="AP6" s="49">
        <v>3</v>
      </c>
      <c r="AQ6" s="49"/>
      <c r="AR6" s="49"/>
      <c r="AS6" s="7"/>
      <c r="AT6" s="7"/>
      <c r="AU6" s="59">
        <f t="shared" si="6"/>
        <v>3</v>
      </c>
      <c r="AV6" s="7"/>
      <c r="AW6" s="7"/>
      <c r="AX6" s="49"/>
      <c r="AY6" s="49">
        <v>3</v>
      </c>
      <c r="AZ6" s="49">
        <v>3</v>
      </c>
      <c r="BA6" s="59">
        <f t="shared" si="7"/>
        <v>3</v>
      </c>
    </row>
    <row r="7" spans="1:53" ht="23.1" customHeight="1" x14ac:dyDescent="0.3">
      <c r="A7" s="49">
        <v>5</v>
      </c>
      <c r="B7" s="49" t="s">
        <v>290</v>
      </c>
      <c r="C7" s="49" t="s">
        <v>538</v>
      </c>
      <c r="D7" s="49" t="s">
        <v>450</v>
      </c>
      <c r="E7" s="49" t="s">
        <v>289</v>
      </c>
      <c r="F7" s="49">
        <v>1</v>
      </c>
      <c r="G7" s="49">
        <v>1</v>
      </c>
      <c r="H7" s="49">
        <v>1</v>
      </c>
      <c r="I7" s="49">
        <v>1</v>
      </c>
      <c r="J7" s="49"/>
      <c r="K7" s="59">
        <f t="shared" si="0"/>
        <v>1</v>
      </c>
      <c r="L7" s="49">
        <v>1</v>
      </c>
      <c r="M7" s="49">
        <v>1</v>
      </c>
      <c r="N7" s="49">
        <v>1</v>
      </c>
      <c r="O7" s="49">
        <v>1</v>
      </c>
      <c r="P7" s="49">
        <v>1</v>
      </c>
      <c r="Q7" s="59">
        <f t="shared" si="1"/>
        <v>1</v>
      </c>
      <c r="R7" s="49"/>
      <c r="S7" s="49">
        <v>1</v>
      </c>
      <c r="T7" s="49"/>
      <c r="U7" s="49"/>
      <c r="V7" s="49"/>
      <c r="W7" s="59">
        <f t="shared" si="2"/>
        <v>1</v>
      </c>
      <c r="X7" s="49"/>
      <c r="Y7" s="49"/>
      <c r="Z7" s="49"/>
      <c r="AA7" s="49"/>
      <c r="AB7" s="49"/>
      <c r="AC7" s="59" t="str">
        <f t="shared" si="3"/>
        <v>A</v>
      </c>
      <c r="AD7" s="49"/>
      <c r="AE7" s="49"/>
      <c r="AF7" s="49"/>
      <c r="AG7" s="49"/>
      <c r="AH7" s="49"/>
      <c r="AI7" s="59" t="str">
        <f t="shared" si="4"/>
        <v>A</v>
      </c>
      <c r="AJ7" s="49">
        <v>1</v>
      </c>
      <c r="AK7" s="49">
        <v>1</v>
      </c>
      <c r="AL7" s="49"/>
      <c r="AM7" s="49">
        <v>1</v>
      </c>
      <c r="AN7" s="49"/>
      <c r="AO7" s="59">
        <f t="shared" si="5"/>
        <v>1</v>
      </c>
      <c r="AP7" s="49">
        <v>1</v>
      </c>
      <c r="AQ7" s="49"/>
      <c r="AR7" s="49"/>
      <c r="AS7" s="49"/>
      <c r="AT7" s="49"/>
      <c r="AU7" s="59">
        <f t="shared" si="6"/>
        <v>1</v>
      </c>
      <c r="AV7" s="49"/>
      <c r="AW7" s="49"/>
      <c r="AX7" s="49"/>
      <c r="AY7" s="49">
        <v>3</v>
      </c>
      <c r="AZ7" s="49">
        <v>2</v>
      </c>
      <c r="BA7" s="59">
        <f t="shared" si="7"/>
        <v>2.5</v>
      </c>
    </row>
    <row r="8" spans="1:53" ht="23.1" customHeight="1" x14ac:dyDescent="0.3">
      <c r="A8" s="7">
        <v>6</v>
      </c>
      <c r="B8" s="7" t="s">
        <v>101</v>
      </c>
      <c r="C8" s="7" t="s">
        <v>102</v>
      </c>
      <c r="D8" s="7" t="s">
        <v>450</v>
      </c>
      <c r="E8" s="7" t="s">
        <v>35</v>
      </c>
      <c r="F8" s="49">
        <v>3</v>
      </c>
      <c r="G8" s="49">
        <v>3</v>
      </c>
      <c r="H8" s="49">
        <v>4</v>
      </c>
      <c r="I8" s="49">
        <v>3</v>
      </c>
      <c r="J8" s="7"/>
      <c r="K8" s="59">
        <f t="shared" si="0"/>
        <v>3.25</v>
      </c>
      <c r="L8" s="49">
        <v>2</v>
      </c>
      <c r="M8" s="49">
        <v>2</v>
      </c>
      <c r="N8" s="49">
        <v>2</v>
      </c>
      <c r="O8" s="49">
        <v>3</v>
      </c>
      <c r="P8" s="49">
        <v>2</v>
      </c>
      <c r="Q8" s="59">
        <f t="shared" si="1"/>
        <v>2.2000000000000002</v>
      </c>
      <c r="R8" s="49"/>
      <c r="S8" s="49">
        <v>2</v>
      </c>
      <c r="T8" s="7"/>
      <c r="U8" s="49"/>
      <c r="V8" s="7"/>
      <c r="W8" s="59">
        <f t="shared" si="2"/>
        <v>2</v>
      </c>
      <c r="X8" s="49"/>
      <c r="Y8" s="49"/>
      <c r="Z8" s="7"/>
      <c r="AA8" s="7"/>
      <c r="AB8" s="7"/>
      <c r="AC8" s="59" t="str">
        <f t="shared" si="3"/>
        <v>A</v>
      </c>
      <c r="AD8" s="49"/>
      <c r="AE8" s="7"/>
      <c r="AF8" s="49"/>
      <c r="AG8" s="7"/>
      <c r="AH8" s="7"/>
      <c r="AI8" s="59" t="str">
        <f t="shared" si="4"/>
        <v>A</v>
      </c>
      <c r="AJ8" s="49">
        <v>3</v>
      </c>
      <c r="AK8" s="49">
        <v>4</v>
      </c>
      <c r="AL8" s="7"/>
      <c r="AM8" s="49">
        <v>3</v>
      </c>
      <c r="AN8" s="7"/>
      <c r="AO8" s="59">
        <f t="shared" si="5"/>
        <v>3.5</v>
      </c>
      <c r="AP8" s="49">
        <v>3</v>
      </c>
      <c r="AQ8" s="49"/>
      <c r="AR8" s="49"/>
      <c r="AS8" s="7"/>
      <c r="AT8" s="7"/>
      <c r="AU8" s="59">
        <f t="shared" si="6"/>
        <v>3</v>
      </c>
      <c r="AV8" s="7"/>
      <c r="AW8" s="7"/>
      <c r="AX8" s="49"/>
      <c r="AY8" s="49">
        <v>2</v>
      </c>
      <c r="AZ8" s="49">
        <v>3</v>
      </c>
      <c r="BA8" s="59">
        <f t="shared" si="7"/>
        <v>2.5</v>
      </c>
    </row>
    <row r="9" spans="1:53" ht="23.1" customHeight="1" x14ac:dyDescent="0.3">
      <c r="A9" s="49">
        <v>7</v>
      </c>
      <c r="B9" s="49" t="s">
        <v>72</v>
      </c>
      <c r="C9" s="49" t="s">
        <v>73</v>
      </c>
      <c r="D9" s="49" t="s">
        <v>450</v>
      </c>
      <c r="E9" s="49" t="s">
        <v>35</v>
      </c>
      <c r="F9" s="49">
        <v>2</v>
      </c>
      <c r="G9" s="49">
        <v>2</v>
      </c>
      <c r="H9" s="49">
        <v>3</v>
      </c>
      <c r="I9" s="49">
        <v>3</v>
      </c>
      <c r="J9" s="49"/>
      <c r="K9" s="59">
        <f t="shared" si="0"/>
        <v>2.5</v>
      </c>
      <c r="L9" s="49">
        <v>3</v>
      </c>
      <c r="M9" s="49">
        <v>2</v>
      </c>
      <c r="N9" s="49">
        <v>2</v>
      </c>
      <c r="O9" s="49">
        <v>3</v>
      </c>
      <c r="P9" s="49">
        <v>3</v>
      </c>
      <c r="Q9" s="59">
        <f t="shared" si="1"/>
        <v>2.6</v>
      </c>
      <c r="R9" s="49"/>
      <c r="S9" s="49">
        <v>3</v>
      </c>
      <c r="T9" s="49"/>
      <c r="U9" s="49"/>
      <c r="V9" s="49"/>
      <c r="W9" s="59">
        <f t="shared" si="2"/>
        <v>3</v>
      </c>
      <c r="X9" s="49"/>
      <c r="Y9" s="49"/>
      <c r="Z9" s="49"/>
      <c r="AA9" s="49"/>
      <c r="AB9" s="49"/>
      <c r="AC9" s="59" t="str">
        <f t="shared" si="3"/>
        <v>A</v>
      </c>
      <c r="AD9" s="49"/>
      <c r="AE9" s="49"/>
      <c r="AF9" s="49"/>
      <c r="AG9" s="49"/>
      <c r="AH9" s="49"/>
      <c r="AI9" s="59" t="str">
        <f t="shared" si="4"/>
        <v>A</v>
      </c>
      <c r="AJ9" s="49">
        <v>3</v>
      </c>
      <c r="AK9" s="49">
        <v>2</v>
      </c>
      <c r="AL9" s="49"/>
      <c r="AM9" s="49">
        <v>4</v>
      </c>
      <c r="AN9" s="49"/>
      <c r="AO9" s="59">
        <f t="shared" si="5"/>
        <v>2.5</v>
      </c>
      <c r="AP9" s="49">
        <v>3</v>
      </c>
      <c r="AQ9" s="49"/>
      <c r="AR9" s="49"/>
      <c r="AS9" s="49"/>
      <c r="AT9" s="49"/>
      <c r="AU9" s="59">
        <f t="shared" si="6"/>
        <v>3</v>
      </c>
      <c r="AV9" s="49"/>
      <c r="AW9" s="49"/>
      <c r="AX9" s="49"/>
      <c r="AY9" s="49">
        <v>3</v>
      </c>
      <c r="AZ9" s="49">
        <v>3</v>
      </c>
      <c r="BA9" s="59">
        <f t="shared" si="7"/>
        <v>3</v>
      </c>
    </row>
    <row r="10" spans="1:53" ht="23.1" customHeight="1" x14ac:dyDescent="0.3">
      <c r="A10" s="7">
        <v>8</v>
      </c>
      <c r="B10" s="7" t="s">
        <v>291</v>
      </c>
      <c r="C10" s="7" t="s">
        <v>292</v>
      </c>
      <c r="D10" s="7" t="s">
        <v>450</v>
      </c>
      <c r="E10" s="7" t="s">
        <v>493</v>
      </c>
      <c r="F10" s="49">
        <v>2</v>
      </c>
      <c r="G10" s="49">
        <v>3</v>
      </c>
      <c r="H10" s="49">
        <v>2</v>
      </c>
      <c r="I10" s="49">
        <v>4</v>
      </c>
      <c r="J10" s="7"/>
      <c r="K10" s="59">
        <f t="shared" si="0"/>
        <v>2.75</v>
      </c>
      <c r="L10" s="49">
        <v>4</v>
      </c>
      <c r="M10" s="49">
        <v>2</v>
      </c>
      <c r="N10" s="49">
        <v>3</v>
      </c>
      <c r="O10" s="49">
        <v>3</v>
      </c>
      <c r="P10" s="49">
        <v>4</v>
      </c>
      <c r="Q10" s="59">
        <f t="shared" si="1"/>
        <v>3.2</v>
      </c>
      <c r="R10" s="49"/>
      <c r="S10" s="49">
        <v>3</v>
      </c>
      <c r="T10" s="7"/>
      <c r="U10" s="49"/>
      <c r="V10" s="7"/>
      <c r="W10" s="59">
        <f t="shared" si="2"/>
        <v>3</v>
      </c>
      <c r="X10" s="49"/>
      <c r="Y10" s="49"/>
      <c r="Z10" s="7"/>
      <c r="AA10" s="7"/>
      <c r="AB10" s="7"/>
      <c r="AC10" s="59" t="str">
        <f t="shared" si="3"/>
        <v>A</v>
      </c>
      <c r="AD10" s="49"/>
      <c r="AE10" s="7"/>
      <c r="AF10" s="49"/>
      <c r="AG10" s="7"/>
      <c r="AH10" s="7"/>
      <c r="AI10" s="59" t="str">
        <f t="shared" si="4"/>
        <v>A</v>
      </c>
      <c r="AJ10" s="49">
        <v>3</v>
      </c>
      <c r="AK10" s="49">
        <v>3</v>
      </c>
      <c r="AL10" s="7"/>
      <c r="AM10" s="49">
        <v>3</v>
      </c>
      <c r="AN10" s="7"/>
      <c r="AO10" s="59">
        <f t="shared" si="5"/>
        <v>3</v>
      </c>
      <c r="AP10" s="49">
        <v>4</v>
      </c>
      <c r="AQ10" s="49"/>
      <c r="AR10" s="49"/>
      <c r="AS10" s="7"/>
      <c r="AT10" s="7"/>
      <c r="AU10" s="59">
        <f t="shared" si="6"/>
        <v>4</v>
      </c>
      <c r="AV10" s="7"/>
      <c r="AW10" s="7"/>
      <c r="AX10" s="49"/>
      <c r="AY10" s="49">
        <v>3</v>
      </c>
      <c r="AZ10" s="49">
        <v>2</v>
      </c>
      <c r="BA10" s="59">
        <f t="shared" si="7"/>
        <v>2.5</v>
      </c>
    </row>
    <row r="11" spans="1:53" ht="23.1" customHeight="1" x14ac:dyDescent="0.3">
      <c r="A11" s="49">
        <v>9</v>
      </c>
      <c r="B11" s="49" t="s">
        <v>103</v>
      </c>
      <c r="C11" s="49" t="s">
        <v>104</v>
      </c>
      <c r="D11" s="49" t="s">
        <v>542</v>
      </c>
      <c r="E11" s="49" t="s">
        <v>35</v>
      </c>
      <c r="F11" s="49">
        <v>3.5</v>
      </c>
      <c r="G11" s="49">
        <v>3</v>
      </c>
      <c r="H11" s="49">
        <v>3.5</v>
      </c>
      <c r="I11" s="49">
        <v>3.5</v>
      </c>
      <c r="J11" s="49"/>
      <c r="K11" s="59">
        <f t="shared" si="0"/>
        <v>3.375</v>
      </c>
      <c r="L11" s="49">
        <v>3.5</v>
      </c>
      <c r="M11" s="49">
        <v>3.5</v>
      </c>
      <c r="N11" s="49">
        <v>3.5</v>
      </c>
      <c r="O11" s="49">
        <v>3</v>
      </c>
      <c r="P11" s="49">
        <v>3.5</v>
      </c>
      <c r="Q11" s="59">
        <f t="shared" si="1"/>
        <v>3.4</v>
      </c>
      <c r="R11" s="49"/>
      <c r="S11" s="49">
        <v>3.5</v>
      </c>
      <c r="T11" s="49"/>
      <c r="U11" s="49"/>
      <c r="V11" s="49"/>
      <c r="W11" s="59">
        <f t="shared" si="2"/>
        <v>3.5</v>
      </c>
      <c r="X11" s="49"/>
      <c r="Y11" s="49"/>
      <c r="Z11" s="49"/>
      <c r="AA11" s="49"/>
      <c r="AB11" s="49"/>
      <c r="AC11" s="59" t="str">
        <f t="shared" si="3"/>
        <v>A</v>
      </c>
      <c r="AD11" s="49"/>
      <c r="AE11" s="49"/>
      <c r="AF11" s="49"/>
      <c r="AG11" s="49"/>
      <c r="AH11" s="49"/>
      <c r="AI11" s="59" t="str">
        <f t="shared" si="4"/>
        <v>A</v>
      </c>
      <c r="AJ11" s="49">
        <v>3.5</v>
      </c>
      <c r="AK11" s="49">
        <v>3</v>
      </c>
      <c r="AL11" s="49"/>
      <c r="AM11" s="49">
        <v>3.5</v>
      </c>
      <c r="AN11" s="49"/>
      <c r="AO11" s="59">
        <f t="shared" si="5"/>
        <v>3.25</v>
      </c>
      <c r="AP11" s="49">
        <v>3.5</v>
      </c>
      <c r="AQ11" s="49"/>
      <c r="AR11" s="49"/>
      <c r="AS11" s="49"/>
      <c r="AT11" s="49"/>
      <c r="AU11" s="59">
        <f t="shared" si="6"/>
        <v>3.5</v>
      </c>
      <c r="AV11" s="49"/>
      <c r="AW11" s="49"/>
      <c r="AX11" s="49"/>
      <c r="AY11" s="49">
        <v>3</v>
      </c>
      <c r="AZ11" s="49">
        <v>3</v>
      </c>
      <c r="BA11" s="59">
        <f t="shared" si="7"/>
        <v>3</v>
      </c>
    </row>
    <row r="12" spans="1:53" ht="23.1" customHeight="1" x14ac:dyDescent="0.3">
      <c r="A12" s="7">
        <v>10</v>
      </c>
      <c r="B12" s="7" t="s">
        <v>68</v>
      </c>
      <c r="C12" s="7" t="s">
        <v>69</v>
      </c>
      <c r="D12" s="7" t="s">
        <v>450</v>
      </c>
      <c r="E12" s="7" t="s">
        <v>35</v>
      </c>
      <c r="F12" s="49">
        <v>3</v>
      </c>
      <c r="G12" s="49">
        <v>4</v>
      </c>
      <c r="H12" s="49">
        <v>4</v>
      </c>
      <c r="I12" s="49">
        <v>3</v>
      </c>
      <c r="J12" s="7"/>
      <c r="K12" s="59">
        <f t="shared" si="0"/>
        <v>3.5</v>
      </c>
      <c r="L12" s="49">
        <v>3</v>
      </c>
      <c r="M12" s="49">
        <v>4</v>
      </c>
      <c r="N12" s="49">
        <v>2</v>
      </c>
      <c r="O12" s="49">
        <v>4</v>
      </c>
      <c r="P12" s="49">
        <v>5</v>
      </c>
      <c r="Q12" s="59">
        <f t="shared" si="1"/>
        <v>3.6</v>
      </c>
      <c r="R12" s="49"/>
      <c r="S12" s="49">
        <v>2</v>
      </c>
      <c r="T12" s="7"/>
      <c r="U12" s="49"/>
      <c r="V12" s="7"/>
      <c r="W12" s="59">
        <f t="shared" si="2"/>
        <v>2</v>
      </c>
      <c r="X12" s="49"/>
      <c r="Y12" s="49"/>
      <c r="Z12" s="7"/>
      <c r="AA12" s="7"/>
      <c r="AB12" s="7"/>
      <c r="AC12" s="59" t="str">
        <f t="shared" si="3"/>
        <v>A</v>
      </c>
      <c r="AD12" s="49"/>
      <c r="AE12" s="7"/>
      <c r="AF12" s="49"/>
      <c r="AG12" s="7"/>
      <c r="AH12" s="7"/>
      <c r="AI12" s="59" t="str">
        <f t="shared" si="4"/>
        <v>A</v>
      </c>
      <c r="AJ12" s="49">
        <v>4</v>
      </c>
      <c r="AK12" s="49">
        <v>4</v>
      </c>
      <c r="AL12" s="7"/>
      <c r="AM12" s="49">
        <v>3</v>
      </c>
      <c r="AN12" s="7"/>
      <c r="AO12" s="59">
        <f t="shared" si="5"/>
        <v>4</v>
      </c>
      <c r="AP12" s="49">
        <v>3</v>
      </c>
      <c r="AQ12" s="49"/>
      <c r="AR12" s="49"/>
      <c r="AS12" s="7"/>
      <c r="AT12" s="7"/>
      <c r="AU12" s="59">
        <f t="shared" si="6"/>
        <v>3</v>
      </c>
      <c r="AV12" s="7"/>
      <c r="AW12" s="7"/>
      <c r="AX12" s="49"/>
      <c r="AY12" s="49">
        <v>3</v>
      </c>
      <c r="AZ12" s="49">
        <v>4</v>
      </c>
      <c r="BA12" s="59">
        <f t="shared" si="7"/>
        <v>3.5</v>
      </c>
    </row>
    <row r="13" spans="1:53" ht="23.1" customHeight="1" x14ac:dyDescent="0.3">
      <c r="A13" s="49">
        <v>11</v>
      </c>
      <c r="B13" s="49" t="s">
        <v>162</v>
      </c>
      <c r="C13" s="49" t="s">
        <v>163</v>
      </c>
      <c r="D13" s="49" t="s">
        <v>450</v>
      </c>
      <c r="E13" s="49" t="s">
        <v>161</v>
      </c>
      <c r="F13" s="49">
        <v>2</v>
      </c>
      <c r="G13" s="49">
        <v>3</v>
      </c>
      <c r="H13" s="49">
        <v>3</v>
      </c>
      <c r="I13" s="49">
        <v>2</v>
      </c>
      <c r="J13" s="49"/>
      <c r="K13" s="59">
        <f t="shared" si="0"/>
        <v>2.5</v>
      </c>
      <c r="L13" s="49">
        <v>3</v>
      </c>
      <c r="M13" s="49">
        <v>3</v>
      </c>
      <c r="N13" s="49">
        <v>3</v>
      </c>
      <c r="O13" s="49">
        <v>4</v>
      </c>
      <c r="P13" s="49">
        <v>2</v>
      </c>
      <c r="Q13" s="59">
        <f t="shared" si="1"/>
        <v>3</v>
      </c>
      <c r="R13" s="49"/>
      <c r="S13" s="49">
        <v>2</v>
      </c>
      <c r="T13" s="49"/>
      <c r="U13" s="49"/>
      <c r="V13" s="49"/>
      <c r="W13" s="59">
        <f t="shared" si="2"/>
        <v>2</v>
      </c>
      <c r="X13" s="49"/>
      <c r="Y13" s="49"/>
      <c r="Z13" s="49"/>
      <c r="AA13" s="49"/>
      <c r="AB13" s="49"/>
      <c r="AC13" s="59" t="str">
        <f t="shared" si="3"/>
        <v>A</v>
      </c>
      <c r="AD13" s="49"/>
      <c r="AE13" s="49"/>
      <c r="AF13" s="49"/>
      <c r="AG13" s="49"/>
      <c r="AH13" s="49"/>
      <c r="AI13" s="59" t="str">
        <f t="shared" si="4"/>
        <v>A</v>
      </c>
      <c r="AJ13" s="49">
        <v>2</v>
      </c>
      <c r="AK13" s="49">
        <v>3</v>
      </c>
      <c r="AL13" s="49"/>
      <c r="AM13" s="49">
        <v>2</v>
      </c>
      <c r="AN13" s="49"/>
      <c r="AO13" s="59">
        <f t="shared" si="5"/>
        <v>2.5</v>
      </c>
      <c r="AP13" s="49">
        <v>3</v>
      </c>
      <c r="AQ13" s="49"/>
      <c r="AR13" s="49"/>
      <c r="AS13" s="49"/>
      <c r="AT13" s="49"/>
      <c r="AU13" s="59">
        <f t="shared" si="6"/>
        <v>3</v>
      </c>
      <c r="AV13" s="49"/>
      <c r="AW13" s="49"/>
      <c r="AX13" s="49"/>
      <c r="AY13" s="49">
        <v>3</v>
      </c>
      <c r="AZ13" s="49">
        <v>3</v>
      </c>
      <c r="BA13" s="59">
        <f t="shared" si="7"/>
        <v>3</v>
      </c>
    </row>
    <row r="14" spans="1:53" ht="23.1" customHeight="1" x14ac:dyDescent="0.3">
      <c r="A14" s="7">
        <v>12</v>
      </c>
      <c r="B14" s="7" t="s">
        <v>178</v>
      </c>
      <c r="C14" s="7" t="s">
        <v>179</v>
      </c>
      <c r="D14" s="7" t="s">
        <v>450</v>
      </c>
      <c r="E14" s="7" t="s">
        <v>161</v>
      </c>
      <c r="F14" s="49">
        <v>3</v>
      </c>
      <c r="G14" s="49">
        <v>3</v>
      </c>
      <c r="H14" s="49">
        <v>3</v>
      </c>
      <c r="I14" s="49">
        <v>2.5</v>
      </c>
      <c r="J14" s="7"/>
      <c r="K14" s="59">
        <f t="shared" si="0"/>
        <v>2.875</v>
      </c>
      <c r="L14" s="49">
        <v>3</v>
      </c>
      <c r="M14" s="49">
        <v>2.5</v>
      </c>
      <c r="N14" s="49">
        <v>3</v>
      </c>
      <c r="O14" s="49">
        <v>3</v>
      </c>
      <c r="P14" s="49">
        <v>3</v>
      </c>
      <c r="Q14" s="59">
        <f t="shared" si="1"/>
        <v>2.9</v>
      </c>
      <c r="R14" s="49"/>
      <c r="S14" s="49">
        <v>2.5</v>
      </c>
      <c r="T14" s="7"/>
      <c r="U14" s="49"/>
      <c r="V14" s="7"/>
      <c r="W14" s="59">
        <f t="shared" si="2"/>
        <v>2.5</v>
      </c>
      <c r="X14" s="49"/>
      <c r="Y14" s="49"/>
      <c r="Z14" s="7"/>
      <c r="AA14" s="7"/>
      <c r="AB14" s="7"/>
      <c r="AC14" s="59" t="str">
        <f t="shared" si="3"/>
        <v>A</v>
      </c>
      <c r="AD14" s="49"/>
      <c r="AE14" s="7"/>
      <c r="AF14" s="49"/>
      <c r="AG14" s="7"/>
      <c r="AH14" s="7"/>
      <c r="AI14" s="59" t="str">
        <f t="shared" si="4"/>
        <v>A</v>
      </c>
      <c r="AJ14" s="49">
        <v>3</v>
      </c>
      <c r="AK14" s="49">
        <v>3</v>
      </c>
      <c r="AL14" s="7"/>
      <c r="AM14" s="49">
        <v>3</v>
      </c>
      <c r="AN14" s="7"/>
      <c r="AO14" s="59">
        <f t="shared" si="5"/>
        <v>3</v>
      </c>
      <c r="AP14" s="49">
        <v>3</v>
      </c>
      <c r="AQ14" s="49"/>
      <c r="AR14" s="49"/>
      <c r="AS14" s="7"/>
      <c r="AT14" s="7"/>
      <c r="AU14" s="59">
        <f t="shared" si="6"/>
        <v>3</v>
      </c>
      <c r="AV14" s="7"/>
      <c r="AW14" s="7"/>
      <c r="AX14" s="49"/>
      <c r="AY14" s="49">
        <v>3</v>
      </c>
      <c r="AZ14" s="49">
        <v>3</v>
      </c>
      <c r="BA14" s="59">
        <f t="shared" si="7"/>
        <v>3</v>
      </c>
    </row>
    <row r="15" spans="1:53" ht="23.1" customHeight="1" x14ac:dyDescent="0.3">
      <c r="A15" s="49">
        <v>13</v>
      </c>
      <c r="B15" s="49" t="s">
        <v>87</v>
      </c>
      <c r="C15" s="49" t="s">
        <v>88</v>
      </c>
      <c r="D15" s="49" t="s">
        <v>450</v>
      </c>
      <c r="E15" s="49" t="s">
        <v>35</v>
      </c>
      <c r="F15" s="49">
        <v>3</v>
      </c>
      <c r="G15" s="49">
        <v>4</v>
      </c>
      <c r="H15" s="49">
        <v>4</v>
      </c>
      <c r="I15" s="49">
        <v>4</v>
      </c>
      <c r="J15" s="49"/>
      <c r="K15" s="59">
        <f t="shared" si="0"/>
        <v>3.75</v>
      </c>
      <c r="L15" s="49">
        <v>4</v>
      </c>
      <c r="M15" s="49">
        <v>4</v>
      </c>
      <c r="N15" s="49">
        <v>3</v>
      </c>
      <c r="O15" s="49">
        <v>4</v>
      </c>
      <c r="P15" s="49">
        <v>4</v>
      </c>
      <c r="Q15" s="59">
        <f t="shared" si="1"/>
        <v>3.8</v>
      </c>
      <c r="R15" s="49"/>
      <c r="S15" s="49">
        <v>4</v>
      </c>
      <c r="T15" s="49"/>
      <c r="U15" s="49"/>
      <c r="V15" s="49"/>
      <c r="W15" s="59">
        <f t="shared" si="2"/>
        <v>4</v>
      </c>
      <c r="X15" s="49"/>
      <c r="Y15" s="49"/>
      <c r="Z15" s="49"/>
      <c r="AA15" s="49"/>
      <c r="AB15" s="49"/>
      <c r="AC15" s="59" t="str">
        <f t="shared" si="3"/>
        <v>A</v>
      </c>
      <c r="AD15" s="49"/>
      <c r="AE15" s="49"/>
      <c r="AF15" s="49"/>
      <c r="AG15" s="49"/>
      <c r="AH15" s="49"/>
      <c r="AI15" s="59" t="str">
        <f t="shared" si="4"/>
        <v>A</v>
      </c>
      <c r="AJ15" s="49">
        <v>3</v>
      </c>
      <c r="AK15" s="49">
        <v>3</v>
      </c>
      <c r="AL15" s="49"/>
      <c r="AM15" s="49">
        <v>4</v>
      </c>
      <c r="AN15" s="49"/>
      <c r="AO15" s="59">
        <f t="shared" si="5"/>
        <v>3</v>
      </c>
      <c r="AP15" s="49">
        <v>4</v>
      </c>
      <c r="AQ15" s="49"/>
      <c r="AR15" s="49"/>
      <c r="AS15" s="49"/>
      <c r="AT15" s="49"/>
      <c r="AU15" s="59">
        <f t="shared" si="6"/>
        <v>4</v>
      </c>
      <c r="AV15" s="49"/>
      <c r="AW15" s="49"/>
      <c r="AX15" s="49"/>
      <c r="AY15" s="49">
        <v>3</v>
      </c>
      <c r="AZ15" s="49">
        <v>4</v>
      </c>
      <c r="BA15" s="59">
        <f t="shared" si="7"/>
        <v>3.5</v>
      </c>
    </row>
    <row r="16" spans="1:53" ht="23.1" customHeight="1" x14ac:dyDescent="0.3">
      <c r="A16" s="7">
        <v>14</v>
      </c>
      <c r="B16" s="7" t="s">
        <v>194</v>
      </c>
      <c r="C16" s="7" t="s">
        <v>195</v>
      </c>
      <c r="D16" s="7" t="s">
        <v>542</v>
      </c>
      <c r="E16" s="7" t="s">
        <v>161</v>
      </c>
      <c r="F16" s="49">
        <v>3</v>
      </c>
      <c r="G16" s="49">
        <v>3.5</v>
      </c>
      <c r="H16" s="49">
        <v>4</v>
      </c>
      <c r="I16" s="49">
        <v>3.5</v>
      </c>
      <c r="J16" s="7"/>
      <c r="K16" s="59">
        <f t="shared" si="0"/>
        <v>3.5</v>
      </c>
      <c r="L16" s="49">
        <v>4</v>
      </c>
      <c r="M16" s="49">
        <v>3.5</v>
      </c>
      <c r="N16" s="49">
        <v>3</v>
      </c>
      <c r="O16" s="49">
        <v>3.5</v>
      </c>
      <c r="P16" s="49">
        <v>4</v>
      </c>
      <c r="Q16" s="59">
        <f t="shared" si="1"/>
        <v>3.6</v>
      </c>
      <c r="R16" s="49"/>
      <c r="S16" s="49">
        <v>3.5</v>
      </c>
      <c r="T16" s="7"/>
      <c r="U16" s="49"/>
      <c r="V16" s="7"/>
      <c r="W16" s="59">
        <f t="shared" si="2"/>
        <v>3.5</v>
      </c>
      <c r="X16" s="49"/>
      <c r="Y16" s="49"/>
      <c r="Z16" s="7"/>
      <c r="AA16" s="7"/>
      <c r="AB16" s="7"/>
      <c r="AC16" s="59" t="str">
        <f t="shared" si="3"/>
        <v>A</v>
      </c>
      <c r="AD16" s="49"/>
      <c r="AE16" s="7"/>
      <c r="AF16" s="49"/>
      <c r="AG16" s="7"/>
      <c r="AH16" s="7"/>
      <c r="AI16" s="59" t="str">
        <f t="shared" si="4"/>
        <v>A</v>
      </c>
      <c r="AJ16" s="49">
        <v>3</v>
      </c>
      <c r="AK16" s="49">
        <v>3.5</v>
      </c>
      <c r="AL16" s="7"/>
      <c r="AM16" s="49">
        <v>4</v>
      </c>
      <c r="AN16" s="7"/>
      <c r="AO16" s="59">
        <f t="shared" si="5"/>
        <v>3.25</v>
      </c>
      <c r="AP16" s="49">
        <v>4</v>
      </c>
      <c r="AQ16" s="49"/>
      <c r="AR16" s="49"/>
      <c r="AS16" s="7"/>
      <c r="AT16" s="7"/>
      <c r="AU16" s="59">
        <f t="shared" si="6"/>
        <v>4</v>
      </c>
      <c r="AV16" s="7"/>
      <c r="AW16" s="7"/>
      <c r="AX16" s="49"/>
      <c r="AY16" s="49">
        <v>3.5</v>
      </c>
      <c r="AZ16" s="49">
        <v>3.5</v>
      </c>
      <c r="BA16" s="59">
        <f t="shared" si="7"/>
        <v>3.5</v>
      </c>
    </row>
    <row r="17" spans="1:53" ht="23.1" customHeight="1" x14ac:dyDescent="0.3">
      <c r="A17" s="49">
        <v>15</v>
      </c>
      <c r="B17" s="49" t="s">
        <v>293</v>
      </c>
      <c r="C17" s="49" t="s">
        <v>294</v>
      </c>
      <c r="D17" s="49" t="s">
        <v>542</v>
      </c>
      <c r="E17" s="49" t="s">
        <v>493</v>
      </c>
      <c r="F17" s="49" t="s">
        <v>581</v>
      </c>
      <c r="G17" s="49" t="s">
        <v>581</v>
      </c>
      <c r="H17" s="49" t="s">
        <v>581</v>
      </c>
      <c r="I17" s="49" t="s">
        <v>581</v>
      </c>
      <c r="J17" s="49"/>
      <c r="K17" s="59" t="str">
        <f t="shared" si="0"/>
        <v>0</v>
      </c>
      <c r="L17" s="49" t="s">
        <v>581</v>
      </c>
      <c r="M17" s="49" t="s">
        <v>581</v>
      </c>
      <c r="N17" s="49" t="s">
        <v>581</v>
      </c>
      <c r="O17" s="49" t="s">
        <v>581</v>
      </c>
      <c r="P17" s="49" t="s">
        <v>581</v>
      </c>
      <c r="Q17" s="59" t="str">
        <f t="shared" si="1"/>
        <v>0</v>
      </c>
      <c r="R17" s="49"/>
      <c r="S17" s="49" t="s">
        <v>581</v>
      </c>
      <c r="T17" s="49"/>
      <c r="U17" s="49"/>
      <c r="V17" s="49"/>
      <c r="W17" s="59" t="str">
        <f t="shared" si="2"/>
        <v>0</v>
      </c>
      <c r="X17" s="49"/>
      <c r="Y17" s="49"/>
      <c r="Z17" s="49"/>
      <c r="AA17" s="49"/>
      <c r="AB17" s="49"/>
      <c r="AC17" s="59" t="str">
        <f t="shared" si="3"/>
        <v>A</v>
      </c>
      <c r="AD17" s="49"/>
      <c r="AE17" s="49"/>
      <c r="AF17" s="49"/>
      <c r="AG17" s="49"/>
      <c r="AH17" s="49"/>
      <c r="AI17" s="59" t="str">
        <f t="shared" si="4"/>
        <v>A</v>
      </c>
      <c r="AJ17" s="49" t="s">
        <v>581</v>
      </c>
      <c r="AK17" s="49" t="s">
        <v>581</v>
      </c>
      <c r="AL17" s="49"/>
      <c r="AM17" s="49" t="s">
        <v>581</v>
      </c>
      <c r="AN17" s="49"/>
      <c r="AO17" s="59" t="str">
        <f t="shared" si="5"/>
        <v>0</v>
      </c>
      <c r="AP17" s="49" t="s">
        <v>581</v>
      </c>
      <c r="AQ17" s="49"/>
      <c r="AR17" s="49"/>
      <c r="AS17" s="49"/>
      <c r="AT17" s="49"/>
      <c r="AU17" s="59" t="str">
        <f t="shared" si="6"/>
        <v>0</v>
      </c>
      <c r="AV17" s="49"/>
      <c r="AW17" s="49"/>
      <c r="AX17" s="49"/>
      <c r="AY17" s="49" t="s">
        <v>581</v>
      </c>
      <c r="AZ17" s="49" t="s">
        <v>581</v>
      </c>
      <c r="BA17" s="59" t="str">
        <f t="shared" si="7"/>
        <v>0</v>
      </c>
    </row>
    <row r="18" spans="1:53" ht="23.1" customHeight="1" x14ac:dyDescent="0.3">
      <c r="A18" s="7">
        <v>16</v>
      </c>
      <c r="B18" s="7" t="s">
        <v>105</v>
      </c>
      <c r="C18" s="7" t="s">
        <v>106</v>
      </c>
      <c r="D18" s="7" t="s">
        <v>450</v>
      </c>
      <c r="E18" s="7" t="s">
        <v>35</v>
      </c>
      <c r="F18" s="49">
        <v>1</v>
      </c>
      <c r="G18" s="49">
        <v>1</v>
      </c>
      <c r="H18" s="49">
        <v>1</v>
      </c>
      <c r="I18" s="49">
        <v>1</v>
      </c>
      <c r="J18" s="7"/>
      <c r="K18" s="59">
        <f t="shared" si="0"/>
        <v>1</v>
      </c>
      <c r="L18" s="49">
        <v>1</v>
      </c>
      <c r="M18" s="49">
        <v>1</v>
      </c>
      <c r="N18" s="49">
        <v>1</v>
      </c>
      <c r="O18" s="49">
        <v>2</v>
      </c>
      <c r="P18" s="49">
        <v>1</v>
      </c>
      <c r="Q18" s="59">
        <f t="shared" si="1"/>
        <v>1.2</v>
      </c>
      <c r="R18" s="49"/>
      <c r="S18" s="49">
        <v>1</v>
      </c>
      <c r="T18" s="7"/>
      <c r="U18" s="49"/>
      <c r="V18" s="7"/>
      <c r="W18" s="59">
        <f t="shared" si="2"/>
        <v>1</v>
      </c>
      <c r="X18" s="49"/>
      <c r="Y18" s="49"/>
      <c r="Z18" s="7"/>
      <c r="AA18" s="7"/>
      <c r="AB18" s="7"/>
      <c r="AC18" s="59" t="str">
        <f t="shared" si="3"/>
        <v>A</v>
      </c>
      <c r="AD18" s="49"/>
      <c r="AE18" s="7"/>
      <c r="AF18" s="49"/>
      <c r="AG18" s="7"/>
      <c r="AH18" s="7"/>
      <c r="AI18" s="59" t="str">
        <f t="shared" si="4"/>
        <v>A</v>
      </c>
      <c r="AJ18" s="49">
        <v>1</v>
      </c>
      <c r="AK18" s="49">
        <v>1</v>
      </c>
      <c r="AL18" s="7"/>
      <c r="AM18" s="49">
        <v>1</v>
      </c>
      <c r="AN18" s="7"/>
      <c r="AO18" s="59">
        <f t="shared" si="5"/>
        <v>1</v>
      </c>
      <c r="AP18" s="49">
        <v>2</v>
      </c>
      <c r="AQ18" s="49"/>
      <c r="AR18" s="49"/>
      <c r="AS18" s="7"/>
      <c r="AT18" s="7"/>
      <c r="AU18" s="59">
        <f t="shared" si="6"/>
        <v>2</v>
      </c>
      <c r="AV18" s="7"/>
      <c r="AW18" s="7"/>
      <c r="AX18" s="49"/>
      <c r="AY18" s="49">
        <v>1</v>
      </c>
      <c r="AZ18" s="49">
        <v>1</v>
      </c>
      <c r="BA18" s="59">
        <f t="shared" si="7"/>
        <v>1</v>
      </c>
    </row>
    <row r="19" spans="1:53" ht="23.1" customHeight="1" x14ac:dyDescent="0.3">
      <c r="A19" s="49">
        <v>17</v>
      </c>
      <c r="B19" s="49" t="s">
        <v>295</v>
      </c>
      <c r="C19" s="49" t="s">
        <v>296</v>
      </c>
      <c r="D19" s="49" t="s">
        <v>542</v>
      </c>
      <c r="E19" s="49" t="s">
        <v>493</v>
      </c>
      <c r="F19" s="49">
        <v>4</v>
      </c>
      <c r="G19" s="49">
        <v>4</v>
      </c>
      <c r="H19" s="49">
        <v>2</v>
      </c>
      <c r="I19" s="49">
        <v>4</v>
      </c>
      <c r="J19" s="49"/>
      <c r="K19" s="59">
        <f t="shared" si="0"/>
        <v>3.5</v>
      </c>
      <c r="L19" s="49">
        <v>4</v>
      </c>
      <c r="M19" s="49">
        <v>4</v>
      </c>
      <c r="N19" s="49">
        <v>4</v>
      </c>
      <c r="O19" s="49">
        <v>4</v>
      </c>
      <c r="P19" s="49">
        <v>4</v>
      </c>
      <c r="Q19" s="59">
        <f t="shared" si="1"/>
        <v>4</v>
      </c>
      <c r="R19" s="49"/>
      <c r="S19" s="49">
        <v>4</v>
      </c>
      <c r="T19" s="49"/>
      <c r="U19" s="49"/>
      <c r="V19" s="49"/>
      <c r="W19" s="59">
        <f t="shared" si="2"/>
        <v>4</v>
      </c>
      <c r="X19" s="49"/>
      <c r="Y19" s="49"/>
      <c r="Z19" s="49"/>
      <c r="AA19" s="49"/>
      <c r="AB19" s="49"/>
      <c r="AC19" s="59" t="str">
        <f t="shared" si="3"/>
        <v>A</v>
      </c>
      <c r="AD19" s="49"/>
      <c r="AE19" s="49"/>
      <c r="AF19" s="49"/>
      <c r="AG19" s="49"/>
      <c r="AH19" s="49"/>
      <c r="AI19" s="59" t="str">
        <f t="shared" si="4"/>
        <v>A</v>
      </c>
      <c r="AJ19" s="49">
        <v>3</v>
      </c>
      <c r="AK19" s="49">
        <v>2</v>
      </c>
      <c r="AL19" s="49"/>
      <c r="AM19" s="49">
        <v>3</v>
      </c>
      <c r="AN19" s="49"/>
      <c r="AO19" s="59">
        <f t="shared" si="5"/>
        <v>2.5</v>
      </c>
      <c r="AP19" s="49">
        <v>3</v>
      </c>
      <c r="AQ19" s="49"/>
      <c r="AR19" s="49"/>
      <c r="AS19" s="49"/>
      <c r="AT19" s="49"/>
      <c r="AU19" s="59">
        <f t="shared" si="6"/>
        <v>3</v>
      </c>
      <c r="AV19" s="49"/>
      <c r="AW19" s="49"/>
      <c r="AX19" s="49"/>
      <c r="AY19" s="49">
        <v>3</v>
      </c>
      <c r="AZ19" s="49">
        <v>3</v>
      </c>
      <c r="BA19" s="59">
        <f t="shared" si="7"/>
        <v>3</v>
      </c>
    </row>
    <row r="20" spans="1:53" ht="23.1" customHeight="1" x14ac:dyDescent="0.3">
      <c r="A20" s="7">
        <v>18</v>
      </c>
      <c r="B20" s="7" t="s">
        <v>107</v>
      </c>
      <c r="C20" s="7" t="s">
        <v>108</v>
      </c>
      <c r="D20" s="7" t="s">
        <v>543</v>
      </c>
      <c r="E20" s="7" t="s">
        <v>35</v>
      </c>
      <c r="F20" s="49">
        <v>2</v>
      </c>
      <c r="G20" s="49">
        <v>5</v>
      </c>
      <c r="H20" s="49">
        <v>2</v>
      </c>
      <c r="I20" s="49">
        <v>3</v>
      </c>
      <c r="J20" s="7"/>
      <c r="K20" s="59">
        <f t="shared" si="0"/>
        <v>3</v>
      </c>
      <c r="L20" s="49">
        <v>3</v>
      </c>
      <c r="M20" s="49">
        <v>2</v>
      </c>
      <c r="N20" s="49">
        <v>4</v>
      </c>
      <c r="O20" s="49">
        <v>2</v>
      </c>
      <c r="P20" s="49">
        <v>2</v>
      </c>
      <c r="Q20" s="59">
        <f t="shared" si="1"/>
        <v>2.6</v>
      </c>
      <c r="R20" s="49"/>
      <c r="S20" s="49">
        <v>3</v>
      </c>
      <c r="T20" s="7"/>
      <c r="U20" s="49"/>
      <c r="V20" s="7"/>
      <c r="W20" s="59">
        <f t="shared" si="2"/>
        <v>3</v>
      </c>
      <c r="X20" s="49"/>
      <c r="Y20" s="49"/>
      <c r="Z20" s="7"/>
      <c r="AA20" s="7"/>
      <c r="AB20" s="7"/>
      <c r="AC20" s="59" t="str">
        <f t="shared" si="3"/>
        <v>A</v>
      </c>
      <c r="AD20" s="49"/>
      <c r="AE20" s="7"/>
      <c r="AF20" s="49"/>
      <c r="AG20" s="7"/>
      <c r="AH20" s="7"/>
      <c r="AI20" s="59" t="str">
        <f t="shared" si="4"/>
        <v>A</v>
      </c>
      <c r="AJ20" s="49">
        <v>3</v>
      </c>
      <c r="AK20" s="49">
        <v>3</v>
      </c>
      <c r="AL20" s="7"/>
      <c r="AM20" s="49">
        <v>2</v>
      </c>
      <c r="AN20" s="7"/>
      <c r="AO20" s="59">
        <f t="shared" si="5"/>
        <v>3</v>
      </c>
      <c r="AP20" s="49">
        <v>3</v>
      </c>
      <c r="AQ20" s="49"/>
      <c r="AR20" s="49"/>
      <c r="AS20" s="7"/>
      <c r="AT20" s="7"/>
      <c r="AU20" s="59">
        <f t="shared" si="6"/>
        <v>3</v>
      </c>
      <c r="AV20" s="7"/>
      <c r="AW20" s="7"/>
      <c r="AX20" s="49"/>
      <c r="AY20" s="49">
        <v>3</v>
      </c>
      <c r="AZ20" s="49">
        <v>4</v>
      </c>
      <c r="BA20" s="59">
        <f t="shared" si="7"/>
        <v>3.5</v>
      </c>
    </row>
    <row r="21" spans="1:53" ht="23.1" customHeight="1" x14ac:dyDescent="0.3">
      <c r="A21" s="49">
        <v>19</v>
      </c>
      <c r="B21" s="49" t="s">
        <v>50</v>
      </c>
      <c r="C21" s="49" t="s">
        <v>51</v>
      </c>
      <c r="D21" s="49" t="s">
        <v>542</v>
      </c>
      <c r="E21" s="49" t="s">
        <v>35</v>
      </c>
      <c r="F21" s="49">
        <v>3.5</v>
      </c>
      <c r="G21" s="49">
        <v>3.5</v>
      </c>
      <c r="H21" s="49">
        <v>3.5</v>
      </c>
      <c r="I21" s="49">
        <v>4</v>
      </c>
      <c r="J21" s="49"/>
      <c r="K21" s="59">
        <f t="shared" si="0"/>
        <v>3.625</v>
      </c>
      <c r="L21" s="49">
        <v>4</v>
      </c>
      <c r="M21" s="49">
        <v>3.5</v>
      </c>
      <c r="N21" s="49">
        <v>4</v>
      </c>
      <c r="O21" s="49">
        <v>3.5</v>
      </c>
      <c r="P21" s="49">
        <v>3.5</v>
      </c>
      <c r="Q21" s="59">
        <f t="shared" si="1"/>
        <v>3.7</v>
      </c>
      <c r="R21" s="49"/>
      <c r="S21" s="49">
        <v>4</v>
      </c>
      <c r="T21" s="49"/>
      <c r="U21" s="49"/>
      <c r="V21" s="49"/>
      <c r="W21" s="59">
        <f t="shared" si="2"/>
        <v>4</v>
      </c>
      <c r="X21" s="49"/>
      <c r="Y21" s="49"/>
      <c r="Z21" s="49"/>
      <c r="AA21" s="49"/>
      <c r="AB21" s="49"/>
      <c r="AC21" s="59" t="str">
        <f t="shared" si="3"/>
        <v>A</v>
      </c>
      <c r="AD21" s="49"/>
      <c r="AE21" s="49"/>
      <c r="AF21" s="49"/>
      <c r="AG21" s="49"/>
      <c r="AH21" s="49"/>
      <c r="AI21" s="59" t="str">
        <f t="shared" si="4"/>
        <v>A</v>
      </c>
      <c r="AJ21" s="49">
        <v>3.5</v>
      </c>
      <c r="AK21" s="49">
        <v>3.5</v>
      </c>
      <c r="AL21" s="49"/>
      <c r="AM21" s="49">
        <v>4</v>
      </c>
      <c r="AN21" s="49"/>
      <c r="AO21" s="59">
        <f t="shared" si="5"/>
        <v>3.5</v>
      </c>
      <c r="AP21" s="49">
        <v>3.5</v>
      </c>
      <c r="AQ21" s="49"/>
      <c r="AR21" s="49"/>
      <c r="AS21" s="49"/>
      <c r="AT21" s="49"/>
      <c r="AU21" s="59">
        <f t="shared" si="6"/>
        <v>3.5</v>
      </c>
      <c r="AV21" s="49"/>
      <c r="AW21" s="49"/>
      <c r="AX21" s="49"/>
      <c r="AY21" s="49">
        <v>4</v>
      </c>
      <c r="AZ21" s="49">
        <v>3.5</v>
      </c>
      <c r="BA21" s="59">
        <f t="shared" si="7"/>
        <v>3.75</v>
      </c>
    </row>
    <row r="22" spans="1:53" ht="23.1" customHeight="1" x14ac:dyDescent="0.3">
      <c r="A22" s="7">
        <v>20</v>
      </c>
      <c r="B22" s="7" t="s">
        <v>196</v>
      </c>
      <c r="C22" s="7" t="s">
        <v>537</v>
      </c>
      <c r="D22" s="7" t="s">
        <v>450</v>
      </c>
      <c r="E22" s="7" t="s">
        <v>161</v>
      </c>
      <c r="F22" s="49">
        <v>4</v>
      </c>
      <c r="G22" s="49">
        <v>4</v>
      </c>
      <c r="H22" s="49">
        <v>3</v>
      </c>
      <c r="I22" s="49">
        <v>3</v>
      </c>
      <c r="J22" s="7"/>
      <c r="K22" s="59">
        <f t="shared" si="0"/>
        <v>3.5</v>
      </c>
      <c r="L22" s="49">
        <v>4</v>
      </c>
      <c r="M22" s="49">
        <v>4</v>
      </c>
      <c r="N22" s="49">
        <v>4</v>
      </c>
      <c r="O22" s="49">
        <v>4</v>
      </c>
      <c r="P22" s="49">
        <v>4</v>
      </c>
      <c r="Q22" s="59">
        <f t="shared" si="1"/>
        <v>4</v>
      </c>
      <c r="R22" s="49"/>
      <c r="S22" s="49">
        <v>4</v>
      </c>
      <c r="T22" s="7"/>
      <c r="U22" s="49"/>
      <c r="V22" s="7"/>
      <c r="W22" s="59">
        <f t="shared" si="2"/>
        <v>4</v>
      </c>
      <c r="X22" s="49"/>
      <c r="Y22" s="49"/>
      <c r="Z22" s="7"/>
      <c r="AA22" s="7"/>
      <c r="AB22" s="7"/>
      <c r="AC22" s="59" t="str">
        <f t="shared" si="3"/>
        <v>A</v>
      </c>
      <c r="AD22" s="49"/>
      <c r="AE22" s="7"/>
      <c r="AF22" s="49"/>
      <c r="AG22" s="7"/>
      <c r="AH22" s="7"/>
      <c r="AI22" s="59" t="str">
        <f t="shared" si="4"/>
        <v>A</v>
      </c>
      <c r="AJ22" s="49">
        <v>3</v>
      </c>
      <c r="AK22" s="49">
        <v>4</v>
      </c>
      <c r="AL22" s="7"/>
      <c r="AM22" s="49">
        <v>4</v>
      </c>
      <c r="AN22" s="7"/>
      <c r="AO22" s="59">
        <f t="shared" si="5"/>
        <v>3.5</v>
      </c>
      <c r="AP22" s="49">
        <v>3</v>
      </c>
      <c r="AQ22" s="49"/>
      <c r="AR22" s="49"/>
      <c r="AS22" s="7"/>
      <c r="AT22" s="7"/>
      <c r="AU22" s="59">
        <f t="shared" si="6"/>
        <v>3</v>
      </c>
      <c r="AV22" s="7"/>
      <c r="AW22" s="7"/>
      <c r="AX22" s="49"/>
      <c r="AY22" s="49">
        <v>3</v>
      </c>
      <c r="AZ22" s="49">
        <v>2</v>
      </c>
      <c r="BA22" s="59">
        <f t="shared" si="7"/>
        <v>2.5</v>
      </c>
    </row>
    <row r="23" spans="1:53" ht="23.1" customHeight="1" x14ac:dyDescent="0.3">
      <c r="A23" s="49">
        <v>21</v>
      </c>
      <c r="B23" s="49" t="s">
        <v>209</v>
      </c>
      <c r="C23" s="49" t="s">
        <v>210</v>
      </c>
      <c r="D23" s="49" t="s">
        <v>450</v>
      </c>
      <c r="E23" s="49" t="s">
        <v>161</v>
      </c>
      <c r="F23" s="49">
        <v>4</v>
      </c>
      <c r="G23" s="49">
        <v>2</v>
      </c>
      <c r="H23" s="49">
        <v>3</v>
      </c>
      <c r="I23" s="49">
        <v>2</v>
      </c>
      <c r="J23" s="49"/>
      <c r="K23" s="59">
        <f t="shared" si="0"/>
        <v>2.75</v>
      </c>
      <c r="L23" s="49">
        <v>2</v>
      </c>
      <c r="M23" s="49">
        <v>2</v>
      </c>
      <c r="N23" s="49">
        <v>2</v>
      </c>
      <c r="O23" s="49">
        <v>2</v>
      </c>
      <c r="P23" s="49">
        <v>3</v>
      </c>
      <c r="Q23" s="59">
        <f t="shared" si="1"/>
        <v>2.2000000000000002</v>
      </c>
      <c r="R23" s="49"/>
      <c r="S23" s="49">
        <v>3</v>
      </c>
      <c r="T23" s="49"/>
      <c r="U23" s="49"/>
      <c r="V23" s="49"/>
      <c r="W23" s="59">
        <f t="shared" si="2"/>
        <v>3</v>
      </c>
      <c r="X23" s="49"/>
      <c r="Y23" s="49"/>
      <c r="Z23" s="49"/>
      <c r="AA23" s="49"/>
      <c r="AB23" s="49"/>
      <c r="AC23" s="59" t="str">
        <f t="shared" si="3"/>
        <v>A</v>
      </c>
      <c r="AD23" s="49"/>
      <c r="AE23" s="49"/>
      <c r="AF23" s="49"/>
      <c r="AG23" s="49"/>
      <c r="AH23" s="49"/>
      <c r="AI23" s="59" t="str">
        <f t="shared" si="4"/>
        <v>A</v>
      </c>
      <c r="AJ23" s="49">
        <v>3</v>
      </c>
      <c r="AK23" s="49">
        <v>2</v>
      </c>
      <c r="AL23" s="49"/>
      <c r="AM23" s="49">
        <v>3</v>
      </c>
      <c r="AN23" s="49"/>
      <c r="AO23" s="59">
        <f t="shared" si="5"/>
        <v>2.5</v>
      </c>
      <c r="AP23" s="49">
        <v>3</v>
      </c>
      <c r="AQ23" s="49"/>
      <c r="AR23" s="49"/>
      <c r="AS23" s="49"/>
      <c r="AT23" s="49"/>
      <c r="AU23" s="59">
        <f t="shared" si="6"/>
        <v>3</v>
      </c>
      <c r="AV23" s="49"/>
      <c r="AW23" s="49"/>
      <c r="AX23" s="49"/>
      <c r="AY23" s="49">
        <v>3</v>
      </c>
      <c r="AZ23" s="49">
        <v>3</v>
      </c>
      <c r="BA23" s="59">
        <f t="shared" si="7"/>
        <v>3</v>
      </c>
    </row>
    <row r="24" spans="1:53" ht="23.1" customHeight="1" x14ac:dyDescent="0.3">
      <c r="A24" s="7">
        <v>22</v>
      </c>
      <c r="B24" s="7" t="s">
        <v>58</v>
      </c>
      <c r="C24" s="7" t="s">
        <v>59</v>
      </c>
      <c r="D24" s="7" t="s">
        <v>450</v>
      </c>
      <c r="E24" s="7" t="s">
        <v>35</v>
      </c>
      <c r="F24" s="49">
        <v>3</v>
      </c>
      <c r="G24" s="49">
        <v>3</v>
      </c>
      <c r="H24" s="49">
        <v>3</v>
      </c>
      <c r="I24" s="49">
        <v>3</v>
      </c>
      <c r="J24" s="7"/>
      <c r="K24" s="59">
        <f t="shared" si="0"/>
        <v>3</v>
      </c>
      <c r="L24" s="49">
        <v>3</v>
      </c>
      <c r="M24" s="49">
        <v>3</v>
      </c>
      <c r="N24" s="49">
        <v>3</v>
      </c>
      <c r="O24" s="49">
        <v>3</v>
      </c>
      <c r="P24" s="49">
        <v>3</v>
      </c>
      <c r="Q24" s="59">
        <f t="shared" si="1"/>
        <v>3</v>
      </c>
      <c r="R24" s="49"/>
      <c r="S24" s="49">
        <v>3</v>
      </c>
      <c r="T24" s="7"/>
      <c r="U24" s="49"/>
      <c r="V24" s="7"/>
      <c r="W24" s="59">
        <f t="shared" si="2"/>
        <v>3</v>
      </c>
      <c r="X24" s="49"/>
      <c r="Y24" s="49"/>
      <c r="Z24" s="7"/>
      <c r="AA24" s="7"/>
      <c r="AB24" s="7"/>
      <c r="AC24" s="59" t="str">
        <f t="shared" si="3"/>
        <v>A</v>
      </c>
      <c r="AD24" s="49"/>
      <c r="AE24" s="7"/>
      <c r="AF24" s="49"/>
      <c r="AG24" s="7"/>
      <c r="AH24" s="7"/>
      <c r="AI24" s="59" t="str">
        <f t="shared" si="4"/>
        <v>A</v>
      </c>
      <c r="AJ24" s="49">
        <v>3</v>
      </c>
      <c r="AK24" s="49">
        <v>3</v>
      </c>
      <c r="AL24" s="7"/>
      <c r="AM24" s="49">
        <v>3</v>
      </c>
      <c r="AN24" s="7"/>
      <c r="AO24" s="59">
        <f t="shared" si="5"/>
        <v>3</v>
      </c>
      <c r="AP24" s="49">
        <v>4</v>
      </c>
      <c r="AQ24" s="49"/>
      <c r="AR24" s="49"/>
      <c r="AS24" s="7"/>
      <c r="AT24" s="7"/>
      <c r="AU24" s="59">
        <f t="shared" si="6"/>
        <v>4</v>
      </c>
      <c r="AV24" s="7"/>
      <c r="AW24" s="7"/>
      <c r="AX24" s="49"/>
      <c r="AY24" s="49">
        <v>3</v>
      </c>
      <c r="AZ24" s="49">
        <v>4</v>
      </c>
      <c r="BA24" s="59">
        <f t="shared" si="7"/>
        <v>3.5</v>
      </c>
    </row>
    <row r="25" spans="1:53" ht="23.1" customHeight="1" x14ac:dyDescent="0.3">
      <c r="A25" s="49">
        <v>23</v>
      </c>
      <c r="B25" s="49" t="s">
        <v>225</v>
      </c>
      <c r="C25" s="49" t="s">
        <v>226</v>
      </c>
      <c r="D25" s="49" t="s">
        <v>450</v>
      </c>
      <c r="E25" s="49" t="s">
        <v>161</v>
      </c>
      <c r="F25" s="49">
        <v>3</v>
      </c>
      <c r="G25" s="49">
        <v>2.5</v>
      </c>
      <c r="H25" s="49">
        <v>3</v>
      </c>
      <c r="I25" s="49">
        <v>3</v>
      </c>
      <c r="J25" s="49"/>
      <c r="K25" s="59">
        <f t="shared" si="0"/>
        <v>2.875</v>
      </c>
      <c r="L25" s="49">
        <v>3</v>
      </c>
      <c r="M25" s="49">
        <v>3</v>
      </c>
      <c r="N25" s="49">
        <v>3</v>
      </c>
      <c r="O25" s="49">
        <v>2.5</v>
      </c>
      <c r="P25" s="49">
        <v>3</v>
      </c>
      <c r="Q25" s="59">
        <f t="shared" si="1"/>
        <v>2.9</v>
      </c>
      <c r="R25" s="49"/>
      <c r="S25" s="49">
        <v>3</v>
      </c>
      <c r="T25" s="49"/>
      <c r="U25" s="49"/>
      <c r="V25" s="49"/>
      <c r="W25" s="59">
        <f t="shared" si="2"/>
        <v>3</v>
      </c>
      <c r="X25" s="49"/>
      <c r="Y25" s="49"/>
      <c r="Z25" s="49"/>
      <c r="AA25" s="49"/>
      <c r="AB25" s="49"/>
      <c r="AC25" s="59" t="str">
        <f t="shared" si="3"/>
        <v>A</v>
      </c>
      <c r="AD25" s="49"/>
      <c r="AE25" s="49"/>
      <c r="AF25" s="49"/>
      <c r="AG25" s="49"/>
      <c r="AH25" s="49"/>
      <c r="AI25" s="59" t="str">
        <f t="shared" si="4"/>
        <v>A</v>
      </c>
      <c r="AJ25" s="49">
        <v>3</v>
      </c>
      <c r="AK25" s="49">
        <v>2.5</v>
      </c>
      <c r="AL25" s="49"/>
      <c r="AM25" s="49">
        <v>3</v>
      </c>
      <c r="AN25" s="49"/>
      <c r="AO25" s="59">
        <f t="shared" si="5"/>
        <v>2.75</v>
      </c>
      <c r="AP25" s="49">
        <v>3</v>
      </c>
      <c r="AQ25" s="49"/>
      <c r="AR25" s="49"/>
      <c r="AS25" s="49"/>
      <c r="AT25" s="49"/>
      <c r="AU25" s="59">
        <f t="shared" si="6"/>
        <v>3</v>
      </c>
      <c r="AV25" s="49"/>
      <c r="AW25" s="49"/>
      <c r="AX25" s="49"/>
      <c r="AY25" s="49">
        <v>2.5</v>
      </c>
      <c r="AZ25" s="49">
        <v>2.5</v>
      </c>
      <c r="BA25" s="59">
        <f t="shared" si="7"/>
        <v>2.5</v>
      </c>
    </row>
    <row r="26" spans="1:53" ht="23.1" customHeight="1" x14ac:dyDescent="0.3">
      <c r="A26" s="7">
        <v>24</v>
      </c>
      <c r="B26" s="7" t="s">
        <v>297</v>
      </c>
      <c r="C26" s="7" t="s">
        <v>109</v>
      </c>
      <c r="D26" s="7" t="s">
        <v>450</v>
      </c>
      <c r="E26" s="7" t="s">
        <v>35</v>
      </c>
      <c r="F26" s="49">
        <v>1</v>
      </c>
      <c r="G26" s="49">
        <v>3</v>
      </c>
      <c r="H26" s="49">
        <v>2</v>
      </c>
      <c r="I26" s="49">
        <v>2</v>
      </c>
      <c r="J26" s="7"/>
      <c r="K26" s="59">
        <f t="shared" si="0"/>
        <v>2</v>
      </c>
      <c r="L26" s="49">
        <v>2</v>
      </c>
      <c r="M26" s="49">
        <v>2</v>
      </c>
      <c r="N26" s="49">
        <v>2</v>
      </c>
      <c r="O26" s="49">
        <v>4</v>
      </c>
      <c r="P26" s="49">
        <v>2</v>
      </c>
      <c r="Q26" s="59">
        <f t="shared" si="1"/>
        <v>2.4</v>
      </c>
      <c r="R26" s="49"/>
      <c r="S26" s="49">
        <v>1</v>
      </c>
      <c r="T26" s="7"/>
      <c r="U26" s="49"/>
      <c r="V26" s="7"/>
      <c r="W26" s="59">
        <f t="shared" si="2"/>
        <v>1</v>
      </c>
      <c r="X26" s="49"/>
      <c r="Y26" s="49"/>
      <c r="Z26" s="7"/>
      <c r="AA26" s="7"/>
      <c r="AB26" s="7"/>
      <c r="AC26" s="59" t="str">
        <f t="shared" si="3"/>
        <v>A</v>
      </c>
      <c r="AD26" s="49"/>
      <c r="AE26" s="7"/>
      <c r="AF26" s="49"/>
      <c r="AG26" s="7"/>
      <c r="AH26" s="7"/>
      <c r="AI26" s="59" t="str">
        <f t="shared" si="4"/>
        <v>A</v>
      </c>
      <c r="AJ26" s="49">
        <v>2</v>
      </c>
      <c r="AK26" s="49">
        <v>1</v>
      </c>
      <c r="AL26" s="7"/>
      <c r="AM26" s="49">
        <v>2</v>
      </c>
      <c r="AN26" s="7"/>
      <c r="AO26" s="59">
        <f t="shared" si="5"/>
        <v>1.5</v>
      </c>
      <c r="AP26" s="49">
        <v>3</v>
      </c>
      <c r="AQ26" s="49"/>
      <c r="AR26" s="49"/>
      <c r="AS26" s="7"/>
      <c r="AT26" s="7"/>
      <c r="AU26" s="59">
        <f t="shared" si="6"/>
        <v>3</v>
      </c>
      <c r="AV26" s="7"/>
      <c r="AW26" s="7"/>
      <c r="AX26" s="49"/>
      <c r="AY26" s="49">
        <v>2</v>
      </c>
      <c r="AZ26" s="49">
        <v>2</v>
      </c>
      <c r="BA26" s="59">
        <f t="shared" si="7"/>
        <v>2</v>
      </c>
    </row>
    <row r="27" spans="1:53" ht="23.1" customHeight="1" x14ac:dyDescent="0.3">
      <c r="A27" s="49">
        <v>25</v>
      </c>
      <c r="B27" s="49" t="s">
        <v>241</v>
      </c>
      <c r="C27" s="49" t="s">
        <v>242</v>
      </c>
      <c r="D27" s="49" t="s">
        <v>450</v>
      </c>
      <c r="E27" s="49" t="s">
        <v>161</v>
      </c>
      <c r="F27" s="49">
        <v>3</v>
      </c>
      <c r="G27" s="49">
        <v>3</v>
      </c>
      <c r="H27" s="49">
        <v>0</v>
      </c>
      <c r="I27" s="49">
        <v>3</v>
      </c>
      <c r="J27" s="49"/>
      <c r="K27" s="59">
        <f t="shared" si="0"/>
        <v>2.25</v>
      </c>
      <c r="L27" s="49">
        <v>4</v>
      </c>
      <c r="M27" s="49">
        <v>4</v>
      </c>
      <c r="N27" s="49">
        <v>4</v>
      </c>
      <c r="O27" s="49">
        <v>3</v>
      </c>
      <c r="P27" s="49">
        <v>3</v>
      </c>
      <c r="Q27" s="59">
        <f t="shared" si="1"/>
        <v>3.6</v>
      </c>
      <c r="R27" s="49"/>
      <c r="S27" s="49">
        <v>3</v>
      </c>
      <c r="T27" s="49"/>
      <c r="U27" s="49"/>
      <c r="V27" s="49"/>
      <c r="W27" s="59">
        <f t="shared" si="2"/>
        <v>3</v>
      </c>
      <c r="X27" s="49"/>
      <c r="Y27" s="49"/>
      <c r="Z27" s="49"/>
      <c r="AA27" s="49"/>
      <c r="AB27" s="49"/>
      <c r="AC27" s="59" t="str">
        <f t="shared" si="3"/>
        <v>A</v>
      </c>
      <c r="AD27" s="49"/>
      <c r="AE27" s="49"/>
      <c r="AF27" s="49"/>
      <c r="AG27" s="49"/>
      <c r="AH27" s="49"/>
      <c r="AI27" s="59" t="str">
        <f t="shared" si="4"/>
        <v>A</v>
      </c>
      <c r="AJ27" s="49">
        <v>3</v>
      </c>
      <c r="AK27" s="49">
        <v>3</v>
      </c>
      <c r="AL27" s="49"/>
      <c r="AM27" s="49">
        <v>3</v>
      </c>
      <c r="AN27" s="49"/>
      <c r="AO27" s="59">
        <f t="shared" si="5"/>
        <v>3</v>
      </c>
      <c r="AP27" s="49">
        <v>3</v>
      </c>
      <c r="AQ27" s="49"/>
      <c r="AR27" s="49"/>
      <c r="AS27" s="49"/>
      <c r="AT27" s="49"/>
      <c r="AU27" s="59">
        <f t="shared" si="6"/>
        <v>3</v>
      </c>
      <c r="AV27" s="49"/>
      <c r="AW27" s="49"/>
      <c r="AX27" s="49"/>
      <c r="AY27" s="49">
        <v>3</v>
      </c>
      <c r="AZ27" s="49">
        <v>3</v>
      </c>
      <c r="BA27" s="59">
        <f t="shared" si="7"/>
        <v>3</v>
      </c>
    </row>
    <row r="28" spans="1:53" ht="23.1" customHeight="1" x14ac:dyDescent="0.3">
      <c r="A28" s="7">
        <v>26</v>
      </c>
      <c r="B28" s="7" t="s">
        <v>298</v>
      </c>
      <c r="C28" s="7" t="s">
        <v>299</v>
      </c>
      <c r="D28" s="7" t="s">
        <v>542</v>
      </c>
      <c r="E28" s="7" t="s">
        <v>493</v>
      </c>
      <c r="F28" s="49">
        <v>2</v>
      </c>
      <c r="G28" s="49">
        <v>2</v>
      </c>
      <c r="H28" s="49">
        <v>2</v>
      </c>
      <c r="I28" s="49">
        <v>2</v>
      </c>
      <c r="J28" s="7"/>
      <c r="K28" s="59">
        <f t="shared" si="0"/>
        <v>2</v>
      </c>
      <c r="L28" s="49">
        <v>2</v>
      </c>
      <c r="M28" s="49">
        <v>3</v>
      </c>
      <c r="N28" s="49">
        <v>2</v>
      </c>
      <c r="O28" s="49">
        <v>3</v>
      </c>
      <c r="P28" s="49">
        <v>2</v>
      </c>
      <c r="Q28" s="59">
        <f t="shared" si="1"/>
        <v>2.4</v>
      </c>
      <c r="R28" s="49"/>
      <c r="S28" s="49">
        <v>3</v>
      </c>
      <c r="T28" s="7"/>
      <c r="U28" s="49"/>
      <c r="V28" s="7"/>
      <c r="W28" s="59">
        <f t="shared" si="2"/>
        <v>3</v>
      </c>
      <c r="X28" s="49"/>
      <c r="Y28" s="49"/>
      <c r="Z28" s="7"/>
      <c r="AA28" s="7"/>
      <c r="AB28" s="7"/>
      <c r="AC28" s="59" t="str">
        <f t="shared" si="3"/>
        <v>A</v>
      </c>
      <c r="AD28" s="49"/>
      <c r="AE28" s="7"/>
      <c r="AF28" s="49"/>
      <c r="AG28" s="7"/>
      <c r="AH28" s="7"/>
      <c r="AI28" s="59" t="str">
        <f t="shared" si="4"/>
        <v>A</v>
      </c>
      <c r="AJ28" s="49">
        <v>3</v>
      </c>
      <c r="AK28" s="49">
        <v>3</v>
      </c>
      <c r="AL28" s="7"/>
      <c r="AM28" s="49">
        <v>3</v>
      </c>
      <c r="AN28" s="7"/>
      <c r="AO28" s="59">
        <f t="shared" si="5"/>
        <v>3</v>
      </c>
      <c r="AP28" s="49">
        <v>3</v>
      </c>
      <c r="AQ28" s="49"/>
      <c r="AR28" s="49"/>
      <c r="AS28" s="7"/>
      <c r="AT28" s="7"/>
      <c r="AU28" s="59">
        <f t="shared" si="6"/>
        <v>3</v>
      </c>
      <c r="AV28" s="7"/>
      <c r="AW28" s="7"/>
      <c r="AX28" s="49"/>
      <c r="AY28" s="49">
        <v>3</v>
      </c>
      <c r="AZ28" s="49">
        <v>2</v>
      </c>
      <c r="BA28" s="59">
        <f t="shared" si="7"/>
        <v>2.5</v>
      </c>
    </row>
    <row r="29" spans="1:53" ht="23.1" customHeight="1" x14ac:dyDescent="0.3">
      <c r="A29" s="49">
        <v>27</v>
      </c>
      <c r="B29" s="49" t="s">
        <v>257</v>
      </c>
      <c r="C29" s="49" t="s">
        <v>258</v>
      </c>
      <c r="D29" s="49" t="s">
        <v>450</v>
      </c>
      <c r="E29" s="49" t="s">
        <v>161</v>
      </c>
      <c r="F29" s="49">
        <v>4</v>
      </c>
      <c r="G29" s="49">
        <v>4</v>
      </c>
      <c r="H29" s="49">
        <v>4</v>
      </c>
      <c r="I29" s="49">
        <v>3.5</v>
      </c>
      <c r="J29" s="49"/>
      <c r="K29" s="59">
        <f t="shared" si="0"/>
        <v>3.875</v>
      </c>
      <c r="L29" s="49">
        <v>4</v>
      </c>
      <c r="M29" s="49">
        <v>3.5</v>
      </c>
      <c r="N29" s="49">
        <v>4</v>
      </c>
      <c r="O29" s="49">
        <v>4</v>
      </c>
      <c r="P29" s="49">
        <v>4</v>
      </c>
      <c r="Q29" s="59">
        <f t="shared" si="1"/>
        <v>3.9</v>
      </c>
      <c r="R29" s="49"/>
      <c r="S29" s="49">
        <v>3.5</v>
      </c>
      <c r="T29" s="49"/>
      <c r="U29" s="49"/>
      <c r="V29" s="49"/>
      <c r="W29" s="59">
        <f t="shared" si="2"/>
        <v>3.5</v>
      </c>
      <c r="X29" s="49"/>
      <c r="Y29" s="49"/>
      <c r="Z29" s="49"/>
      <c r="AA29" s="49"/>
      <c r="AB29" s="49"/>
      <c r="AC29" s="59" t="str">
        <f t="shared" si="3"/>
        <v>A</v>
      </c>
      <c r="AD29" s="49"/>
      <c r="AE29" s="49"/>
      <c r="AF29" s="49"/>
      <c r="AG29" s="49"/>
      <c r="AH29" s="49"/>
      <c r="AI29" s="59" t="str">
        <f t="shared" si="4"/>
        <v>A</v>
      </c>
      <c r="AJ29" s="49">
        <v>4</v>
      </c>
      <c r="AK29" s="49">
        <v>4</v>
      </c>
      <c r="AL29" s="49"/>
      <c r="AM29" s="49">
        <v>4</v>
      </c>
      <c r="AN29" s="49"/>
      <c r="AO29" s="59">
        <f t="shared" si="5"/>
        <v>4</v>
      </c>
      <c r="AP29" s="49">
        <v>4</v>
      </c>
      <c r="AQ29" s="49"/>
      <c r="AR29" s="49"/>
      <c r="AS29" s="49"/>
      <c r="AT29" s="49"/>
      <c r="AU29" s="59">
        <f t="shared" si="6"/>
        <v>4</v>
      </c>
      <c r="AV29" s="49"/>
      <c r="AW29" s="49"/>
      <c r="AX29" s="49"/>
      <c r="AY29" s="49">
        <v>4</v>
      </c>
      <c r="AZ29" s="49">
        <v>4</v>
      </c>
      <c r="BA29" s="59">
        <f t="shared" si="7"/>
        <v>4</v>
      </c>
    </row>
    <row r="30" spans="1:53" ht="23.1" customHeight="1" x14ac:dyDescent="0.3">
      <c r="A30" s="7">
        <v>28</v>
      </c>
      <c r="B30" s="7" t="s">
        <v>66</v>
      </c>
      <c r="C30" s="7" t="s">
        <v>67</v>
      </c>
      <c r="D30" s="7" t="s">
        <v>450</v>
      </c>
      <c r="E30" s="7" t="s">
        <v>35</v>
      </c>
      <c r="F30" s="49">
        <v>2</v>
      </c>
      <c r="G30" s="49">
        <v>1</v>
      </c>
      <c r="H30" s="49">
        <v>2</v>
      </c>
      <c r="I30" s="49">
        <v>3</v>
      </c>
      <c r="J30" s="7"/>
      <c r="K30" s="59">
        <f t="shared" si="0"/>
        <v>2</v>
      </c>
      <c r="L30" s="49">
        <v>3</v>
      </c>
      <c r="M30" s="49">
        <v>2</v>
      </c>
      <c r="N30" s="49">
        <v>3</v>
      </c>
      <c r="O30" s="49">
        <v>3</v>
      </c>
      <c r="P30" s="49">
        <v>2</v>
      </c>
      <c r="Q30" s="59">
        <f t="shared" si="1"/>
        <v>2.6</v>
      </c>
      <c r="R30" s="49"/>
      <c r="S30" s="49">
        <v>2</v>
      </c>
      <c r="T30" s="7"/>
      <c r="U30" s="49"/>
      <c r="V30" s="7"/>
      <c r="W30" s="59">
        <f t="shared" si="2"/>
        <v>2</v>
      </c>
      <c r="X30" s="49"/>
      <c r="Y30" s="49"/>
      <c r="Z30" s="7"/>
      <c r="AA30" s="7"/>
      <c r="AB30" s="7"/>
      <c r="AC30" s="59" t="str">
        <f t="shared" si="3"/>
        <v>A</v>
      </c>
      <c r="AD30" s="49"/>
      <c r="AE30" s="7"/>
      <c r="AF30" s="49"/>
      <c r="AG30" s="7"/>
      <c r="AH30" s="7"/>
      <c r="AI30" s="59" t="str">
        <f t="shared" si="4"/>
        <v>A</v>
      </c>
      <c r="AJ30" s="49">
        <v>3</v>
      </c>
      <c r="AK30" s="49">
        <v>2</v>
      </c>
      <c r="AL30" s="7"/>
      <c r="AM30" s="49">
        <v>2</v>
      </c>
      <c r="AN30" s="7"/>
      <c r="AO30" s="59">
        <f t="shared" si="5"/>
        <v>2.5</v>
      </c>
      <c r="AP30" s="49">
        <v>3</v>
      </c>
      <c r="AQ30" s="49"/>
      <c r="AR30" s="49"/>
      <c r="AS30" s="7"/>
      <c r="AT30" s="7"/>
      <c r="AU30" s="59">
        <f t="shared" si="6"/>
        <v>3</v>
      </c>
      <c r="AV30" s="7"/>
      <c r="AW30" s="7"/>
      <c r="AX30" s="49"/>
      <c r="AY30" s="49">
        <v>3</v>
      </c>
      <c r="AZ30" s="49">
        <v>3</v>
      </c>
      <c r="BA30" s="59">
        <f t="shared" si="7"/>
        <v>3</v>
      </c>
    </row>
    <row r="31" spans="1:53" ht="23.1" customHeight="1" x14ac:dyDescent="0.3">
      <c r="A31" s="49">
        <v>29</v>
      </c>
      <c r="B31" s="49" t="s">
        <v>300</v>
      </c>
      <c r="C31" s="49" t="s">
        <v>301</v>
      </c>
      <c r="D31" s="49" t="s">
        <v>450</v>
      </c>
      <c r="E31" s="49" t="s">
        <v>493</v>
      </c>
      <c r="F31" s="49">
        <v>2</v>
      </c>
      <c r="G31" s="49">
        <v>2</v>
      </c>
      <c r="H31" s="49">
        <v>2</v>
      </c>
      <c r="I31" s="49">
        <v>2</v>
      </c>
      <c r="J31" s="49"/>
      <c r="K31" s="59">
        <f t="shared" si="0"/>
        <v>2</v>
      </c>
      <c r="L31" s="49">
        <v>2</v>
      </c>
      <c r="M31" s="49">
        <v>2</v>
      </c>
      <c r="N31" s="49">
        <v>1</v>
      </c>
      <c r="O31" s="49">
        <v>2</v>
      </c>
      <c r="P31" s="49">
        <v>2</v>
      </c>
      <c r="Q31" s="59">
        <f t="shared" si="1"/>
        <v>1.8</v>
      </c>
      <c r="R31" s="49"/>
      <c r="S31" s="49">
        <v>2</v>
      </c>
      <c r="T31" s="49"/>
      <c r="U31" s="49"/>
      <c r="V31" s="49"/>
      <c r="W31" s="59">
        <f t="shared" si="2"/>
        <v>2</v>
      </c>
      <c r="X31" s="49"/>
      <c r="Y31" s="49"/>
      <c r="Z31" s="49"/>
      <c r="AA31" s="49"/>
      <c r="AB31" s="49"/>
      <c r="AC31" s="59" t="str">
        <f t="shared" si="3"/>
        <v>A</v>
      </c>
      <c r="AD31" s="49"/>
      <c r="AE31" s="49"/>
      <c r="AF31" s="49"/>
      <c r="AG31" s="49"/>
      <c r="AH31" s="49"/>
      <c r="AI31" s="59" t="str">
        <f t="shared" si="4"/>
        <v>A</v>
      </c>
      <c r="AJ31" s="49">
        <v>2</v>
      </c>
      <c r="AK31" s="49">
        <v>2</v>
      </c>
      <c r="AL31" s="49"/>
      <c r="AM31" s="49">
        <v>2</v>
      </c>
      <c r="AN31" s="49"/>
      <c r="AO31" s="59">
        <f t="shared" si="5"/>
        <v>2</v>
      </c>
      <c r="AP31" s="49">
        <v>2</v>
      </c>
      <c r="AQ31" s="49"/>
      <c r="AR31" s="49"/>
      <c r="AS31" s="49"/>
      <c r="AT31" s="49"/>
      <c r="AU31" s="59">
        <f t="shared" si="6"/>
        <v>2</v>
      </c>
      <c r="AV31" s="49"/>
      <c r="AW31" s="49"/>
      <c r="AX31" s="49"/>
      <c r="AY31" s="49">
        <v>3</v>
      </c>
      <c r="AZ31" s="49">
        <v>3</v>
      </c>
      <c r="BA31" s="59">
        <f t="shared" si="7"/>
        <v>3</v>
      </c>
    </row>
    <row r="32" spans="1:53" ht="23.1" customHeight="1" x14ac:dyDescent="0.3">
      <c r="A32" s="7">
        <v>30</v>
      </c>
      <c r="B32" s="7" t="s">
        <v>40</v>
      </c>
      <c r="C32" s="7" t="s">
        <v>41</v>
      </c>
      <c r="D32" s="7" t="s">
        <v>450</v>
      </c>
      <c r="E32" s="7" t="s">
        <v>35</v>
      </c>
      <c r="F32" s="49">
        <v>3</v>
      </c>
      <c r="G32" s="49">
        <v>0</v>
      </c>
      <c r="H32" s="49">
        <v>4</v>
      </c>
      <c r="I32" s="49">
        <v>3</v>
      </c>
      <c r="J32" s="7"/>
      <c r="K32" s="59">
        <f t="shared" si="0"/>
        <v>2.5</v>
      </c>
      <c r="L32" s="49">
        <v>4</v>
      </c>
      <c r="M32" s="49">
        <v>3</v>
      </c>
      <c r="N32" s="49">
        <v>4</v>
      </c>
      <c r="O32" s="49">
        <v>3</v>
      </c>
      <c r="P32" s="49">
        <v>3</v>
      </c>
      <c r="Q32" s="59">
        <f t="shared" si="1"/>
        <v>3.4</v>
      </c>
      <c r="R32" s="49"/>
      <c r="S32" s="49">
        <v>2</v>
      </c>
      <c r="T32" s="7"/>
      <c r="U32" s="49"/>
      <c r="V32" s="7"/>
      <c r="W32" s="59">
        <f t="shared" si="2"/>
        <v>2</v>
      </c>
      <c r="X32" s="49"/>
      <c r="Y32" s="49"/>
      <c r="Z32" s="7"/>
      <c r="AA32" s="7"/>
      <c r="AB32" s="7"/>
      <c r="AC32" s="59" t="str">
        <f t="shared" si="3"/>
        <v>A</v>
      </c>
      <c r="AD32" s="49"/>
      <c r="AE32" s="7"/>
      <c r="AF32" s="49"/>
      <c r="AG32" s="7"/>
      <c r="AH32" s="7"/>
      <c r="AI32" s="59" t="str">
        <f t="shared" si="4"/>
        <v>A</v>
      </c>
      <c r="AJ32" s="49">
        <v>3</v>
      </c>
      <c r="AK32" s="49">
        <v>3</v>
      </c>
      <c r="AL32" s="7"/>
      <c r="AM32" s="49">
        <v>2</v>
      </c>
      <c r="AN32" s="7"/>
      <c r="AO32" s="59">
        <f t="shared" si="5"/>
        <v>3</v>
      </c>
      <c r="AP32" s="49">
        <v>3</v>
      </c>
      <c r="AQ32" s="49"/>
      <c r="AR32" s="49"/>
      <c r="AS32" s="7"/>
      <c r="AT32" s="7"/>
      <c r="AU32" s="59">
        <f t="shared" si="6"/>
        <v>3</v>
      </c>
      <c r="AV32" s="7"/>
      <c r="AW32" s="7"/>
      <c r="AX32" s="49"/>
      <c r="AY32" s="49">
        <v>3</v>
      </c>
      <c r="AZ32" s="49">
        <v>2</v>
      </c>
      <c r="BA32" s="59">
        <f t="shared" si="7"/>
        <v>2.5</v>
      </c>
    </row>
    <row r="33" spans="1:53" ht="23.1" customHeight="1" x14ac:dyDescent="0.3">
      <c r="A33" s="49">
        <v>31</v>
      </c>
      <c r="B33" s="49" t="s">
        <v>110</v>
      </c>
      <c r="C33" s="49" t="s">
        <v>111</v>
      </c>
      <c r="D33" s="49" t="s">
        <v>450</v>
      </c>
      <c r="E33" s="49" t="s">
        <v>35</v>
      </c>
      <c r="F33" s="49">
        <v>4</v>
      </c>
      <c r="G33" s="49">
        <v>3</v>
      </c>
      <c r="H33" s="49">
        <v>3</v>
      </c>
      <c r="I33" s="49">
        <v>3</v>
      </c>
      <c r="J33" s="49"/>
      <c r="K33" s="59">
        <f t="shared" si="0"/>
        <v>3.25</v>
      </c>
      <c r="L33" s="49">
        <v>3</v>
      </c>
      <c r="M33" s="49">
        <v>4</v>
      </c>
      <c r="N33" s="49">
        <v>3</v>
      </c>
      <c r="O33" s="49">
        <v>3</v>
      </c>
      <c r="P33" s="49">
        <v>3</v>
      </c>
      <c r="Q33" s="59">
        <f t="shared" si="1"/>
        <v>3.2</v>
      </c>
      <c r="R33" s="49"/>
      <c r="S33" s="49">
        <v>3</v>
      </c>
      <c r="T33" s="49"/>
      <c r="U33" s="49"/>
      <c r="V33" s="49"/>
      <c r="W33" s="59">
        <f t="shared" si="2"/>
        <v>3</v>
      </c>
      <c r="X33" s="49"/>
      <c r="Y33" s="49"/>
      <c r="Z33" s="49"/>
      <c r="AA33" s="49"/>
      <c r="AB33" s="49"/>
      <c r="AC33" s="59" t="str">
        <f t="shared" si="3"/>
        <v>A</v>
      </c>
      <c r="AD33" s="49"/>
      <c r="AE33" s="49"/>
      <c r="AF33" s="49"/>
      <c r="AG33" s="49"/>
      <c r="AH33" s="49"/>
      <c r="AI33" s="59" t="str">
        <f t="shared" si="4"/>
        <v>A</v>
      </c>
      <c r="AJ33" s="49">
        <v>3</v>
      </c>
      <c r="AK33" s="49">
        <v>3</v>
      </c>
      <c r="AL33" s="49"/>
      <c r="AM33" s="49">
        <v>3</v>
      </c>
      <c r="AN33" s="49"/>
      <c r="AO33" s="59">
        <f t="shared" si="5"/>
        <v>3</v>
      </c>
      <c r="AP33" s="49">
        <v>3</v>
      </c>
      <c r="AQ33" s="49"/>
      <c r="AR33" s="49"/>
      <c r="AS33" s="49"/>
      <c r="AT33" s="49"/>
      <c r="AU33" s="59">
        <f t="shared" si="6"/>
        <v>3</v>
      </c>
      <c r="AV33" s="49"/>
      <c r="AW33" s="49"/>
      <c r="AX33" s="49"/>
      <c r="AY33" s="49">
        <v>3</v>
      </c>
      <c r="AZ33" s="49">
        <v>4</v>
      </c>
      <c r="BA33" s="59">
        <f t="shared" si="7"/>
        <v>3.5</v>
      </c>
    </row>
    <row r="34" spans="1:53" ht="23.1" customHeight="1" x14ac:dyDescent="0.3">
      <c r="A34" s="7">
        <v>32</v>
      </c>
      <c r="B34" s="7" t="s">
        <v>243</v>
      </c>
      <c r="C34" s="7" t="s">
        <v>244</v>
      </c>
      <c r="D34" s="7" t="s">
        <v>542</v>
      </c>
      <c r="E34" s="7" t="s">
        <v>161</v>
      </c>
      <c r="F34" s="49">
        <v>3</v>
      </c>
      <c r="G34" s="49">
        <v>3</v>
      </c>
      <c r="H34" s="49">
        <v>3</v>
      </c>
      <c r="I34" s="49">
        <v>3</v>
      </c>
      <c r="J34" s="7"/>
      <c r="K34" s="59">
        <f t="shared" si="0"/>
        <v>3</v>
      </c>
      <c r="L34" s="49">
        <v>2</v>
      </c>
      <c r="M34" s="49">
        <v>3</v>
      </c>
      <c r="N34" s="49">
        <v>4</v>
      </c>
      <c r="O34" s="49">
        <v>3</v>
      </c>
      <c r="P34" s="49">
        <v>3</v>
      </c>
      <c r="Q34" s="59">
        <f t="shared" si="1"/>
        <v>3</v>
      </c>
      <c r="R34" s="49"/>
      <c r="S34" s="49">
        <v>3</v>
      </c>
      <c r="T34" s="7"/>
      <c r="U34" s="49"/>
      <c r="V34" s="7"/>
      <c r="W34" s="59">
        <f t="shared" si="2"/>
        <v>3</v>
      </c>
      <c r="X34" s="49"/>
      <c r="Y34" s="49"/>
      <c r="Z34" s="7"/>
      <c r="AA34" s="7"/>
      <c r="AB34" s="7"/>
      <c r="AC34" s="59" t="str">
        <f t="shared" si="3"/>
        <v>A</v>
      </c>
      <c r="AD34" s="49"/>
      <c r="AE34" s="7"/>
      <c r="AF34" s="49"/>
      <c r="AG34" s="7"/>
      <c r="AH34" s="7"/>
      <c r="AI34" s="59" t="str">
        <f t="shared" si="4"/>
        <v>A</v>
      </c>
      <c r="AJ34" s="49">
        <v>3</v>
      </c>
      <c r="AK34" s="49">
        <v>3</v>
      </c>
      <c r="AL34" s="7"/>
      <c r="AM34" s="49">
        <v>3</v>
      </c>
      <c r="AN34" s="7"/>
      <c r="AO34" s="59">
        <f t="shared" si="5"/>
        <v>3</v>
      </c>
      <c r="AP34" s="49">
        <v>3</v>
      </c>
      <c r="AQ34" s="49"/>
      <c r="AR34" s="49"/>
      <c r="AS34" s="7"/>
      <c r="AT34" s="7"/>
      <c r="AU34" s="59">
        <f t="shared" si="6"/>
        <v>3</v>
      </c>
      <c r="AV34" s="7"/>
      <c r="AW34" s="7"/>
      <c r="AX34" s="49"/>
      <c r="AY34" s="49">
        <v>3</v>
      </c>
      <c r="AZ34" s="49">
        <v>3</v>
      </c>
      <c r="BA34" s="59">
        <f t="shared" si="7"/>
        <v>3</v>
      </c>
    </row>
    <row r="35" spans="1:53" ht="23.1" customHeight="1" x14ac:dyDescent="0.3">
      <c r="A35" s="49">
        <v>33</v>
      </c>
      <c r="B35" s="49" t="s">
        <v>211</v>
      </c>
      <c r="C35" s="49" t="s">
        <v>212</v>
      </c>
      <c r="D35" s="49" t="s">
        <v>542</v>
      </c>
      <c r="E35" s="49" t="s">
        <v>161</v>
      </c>
      <c r="F35" s="49">
        <v>2.5</v>
      </c>
      <c r="G35" s="49">
        <v>3</v>
      </c>
      <c r="H35" s="49">
        <v>3</v>
      </c>
      <c r="I35" s="49">
        <v>3</v>
      </c>
      <c r="J35" s="49"/>
      <c r="K35" s="59">
        <f t="shared" si="0"/>
        <v>2.875</v>
      </c>
      <c r="L35" s="49">
        <v>3</v>
      </c>
      <c r="M35" s="49">
        <v>3</v>
      </c>
      <c r="N35" s="49">
        <v>2.5</v>
      </c>
      <c r="O35" s="49">
        <v>3</v>
      </c>
      <c r="P35" s="49">
        <v>3</v>
      </c>
      <c r="Q35" s="59">
        <f t="shared" si="1"/>
        <v>2.9</v>
      </c>
      <c r="R35" s="49"/>
      <c r="S35" s="49">
        <v>3</v>
      </c>
      <c r="T35" s="49"/>
      <c r="U35" s="49"/>
      <c r="V35" s="49"/>
      <c r="W35" s="59">
        <f t="shared" si="2"/>
        <v>3</v>
      </c>
      <c r="X35" s="49"/>
      <c r="Y35" s="49"/>
      <c r="Z35" s="49"/>
      <c r="AA35" s="49"/>
      <c r="AB35" s="49"/>
      <c r="AC35" s="59" t="str">
        <f t="shared" si="3"/>
        <v>A</v>
      </c>
      <c r="AD35" s="49"/>
      <c r="AE35" s="49"/>
      <c r="AF35" s="49"/>
      <c r="AG35" s="49"/>
      <c r="AH35" s="49"/>
      <c r="AI35" s="59" t="str">
        <f t="shared" si="4"/>
        <v>A</v>
      </c>
      <c r="AJ35" s="49">
        <v>2.5</v>
      </c>
      <c r="AK35" s="49">
        <v>3</v>
      </c>
      <c r="AL35" s="49"/>
      <c r="AM35" s="49">
        <v>3</v>
      </c>
      <c r="AN35" s="49"/>
      <c r="AO35" s="59">
        <f t="shared" si="5"/>
        <v>2.75</v>
      </c>
      <c r="AP35" s="49">
        <v>3</v>
      </c>
      <c r="AQ35" s="49"/>
      <c r="AR35" s="49"/>
      <c r="AS35" s="49"/>
      <c r="AT35" s="49"/>
      <c r="AU35" s="59">
        <f t="shared" si="6"/>
        <v>3</v>
      </c>
      <c r="AV35" s="49"/>
      <c r="AW35" s="49"/>
      <c r="AX35" s="49"/>
      <c r="AY35" s="49">
        <v>3</v>
      </c>
      <c r="AZ35" s="49">
        <v>3</v>
      </c>
      <c r="BA35" s="59">
        <f t="shared" si="7"/>
        <v>3</v>
      </c>
    </row>
    <row r="36" spans="1:53" ht="23.1" customHeight="1" x14ac:dyDescent="0.3">
      <c r="A36" s="7">
        <v>34</v>
      </c>
      <c r="B36" s="7" t="s">
        <v>95</v>
      </c>
      <c r="C36" s="7" t="s">
        <v>96</v>
      </c>
      <c r="D36" s="7" t="s">
        <v>542</v>
      </c>
      <c r="E36" s="7" t="s">
        <v>35</v>
      </c>
      <c r="F36" s="49">
        <v>3</v>
      </c>
      <c r="G36" s="49">
        <v>3</v>
      </c>
      <c r="H36" s="49">
        <v>2</v>
      </c>
      <c r="I36" s="49">
        <v>3</v>
      </c>
      <c r="J36" s="7"/>
      <c r="K36" s="59">
        <f t="shared" si="0"/>
        <v>2.75</v>
      </c>
      <c r="L36" s="49">
        <v>4</v>
      </c>
      <c r="M36" s="49">
        <v>4</v>
      </c>
      <c r="N36" s="49">
        <v>3</v>
      </c>
      <c r="O36" s="49">
        <v>5</v>
      </c>
      <c r="P36" s="49">
        <v>4</v>
      </c>
      <c r="Q36" s="59">
        <f t="shared" si="1"/>
        <v>4</v>
      </c>
      <c r="R36" s="49"/>
      <c r="S36" s="49">
        <v>3</v>
      </c>
      <c r="T36" s="7"/>
      <c r="U36" s="49"/>
      <c r="V36" s="7"/>
      <c r="W36" s="59">
        <f t="shared" si="2"/>
        <v>3</v>
      </c>
      <c r="X36" s="49"/>
      <c r="Y36" s="49"/>
      <c r="Z36" s="7"/>
      <c r="AA36" s="7"/>
      <c r="AB36" s="7"/>
      <c r="AC36" s="59" t="str">
        <f t="shared" si="3"/>
        <v>A</v>
      </c>
      <c r="AD36" s="49"/>
      <c r="AE36" s="7"/>
      <c r="AF36" s="49"/>
      <c r="AG36" s="7"/>
      <c r="AH36" s="7"/>
      <c r="AI36" s="59" t="str">
        <f t="shared" si="4"/>
        <v>A</v>
      </c>
      <c r="AJ36" s="49">
        <v>3</v>
      </c>
      <c r="AK36" s="49">
        <v>3</v>
      </c>
      <c r="AL36" s="7"/>
      <c r="AM36" s="49">
        <v>3</v>
      </c>
      <c r="AN36" s="7"/>
      <c r="AO36" s="59">
        <f t="shared" si="5"/>
        <v>3</v>
      </c>
      <c r="AP36" s="49">
        <v>3</v>
      </c>
      <c r="AQ36" s="49"/>
      <c r="AR36" s="49"/>
      <c r="AS36" s="7"/>
      <c r="AT36" s="7"/>
      <c r="AU36" s="59">
        <f t="shared" si="6"/>
        <v>3</v>
      </c>
      <c r="AV36" s="7"/>
      <c r="AW36" s="7"/>
      <c r="AX36" s="49"/>
      <c r="AY36" s="49">
        <v>3</v>
      </c>
      <c r="AZ36" s="49">
        <v>3</v>
      </c>
      <c r="BA36" s="59">
        <f t="shared" si="7"/>
        <v>3</v>
      </c>
    </row>
    <row r="37" spans="1:53" ht="23.1" customHeight="1" x14ac:dyDescent="0.3">
      <c r="A37" s="49">
        <v>35</v>
      </c>
      <c r="B37" s="49" t="s">
        <v>273</v>
      </c>
      <c r="C37" s="49" t="s">
        <v>274</v>
      </c>
      <c r="D37" s="49" t="s">
        <v>450</v>
      </c>
      <c r="E37" s="49" t="s">
        <v>161</v>
      </c>
      <c r="F37" s="49">
        <v>4</v>
      </c>
      <c r="G37" s="49">
        <v>4</v>
      </c>
      <c r="H37" s="49">
        <v>4</v>
      </c>
      <c r="I37" s="49">
        <v>4</v>
      </c>
      <c r="J37" s="49"/>
      <c r="K37" s="59">
        <f t="shared" si="0"/>
        <v>4</v>
      </c>
      <c r="L37" s="49">
        <v>3</v>
      </c>
      <c r="M37" s="49">
        <v>3</v>
      </c>
      <c r="N37" s="49">
        <v>3</v>
      </c>
      <c r="O37" s="49">
        <v>3</v>
      </c>
      <c r="P37" s="49">
        <v>2</v>
      </c>
      <c r="Q37" s="59">
        <f t="shared" si="1"/>
        <v>2.8</v>
      </c>
      <c r="R37" s="49"/>
      <c r="S37" s="49">
        <v>3</v>
      </c>
      <c r="T37" s="49"/>
      <c r="U37" s="49"/>
      <c r="V37" s="49"/>
      <c r="W37" s="59">
        <f t="shared" si="2"/>
        <v>3</v>
      </c>
      <c r="X37" s="49"/>
      <c r="Y37" s="49"/>
      <c r="Z37" s="49"/>
      <c r="AA37" s="49"/>
      <c r="AB37" s="49"/>
      <c r="AC37" s="59" t="str">
        <f t="shared" si="3"/>
        <v>A</v>
      </c>
      <c r="AD37" s="49"/>
      <c r="AE37" s="49"/>
      <c r="AF37" s="49"/>
      <c r="AG37" s="49"/>
      <c r="AH37" s="49"/>
      <c r="AI37" s="59" t="str">
        <f t="shared" si="4"/>
        <v>A</v>
      </c>
      <c r="AJ37" s="49">
        <v>3</v>
      </c>
      <c r="AK37" s="49">
        <v>4</v>
      </c>
      <c r="AL37" s="49"/>
      <c r="AM37" s="49">
        <v>4</v>
      </c>
      <c r="AN37" s="49"/>
      <c r="AO37" s="59">
        <f t="shared" si="5"/>
        <v>3.5</v>
      </c>
      <c r="AP37" s="49">
        <v>3</v>
      </c>
      <c r="AQ37" s="49"/>
      <c r="AR37" s="49"/>
      <c r="AS37" s="49"/>
      <c r="AT37" s="49"/>
      <c r="AU37" s="59">
        <f t="shared" si="6"/>
        <v>3</v>
      </c>
      <c r="AV37" s="49"/>
      <c r="AW37" s="49"/>
      <c r="AX37" s="49"/>
      <c r="AY37" s="49">
        <v>3</v>
      </c>
      <c r="AZ37" s="49">
        <v>3</v>
      </c>
      <c r="BA37" s="59">
        <f t="shared" si="7"/>
        <v>3</v>
      </c>
    </row>
    <row r="38" spans="1:53" ht="23.1" customHeight="1" x14ac:dyDescent="0.3">
      <c r="A38" s="7">
        <v>36</v>
      </c>
      <c r="B38" s="7" t="s">
        <v>112</v>
      </c>
      <c r="C38" s="7" t="s">
        <v>113</v>
      </c>
      <c r="D38" s="7" t="s">
        <v>450</v>
      </c>
      <c r="E38" s="7" t="s">
        <v>35</v>
      </c>
      <c r="F38" s="49">
        <v>3</v>
      </c>
      <c r="G38" s="49">
        <v>3</v>
      </c>
      <c r="H38" s="49">
        <v>3</v>
      </c>
      <c r="I38" s="49">
        <v>3</v>
      </c>
      <c r="J38" s="7"/>
      <c r="K38" s="59">
        <f t="shared" si="0"/>
        <v>3</v>
      </c>
      <c r="L38" s="49">
        <v>3</v>
      </c>
      <c r="M38" s="49">
        <v>3</v>
      </c>
      <c r="N38" s="49">
        <v>3</v>
      </c>
      <c r="O38" s="49">
        <v>3</v>
      </c>
      <c r="P38" s="49">
        <v>3</v>
      </c>
      <c r="Q38" s="59">
        <f t="shared" si="1"/>
        <v>3</v>
      </c>
      <c r="R38" s="49"/>
      <c r="S38" s="49">
        <v>3</v>
      </c>
      <c r="T38" s="7"/>
      <c r="U38" s="49"/>
      <c r="V38" s="7"/>
      <c r="W38" s="59">
        <f t="shared" si="2"/>
        <v>3</v>
      </c>
      <c r="X38" s="49"/>
      <c r="Y38" s="49"/>
      <c r="Z38" s="7"/>
      <c r="AA38" s="7"/>
      <c r="AB38" s="7"/>
      <c r="AC38" s="59" t="str">
        <f t="shared" si="3"/>
        <v>A</v>
      </c>
      <c r="AD38" s="49"/>
      <c r="AE38" s="7"/>
      <c r="AF38" s="49"/>
      <c r="AG38" s="7"/>
      <c r="AH38" s="7"/>
      <c r="AI38" s="59" t="str">
        <f t="shared" si="4"/>
        <v>A</v>
      </c>
      <c r="AJ38" s="49">
        <v>3</v>
      </c>
      <c r="AK38" s="49">
        <v>3</v>
      </c>
      <c r="AL38" s="7"/>
      <c r="AM38" s="49">
        <v>4</v>
      </c>
      <c r="AN38" s="7"/>
      <c r="AO38" s="59">
        <f t="shared" si="5"/>
        <v>3</v>
      </c>
      <c r="AP38" s="49">
        <v>3</v>
      </c>
      <c r="AQ38" s="49"/>
      <c r="AR38" s="49"/>
      <c r="AS38" s="7"/>
      <c r="AT38" s="7"/>
      <c r="AU38" s="59">
        <f t="shared" si="6"/>
        <v>3</v>
      </c>
      <c r="AV38" s="7"/>
      <c r="AW38" s="7"/>
      <c r="AX38" s="49"/>
      <c r="AY38" s="49">
        <v>3</v>
      </c>
      <c r="AZ38" s="49">
        <v>1</v>
      </c>
      <c r="BA38" s="59">
        <f t="shared" si="7"/>
        <v>2</v>
      </c>
    </row>
    <row r="39" spans="1:53" ht="23.1" customHeight="1" x14ac:dyDescent="0.3">
      <c r="A39" s="49">
        <v>37</v>
      </c>
      <c r="B39" s="49" t="s">
        <v>302</v>
      </c>
      <c r="C39" s="49" t="s">
        <v>303</v>
      </c>
      <c r="D39" s="49" t="s">
        <v>450</v>
      </c>
      <c r="E39" s="49" t="s">
        <v>493</v>
      </c>
      <c r="F39" s="49">
        <v>3</v>
      </c>
      <c r="G39" s="49">
        <v>3</v>
      </c>
      <c r="H39" s="49">
        <v>3</v>
      </c>
      <c r="I39" s="49">
        <v>3</v>
      </c>
      <c r="J39" s="49"/>
      <c r="K39" s="59">
        <f t="shared" si="0"/>
        <v>3</v>
      </c>
      <c r="L39" s="49">
        <v>3</v>
      </c>
      <c r="M39" s="49">
        <v>4</v>
      </c>
      <c r="N39" s="49">
        <v>3</v>
      </c>
      <c r="O39" s="49">
        <v>2</v>
      </c>
      <c r="P39" s="49">
        <v>3</v>
      </c>
      <c r="Q39" s="59">
        <f t="shared" si="1"/>
        <v>3</v>
      </c>
      <c r="R39" s="49"/>
      <c r="S39" s="49">
        <v>2</v>
      </c>
      <c r="T39" s="49"/>
      <c r="U39" s="49"/>
      <c r="V39" s="49"/>
      <c r="W39" s="59">
        <f t="shared" si="2"/>
        <v>2</v>
      </c>
      <c r="X39" s="49"/>
      <c r="Y39" s="49"/>
      <c r="Z39" s="49"/>
      <c r="AA39" s="49"/>
      <c r="AB39" s="49"/>
      <c r="AC39" s="59" t="str">
        <f t="shared" si="3"/>
        <v>A</v>
      </c>
      <c r="AD39" s="49"/>
      <c r="AE39" s="49"/>
      <c r="AF39" s="49"/>
      <c r="AG39" s="49"/>
      <c r="AH39" s="49"/>
      <c r="AI39" s="59" t="str">
        <f t="shared" si="4"/>
        <v>A</v>
      </c>
      <c r="AJ39" s="49">
        <v>2</v>
      </c>
      <c r="AK39" s="49">
        <v>4</v>
      </c>
      <c r="AL39" s="49"/>
      <c r="AM39" s="49">
        <v>3</v>
      </c>
      <c r="AN39" s="49"/>
      <c r="AO39" s="59">
        <f t="shared" si="5"/>
        <v>3</v>
      </c>
      <c r="AP39" s="49">
        <v>2</v>
      </c>
      <c r="AQ39" s="49"/>
      <c r="AR39" s="49"/>
      <c r="AS39" s="49"/>
      <c r="AT39" s="49"/>
      <c r="AU39" s="59">
        <f t="shared" si="6"/>
        <v>2</v>
      </c>
      <c r="AV39" s="49"/>
      <c r="AW39" s="49"/>
      <c r="AX39" s="49"/>
      <c r="AY39" s="49">
        <v>2</v>
      </c>
      <c r="AZ39" s="49">
        <v>3</v>
      </c>
      <c r="BA39" s="59">
        <f t="shared" si="7"/>
        <v>2.5</v>
      </c>
    </row>
    <row r="40" spans="1:53" ht="23.1" customHeight="1" x14ac:dyDescent="0.3">
      <c r="A40" s="7">
        <v>38</v>
      </c>
      <c r="B40" s="7" t="s">
        <v>227</v>
      </c>
      <c r="C40" s="7" t="s">
        <v>228</v>
      </c>
      <c r="D40" s="7" t="s">
        <v>542</v>
      </c>
      <c r="E40" s="7" t="s">
        <v>161</v>
      </c>
      <c r="F40" s="49">
        <v>3</v>
      </c>
      <c r="G40" s="49">
        <v>2.5</v>
      </c>
      <c r="H40" s="49">
        <v>3</v>
      </c>
      <c r="I40" s="49">
        <v>3.5</v>
      </c>
      <c r="J40" s="7"/>
      <c r="K40" s="59">
        <f t="shared" si="0"/>
        <v>3</v>
      </c>
      <c r="L40" s="49">
        <v>3.5</v>
      </c>
      <c r="M40" s="49">
        <v>3</v>
      </c>
      <c r="N40" s="49">
        <v>3</v>
      </c>
      <c r="O40" s="49">
        <v>2.5</v>
      </c>
      <c r="P40" s="49">
        <v>2.5</v>
      </c>
      <c r="Q40" s="59">
        <f t="shared" si="1"/>
        <v>2.9</v>
      </c>
      <c r="R40" s="49"/>
      <c r="S40" s="49">
        <v>3.5</v>
      </c>
      <c r="T40" s="7"/>
      <c r="U40" s="49"/>
      <c r="V40" s="7"/>
      <c r="W40" s="59">
        <f t="shared" si="2"/>
        <v>3.5</v>
      </c>
      <c r="X40" s="49"/>
      <c r="Y40" s="49"/>
      <c r="Z40" s="7"/>
      <c r="AA40" s="7"/>
      <c r="AB40" s="7"/>
      <c r="AC40" s="59" t="str">
        <f t="shared" si="3"/>
        <v>A</v>
      </c>
      <c r="AD40" s="49"/>
      <c r="AE40" s="7"/>
      <c r="AF40" s="49"/>
      <c r="AG40" s="7"/>
      <c r="AH40" s="7"/>
      <c r="AI40" s="59" t="str">
        <f t="shared" si="4"/>
        <v>A</v>
      </c>
      <c r="AJ40" s="49">
        <v>2.5</v>
      </c>
      <c r="AK40" s="49">
        <v>2.5</v>
      </c>
      <c r="AL40" s="7"/>
      <c r="AM40" s="49">
        <v>3.5</v>
      </c>
      <c r="AN40" s="7"/>
      <c r="AO40" s="59">
        <f t="shared" si="5"/>
        <v>2.5</v>
      </c>
      <c r="AP40" s="49">
        <v>3</v>
      </c>
      <c r="AQ40" s="49"/>
      <c r="AR40" s="49"/>
      <c r="AS40" s="7"/>
      <c r="AT40" s="7"/>
      <c r="AU40" s="59">
        <f t="shared" si="6"/>
        <v>3</v>
      </c>
      <c r="AV40" s="7"/>
      <c r="AW40" s="7"/>
      <c r="AX40" s="49"/>
      <c r="AY40" s="49">
        <v>3.5</v>
      </c>
      <c r="AZ40" s="49">
        <v>2.5</v>
      </c>
      <c r="BA40" s="59">
        <f t="shared" si="7"/>
        <v>3</v>
      </c>
    </row>
    <row r="41" spans="1:53" ht="23.1" customHeight="1" x14ac:dyDescent="0.3">
      <c r="A41" s="49">
        <v>39</v>
      </c>
      <c r="B41" s="49" t="s">
        <v>304</v>
      </c>
      <c r="C41" s="49" t="s">
        <v>305</v>
      </c>
      <c r="D41" s="49" t="s">
        <v>542</v>
      </c>
      <c r="E41" s="49" t="s">
        <v>493</v>
      </c>
      <c r="F41" s="49">
        <v>3.5</v>
      </c>
      <c r="G41" s="49">
        <v>3</v>
      </c>
      <c r="H41" s="49">
        <v>3.5</v>
      </c>
      <c r="I41" s="49">
        <v>4</v>
      </c>
      <c r="J41" s="49"/>
      <c r="K41" s="59">
        <f t="shared" si="0"/>
        <v>3.5</v>
      </c>
      <c r="L41" s="49">
        <v>4</v>
      </c>
      <c r="M41" s="49">
        <v>3.5</v>
      </c>
      <c r="N41" s="49">
        <v>3.5</v>
      </c>
      <c r="O41" s="49">
        <v>3</v>
      </c>
      <c r="P41" s="49">
        <v>3</v>
      </c>
      <c r="Q41" s="59">
        <f t="shared" si="1"/>
        <v>3.4</v>
      </c>
      <c r="R41" s="49"/>
      <c r="S41" s="49">
        <v>4</v>
      </c>
      <c r="T41" s="49"/>
      <c r="U41" s="49"/>
      <c r="V41" s="49"/>
      <c r="W41" s="59">
        <f t="shared" si="2"/>
        <v>4</v>
      </c>
      <c r="X41" s="49"/>
      <c r="Y41" s="49"/>
      <c r="Z41" s="49"/>
      <c r="AA41" s="49"/>
      <c r="AB41" s="49"/>
      <c r="AC41" s="59" t="str">
        <f t="shared" si="3"/>
        <v>A</v>
      </c>
      <c r="AD41" s="49"/>
      <c r="AE41" s="49"/>
      <c r="AF41" s="49"/>
      <c r="AG41" s="49"/>
      <c r="AH41" s="49"/>
      <c r="AI41" s="59" t="str">
        <f t="shared" si="4"/>
        <v>A</v>
      </c>
      <c r="AJ41" s="49">
        <v>3</v>
      </c>
      <c r="AK41" s="49">
        <v>3</v>
      </c>
      <c r="AL41" s="49"/>
      <c r="AM41" s="49">
        <v>4</v>
      </c>
      <c r="AN41" s="49"/>
      <c r="AO41" s="59">
        <f t="shared" si="5"/>
        <v>3</v>
      </c>
      <c r="AP41" s="49">
        <v>3.5</v>
      </c>
      <c r="AQ41" s="49"/>
      <c r="AR41" s="49"/>
      <c r="AS41" s="49"/>
      <c r="AT41" s="49"/>
      <c r="AU41" s="59">
        <f t="shared" si="6"/>
        <v>3.5</v>
      </c>
      <c r="AV41" s="49"/>
      <c r="AW41" s="49"/>
      <c r="AX41" s="49"/>
      <c r="AY41" s="49">
        <v>4</v>
      </c>
      <c r="AZ41" s="49">
        <v>3</v>
      </c>
      <c r="BA41" s="59">
        <f t="shared" si="7"/>
        <v>3.5</v>
      </c>
    </row>
    <row r="42" spans="1:53" ht="23.1" customHeight="1" x14ac:dyDescent="0.3">
      <c r="A42" s="7">
        <v>40</v>
      </c>
      <c r="B42" s="7" t="s">
        <v>89</v>
      </c>
      <c r="C42" s="7" t="s">
        <v>90</v>
      </c>
      <c r="D42" s="7" t="s">
        <v>450</v>
      </c>
      <c r="E42" s="7" t="s">
        <v>35</v>
      </c>
      <c r="F42" s="49">
        <v>4</v>
      </c>
      <c r="G42" s="49">
        <v>4</v>
      </c>
      <c r="H42" s="49">
        <v>4</v>
      </c>
      <c r="I42" s="49">
        <v>4</v>
      </c>
      <c r="J42" s="7"/>
      <c r="K42" s="59">
        <f t="shared" si="0"/>
        <v>4</v>
      </c>
      <c r="L42" s="49">
        <v>3</v>
      </c>
      <c r="M42" s="49">
        <v>4</v>
      </c>
      <c r="N42" s="49">
        <v>3</v>
      </c>
      <c r="O42" s="49">
        <v>4</v>
      </c>
      <c r="P42" s="49">
        <v>3</v>
      </c>
      <c r="Q42" s="59">
        <f t="shared" si="1"/>
        <v>3.4</v>
      </c>
      <c r="R42" s="49"/>
      <c r="S42" s="49">
        <v>4</v>
      </c>
      <c r="T42" s="7"/>
      <c r="U42" s="49"/>
      <c r="V42" s="7"/>
      <c r="W42" s="59">
        <f t="shared" si="2"/>
        <v>4</v>
      </c>
      <c r="X42" s="49"/>
      <c r="Y42" s="49"/>
      <c r="Z42" s="7"/>
      <c r="AA42" s="7"/>
      <c r="AB42" s="7"/>
      <c r="AC42" s="59" t="str">
        <f t="shared" si="3"/>
        <v>A</v>
      </c>
      <c r="AD42" s="49"/>
      <c r="AE42" s="7"/>
      <c r="AF42" s="49"/>
      <c r="AG42" s="7"/>
      <c r="AH42" s="7"/>
      <c r="AI42" s="59" t="str">
        <f t="shared" si="4"/>
        <v>A</v>
      </c>
      <c r="AJ42" s="49">
        <v>4</v>
      </c>
      <c r="AK42" s="49">
        <v>4</v>
      </c>
      <c r="AL42" s="7"/>
      <c r="AM42" s="49">
        <v>4</v>
      </c>
      <c r="AN42" s="7"/>
      <c r="AO42" s="59">
        <f t="shared" si="5"/>
        <v>4</v>
      </c>
      <c r="AP42" s="49">
        <v>4</v>
      </c>
      <c r="AQ42" s="49"/>
      <c r="AR42" s="49"/>
      <c r="AS42" s="7"/>
      <c r="AT42" s="7"/>
      <c r="AU42" s="59">
        <f t="shared" si="6"/>
        <v>4</v>
      </c>
      <c r="AV42" s="7"/>
      <c r="AW42" s="7"/>
      <c r="AX42" s="49"/>
      <c r="AY42" s="49">
        <v>3</v>
      </c>
      <c r="AZ42" s="49">
        <v>3</v>
      </c>
      <c r="BA42" s="59">
        <f t="shared" si="7"/>
        <v>3</v>
      </c>
    </row>
    <row r="43" spans="1:53" ht="23.1" customHeight="1" x14ac:dyDescent="0.3">
      <c r="A43" s="49">
        <v>41</v>
      </c>
      <c r="B43" s="49" t="s">
        <v>306</v>
      </c>
      <c r="C43" s="49" t="s">
        <v>307</v>
      </c>
      <c r="D43" s="49" t="s">
        <v>542</v>
      </c>
      <c r="E43" s="49" t="s">
        <v>493</v>
      </c>
      <c r="F43" s="49">
        <v>3</v>
      </c>
      <c r="G43" s="49">
        <v>3</v>
      </c>
      <c r="H43" s="49">
        <v>3</v>
      </c>
      <c r="I43" s="49">
        <v>3</v>
      </c>
      <c r="J43" s="49"/>
      <c r="K43" s="59">
        <f t="shared" si="0"/>
        <v>3</v>
      </c>
      <c r="L43" s="49">
        <v>3</v>
      </c>
      <c r="M43" s="49">
        <v>3</v>
      </c>
      <c r="N43" s="49">
        <v>3.5</v>
      </c>
      <c r="O43" s="49">
        <v>3</v>
      </c>
      <c r="P43" s="49">
        <v>3</v>
      </c>
      <c r="Q43" s="59">
        <f t="shared" si="1"/>
        <v>3.1</v>
      </c>
      <c r="R43" s="49"/>
      <c r="S43" s="49">
        <v>3</v>
      </c>
      <c r="T43" s="49"/>
      <c r="U43" s="49"/>
      <c r="V43" s="49"/>
      <c r="W43" s="59">
        <f t="shared" si="2"/>
        <v>3</v>
      </c>
      <c r="X43" s="49"/>
      <c r="Y43" s="49"/>
      <c r="Z43" s="49"/>
      <c r="AA43" s="49"/>
      <c r="AB43" s="49"/>
      <c r="AC43" s="59" t="str">
        <f t="shared" si="3"/>
        <v>A</v>
      </c>
      <c r="AD43" s="49"/>
      <c r="AE43" s="49"/>
      <c r="AF43" s="49"/>
      <c r="AG43" s="49"/>
      <c r="AH43" s="49"/>
      <c r="AI43" s="59" t="str">
        <f t="shared" si="4"/>
        <v>A</v>
      </c>
      <c r="AJ43" s="49">
        <v>3</v>
      </c>
      <c r="AK43" s="49">
        <v>3</v>
      </c>
      <c r="AL43" s="49"/>
      <c r="AM43" s="49">
        <v>3</v>
      </c>
      <c r="AN43" s="49"/>
      <c r="AO43" s="59">
        <f t="shared" si="5"/>
        <v>3</v>
      </c>
      <c r="AP43" s="49">
        <v>3</v>
      </c>
      <c r="AQ43" s="49"/>
      <c r="AR43" s="49"/>
      <c r="AS43" s="49"/>
      <c r="AT43" s="49"/>
      <c r="AU43" s="59">
        <f t="shared" si="6"/>
        <v>3</v>
      </c>
      <c r="AV43" s="49"/>
      <c r="AW43" s="49"/>
      <c r="AX43" s="49"/>
      <c r="AY43" s="49">
        <v>3</v>
      </c>
      <c r="AZ43" s="49">
        <v>3</v>
      </c>
      <c r="BA43" s="59">
        <f t="shared" si="7"/>
        <v>3</v>
      </c>
    </row>
    <row r="44" spans="1:53" ht="23.1" customHeight="1" x14ac:dyDescent="0.3">
      <c r="A44" s="7">
        <v>42</v>
      </c>
      <c r="B44" s="7" t="s">
        <v>245</v>
      </c>
      <c r="C44" s="7" t="s">
        <v>246</v>
      </c>
      <c r="D44" s="7" t="s">
        <v>542</v>
      </c>
      <c r="E44" s="7" t="s">
        <v>161</v>
      </c>
      <c r="F44" s="49">
        <v>2.5</v>
      </c>
      <c r="G44" s="49">
        <v>2.5</v>
      </c>
      <c r="H44" s="49">
        <v>2.5</v>
      </c>
      <c r="I44" s="49">
        <v>3</v>
      </c>
      <c r="J44" s="7"/>
      <c r="K44" s="59">
        <f t="shared" si="0"/>
        <v>2.625</v>
      </c>
      <c r="L44" s="49">
        <v>3</v>
      </c>
      <c r="M44" s="49">
        <v>2.5</v>
      </c>
      <c r="N44" s="49">
        <v>3</v>
      </c>
      <c r="O44" s="49">
        <v>2.5</v>
      </c>
      <c r="P44" s="49">
        <v>2.5</v>
      </c>
      <c r="Q44" s="59">
        <f t="shared" si="1"/>
        <v>2.7</v>
      </c>
      <c r="R44" s="49"/>
      <c r="S44" s="49">
        <v>3</v>
      </c>
      <c r="T44" s="7"/>
      <c r="U44" s="49"/>
      <c r="V44" s="7"/>
      <c r="W44" s="59">
        <f t="shared" si="2"/>
        <v>3</v>
      </c>
      <c r="X44" s="49"/>
      <c r="Y44" s="49"/>
      <c r="Z44" s="7"/>
      <c r="AA44" s="7"/>
      <c r="AB44" s="7"/>
      <c r="AC44" s="59" t="str">
        <f t="shared" si="3"/>
        <v>A</v>
      </c>
      <c r="AD44" s="49"/>
      <c r="AE44" s="7"/>
      <c r="AF44" s="49"/>
      <c r="AG44" s="7"/>
      <c r="AH44" s="7"/>
      <c r="AI44" s="59" t="str">
        <f t="shared" si="4"/>
        <v>A</v>
      </c>
      <c r="AJ44" s="49">
        <v>2.5</v>
      </c>
      <c r="AK44" s="49">
        <v>2.5</v>
      </c>
      <c r="AL44" s="7"/>
      <c r="AM44" s="49">
        <v>3</v>
      </c>
      <c r="AN44" s="7"/>
      <c r="AO44" s="59">
        <f t="shared" si="5"/>
        <v>2.5</v>
      </c>
      <c r="AP44" s="49">
        <v>2.5</v>
      </c>
      <c r="AQ44" s="49"/>
      <c r="AR44" s="49"/>
      <c r="AS44" s="7"/>
      <c r="AT44" s="7"/>
      <c r="AU44" s="59">
        <f t="shared" si="6"/>
        <v>2.5</v>
      </c>
      <c r="AV44" s="7"/>
      <c r="AW44" s="7"/>
      <c r="AX44" s="49"/>
      <c r="AY44" s="49">
        <v>3</v>
      </c>
      <c r="AZ44" s="49">
        <v>2.5</v>
      </c>
      <c r="BA44" s="59">
        <f t="shared" si="7"/>
        <v>2.75</v>
      </c>
    </row>
    <row r="45" spans="1:53" ht="23.1" customHeight="1" x14ac:dyDescent="0.3">
      <c r="A45" s="49">
        <v>43</v>
      </c>
      <c r="B45" s="49" t="s">
        <v>114</v>
      </c>
      <c r="C45" s="49" t="s">
        <v>115</v>
      </c>
      <c r="D45" s="49" t="s">
        <v>450</v>
      </c>
      <c r="E45" s="49" t="s">
        <v>35</v>
      </c>
      <c r="F45" s="49">
        <v>4</v>
      </c>
      <c r="G45" s="49">
        <v>3</v>
      </c>
      <c r="H45" s="49">
        <v>3</v>
      </c>
      <c r="I45" s="49">
        <v>3</v>
      </c>
      <c r="J45" s="49"/>
      <c r="K45" s="59">
        <f t="shared" si="0"/>
        <v>3.25</v>
      </c>
      <c r="L45" s="49">
        <v>4</v>
      </c>
      <c r="M45" s="49">
        <v>4</v>
      </c>
      <c r="N45" s="49">
        <v>4</v>
      </c>
      <c r="O45" s="49">
        <v>4</v>
      </c>
      <c r="P45" s="49">
        <v>4</v>
      </c>
      <c r="Q45" s="59">
        <f t="shared" si="1"/>
        <v>4</v>
      </c>
      <c r="R45" s="49"/>
      <c r="S45" s="49">
        <v>4</v>
      </c>
      <c r="T45" s="49"/>
      <c r="U45" s="49"/>
      <c r="V45" s="49"/>
      <c r="W45" s="59">
        <f t="shared" si="2"/>
        <v>4</v>
      </c>
      <c r="X45" s="49"/>
      <c r="Y45" s="49"/>
      <c r="Z45" s="49"/>
      <c r="AA45" s="49"/>
      <c r="AB45" s="49"/>
      <c r="AC45" s="59" t="str">
        <f t="shared" si="3"/>
        <v>A</v>
      </c>
      <c r="AD45" s="49"/>
      <c r="AE45" s="49"/>
      <c r="AF45" s="49"/>
      <c r="AG45" s="49"/>
      <c r="AH45" s="49"/>
      <c r="AI45" s="59" t="str">
        <f t="shared" si="4"/>
        <v>A</v>
      </c>
      <c r="AJ45" s="49">
        <v>3</v>
      </c>
      <c r="AK45" s="49">
        <v>3</v>
      </c>
      <c r="AL45" s="49"/>
      <c r="AM45" s="49">
        <v>4</v>
      </c>
      <c r="AN45" s="49"/>
      <c r="AO45" s="59">
        <f t="shared" si="5"/>
        <v>3</v>
      </c>
      <c r="AP45" s="49">
        <v>2</v>
      </c>
      <c r="AQ45" s="49"/>
      <c r="AR45" s="49"/>
      <c r="AS45" s="49"/>
      <c r="AT45" s="49"/>
      <c r="AU45" s="59">
        <f t="shared" si="6"/>
        <v>2</v>
      </c>
      <c r="AV45" s="49"/>
      <c r="AW45" s="49"/>
      <c r="AX45" s="49"/>
      <c r="AY45" s="49">
        <v>3</v>
      </c>
      <c r="AZ45" s="49">
        <v>3</v>
      </c>
      <c r="BA45" s="59">
        <f t="shared" si="7"/>
        <v>3</v>
      </c>
    </row>
    <row r="46" spans="1:53" ht="23.1" customHeight="1" x14ac:dyDescent="0.3">
      <c r="A46" s="7">
        <v>44</v>
      </c>
      <c r="B46" s="7" t="s">
        <v>116</v>
      </c>
      <c r="C46" s="7" t="s">
        <v>117</v>
      </c>
      <c r="D46" s="7" t="s">
        <v>542</v>
      </c>
      <c r="E46" s="7" t="s">
        <v>35</v>
      </c>
      <c r="F46" s="49">
        <v>3</v>
      </c>
      <c r="G46" s="49">
        <v>4</v>
      </c>
      <c r="H46" s="49">
        <v>3</v>
      </c>
      <c r="I46" s="49">
        <v>4</v>
      </c>
      <c r="J46" s="7"/>
      <c r="K46" s="59">
        <f t="shared" si="0"/>
        <v>3.5</v>
      </c>
      <c r="L46" s="49">
        <v>3</v>
      </c>
      <c r="M46" s="49">
        <v>4</v>
      </c>
      <c r="N46" s="49">
        <v>4</v>
      </c>
      <c r="O46" s="49">
        <v>4</v>
      </c>
      <c r="P46" s="49">
        <v>3</v>
      </c>
      <c r="Q46" s="59">
        <f t="shared" si="1"/>
        <v>3.6</v>
      </c>
      <c r="R46" s="49"/>
      <c r="S46" s="49">
        <v>2</v>
      </c>
      <c r="T46" s="7"/>
      <c r="U46" s="49"/>
      <c r="V46" s="7"/>
      <c r="W46" s="59">
        <f t="shared" si="2"/>
        <v>2</v>
      </c>
      <c r="X46" s="49"/>
      <c r="Y46" s="49"/>
      <c r="Z46" s="7"/>
      <c r="AA46" s="7"/>
      <c r="AB46" s="7"/>
      <c r="AC46" s="59" t="str">
        <f t="shared" si="3"/>
        <v>A</v>
      </c>
      <c r="AD46" s="49"/>
      <c r="AE46" s="7"/>
      <c r="AF46" s="49"/>
      <c r="AG46" s="7"/>
      <c r="AH46" s="7"/>
      <c r="AI46" s="59" t="str">
        <f t="shared" si="4"/>
        <v>A</v>
      </c>
      <c r="AJ46" s="49">
        <v>3</v>
      </c>
      <c r="AK46" s="49">
        <v>4</v>
      </c>
      <c r="AL46" s="7"/>
      <c r="AM46" s="49">
        <v>3</v>
      </c>
      <c r="AN46" s="7"/>
      <c r="AO46" s="59">
        <f t="shared" si="5"/>
        <v>3.5</v>
      </c>
      <c r="AP46" s="49">
        <v>3</v>
      </c>
      <c r="AQ46" s="49"/>
      <c r="AR46" s="49"/>
      <c r="AS46" s="7"/>
      <c r="AT46" s="7"/>
      <c r="AU46" s="59">
        <f t="shared" si="6"/>
        <v>3</v>
      </c>
      <c r="AV46" s="7"/>
      <c r="AW46" s="7"/>
      <c r="AX46" s="49"/>
      <c r="AY46" s="49">
        <v>3</v>
      </c>
      <c r="AZ46" s="49">
        <v>4</v>
      </c>
      <c r="BA46" s="59">
        <f t="shared" si="7"/>
        <v>3.5</v>
      </c>
    </row>
    <row r="47" spans="1:53" ht="23.1" customHeight="1" x14ac:dyDescent="0.3">
      <c r="A47" s="49">
        <v>45</v>
      </c>
      <c r="B47" s="49" t="s">
        <v>180</v>
      </c>
      <c r="C47" s="49" t="s">
        <v>181</v>
      </c>
      <c r="D47" s="49" t="s">
        <v>450</v>
      </c>
      <c r="E47" s="49" t="s">
        <v>161</v>
      </c>
      <c r="F47" s="49" t="s">
        <v>581</v>
      </c>
      <c r="G47" s="49" t="s">
        <v>581</v>
      </c>
      <c r="H47" s="49" t="s">
        <v>581</v>
      </c>
      <c r="I47" s="49" t="s">
        <v>581</v>
      </c>
      <c r="J47" s="49"/>
      <c r="K47" s="59" t="str">
        <f t="shared" si="0"/>
        <v>0</v>
      </c>
      <c r="L47" s="49" t="s">
        <v>581</v>
      </c>
      <c r="M47" s="49" t="s">
        <v>581</v>
      </c>
      <c r="N47" s="49" t="s">
        <v>581</v>
      </c>
      <c r="O47" s="49" t="s">
        <v>581</v>
      </c>
      <c r="P47" s="49" t="s">
        <v>581</v>
      </c>
      <c r="Q47" s="59" t="str">
        <f t="shared" si="1"/>
        <v>0</v>
      </c>
      <c r="R47" s="49"/>
      <c r="S47" s="49" t="s">
        <v>581</v>
      </c>
      <c r="T47" s="49"/>
      <c r="U47" s="49"/>
      <c r="V47" s="49"/>
      <c r="W47" s="59" t="str">
        <f t="shared" si="2"/>
        <v>0</v>
      </c>
      <c r="X47" s="49"/>
      <c r="Y47" s="49"/>
      <c r="Z47" s="49"/>
      <c r="AA47" s="49"/>
      <c r="AB47" s="49"/>
      <c r="AC47" s="59" t="str">
        <f t="shared" si="3"/>
        <v>A</v>
      </c>
      <c r="AD47" s="49"/>
      <c r="AE47" s="49"/>
      <c r="AF47" s="49"/>
      <c r="AG47" s="49"/>
      <c r="AH47" s="49"/>
      <c r="AI47" s="59" t="str">
        <f t="shared" si="4"/>
        <v>A</v>
      </c>
      <c r="AJ47" s="49" t="s">
        <v>581</v>
      </c>
      <c r="AK47" s="49" t="s">
        <v>581</v>
      </c>
      <c r="AL47" s="49"/>
      <c r="AM47" s="49" t="s">
        <v>581</v>
      </c>
      <c r="AN47" s="49"/>
      <c r="AO47" s="59" t="str">
        <f t="shared" si="5"/>
        <v>0</v>
      </c>
      <c r="AP47" s="49" t="s">
        <v>581</v>
      </c>
      <c r="AQ47" s="49"/>
      <c r="AR47" s="49"/>
      <c r="AS47" s="49"/>
      <c r="AT47" s="49"/>
      <c r="AU47" s="59" t="str">
        <f t="shared" si="6"/>
        <v>0</v>
      </c>
      <c r="AV47" s="49"/>
      <c r="AW47" s="49"/>
      <c r="AX47" s="49"/>
      <c r="AY47" s="49" t="s">
        <v>581</v>
      </c>
      <c r="AZ47" s="49" t="s">
        <v>581</v>
      </c>
      <c r="BA47" s="59" t="str">
        <f t="shared" si="7"/>
        <v>0</v>
      </c>
    </row>
    <row r="48" spans="1:53" ht="23.1" customHeight="1" x14ac:dyDescent="0.3">
      <c r="A48" s="7">
        <v>46</v>
      </c>
      <c r="B48" s="7" t="s">
        <v>308</v>
      </c>
      <c r="C48" s="7" t="s">
        <v>309</v>
      </c>
      <c r="D48" s="7" t="s">
        <v>542</v>
      </c>
      <c r="E48" s="7" t="s">
        <v>493</v>
      </c>
      <c r="F48" s="49">
        <v>1</v>
      </c>
      <c r="G48" s="49">
        <v>1</v>
      </c>
      <c r="H48" s="49">
        <v>1</v>
      </c>
      <c r="I48" s="49">
        <v>1</v>
      </c>
      <c r="J48" s="7"/>
      <c r="K48" s="59">
        <f t="shared" si="0"/>
        <v>1</v>
      </c>
      <c r="L48" s="49">
        <v>1</v>
      </c>
      <c r="M48" s="49">
        <v>1</v>
      </c>
      <c r="N48" s="49">
        <v>1</v>
      </c>
      <c r="O48" s="49">
        <v>4</v>
      </c>
      <c r="P48" s="49">
        <v>1</v>
      </c>
      <c r="Q48" s="59">
        <f t="shared" si="1"/>
        <v>1.6</v>
      </c>
      <c r="R48" s="49"/>
      <c r="S48" s="49">
        <v>1</v>
      </c>
      <c r="T48" s="7"/>
      <c r="U48" s="49"/>
      <c r="V48" s="7"/>
      <c r="W48" s="59">
        <f t="shared" si="2"/>
        <v>1</v>
      </c>
      <c r="X48" s="49"/>
      <c r="Y48" s="49"/>
      <c r="Z48" s="7"/>
      <c r="AA48" s="7"/>
      <c r="AB48" s="7"/>
      <c r="AC48" s="59" t="str">
        <f t="shared" si="3"/>
        <v>A</v>
      </c>
      <c r="AD48" s="49"/>
      <c r="AE48" s="7"/>
      <c r="AF48" s="49"/>
      <c r="AG48" s="7"/>
      <c r="AH48" s="7"/>
      <c r="AI48" s="59" t="str">
        <f t="shared" si="4"/>
        <v>A</v>
      </c>
      <c r="AJ48" s="49">
        <v>1</v>
      </c>
      <c r="AK48" s="49">
        <v>1</v>
      </c>
      <c r="AL48" s="7"/>
      <c r="AM48" s="49">
        <v>1</v>
      </c>
      <c r="AN48" s="7"/>
      <c r="AO48" s="59">
        <f t="shared" si="5"/>
        <v>1</v>
      </c>
      <c r="AP48" s="49">
        <v>1</v>
      </c>
      <c r="AQ48" s="49"/>
      <c r="AR48" s="49"/>
      <c r="AS48" s="7"/>
      <c r="AT48" s="7"/>
      <c r="AU48" s="59">
        <f t="shared" si="6"/>
        <v>1</v>
      </c>
      <c r="AV48" s="7"/>
      <c r="AW48" s="7"/>
      <c r="AX48" s="49"/>
      <c r="AY48" s="49">
        <v>1</v>
      </c>
      <c r="AZ48" s="49">
        <v>1</v>
      </c>
      <c r="BA48" s="59">
        <f t="shared" si="7"/>
        <v>1</v>
      </c>
    </row>
    <row r="49" spans="1:53" ht="23.1" customHeight="1" x14ac:dyDescent="0.3">
      <c r="A49" s="49">
        <v>47</v>
      </c>
      <c r="B49" s="49" t="s">
        <v>118</v>
      </c>
      <c r="C49" s="49" t="s">
        <v>119</v>
      </c>
      <c r="D49" s="49" t="s">
        <v>450</v>
      </c>
      <c r="E49" s="49" t="s">
        <v>35</v>
      </c>
      <c r="F49" s="49">
        <v>2</v>
      </c>
      <c r="G49" s="49">
        <v>1</v>
      </c>
      <c r="H49" s="49">
        <v>2</v>
      </c>
      <c r="I49" s="49">
        <v>3</v>
      </c>
      <c r="J49" s="49"/>
      <c r="K49" s="59">
        <f t="shared" si="0"/>
        <v>2</v>
      </c>
      <c r="L49" s="49">
        <v>2</v>
      </c>
      <c r="M49" s="49">
        <v>2</v>
      </c>
      <c r="N49" s="49">
        <v>2</v>
      </c>
      <c r="O49" s="49">
        <v>3</v>
      </c>
      <c r="P49" s="49">
        <v>2</v>
      </c>
      <c r="Q49" s="59">
        <f t="shared" si="1"/>
        <v>2.2000000000000002</v>
      </c>
      <c r="R49" s="49"/>
      <c r="S49" s="49">
        <v>2</v>
      </c>
      <c r="T49" s="49"/>
      <c r="U49" s="49"/>
      <c r="V49" s="49"/>
      <c r="W49" s="59">
        <f t="shared" si="2"/>
        <v>2</v>
      </c>
      <c r="X49" s="49"/>
      <c r="Y49" s="49"/>
      <c r="Z49" s="49"/>
      <c r="AA49" s="49"/>
      <c r="AB49" s="49"/>
      <c r="AC49" s="59" t="str">
        <f t="shared" si="3"/>
        <v>A</v>
      </c>
      <c r="AD49" s="49"/>
      <c r="AE49" s="49"/>
      <c r="AF49" s="49"/>
      <c r="AG49" s="49"/>
      <c r="AH49" s="49"/>
      <c r="AI49" s="59" t="str">
        <f t="shared" si="4"/>
        <v>A</v>
      </c>
      <c r="AJ49" s="49">
        <v>3</v>
      </c>
      <c r="AK49" s="49">
        <v>2</v>
      </c>
      <c r="AL49" s="49"/>
      <c r="AM49" s="49">
        <v>2</v>
      </c>
      <c r="AN49" s="49"/>
      <c r="AO49" s="59">
        <f t="shared" si="5"/>
        <v>2.5</v>
      </c>
      <c r="AP49" s="49">
        <v>3</v>
      </c>
      <c r="AQ49" s="49"/>
      <c r="AR49" s="49"/>
      <c r="AS49" s="49"/>
      <c r="AT49" s="49"/>
      <c r="AU49" s="59">
        <f t="shared" si="6"/>
        <v>3</v>
      </c>
      <c r="AV49" s="49"/>
      <c r="AW49" s="49"/>
      <c r="AX49" s="49"/>
      <c r="AY49" s="49">
        <v>3</v>
      </c>
      <c r="AZ49" s="49">
        <v>2</v>
      </c>
      <c r="BA49" s="59">
        <f t="shared" si="7"/>
        <v>2.5</v>
      </c>
    </row>
    <row r="50" spans="1:53" ht="23.1" customHeight="1" x14ac:dyDescent="0.3">
      <c r="A50" s="7">
        <v>48</v>
      </c>
      <c r="B50" s="7" t="s">
        <v>197</v>
      </c>
      <c r="C50" s="7" t="s">
        <v>198</v>
      </c>
      <c r="D50" s="7" t="s">
        <v>450</v>
      </c>
      <c r="E50" s="7" t="s">
        <v>161</v>
      </c>
      <c r="F50" s="49">
        <v>2</v>
      </c>
      <c r="G50" s="49">
        <v>2.5</v>
      </c>
      <c r="H50" s="49">
        <v>2</v>
      </c>
      <c r="I50" s="49">
        <v>2.5</v>
      </c>
      <c r="J50" s="7"/>
      <c r="K50" s="59">
        <f t="shared" si="0"/>
        <v>2.25</v>
      </c>
      <c r="L50" s="49">
        <v>2.5</v>
      </c>
      <c r="M50" s="49">
        <v>2</v>
      </c>
      <c r="N50" s="49">
        <v>3</v>
      </c>
      <c r="O50" s="49">
        <v>2.5</v>
      </c>
      <c r="P50" s="49">
        <v>3</v>
      </c>
      <c r="Q50" s="59">
        <f t="shared" si="1"/>
        <v>2.6</v>
      </c>
      <c r="R50" s="49"/>
      <c r="S50" s="49">
        <v>2.5</v>
      </c>
      <c r="T50" s="7"/>
      <c r="U50" s="49"/>
      <c r="V50" s="7"/>
      <c r="W50" s="59">
        <f t="shared" si="2"/>
        <v>2.5</v>
      </c>
      <c r="X50" s="49"/>
      <c r="Y50" s="49"/>
      <c r="Z50" s="7"/>
      <c r="AA50" s="7"/>
      <c r="AB50" s="7"/>
      <c r="AC50" s="59" t="str">
        <f t="shared" si="3"/>
        <v>A</v>
      </c>
      <c r="AD50" s="49"/>
      <c r="AE50" s="7"/>
      <c r="AF50" s="49"/>
      <c r="AG50" s="7"/>
      <c r="AH50" s="7"/>
      <c r="AI50" s="59" t="str">
        <f t="shared" si="4"/>
        <v>A</v>
      </c>
      <c r="AJ50" s="49">
        <v>3</v>
      </c>
      <c r="AK50" s="49">
        <v>2.5</v>
      </c>
      <c r="AL50" s="7"/>
      <c r="AM50" s="49">
        <v>2.5</v>
      </c>
      <c r="AN50" s="7"/>
      <c r="AO50" s="59">
        <f t="shared" si="5"/>
        <v>2.75</v>
      </c>
      <c r="AP50" s="49">
        <v>2</v>
      </c>
      <c r="AQ50" s="49"/>
      <c r="AR50" s="49"/>
      <c r="AS50" s="7"/>
      <c r="AT50" s="7"/>
      <c r="AU50" s="59">
        <f t="shared" si="6"/>
        <v>2</v>
      </c>
      <c r="AV50" s="7"/>
      <c r="AW50" s="7"/>
      <c r="AX50" s="49"/>
      <c r="AY50" s="49">
        <v>2.5</v>
      </c>
      <c r="AZ50" s="49">
        <v>2.5</v>
      </c>
      <c r="BA50" s="59">
        <f t="shared" si="7"/>
        <v>2.5</v>
      </c>
    </row>
    <row r="51" spans="1:53" ht="23.1" customHeight="1" x14ac:dyDescent="0.3">
      <c r="A51" s="49">
        <v>49</v>
      </c>
      <c r="B51" s="49" t="s">
        <v>310</v>
      </c>
      <c r="C51" s="49" t="s">
        <v>311</v>
      </c>
      <c r="D51" s="49" t="s">
        <v>450</v>
      </c>
      <c r="E51" s="49" t="s">
        <v>493</v>
      </c>
      <c r="F51" s="49">
        <v>4</v>
      </c>
      <c r="G51" s="49">
        <v>5</v>
      </c>
      <c r="H51" s="49">
        <v>5</v>
      </c>
      <c r="I51" s="49">
        <v>5</v>
      </c>
      <c r="J51" s="49"/>
      <c r="K51" s="59">
        <f t="shared" si="0"/>
        <v>4.75</v>
      </c>
      <c r="L51" s="49">
        <v>4</v>
      </c>
      <c r="M51" s="49">
        <v>5</v>
      </c>
      <c r="N51" s="49">
        <v>5</v>
      </c>
      <c r="O51" s="49">
        <v>5</v>
      </c>
      <c r="P51" s="49">
        <v>5</v>
      </c>
      <c r="Q51" s="59">
        <f t="shared" si="1"/>
        <v>4.8</v>
      </c>
      <c r="R51" s="49"/>
      <c r="S51" s="49">
        <v>5</v>
      </c>
      <c r="T51" s="49"/>
      <c r="U51" s="49"/>
      <c r="V51" s="49"/>
      <c r="W51" s="59">
        <f t="shared" si="2"/>
        <v>5</v>
      </c>
      <c r="X51" s="49"/>
      <c r="Y51" s="49"/>
      <c r="Z51" s="49"/>
      <c r="AA51" s="49"/>
      <c r="AB51" s="49"/>
      <c r="AC51" s="59" t="str">
        <f t="shared" si="3"/>
        <v>A</v>
      </c>
      <c r="AD51" s="49"/>
      <c r="AE51" s="49"/>
      <c r="AF51" s="49"/>
      <c r="AG51" s="49"/>
      <c r="AH51" s="49"/>
      <c r="AI51" s="59" t="str">
        <f t="shared" si="4"/>
        <v>A</v>
      </c>
      <c r="AJ51" s="49">
        <v>5</v>
      </c>
      <c r="AK51" s="49">
        <v>5</v>
      </c>
      <c r="AL51" s="49"/>
      <c r="AM51" s="49">
        <v>4</v>
      </c>
      <c r="AN51" s="49"/>
      <c r="AO51" s="59">
        <f t="shared" si="5"/>
        <v>5</v>
      </c>
      <c r="AP51" s="49">
        <v>4</v>
      </c>
      <c r="AQ51" s="49"/>
      <c r="AR51" s="49"/>
      <c r="AS51" s="49"/>
      <c r="AT51" s="49"/>
      <c r="AU51" s="59">
        <f t="shared" si="6"/>
        <v>4</v>
      </c>
      <c r="AV51" s="49"/>
      <c r="AW51" s="49"/>
      <c r="AX51" s="49"/>
      <c r="AY51" s="49">
        <v>3</v>
      </c>
      <c r="AZ51" s="49">
        <v>3</v>
      </c>
      <c r="BA51" s="59">
        <f t="shared" si="7"/>
        <v>3</v>
      </c>
    </row>
    <row r="52" spans="1:53" ht="23.1" customHeight="1" x14ac:dyDescent="0.3">
      <c r="A52" s="7">
        <v>50</v>
      </c>
      <c r="B52" s="7" t="s">
        <v>122</v>
      </c>
      <c r="C52" s="7" t="s">
        <v>123</v>
      </c>
      <c r="D52" s="7" t="s">
        <v>450</v>
      </c>
      <c r="E52" s="7" t="s">
        <v>35</v>
      </c>
      <c r="F52" s="49">
        <v>1.5</v>
      </c>
      <c r="G52" s="49">
        <v>2</v>
      </c>
      <c r="H52" s="49">
        <v>2.5</v>
      </c>
      <c r="I52" s="49">
        <v>2</v>
      </c>
      <c r="J52" s="7"/>
      <c r="K52" s="59">
        <f t="shared" si="0"/>
        <v>2</v>
      </c>
      <c r="L52" s="49">
        <v>2.5</v>
      </c>
      <c r="M52" s="49">
        <v>2</v>
      </c>
      <c r="N52" s="49">
        <v>1.5</v>
      </c>
      <c r="O52" s="49">
        <v>2</v>
      </c>
      <c r="P52" s="49">
        <v>2.5</v>
      </c>
      <c r="Q52" s="59">
        <f t="shared" si="1"/>
        <v>2.1</v>
      </c>
      <c r="R52" s="49"/>
      <c r="S52" s="49">
        <v>2</v>
      </c>
      <c r="T52" s="7"/>
      <c r="U52" s="49"/>
      <c r="V52" s="7"/>
      <c r="W52" s="59">
        <f t="shared" si="2"/>
        <v>2</v>
      </c>
      <c r="X52" s="49"/>
      <c r="Y52" s="49"/>
      <c r="Z52" s="7"/>
      <c r="AA52" s="7"/>
      <c r="AB52" s="7"/>
      <c r="AC52" s="59" t="str">
        <f t="shared" si="3"/>
        <v>A</v>
      </c>
      <c r="AD52" s="49"/>
      <c r="AE52" s="7"/>
      <c r="AF52" s="49"/>
      <c r="AG52" s="7"/>
      <c r="AH52" s="7"/>
      <c r="AI52" s="59" t="str">
        <f t="shared" si="4"/>
        <v>A</v>
      </c>
      <c r="AJ52" s="49">
        <v>1.5</v>
      </c>
      <c r="AK52" s="49">
        <v>2</v>
      </c>
      <c r="AL52" s="7"/>
      <c r="AM52" s="49">
        <v>2.5</v>
      </c>
      <c r="AN52" s="7"/>
      <c r="AO52" s="59">
        <f t="shared" si="5"/>
        <v>1.75</v>
      </c>
      <c r="AP52" s="49">
        <v>2.5</v>
      </c>
      <c r="AQ52" s="49"/>
      <c r="AR52" s="49"/>
      <c r="AS52" s="7"/>
      <c r="AT52" s="7"/>
      <c r="AU52" s="59">
        <f t="shared" si="6"/>
        <v>2.5</v>
      </c>
      <c r="AV52" s="7"/>
      <c r="AW52" s="7"/>
      <c r="AX52" s="49"/>
      <c r="AY52" s="49">
        <v>2</v>
      </c>
      <c r="AZ52" s="49">
        <v>2</v>
      </c>
      <c r="BA52" s="59">
        <f t="shared" si="7"/>
        <v>2</v>
      </c>
    </row>
    <row r="53" spans="1:53" ht="23.1" customHeight="1" x14ac:dyDescent="0.3">
      <c r="A53" s="49">
        <v>51</v>
      </c>
      <c r="B53" s="49" t="s">
        <v>259</v>
      </c>
      <c r="C53" s="49" t="s">
        <v>260</v>
      </c>
      <c r="D53" s="49" t="s">
        <v>542</v>
      </c>
      <c r="E53" s="49" t="s">
        <v>161</v>
      </c>
      <c r="F53" s="49">
        <v>3</v>
      </c>
      <c r="G53" s="49">
        <v>4</v>
      </c>
      <c r="H53" s="49">
        <v>3</v>
      </c>
      <c r="I53" s="49">
        <v>3</v>
      </c>
      <c r="J53" s="49"/>
      <c r="K53" s="59">
        <f t="shared" si="0"/>
        <v>3.25</v>
      </c>
      <c r="L53" s="49">
        <v>2</v>
      </c>
      <c r="M53" s="49">
        <v>3</v>
      </c>
      <c r="N53" s="49">
        <v>4</v>
      </c>
      <c r="O53" s="49">
        <v>4</v>
      </c>
      <c r="P53" s="49">
        <v>3</v>
      </c>
      <c r="Q53" s="59">
        <f t="shared" si="1"/>
        <v>3.2</v>
      </c>
      <c r="R53" s="49"/>
      <c r="S53" s="49">
        <v>3</v>
      </c>
      <c r="T53" s="49"/>
      <c r="U53" s="49"/>
      <c r="V53" s="49"/>
      <c r="W53" s="59">
        <f t="shared" si="2"/>
        <v>3</v>
      </c>
      <c r="X53" s="49"/>
      <c r="Y53" s="49"/>
      <c r="Z53" s="49"/>
      <c r="AA53" s="49"/>
      <c r="AB53" s="49"/>
      <c r="AC53" s="59" t="str">
        <f t="shared" si="3"/>
        <v>A</v>
      </c>
      <c r="AD53" s="49"/>
      <c r="AE53" s="49"/>
      <c r="AF53" s="49"/>
      <c r="AG53" s="49"/>
      <c r="AH53" s="49"/>
      <c r="AI53" s="59" t="str">
        <f t="shared" si="4"/>
        <v>A</v>
      </c>
      <c r="AJ53" s="49">
        <v>3</v>
      </c>
      <c r="AK53" s="49">
        <v>4</v>
      </c>
      <c r="AL53" s="49"/>
      <c r="AM53" s="49">
        <v>3</v>
      </c>
      <c r="AN53" s="49"/>
      <c r="AO53" s="59">
        <f t="shared" si="5"/>
        <v>3.5</v>
      </c>
      <c r="AP53" s="49">
        <v>3</v>
      </c>
      <c r="AQ53" s="49"/>
      <c r="AR53" s="49"/>
      <c r="AS53" s="49"/>
      <c r="AT53" s="49"/>
      <c r="AU53" s="59">
        <f t="shared" si="6"/>
        <v>3</v>
      </c>
      <c r="AV53" s="49"/>
      <c r="AW53" s="49"/>
      <c r="AX53" s="49"/>
      <c r="AY53" s="49">
        <v>4</v>
      </c>
      <c r="AZ53" s="49">
        <v>4</v>
      </c>
      <c r="BA53" s="59">
        <f t="shared" si="7"/>
        <v>4</v>
      </c>
    </row>
    <row r="54" spans="1:53" ht="23.1" customHeight="1" x14ac:dyDescent="0.3">
      <c r="A54" s="7">
        <v>52</v>
      </c>
      <c r="B54" s="7" t="s">
        <v>213</v>
      </c>
      <c r="C54" s="7" t="s">
        <v>214</v>
      </c>
      <c r="D54" s="7" t="s">
        <v>450</v>
      </c>
      <c r="E54" s="7" t="s">
        <v>161</v>
      </c>
      <c r="F54" s="49">
        <v>3</v>
      </c>
      <c r="G54" s="49">
        <v>3</v>
      </c>
      <c r="H54" s="49">
        <v>3</v>
      </c>
      <c r="I54" s="49">
        <v>3</v>
      </c>
      <c r="J54" s="7"/>
      <c r="K54" s="59">
        <f t="shared" si="0"/>
        <v>3</v>
      </c>
      <c r="L54" s="49">
        <v>3</v>
      </c>
      <c r="M54" s="49">
        <v>4</v>
      </c>
      <c r="N54" s="49">
        <v>3</v>
      </c>
      <c r="O54" s="49">
        <v>4</v>
      </c>
      <c r="P54" s="49">
        <v>3</v>
      </c>
      <c r="Q54" s="59">
        <f t="shared" si="1"/>
        <v>3.4</v>
      </c>
      <c r="R54" s="49"/>
      <c r="S54" s="49">
        <v>3</v>
      </c>
      <c r="T54" s="7"/>
      <c r="U54" s="49"/>
      <c r="V54" s="7"/>
      <c r="W54" s="59">
        <f t="shared" si="2"/>
        <v>3</v>
      </c>
      <c r="X54" s="49"/>
      <c r="Y54" s="49"/>
      <c r="Z54" s="7"/>
      <c r="AA54" s="7"/>
      <c r="AB54" s="7"/>
      <c r="AC54" s="59" t="str">
        <f t="shared" si="3"/>
        <v>A</v>
      </c>
      <c r="AD54" s="49"/>
      <c r="AE54" s="7"/>
      <c r="AF54" s="49"/>
      <c r="AG54" s="7"/>
      <c r="AH54" s="7"/>
      <c r="AI54" s="59" t="str">
        <f t="shared" si="4"/>
        <v>A</v>
      </c>
      <c r="AJ54" s="49">
        <v>3</v>
      </c>
      <c r="AK54" s="49">
        <v>3</v>
      </c>
      <c r="AL54" s="7"/>
      <c r="AM54" s="49">
        <v>3</v>
      </c>
      <c r="AN54" s="7"/>
      <c r="AO54" s="59">
        <f t="shared" si="5"/>
        <v>3</v>
      </c>
      <c r="AP54" s="49">
        <v>3</v>
      </c>
      <c r="AQ54" s="49"/>
      <c r="AR54" s="49"/>
      <c r="AS54" s="7"/>
      <c r="AT54" s="7"/>
      <c r="AU54" s="59">
        <f t="shared" si="6"/>
        <v>3</v>
      </c>
      <c r="AV54" s="7"/>
      <c r="AW54" s="7"/>
      <c r="AX54" s="49"/>
      <c r="AY54" s="49">
        <v>3</v>
      </c>
      <c r="AZ54" s="49">
        <v>1</v>
      </c>
      <c r="BA54" s="59">
        <f t="shared" si="7"/>
        <v>2</v>
      </c>
    </row>
    <row r="55" spans="1:53" ht="23.1" customHeight="1" x14ac:dyDescent="0.3">
      <c r="A55" s="49">
        <v>53</v>
      </c>
      <c r="B55" s="49" t="s">
        <v>229</v>
      </c>
      <c r="C55" s="49" t="s">
        <v>230</v>
      </c>
      <c r="D55" s="49" t="s">
        <v>450</v>
      </c>
      <c r="E55" s="49" t="s">
        <v>161</v>
      </c>
      <c r="F55" s="49">
        <v>1</v>
      </c>
      <c r="G55" s="49">
        <v>2</v>
      </c>
      <c r="H55" s="49">
        <v>2</v>
      </c>
      <c r="I55" s="49">
        <v>2</v>
      </c>
      <c r="J55" s="49"/>
      <c r="K55" s="59">
        <f t="shared" si="0"/>
        <v>1.75</v>
      </c>
      <c r="L55" s="49">
        <v>2</v>
      </c>
      <c r="M55" s="49">
        <v>2</v>
      </c>
      <c r="N55" s="49">
        <v>1</v>
      </c>
      <c r="O55" s="49">
        <v>4</v>
      </c>
      <c r="P55" s="49">
        <v>1</v>
      </c>
      <c r="Q55" s="59">
        <f t="shared" si="1"/>
        <v>2</v>
      </c>
      <c r="R55" s="49"/>
      <c r="S55" s="49">
        <v>1</v>
      </c>
      <c r="T55" s="49"/>
      <c r="U55" s="49"/>
      <c r="V55" s="49"/>
      <c r="W55" s="59">
        <f t="shared" si="2"/>
        <v>1</v>
      </c>
      <c r="X55" s="49"/>
      <c r="Y55" s="49"/>
      <c r="Z55" s="49"/>
      <c r="AA55" s="49"/>
      <c r="AB55" s="49"/>
      <c r="AC55" s="59" t="str">
        <f t="shared" si="3"/>
        <v>A</v>
      </c>
      <c r="AD55" s="49"/>
      <c r="AE55" s="49"/>
      <c r="AF55" s="49"/>
      <c r="AG55" s="49"/>
      <c r="AH55" s="49"/>
      <c r="AI55" s="59" t="str">
        <f t="shared" si="4"/>
        <v>A</v>
      </c>
      <c r="AJ55" s="49">
        <v>1</v>
      </c>
      <c r="AK55" s="49">
        <v>1</v>
      </c>
      <c r="AL55" s="49"/>
      <c r="AM55" s="49">
        <v>2</v>
      </c>
      <c r="AN55" s="49"/>
      <c r="AO55" s="59">
        <f t="shared" si="5"/>
        <v>1</v>
      </c>
      <c r="AP55" s="49">
        <v>3</v>
      </c>
      <c r="AQ55" s="49"/>
      <c r="AR55" s="49"/>
      <c r="AS55" s="49"/>
      <c r="AT55" s="49"/>
      <c r="AU55" s="59">
        <f t="shared" si="6"/>
        <v>3</v>
      </c>
      <c r="AV55" s="49"/>
      <c r="AW55" s="49"/>
      <c r="AX55" s="49"/>
      <c r="AY55" s="49">
        <v>1</v>
      </c>
      <c r="AZ55" s="49">
        <v>2</v>
      </c>
      <c r="BA55" s="59">
        <f t="shared" si="7"/>
        <v>1.5</v>
      </c>
    </row>
    <row r="56" spans="1:53" ht="23.1" customHeight="1" x14ac:dyDescent="0.3">
      <c r="A56" s="7">
        <v>54</v>
      </c>
      <c r="B56" s="7" t="s">
        <v>312</v>
      </c>
      <c r="C56" s="7" t="s">
        <v>313</v>
      </c>
      <c r="D56" s="7" t="s">
        <v>450</v>
      </c>
      <c r="E56" s="7" t="s">
        <v>493</v>
      </c>
      <c r="F56" s="49">
        <v>1</v>
      </c>
      <c r="G56" s="49">
        <v>4</v>
      </c>
      <c r="H56" s="49">
        <v>2</v>
      </c>
      <c r="I56" s="49">
        <v>2</v>
      </c>
      <c r="J56" s="7"/>
      <c r="K56" s="59">
        <f t="shared" si="0"/>
        <v>2.25</v>
      </c>
      <c r="L56" s="49">
        <v>3</v>
      </c>
      <c r="M56" s="49">
        <v>4</v>
      </c>
      <c r="N56" s="49">
        <v>3</v>
      </c>
      <c r="O56" s="49">
        <v>2</v>
      </c>
      <c r="P56" s="49">
        <v>2</v>
      </c>
      <c r="Q56" s="59">
        <f t="shared" si="1"/>
        <v>2.8</v>
      </c>
      <c r="R56" s="49"/>
      <c r="S56" s="49">
        <v>2</v>
      </c>
      <c r="T56" s="7"/>
      <c r="U56" s="49"/>
      <c r="V56" s="7"/>
      <c r="W56" s="59">
        <f t="shared" si="2"/>
        <v>2</v>
      </c>
      <c r="X56" s="49"/>
      <c r="Y56" s="49"/>
      <c r="Z56" s="7"/>
      <c r="AA56" s="7"/>
      <c r="AB56" s="7"/>
      <c r="AC56" s="59" t="str">
        <f t="shared" si="3"/>
        <v>A</v>
      </c>
      <c r="AD56" s="49"/>
      <c r="AE56" s="7"/>
      <c r="AF56" s="49"/>
      <c r="AG56" s="7"/>
      <c r="AH56" s="7"/>
      <c r="AI56" s="59" t="str">
        <f t="shared" si="4"/>
        <v>A</v>
      </c>
      <c r="AJ56" s="49">
        <v>3</v>
      </c>
      <c r="AK56" s="49">
        <v>2</v>
      </c>
      <c r="AL56" s="7"/>
      <c r="AM56" s="49">
        <v>2</v>
      </c>
      <c r="AN56" s="7"/>
      <c r="AO56" s="59">
        <f t="shared" si="5"/>
        <v>2.5</v>
      </c>
      <c r="AP56" s="49">
        <v>3</v>
      </c>
      <c r="AQ56" s="49"/>
      <c r="AR56" s="49"/>
      <c r="AS56" s="7"/>
      <c r="AT56" s="7"/>
      <c r="AU56" s="59">
        <f t="shared" si="6"/>
        <v>3</v>
      </c>
      <c r="AV56" s="7"/>
      <c r="AW56" s="7"/>
      <c r="AX56" s="49"/>
      <c r="AY56" s="49">
        <v>3</v>
      </c>
      <c r="AZ56" s="49">
        <v>3</v>
      </c>
      <c r="BA56" s="59">
        <f t="shared" si="7"/>
        <v>3</v>
      </c>
    </row>
    <row r="57" spans="1:53" ht="23.1" customHeight="1" x14ac:dyDescent="0.3">
      <c r="A57" s="49">
        <v>55</v>
      </c>
      <c r="B57" s="49" t="s">
        <v>247</v>
      </c>
      <c r="C57" s="49" t="s">
        <v>248</v>
      </c>
      <c r="D57" s="49" t="s">
        <v>450</v>
      </c>
      <c r="E57" s="49" t="s">
        <v>161</v>
      </c>
      <c r="F57" s="49">
        <v>2</v>
      </c>
      <c r="G57" s="49">
        <v>3</v>
      </c>
      <c r="H57" s="49">
        <v>2</v>
      </c>
      <c r="I57" s="49">
        <v>2</v>
      </c>
      <c r="J57" s="49"/>
      <c r="K57" s="59">
        <f t="shared" si="0"/>
        <v>2.25</v>
      </c>
      <c r="L57" s="49">
        <v>4</v>
      </c>
      <c r="M57" s="49">
        <v>4</v>
      </c>
      <c r="N57" s="49">
        <v>3</v>
      </c>
      <c r="O57" s="49">
        <v>4</v>
      </c>
      <c r="P57" s="49">
        <v>2</v>
      </c>
      <c r="Q57" s="59">
        <f t="shared" si="1"/>
        <v>3.4</v>
      </c>
      <c r="R57" s="49"/>
      <c r="S57" s="49">
        <v>4</v>
      </c>
      <c r="T57" s="49"/>
      <c r="U57" s="49"/>
      <c r="V57" s="49"/>
      <c r="W57" s="59">
        <f t="shared" si="2"/>
        <v>4</v>
      </c>
      <c r="X57" s="49"/>
      <c r="Y57" s="49"/>
      <c r="Z57" s="49"/>
      <c r="AA57" s="49"/>
      <c r="AB57" s="49"/>
      <c r="AC57" s="59" t="str">
        <f t="shared" si="3"/>
        <v>A</v>
      </c>
      <c r="AD57" s="49"/>
      <c r="AE57" s="49"/>
      <c r="AF57" s="49"/>
      <c r="AG57" s="49"/>
      <c r="AH57" s="49"/>
      <c r="AI57" s="59" t="str">
        <f t="shared" si="4"/>
        <v>A</v>
      </c>
      <c r="AJ57" s="49">
        <v>3</v>
      </c>
      <c r="AK57" s="49">
        <v>2</v>
      </c>
      <c r="AL57" s="49"/>
      <c r="AM57" s="49">
        <v>3</v>
      </c>
      <c r="AN57" s="49"/>
      <c r="AO57" s="59">
        <f t="shared" si="5"/>
        <v>2.5</v>
      </c>
      <c r="AP57" s="49">
        <v>3</v>
      </c>
      <c r="AQ57" s="49"/>
      <c r="AR57" s="49"/>
      <c r="AS57" s="49"/>
      <c r="AT57" s="49"/>
      <c r="AU57" s="59">
        <f t="shared" si="6"/>
        <v>3</v>
      </c>
      <c r="AV57" s="49"/>
      <c r="AW57" s="49"/>
      <c r="AX57" s="49"/>
      <c r="AY57" s="49">
        <v>3</v>
      </c>
      <c r="AZ57" s="49">
        <v>3</v>
      </c>
      <c r="BA57" s="59">
        <f t="shared" si="7"/>
        <v>3</v>
      </c>
    </row>
    <row r="58" spans="1:53" ht="23.1" customHeight="1" x14ac:dyDescent="0.3">
      <c r="A58" s="7">
        <v>56</v>
      </c>
      <c r="B58" s="7" t="s">
        <v>124</v>
      </c>
      <c r="C58" s="7" t="s">
        <v>125</v>
      </c>
      <c r="D58" s="7" t="s">
        <v>542</v>
      </c>
      <c r="E58" s="7" t="s">
        <v>35</v>
      </c>
      <c r="F58" s="49">
        <v>2</v>
      </c>
      <c r="G58" s="49">
        <v>4</v>
      </c>
      <c r="H58" s="49">
        <v>2</v>
      </c>
      <c r="I58" s="49">
        <v>4</v>
      </c>
      <c r="J58" s="7"/>
      <c r="K58" s="59">
        <f t="shared" si="0"/>
        <v>3</v>
      </c>
      <c r="L58" s="49">
        <v>3</v>
      </c>
      <c r="M58" s="49">
        <v>3</v>
      </c>
      <c r="N58" s="49">
        <v>4</v>
      </c>
      <c r="O58" s="49">
        <v>3</v>
      </c>
      <c r="P58" s="49">
        <v>2</v>
      </c>
      <c r="Q58" s="59">
        <f t="shared" si="1"/>
        <v>3</v>
      </c>
      <c r="R58" s="49"/>
      <c r="S58" s="49">
        <v>4</v>
      </c>
      <c r="T58" s="7"/>
      <c r="U58" s="49"/>
      <c r="V58" s="7"/>
      <c r="W58" s="59">
        <f t="shared" si="2"/>
        <v>4</v>
      </c>
      <c r="X58" s="49"/>
      <c r="Y58" s="49"/>
      <c r="Z58" s="7"/>
      <c r="AA58" s="7"/>
      <c r="AB58" s="7"/>
      <c r="AC58" s="59" t="str">
        <f t="shared" si="3"/>
        <v>A</v>
      </c>
      <c r="AD58" s="49"/>
      <c r="AE58" s="7"/>
      <c r="AF58" s="49"/>
      <c r="AG58" s="7"/>
      <c r="AH58" s="7"/>
      <c r="AI58" s="59" t="str">
        <f t="shared" si="4"/>
        <v>A</v>
      </c>
      <c r="AJ58" s="49">
        <v>3</v>
      </c>
      <c r="AK58" s="49">
        <v>3</v>
      </c>
      <c r="AL58" s="7"/>
      <c r="AM58" s="49">
        <v>3</v>
      </c>
      <c r="AN58" s="7"/>
      <c r="AO58" s="59">
        <f t="shared" si="5"/>
        <v>3</v>
      </c>
      <c r="AP58" s="49">
        <v>3</v>
      </c>
      <c r="AQ58" s="49"/>
      <c r="AR58" s="49"/>
      <c r="AS58" s="7"/>
      <c r="AT58" s="7"/>
      <c r="AU58" s="59">
        <f t="shared" si="6"/>
        <v>3</v>
      </c>
      <c r="AV58" s="7"/>
      <c r="AW58" s="7"/>
      <c r="AX58" s="49"/>
      <c r="AY58" s="49">
        <v>3</v>
      </c>
      <c r="AZ58" s="49">
        <v>3</v>
      </c>
      <c r="BA58" s="59">
        <f t="shared" si="7"/>
        <v>3</v>
      </c>
    </row>
    <row r="59" spans="1:53" ht="23.1" customHeight="1" x14ac:dyDescent="0.3">
      <c r="A59" s="49">
        <v>57</v>
      </c>
      <c r="B59" s="49" t="s">
        <v>314</v>
      </c>
      <c r="C59" s="49" t="s">
        <v>315</v>
      </c>
      <c r="D59" s="49" t="s">
        <v>542</v>
      </c>
      <c r="E59" s="49" t="s">
        <v>493</v>
      </c>
      <c r="F59" s="49">
        <v>2</v>
      </c>
      <c r="G59" s="49">
        <v>4</v>
      </c>
      <c r="H59" s="49">
        <v>4</v>
      </c>
      <c r="I59" s="49">
        <v>2</v>
      </c>
      <c r="J59" s="49"/>
      <c r="K59" s="59">
        <f t="shared" si="0"/>
        <v>3</v>
      </c>
      <c r="L59" s="49">
        <v>3</v>
      </c>
      <c r="M59" s="49">
        <v>3</v>
      </c>
      <c r="N59" s="49">
        <v>3</v>
      </c>
      <c r="O59" s="49">
        <v>2</v>
      </c>
      <c r="P59" s="49">
        <v>3</v>
      </c>
      <c r="Q59" s="59">
        <f t="shared" si="1"/>
        <v>2.8</v>
      </c>
      <c r="R59" s="49"/>
      <c r="S59" s="49">
        <v>4</v>
      </c>
      <c r="T59" s="49"/>
      <c r="U59" s="49"/>
      <c r="V59" s="49"/>
      <c r="W59" s="59">
        <f t="shared" si="2"/>
        <v>4</v>
      </c>
      <c r="X59" s="49"/>
      <c r="Y59" s="49"/>
      <c r="Z59" s="49"/>
      <c r="AA59" s="49"/>
      <c r="AB59" s="49"/>
      <c r="AC59" s="59" t="str">
        <f t="shared" si="3"/>
        <v>A</v>
      </c>
      <c r="AD59" s="49"/>
      <c r="AE59" s="49"/>
      <c r="AF59" s="49"/>
      <c r="AG59" s="49"/>
      <c r="AH59" s="49"/>
      <c r="AI59" s="59" t="str">
        <f t="shared" si="4"/>
        <v>A</v>
      </c>
      <c r="AJ59" s="49">
        <v>2</v>
      </c>
      <c r="AK59" s="49">
        <v>3</v>
      </c>
      <c r="AL59" s="49"/>
      <c r="AM59" s="49">
        <v>2</v>
      </c>
      <c r="AN59" s="49"/>
      <c r="AO59" s="59">
        <f t="shared" si="5"/>
        <v>2.5</v>
      </c>
      <c r="AP59" s="49">
        <v>4</v>
      </c>
      <c r="AQ59" s="49"/>
      <c r="AR59" s="49"/>
      <c r="AS59" s="49"/>
      <c r="AT59" s="49"/>
      <c r="AU59" s="59">
        <f t="shared" si="6"/>
        <v>4</v>
      </c>
      <c r="AV59" s="49"/>
      <c r="AW59" s="49"/>
      <c r="AX59" s="49"/>
      <c r="AY59" s="49">
        <v>4</v>
      </c>
      <c r="AZ59" s="49">
        <v>4</v>
      </c>
      <c r="BA59" s="59">
        <f t="shared" si="7"/>
        <v>4</v>
      </c>
    </row>
    <row r="60" spans="1:53" ht="23.1" customHeight="1" x14ac:dyDescent="0.3">
      <c r="A60" s="7">
        <v>58</v>
      </c>
      <c r="B60" s="7" t="s">
        <v>316</v>
      </c>
      <c r="C60" s="7" t="s">
        <v>317</v>
      </c>
      <c r="D60" s="7" t="s">
        <v>450</v>
      </c>
      <c r="E60" s="7" t="s">
        <v>493</v>
      </c>
      <c r="F60" s="49">
        <v>2</v>
      </c>
      <c r="G60" s="49">
        <v>2</v>
      </c>
      <c r="H60" s="49">
        <v>2</v>
      </c>
      <c r="I60" s="49">
        <v>2</v>
      </c>
      <c r="J60" s="7"/>
      <c r="K60" s="59">
        <f t="shared" si="0"/>
        <v>2</v>
      </c>
      <c r="L60" s="49">
        <v>2</v>
      </c>
      <c r="M60" s="49">
        <v>2</v>
      </c>
      <c r="N60" s="49">
        <v>2</v>
      </c>
      <c r="O60" s="49">
        <v>2</v>
      </c>
      <c r="P60" s="49">
        <v>2</v>
      </c>
      <c r="Q60" s="59">
        <f t="shared" si="1"/>
        <v>2</v>
      </c>
      <c r="R60" s="49"/>
      <c r="S60" s="49">
        <v>2</v>
      </c>
      <c r="T60" s="7"/>
      <c r="U60" s="49"/>
      <c r="V60" s="7"/>
      <c r="W60" s="59">
        <f t="shared" si="2"/>
        <v>2</v>
      </c>
      <c r="X60" s="49"/>
      <c r="Y60" s="49"/>
      <c r="Z60" s="7"/>
      <c r="AA60" s="7"/>
      <c r="AB60" s="7"/>
      <c r="AC60" s="59" t="str">
        <f t="shared" si="3"/>
        <v>A</v>
      </c>
      <c r="AD60" s="49"/>
      <c r="AE60" s="7"/>
      <c r="AF60" s="49"/>
      <c r="AG60" s="7"/>
      <c r="AH60" s="7"/>
      <c r="AI60" s="59" t="str">
        <f t="shared" si="4"/>
        <v>A</v>
      </c>
      <c r="AJ60" s="49">
        <v>2</v>
      </c>
      <c r="AK60" s="49">
        <v>2</v>
      </c>
      <c r="AL60" s="7"/>
      <c r="AM60" s="49">
        <v>3</v>
      </c>
      <c r="AN60" s="7"/>
      <c r="AO60" s="59">
        <f t="shared" si="5"/>
        <v>2</v>
      </c>
      <c r="AP60" s="49">
        <v>3</v>
      </c>
      <c r="AQ60" s="49"/>
      <c r="AR60" s="49"/>
      <c r="AS60" s="7"/>
      <c r="AT60" s="7"/>
      <c r="AU60" s="59">
        <f t="shared" si="6"/>
        <v>3</v>
      </c>
      <c r="AV60" s="7"/>
      <c r="AW60" s="7"/>
      <c r="AX60" s="49"/>
      <c r="AY60" s="49">
        <v>3</v>
      </c>
      <c r="AZ60" s="49">
        <v>2</v>
      </c>
      <c r="BA60" s="59">
        <f t="shared" si="7"/>
        <v>2.5</v>
      </c>
    </row>
    <row r="61" spans="1:53" ht="23.1" customHeight="1" x14ac:dyDescent="0.3">
      <c r="A61" s="49">
        <v>59</v>
      </c>
      <c r="B61" s="49" t="s">
        <v>126</v>
      </c>
      <c r="C61" s="49" t="s">
        <v>127</v>
      </c>
      <c r="D61" s="49" t="s">
        <v>450</v>
      </c>
      <c r="E61" s="49" t="s">
        <v>35</v>
      </c>
      <c r="F61" s="49">
        <v>3</v>
      </c>
      <c r="G61" s="49">
        <v>1</v>
      </c>
      <c r="H61" s="49">
        <v>4</v>
      </c>
      <c r="I61" s="49">
        <v>3</v>
      </c>
      <c r="J61" s="49"/>
      <c r="K61" s="59">
        <f t="shared" si="0"/>
        <v>2.75</v>
      </c>
      <c r="L61" s="49">
        <v>4</v>
      </c>
      <c r="M61" s="49">
        <v>3</v>
      </c>
      <c r="N61" s="49">
        <v>4</v>
      </c>
      <c r="O61" s="49">
        <v>4</v>
      </c>
      <c r="P61" s="49">
        <v>3</v>
      </c>
      <c r="Q61" s="59">
        <f t="shared" si="1"/>
        <v>3.6</v>
      </c>
      <c r="R61" s="49"/>
      <c r="S61" s="49">
        <v>2</v>
      </c>
      <c r="T61" s="49"/>
      <c r="U61" s="49"/>
      <c r="V61" s="49"/>
      <c r="W61" s="59">
        <f t="shared" si="2"/>
        <v>2</v>
      </c>
      <c r="X61" s="49"/>
      <c r="Y61" s="49"/>
      <c r="Z61" s="49"/>
      <c r="AA61" s="49"/>
      <c r="AB61" s="49"/>
      <c r="AC61" s="59" t="str">
        <f t="shared" si="3"/>
        <v>A</v>
      </c>
      <c r="AD61" s="49"/>
      <c r="AE61" s="49"/>
      <c r="AF61" s="49"/>
      <c r="AG61" s="49"/>
      <c r="AH61" s="49"/>
      <c r="AI61" s="59" t="str">
        <f t="shared" si="4"/>
        <v>A</v>
      </c>
      <c r="AJ61" s="49">
        <v>3</v>
      </c>
      <c r="AK61" s="49">
        <v>3</v>
      </c>
      <c r="AL61" s="49"/>
      <c r="AM61" s="49">
        <v>2</v>
      </c>
      <c r="AN61" s="49"/>
      <c r="AO61" s="59">
        <f t="shared" si="5"/>
        <v>3</v>
      </c>
      <c r="AP61" s="49">
        <v>4</v>
      </c>
      <c r="AQ61" s="49"/>
      <c r="AR61" s="49"/>
      <c r="AS61" s="49"/>
      <c r="AT61" s="49"/>
      <c r="AU61" s="59">
        <f t="shared" si="6"/>
        <v>4</v>
      </c>
      <c r="AV61" s="49"/>
      <c r="AW61" s="49"/>
      <c r="AX61" s="49"/>
      <c r="AY61" s="49">
        <v>3</v>
      </c>
      <c r="AZ61" s="49">
        <v>2</v>
      </c>
      <c r="BA61" s="59">
        <f t="shared" si="7"/>
        <v>2.5</v>
      </c>
    </row>
    <row r="62" spans="1:53" ht="23.1" customHeight="1" x14ac:dyDescent="0.3">
      <c r="A62" s="7">
        <v>60</v>
      </c>
      <c r="B62" s="7" t="s">
        <v>42</v>
      </c>
      <c r="C62" s="7" t="s">
        <v>43</v>
      </c>
      <c r="D62" s="7" t="s">
        <v>450</v>
      </c>
      <c r="E62" s="7" t="s">
        <v>35</v>
      </c>
      <c r="F62" s="49">
        <v>3</v>
      </c>
      <c r="G62" s="49">
        <v>2.5</v>
      </c>
      <c r="H62" s="49">
        <v>3</v>
      </c>
      <c r="I62" s="49">
        <v>3</v>
      </c>
      <c r="J62" s="7"/>
      <c r="K62" s="59">
        <f t="shared" si="0"/>
        <v>2.875</v>
      </c>
      <c r="L62" s="49">
        <v>3</v>
      </c>
      <c r="M62" s="49">
        <v>3</v>
      </c>
      <c r="N62" s="49">
        <v>3</v>
      </c>
      <c r="O62" s="49">
        <v>2.5</v>
      </c>
      <c r="P62" s="49">
        <v>3</v>
      </c>
      <c r="Q62" s="59">
        <f t="shared" si="1"/>
        <v>2.9</v>
      </c>
      <c r="R62" s="49"/>
      <c r="S62" s="49">
        <v>3</v>
      </c>
      <c r="T62" s="7"/>
      <c r="U62" s="49"/>
      <c r="V62" s="7"/>
      <c r="W62" s="59">
        <f t="shared" si="2"/>
        <v>3</v>
      </c>
      <c r="X62" s="49"/>
      <c r="Y62" s="49"/>
      <c r="Z62" s="7"/>
      <c r="AA62" s="7"/>
      <c r="AB62" s="7"/>
      <c r="AC62" s="59" t="str">
        <f t="shared" si="3"/>
        <v>A</v>
      </c>
      <c r="AD62" s="49"/>
      <c r="AE62" s="7"/>
      <c r="AF62" s="49"/>
      <c r="AG62" s="7"/>
      <c r="AH62" s="7"/>
      <c r="AI62" s="59" t="str">
        <f t="shared" si="4"/>
        <v>A</v>
      </c>
      <c r="AJ62" s="49">
        <v>3</v>
      </c>
      <c r="AK62" s="49">
        <v>2.5</v>
      </c>
      <c r="AL62" s="7"/>
      <c r="AM62" s="49">
        <v>3</v>
      </c>
      <c r="AN62" s="7"/>
      <c r="AO62" s="59">
        <f t="shared" si="5"/>
        <v>2.75</v>
      </c>
      <c r="AP62" s="49">
        <v>3</v>
      </c>
      <c r="AQ62" s="49"/>
      <c r="AR62" s="49"/>
      <c r="AS62" s="7"/>
      <c r="AT62" s="7"/>
      <c r="AU62" s="59">
        <f t="shared" si="6"/>
        <v>3</v>
      </c>
      <c r="AV62" s="7"/>
      <c r="AW62" s="7"/>
      <c r="AX62" s="49"/>
      <c r="AY62" s="49">
        <v>2.5</v>
      </c>
      <c r="AZ62" s="49">
        <v>2.5</v>
      </c>
      <c r="BA62" s="59">
        <f t="shared" si="7"/>
        <v>2.5</v>
      </c>
    </row>
    <row r="63" spans="1:53" ht="23.1" customHeight="1" x14ac:dyDescent="0.3">
      <c r="A63" s="49">
        <v>61</v>
      </c>
      <c r="B63" s="49" t="s">
        <v>128</v>
      </c>
      <c r="C63" s="49" t="s">
        <v>129</v>
      </c>
      <c r="D63" s="49" t="s">
        <v>450</v>
      </c>
      <c r="E63" s="49" t="s">
        <v>35</v>
      </c>
      <c r="F63" s="49">
        <v>1</v>
      </c>
      <c r="G63" s="49">
        <v>1</v>
      </c>
      <c r="H63" s="49">
        <v>1</v>
      </c>
      <c r="I63" s="49">
        <v>1</v>
      </c>
      <c r="J63" s="49"/>
      <c r="K63" s="59">
        <f t="shared" si="0"/>
        <v>1</v>
      </c>
      <c r="L63" s="49">
        <v>1</v>
      </c>
      <c r="M63" s="49">
        <v>1</v>
      </c>
      <c r="N63" s="49">
        <v>1</v>
      </c>
      <c r="O63" s="49">
        <v>4</v>
      </c>
      <c r="P63" s="49">
        <v>1</v>
      </c>
      <c r="Q63" s="59">
        <f t="shared" si="1"/>
        <v>1.6</v>
      </c>
      <c r="R63" s="49"/>
      <c r="S63" s="49">
        <v>1</v>
      </c>
      <c r="T63" s="49"/>
      <c r="U63" s="49"/>
      <c r="V63" s="49"/>
      <c r="W63" s="59">
        <f t="shared" si="2"/>
        <v>1</v>
      </c>
      <c r="X63" s="49"/>
      <c r="Y63" s="49"/>
      <c r="Z63" s="49"/>
      <c r="AA63" s="49"/>
      <c r="AB63" s="49"/>
      <c r="AC63" s="59" t="str">
        <f t="shared" si="3"/>
        <v>A</v>
      </c>
      <c r="AD63" s="49"/>
      <c r="AE63" s="49"/>
      <c r="AF63" s="49"/>
      <c r="AG63" s="49"/>
      <c r="AH63" s="49"/>
      <c r="AI63" s="59" t="str">
        <f t="shared" si="4"/>
        <v>A</v>
      </c>
      <c r="AJ63" s="49">
        <v>1</v>
      </c>
      <c r="AK63" s="49">
        <v>1</v>
      </c>
      <c r="AL63" s="49"/>
      <c r="AM63" s="49">
        <v>1</v>
      </c>
      <c r="AN63" s="49"/>
      <c r="AO63" s="59">
        <f t="shared" si="5"/>
        <v>1</v>
      </c>
      <c r="AP63" s="49">
        <v>1</v>
      </c>
      <c r="AQ63" s="49"/>
      <c r="AR63" s="49"/>
      <c r="AS63" s="49"/>
      <c r="AT63" s="49"/>
      <c r="AU63" s="59">
        <f t="shared" si="6"/>
        <v>1</v>
      </c>
      <c r="AV63" s="49"/>
      <c r="AW63" s="49"/>
      <c r="AX63" s="49"/>
      <c r="AY63" s="49">
        <v>1</v>
      </c>
      <c r="AZ63" s="49">
        <v>1</v>
      </c>
      <c r="BA63" s="59">
        <f t="shared" si="7"/>
        <v>1</v>
      </c>
    </row>
    <row r="64" spans="1:53" ht="23.1" customHeight="1" x14ac:dyDescent="0.3">
      <c r="A64" s="7">
        <v>62</v>
      </c>
      <c r="B64" s="7" t="s">
        <v>275</v>
      </c>
      <c r="C64" s="7" t="s">
        <v>276</v>
      </c>
      <c r="D64" s="7" t="s">
        <v>542</v>
      </c>
      <c r="E64" s="7" t="s">
        <v>161</v>
      </c>
      <c r="F64" s="49">
        <v>1</v>
      </c>
      <c r="G64" s="49">
        <v>3</v>
      </c>
      <c r="H64" s="49">
        <v>0</v>
      </c>
      <c r="I64" s="49">
        <v>2</v>
      </c>
      <c r="J64" s="7"/>
      <c r="K64" s="59">
        <f t="shared" si="0"/>
        <v>1.5</v>
      </c>
      <c r="L64" s="49">
        <v>4</v>
      </c>
      <c r="M64" s="49">
        <v>2</v>
      </c>
      <c r="N64" s="49">
        <v>2</v>
      </c>
      <c r="O64" s="49">
        <v>2</v>
      </c>
      <c r="P64" s="49">
        <v>3</v>
      </c>
      <c r="Q64" s="59">
        <f t="shared" si="1"/>
        <v>2.6</v>
      </c>
      <c r="R64" s="49"/>
      <c r="S64" s="49">
        <v>1</v>
      </c>
      <c r="T64" s="7"/>
      <c r="U64" s="49"/>
      <c r="V64" s="7"/>
      <c r="W64" s="59">
        <f t="shared" si="2"/>
        <v>1</v>
      </c>
      <c r="X64" s="49"/>
      <c r="Y64" s="49"/>
      <c r="Z64" s="7"/>
      <c r="AA64" s="7"/>
      <c r="AB64" s="7"/>
      <c r="AC64" s="59" t="str">
        <f t="shared" si="3"/>
        <v>A</v>
      </c>
      <c r="AD64" s="49"/>
      <c r="AE64" s="7"/>
      <c r="AF64" s="49"/>
      <c r="AG64" s="7"/>
      <c r="AH64" s="7"/>
      <c r="AI64" s="59" t="str">
        <f t="shared" si="4"/>
        <v>A</v>
      </c>
      <c r="AJ64" s="49">
        <v>3</v>
      </c>
      <c r="AK64" s="49">
        <v>2</v>
      </c>
      <c r="AL64" s="7"/>
      <c r="AM64" s="49">
        <v>3</v>
      </c>
      <c r="AN64" s="7"/>
      <c r="AO64" s="59">
        <f t="shared" si="5"/>
        <v>2.5</v>
      </c>
      <c r="AP64" s="49">
        <v>3</v>
      </c>
      <c r="AQ64" s="49"/>
      <c r="AR64" s="49"/>
      <c r="AS64" s="7"/>
      <c r="AT64" s="7"/>
      <c r="AU64" s="59">
        <f t="shared" si="6"/>
        <v>3</v>
      </c>
      <c r="AV64" s="7"/>
      <c r="AW64" s="7"/>
      <c r="AX64" s="49"/>
      <c r="AY64" s="49">
        <v>3</v>
      </c>
      <c r="AZ64" s="49">
        <v>3</v>
      </c>
      <c r="BA64" s="59">
        <f t="shared" si="7"/>
        <v>3</v>
      </c>
    </row>
    <row r="65" spans="1:53" ht="23.1" customHeight="1" x14ac:dyDescent="0.3">
      <c r="A65" s="49">
        <v>63</v>
      </c>
      <c r="B65" s="49" t="s">
        <v>60</v>
      </c>
      <c r="C65" s="49" t="s">
        <v>61</v>
      </c>
      <c r="D65" s="49" t="s">
        <v>450</v>
      </c>
      <c r="E65" s="49" t="s">
        <v>35</v>
      </c>
      <c r="F65" s="49">
        <v>3</v>
      </c>
      <c r="G65" s="49">
        <v>4</v>
      </c>
      <c r="H65" s="49">
        <v>4</v>
      </c>
      <c r="I65" s="49">
        <v>4</v>
      </c>
      <c r="J65" s="49"/>
      <c r="K65" s="59">
        <f t="shared" si="0"/>
        <v>3.75</v>
      </c>
      <c r="L65" s="49">
        <v>4</v>
      </c>
      <c r="M65" s="49">
        <v>4</v>
      </c>
      <c r="N65" s="49">
        <v>4</v>
      </c>
      <c r="O65" s="49">
        <v>4</v>
      </c>
      <c r="P65" s="49">
        <v>5</v>
      </c>
      <c r="Q65" s="59">
        <f t="shared" si="1"/>
        <v>4.2</v>
      </c>
      <c r="R65" s="49"/>
      <c r="S65" s="49">
        <v>4</v>
      </c>
      <c r="T65" s="49"/>
      <c r="U65" s="49"/>
      <c r="V65" s="49"/>
      <c r="W65" s="59">
        <f t="shared" si="2"/>
        <v>4</v>
      </c>
      <c r="X65" s="49"/>
      <c r="Y65" s="49"/>
      <c r="Z65" s="49"/>
      <c r="AA65" s="49"/>
      <c r="AB65" s="49"/>
      <c r="AC65" s="59" t="str">
        <f t="shared" si="3"/>
        <v>A</v>
      </c>
      <c r="AD65" s="49"/>
      <c r="AE65" s="49"/>
      <c r="AF65" s="49"/>
      <c r="AG65" s="49"/>
      <c r="AH65" s="49"/>
      <c r="AI65" s="59" t="str">
        <f t="shared" si="4"/>
        <v>A</v>
      </c>
      <c r="AJ65" s="49">
        <v>3</v>
      </c>
      <c r="AK65" s="49">
        <v>4</v>
      </c>
      <c r="AL65" s="49"/>
      <c r="AM65" s="49">
        <v>3</v>
      </c>
      <c r="AN65" s="49"/>
      <c r="AO65" s="59">
        <f t="shared" si="5"/>
        <v>3.5</v>
      </c>
      <c r="AP65" s="49">
        <v>3</v>
      </c>
      <c r="AQ65" s="49"/>
      <c r="AR65" s="49"/>
      <c r="AS65" s="49"/>
      <c r="AT65" s="49"/>
      <c r="AU65" s="59">
        <f t="shared" si="6"/>
        <v>3</v>
      </c>
      <c r="AV65" s="49"/>
      <c r="AW65" s="49"/>
      <c r="AX65" s="49"/>
      <c r="AY65" s="49">
        <v>5</v>
      </c>
      <c r="AZ65" s="49">
        <v>5</v>
      </c>
      <c r="BA65" s="59">
        <f t="shared" si="7"/>
        <v>5</v>
      </c>
    </row>
    <row r="66" spans="1:53" ht="23.1" customHeight="1" x14ac:dyDescent="0.3">
      <c r="A66" s="7">
        <v>64</v>
      </c>
      <c r="B66" s="7" t="s">
        <v>318</v>
      </c>
      <c r="C66" s="7" t="s">
        <v>319</v>
      </c>
      <c r="D66" s="7" t="s">
        <v>450</v>
      </c>
      <c r="E66" s="7" t="s">
        <v>493</v>
      </c>
      <c r="F66" s="49">
        <v>4</v>
      </c>
      <c r="G66" s="49">
        <v>4</v>
      </c>
      <c r="H66" s="49">
        <v>4</v>
      </c>
      <c r="I66" s="49">
        <v>4</v>
      </c>
      <c r="J66" s="7"/>
      <c r="K66" s="59">
        <f t="shared" si="0"/>
        <v>4</v>
      </c>
      <c r="L66" s="49">
        <v>4</v>
      </c>
      <c r="M66" s="49">
        <v>4</v>
      </c>
      <c r="N66" s="49">
        <v>4</v>
      </c>
      <c r="O66" s="49">
        <v>4</v>
      </c>
      <c r="P66" s="49">
        <v>4</v>
      </c>
      <c r="Q66" s="59">
        <f t="shared" si="1"/>
        <v>4</v>
      </c>
      <c r="R66" s="49"/>
      <c r="S66" s="49">
        <v>2</v>
      </c>
      <c r="T66" s="7"/>
      <c r="U66" s="49"/>
      <c r="V66" s="7"/>
      <c r="W66" s="59">
        <f t="shared" si="2"/>
        <v>2</v>
      </c>
      <c r="X66" s="49"/>
      <c r="Y66" s="49"/>
      <c r="Z66" s="7"/>
      <c r="AA66" s="7"/>
      <c r="AB66" s="7"/>
      <c r="AC66" s="59" t="str">
        <f t="shared" si="3"/>
        <v>A</v>
      </c>
      <c r="AD66" s="49"/>
      <c r="AE66" s="7"/>
      <c r="AF66" s="49"/>
      <c r="AG66" s="7"/>
      <c r="AH66" s="7"/>
      <c r="AI66" s="59" t="str">
        <f t="shared" si="4"/>
        <v>A</v>
      </c>
      <c r="AJ66" s="49">
        <v>4</v>
      </c>
      <c r="AK66" s="49">
        <v>4</v>
      </c>
      <c r="AL66" s="7"/>
      <c r="AM66" s="49">
        <v>4</v>
      </c>
      <c r="AN66" s="7"/>
      <c r="AO66" s="59">
        <f t="shared" si="5"/>
        <v>4</v>
      </c>
      <c r="AP66" s="49">
        <v>3</v>
      </c>
      <c r="AQ66" s="49"/>
      <c r="AR66" s="49"/>
      <c r="AS66" s="7"/>
      <c r="AT66" s="7"/>
      <c r="AU66" s="59">
        <f t="shared" si="6"/>
        <v>3</v>
      </c>
      <c r="AV66" s="7"/>
      <c r="AW66" s="7"/>
      <c r="AX66" s="49"/>
      <c r="AY66" s="49">
        <v>4</v>
      </c>
      <c r="AZ66" s="49">
        <v>4</v>
      </c>
      <c r="BA66" s="59">
        <f t="shared" si="7"/>
        <v>4</v>
      </c>
    </row>
    <row r="67" spans="1:53" ht="23.1" customHeight="1" x14ac:dyDescent="0.3">
      <c r="A67" s="49">
        <v>65</v>
      </c>
      <c r="B67" s="49" t="s">
        <v>91</v>
      </c>
      <c r="C67" s="49" t="s">
        <v>92</v>
      </c>
      <c r="D67" s="49" t="s">
        <v>450</v>
      </c>
      <c r="E67" s="49" t="s">
        <v>35</v>
      </c>
      <c r="F67" s="49">
        <v>5</v>
      </c>
      <c r="G67" s="49">
        <v>0</v>
      </c>
      <c r="H67" s="49">
        <v>4</v>
      </c>
      <c r="I67" s="49">
        <v>3</v>
      </c>
      <c r="J67" s="49"/>
      <c r="K67" s="59">
        <f t="shared" si="0"/>
        <v>3</v>
      </c>
      <c r="L67" s="49">
        <v>3</v>
      </c>
      <c r="M67" s="49">
        <v>3</v>
      </c>
      <c r="N67" s="49">
        <v>3</v>
      </c>
      <c r="O67" s="49">
        <v>5</v>
      </c>
      <c r="P67" s="49">
        <v>4</v>
      </c>
      <c r="Q67" s="59">
        <f t="shared" si="1"/>
        <v>3.6</v>
      </c>
      <c r="R67" s="49"/>
      <c r="S67" s="49">
        <v>4</v>
      </c>
      <c r="T67" s="49"/>
      <c r="U67" s="49"/>
      <c r="V67" s="49"/>
      <c r="W67" s="59">
        <f t="shared" si="2"/>
        <v>4</v>
      </c>
      <c r="X67" s="49"/>
      <c r="Y67" s="49"/>
      <c r="Z67" s="49"/>
      <c r="AA67" s="49"/>
      <c r="AB67" s="49"/>
      <c r="AC67" s="59" t="str">
        <f t="shared" si="3"/>
        <v>A</v>
      </c>
      <c r="AD67" s="49"/>
      <c r="AE67" s="49"/>
      <c r="AF67" s="49"/>
      <c r="AG67" s="49"/>
      <c r="AH67" s="49"/>
      <c r="AI67" s="59" t="str">
        <f t="shared" si="4"/>
        <v>A</v>
      </c>
      <c r="AJ67" s="49">
        <v>3</v>
      </c>
      <c r="AK67" s="49">
        <v>3</v>
      </c>
      <c r="AL67" s="49"/>
      <c r="AM67" s="49">
        <v>4</v>
      </c>
      <c r="AN67" s="49"/>
      <c r="AO67" s="59">
        <f t="shared" si="5"/>
        <v>3</v>
      </c>
      <c r="AP67" s="49">
        <v>4</v>
      </c>
      <c r="AQ67" s="49"/>
      <c r="AR67" s="49"/>
      <c r="AS67" s="49"/>
      <c r="AT67" s="49"/>
      <c r="AU67" s="59">
        <f t="shared" si="6"/>
        <v>4</v>
      </c>
      <c r="AV67" s="49"/>
      <c r="AW67" s="49"/>
      <c r="AX67" s="49"/>
      <c r="AY67" s="49">
        <v>3</v>
      </c>
      <c r="AZ67" s="49">
        <v>4</v>
      </c>
      <c r="BA67" s="59">
        <f t="shared" si="7"/>
        <v>3.5</v>
      </c>
    </row>
    <row r="68" spans="1:53" ht="23.1" customHeight="1" x14ac:dyDescent="0.3">
      <c r="A68" s="7">
        <v>66</v>
      </c>
      <c r="B68" s="7" t="s">
        <v>261</v>
      </c>
      <c r="C68" s="7" t="s">
        <v>262</v>
      </c>
      <c r="D68" s="7" t="s">
        <v>450</v>
      </c>
      <c r="E68" s="7" t="s">
        <v>161</v>
      </c>
      <c r="F68" s="49" t="s">
        <v>581</v>
      </c>
      <c r="G68" s="49" t="s">
        <v>581</v>
      </c>
      <c r="H68" s="49" t="s">
        <v>581</v>
      </c>
      <c r="I68" s="49" t="s">
        <v>581</v>
      </c>
      <c r="J68" s="7"/>
      <c r="K68" s="59" t="str">
        <f t="shared" ref="K68:K131" si="8">IFERROR(AVERAGE(F68,G68,H68,I68),"0")</f>
        <v>0</v>
      </c>
      <c r="L68" s="49" t="s">
        <v>581</v>
      </c>
      <c r="M68" s="49" t="s">
        <v>581</v>
      </c>
      <c r="N68" s="49" t="s">
        <v>581</v>
      </c>
      <c r="O68" s="49" t="s">
        <v>581</v>
      </c>
      <c r="P68" s="49" t="s">
        <v>581</v>
      </c>
      <c r="Q68" s="59" t="str">
        <f t="shared" ref="Q68:Q131" si="9">IFERROR(AVERAGE(M68,N68,L68,O68,P68),"0")</f>
        <v>0</v>
      </c>
      <c r="R68" s="49"/>
      <c r="S68" s="49" t="s">
        <v>581</v>
      </c>
      <c r="T68" s="7"/>
      <c r="U68" s="49"/>
      <c r="V68" s="7"/>
      <c r="W68" s="59" t="str">
        <f t="shared" ref="W68:W131" si="10">S68</f>
        <v>0</v>
      </c>
      <c r="X68" s="49"/>
      <c r="Y68" s="49"/>
      <c r="Z68" s="7"/>
      <c r="AA68" s="7"/>
      <c r="AB68" s="7"/>
      <c r="AC68" s="59" t="str">
        <f t="shared" ref="AC68:AC131" si="11">IFERROR(AVERAGE(Y68,X68),"A")</f>
        <v>A</v>
      </c>
      <c r="AD68" s="49"/>
      <c r="AE68" s="7"/>
      <c r="AF68" s="49"/>
      <c r="AG68" s="7"/>
      <c r="AH68" s="7"/>
      <c r="AI68" s="59" t="str">
        <f t="shared" ref="AI68:AI131" si="12">IFERROR(AVERAGE(AF68,AD68),"A")</f>
        <v>A</v>
      </c>
      <c r="AJ68" s="49" t="s">
        <v>581</v>
      </c>
      <c r="AK68" s="49" t="s">
        <v>581</v>
      </c>
      <c r="AL68" s="7"/>
      <c r="AM68" s="49" t="s">
        <v>581</v>
      </c>
      <c r="AN68" s="7"/>
      <c r="AO68" s="59" t="str">
        <f t="shared" ref="AO68:AO131" si="13">IFERROR(AVERAGE(AJ68,AK68,AAM68),"0")</f>
        <v>0</v>
      </c>
      <c r="AP68" s="49" t="s">
        <v>581</v>
      </c>
      <c r="AQ68" s="49"/>
      <c r="AR68" s="49"/>
      <c r="AS68" s="7"/>
      <c r="AT68" s="7"/>
      <c r="AU68" s="59" t="str">
        <f t="shared" ref="AU68:AU131" si="14">AP68</f>
        <v>0</v>
      </c>
      <c r="AV68" s="7"/>
      <c r="AW68" s="7"/>
      <c r="AX68" s="49"/>
      <c r="AY68" s="49" t="s">
        <v>581</v>
      </c>
      <c r="AZ68" s="49" t="s">
        <v>581</v>
      </c>
      <c r="BA68" s="59" t="str">
        <f t="shared" ref="BA68:BA131" si="15">IFERROR(AVERAGE(AY68,AZ68),"0")</f>
        <v>0</v>
      </c>
    </row>
    <row r="69" spans="1:53" ht="23.1" customHeight="1" x14ac:dyDescent="0.3">
      <c r="A69" s="49">
        <v>67</v>
      </c>
      <c r="B69" s="49" t="s">
        <v>277</v>
      </c>
      <c r="C69" s="49" t="s">
        <v>278</v>
      </c>
      <c r="D69" s="49" t="s">
        <v>450</v>
      </c>
      <c r="E69" s="49" t="s">
        <v>161</v>
      </c>
      <c r="F69" s="49">
        <v>4</v>
      </c>
      <c r="G69" s="49">
        <v>4</v>
      </c>
      <c r="H69" s="49">
        <v>4</v>
      </c>
      <c r="I69" s="49">
        <v>4</v>
      </c>
      <c r="J69" s="49"/>
      <c r="K69" s="59">
        <f t="shared" si="8"/>
        <v>4</v>
      </c>
      <c r="L69" s="49">
        <v>3</v>
      </c>
      <c r="M69" s="49">
        <v>4</v>
      </c>
      <c r="N69" s="49">
        <v>4</v>
      </c>
      <c r="O69" s="49">
        <v>4</v>
      </c>
      <c r="P69" s="49">
        <v>3</v>
      </c>
      <c r="Q69" s="59">
        <f t="shared" si="9"/>
        <v>3.6</v>
      </c>
      <c r="R69" s="49"/>
      <c r="S69" s="49">
        <v>2</v>
      </c>
      <c r="T69" s="49"/>
      <c r="U69" s="49"/>
      <c r="V69" s="49"/>
      <c r="W69" s="59">
        <f t="shared" si="10"/>
        <v>2</v>
      </c>
      <c r="X69" s="49"/>
      <c r="Y69" s="49"/>
      <c r="Z69" s="49"/>
      <c r="AA69" s="49"/>
      <c r="AB69" s="49"/>
      <c r="AC69" s="59" t="str">
        <f t="shared" si="11"/>
        <v>A</v>
      </c>
      <c r="AD69" s="49"/>
      <c r="AE69" s="49"/>
      <c r="AF69" s="49"/>
      <c r="AG69" s="49"/>
      <c r="AH69" s="49"/>
      <c r="AI69" s="59" t="str">
        <f t="shared" si="12"/>
        <v>A</v>
      </c>
      <c r="AJ69" s="49">
        <v>3</v>
      </c>
      <c r="AK69" s="49">
        <v>4</v>
      </c>
      <c r="AL69" s="49"/>
      <c r="AM69" s="49">
        <v>4</v>
      </c>
      <c r="AN69" s="49"/>
      <c r="AO69" s="59">
        <f t="shared" si="13"/>
        <v>3.5</v>
      </c>
      <c r="AP69" s="49">
        <v>3</v>
      </c>
      <c r="AQ69" s="49"/>
      <c r="AR69" s="49"/>
      <c r="AS69" s="49"/>
      <c r="AT69" s="49"/>
      <c r="AU69" s="59">
        <f t="shared" si="14"/>
        <v>3</v>
      </c>
      <c r="AV69" s="49"/>
      <c r="AW69" s="49"/>
      <c r="AX69" s="49"/>
      <c r="AY69" s="49">
        <v>4</v>
      </c>
      <c r="AZ69" s="49">
        <v>4</v>
      </c>
      <c r="BA69" s="59">
        <f t="shared" si="15"/>
        <v>4</v>
      </c>
    </row>
    <row r="70" spans="1:53" ht="23.1" customHeight="1" x14ac:dyDescent="0.3">
      <c r="A70" s="7">
        <v>68</v>
      </c>
      <c r="B70" s="7" t="s">
        <v>164</v>
      </c>
      <c r="C70" s="7" t="s">
        <v>165</v>
      </c>
      <c r="D70" s="7" t="s">
        <v>450</v>
      </c>
      <c r="E70" s="7" t="s">
        <v>161</v>
      </c>
      <c r="F70" s="49">
        <v>4</v>
      </c>
      <c r="G70" s="49">
        <v>4</v>
      </c>
      <c r="H70" s="49">
        <v>4</v>
      </c>
      <c r="I70" s="49">
        <v>4</v>
      </c>
      <c r="J70" s="7"/>
      <c r="K70" s="59">
        <f t="shared" si="8"/>
        <v>4</v>
      </c>
      <c r="L70" s="49">
        <v>3</v>
      </c>
      <c r="M70" s="49">
        <v>4</v>
      </c>
      <c r="N70" s="49">
        <v>4</v>
      </c>
      <c r="O70" s="49">
        <v>3</v>
      </c>
      <c r="P70" s="49">
        <v>2</v>
      </c>
      <c r="Q70" s="59">
        <f t="shared" si="9"/>
        <v>3.2</v>
      </c>
      <c r="R70" s="49"/>
      <c r="S70" s="49">
        <v>3</v>
      </c>
      <c r="T70" s="7"/>
      <c r="U70" s="49"/>
      <c r="V70" s="7"/>
      <c r="W70" s="59">
        <f t="shared" si="10"/>
        <v>3</v>
      </c>
      <c r="X70" s="49"/>
      <c r="Y70" s="49"/>
      <c r="Z70" s="7"/>
      <c r="AA70" s="7"/>
      <c r="AB70" s="7"/>
      <c r="AC70" s="59" t="str">
        <f t="shared" si="11"/>
        <v>A</v>
      </c>
      <c r="AD70" s="49"/>
      <c r="AE70" s="7"/>
      <c r="AF70" s="49"/>
      <c r="AG70" s="7"/>
      <c r="AH70" s="7"/>
      <c r="AI70" s="59" t="str">
        <f t="shared" si="12"/>
        <v>A</v>
      </c>
      <c r="AJ70" s="49">
        <v>3</v>
      </c>
      <c r="AK70" s="49">
        <v>4</v>
      </c>
      <c r="AL70" s="7"/>
      <c r="AM70" s="49">
        <v>3</v>
      </c>
      <c r="AN70" s="7"/>
      <c r="AO70" s="59">
        <f t="shared" si="13"/>
        <v>3.5</v>
      </c>
      <c r="AP70" s="49">
        <v>3</v>
      </c>
      <c r="AQ70" s="49"/>
      <c r="AR70" s="49"/>
      <c r="AS70" s="7"/>
      <c r="AT70" s="7"/>
      <c r="AU70" s="59">
        <f t="shared" si="14"/>
        <v>3</v>
      </c>
      <c r="AV70" s="7"/>
      <c r="AW70" s="7"/>
      <c r="AX70" s="49"/>
      <c r="AY70" s="49">
        <v>3</v>
      </c>
      <c r="AZ70" s="49">
        <v>3</v>
      </c>
      <c r="BA70" s="59">
        <f t="shared" si="15"/>
        <v>3</v>
      </c>
    </row>
    <row r="71" spans="1:53" ht="23.1" customHeight="1" x14ac:dyDescent="0.3">
      <c r="A71" s="49">
        <v>69</v>
      </c>
      <c r="B71" s="49" t="s">
        <v>130</v>
      </c>
      <c r="C71" s="49" t="s">
        <v>131</v>
      </c>
      <c r="D71" s="49" t="s">
        <v>542</v>
      </c>
      <c r="E71" s="49" t="s">
        <v>35</v>
      </c>
      <c r="F71" s="49">
        <v>2</v>
      </c>
      <c r="G71" s="49">
        <v>0</v>
      </c>
      <c r="H71" s="49">
        <v>4</v>
      </c>
      <c r="I71" s="49">
        <v>3</v>
      </c>
      <c r="J71" s="49"/>
      <c r="K71" s="59">
        <f t="shared" si="8"/>
        <v>2.25</v>
      </c>
      <c r="L71" s="49">
        <v>3</v>
      </c>
      <c r="M71" s="49">
        <v>4</v>
      </c>
      <c r="N71" s="49">
        <v>2</v>
      </c>
      <c r="O71" s="49">
        <v>3</v>
      </c>
      <c r="P71" s="49">
        <v>3</v>
      </c>
      <c r="Q71" s="59">
        <f t="shared" si="9"/>
        <v>3</v>
      </c>
      <c r="R71" s="49"/>
      <c r="S71" s="49">
        <v>3</v>
      </c>
      <c r="T71" s="49"/>
      <c r="U71" s="49"/>
      <c r="V71" s="49"/>
      <c r="W71" s="59">
        <f t="shared" si="10"/>
        <v>3</v>
      </c>
      <c r="X71" s="49"/>
      <c r="Y71" s="49"/>
      <c r="Z71" s="49"/>
      <c r="AA71" s="49"/>
      <c r="AB71" s="49"/>
      <c r="AC71" s="59" t="str">
        <f t="shared" si="11"/>
        <v>A</v>
      </c>
      <c r="AD71" s="49"/>
      <c r="AE71" s="49"/>
      <c r="AF71" s="49"/>
      <c r="AG71" s="49"/>
      <c r="AH71" s="49"/>
      <c r="AI71" s="59" t="str">
        <f t="shared" si="12"/>
        <v>A</v>
      </c>
      <c r="AJ71" s="49">
        <v>3</v>
      </c>
      <c r="AK71" s="49">
        <v>3</v>
      </c>
      <c r="AL71" s="49"/>
      <c r="AM71" s="49">
        <v>3</v>
      </c>
      <c r="AN71" s="49"/>
      <c r="AO71" s="59">
        <f t="shared" si="13"/>
        <v>3</v>
      </c>
      <c r="AP71" s="49">
        <v>2</v>
      </c>
      <c r="AQ71" s="49"/>
      <c r="AR71" s="49"/>
      <c r="AS71" s="49"/>
      <c r="AT71" s="49"/>
      <c r="AU71" s="59">
        <f t="shared" si="14"/>
        <v>2</v>
      </c>
      <c r="AV71" s="49"/>
      <c r="AW71" s="49"/>
      <c r="AX71" s="49"/>
      <c r="AY71" s="49">
        <v>3</v>
      </c>
      <c r="AZ71" s="49">
        <v>3</v>
      </c>
      <c r="BA71" s="59">
        <f t="shared" si="15"/>
        <v>3</v>
      </c>
    </row>
    <row r="72" spans="1:53" ht="23.1" customHeight="1" x14ac:dyDescent="0.3">
      <c r="A72" s="7">
        <v>70</v>
      </c>
      <c r="B72" s="7" t="s">
        <v>320</v>
      </c>
      <c r="C72" s="7" t="s">
        <v>321</v>
      </c>
      <c r="D72" s="7" t="s">
        <v>542</v>
      </c>
      <c r="E72" s="7" t="s">
        <v>493</v>
      </c>
      <c r="F72" s="49">
        <v>3</v>
      </c>
      <c r="G72" s="49">
        <v>3</v>
      </c>
      <c r="H72" s="49">
        <v>3</v>
      </c>
      <c r="I72" s="49">
        <v>3</v>
      </c>
      <c r="J72" s="7"/>
      <c r="K72" s="59">
        <f t="shared" si="8"/>
        <v>3</v>
      </c>
      <c r="L72" s="49">
        <v>2</v>
      </c>
      <c r="M72" s="49">
        <v>3</v>
      </c>
      <c r="N72" s="49">
        <v>3</v>
      </c>
      <c r="O72" s="49">
        <v>4</v>
      </c>
      <c r="P72" s="49">
        <v>3</v>
      </c>
      <c r="Q72" s="59">
        <f t="shared" si="9"/>
        <v>3</v>
      </c>
      <c r="R72" s="49"/>
      <c r="S72" s="49">
        <v>4</v>
      </c>
      <c r="T72" s="7"/>
      <c r="U72" s="49"/>
      <c r="V72" s="7"/>
      <c r="W72" s="59">
        <f t="shared" si="10"/>
        <v>4</v>
      </c>
      <c r="X72" s="49"/>
      <c r="Y72" s="49"/>
      <c r="Z72" s="7"/>
      <c r="AA72" s="7"/>
      <c r="AB72" s="7"/>
      <c r="AC72" s="59" t="str">
        <f t="shared" si="11"/>
        <v>A</v>
      </c>
      <c r="AD72" s="49"/>
      <c r="AE72" s="7"/>
      <c r="AF72" s="49"/>
      <c r="AG72" s="7"/>
      <c r="AH72" s="7"/>
      <c r="AI72" s="59" t="str">
        <f t="shared" si="12"/>
        <v>A</v>
      </c>
      <c r="AJ72" s="49">
        <v>3</v>
      </c>
      <c r="AK72" s="49">
        <v>3</v>
      </c>
      <c r="AL72" s="7"/>
      <c r="AM72" s="49">
        <v>3</v>
      </c>
      <c r="AN72" s="7"/>
      <c r="AO72" s="59">
        <f t="shared" si="13"/>
        <v>3</v>
      </c>
      <c r="AP72" s="49">
        <v>3</v>
      </c>
      <c r="AQ72" s="49"/>
      <c r="AR72" s="49"/>
      <c r="AS72" s="7"/>
      <c r="AT72" s="7"/>
      <c r="AU72" s="59">
        <f t="shared" si="14"/>
        <v>3</v>
      </c>
      <c r="AV72" s="7"/>
      <c r="AW72" s="7"/>
      <c r="AX72" s="49"/>
      <c r="AY72" s="49">
        <v>4</v>
      </c>
      <c r="AZ72" s="49">
        <v>4</v>
      </c>
      <c r="BA72" s="59">
        <f t="shared" si="15"/>
        <v>4</v>
      </c>
    </row>
    <row r="73" spans="1:53" ht="23.1" customHeight="1" x14ac:dyDescent="0.3">
      <c r="A73" s="49">
        <v>71</v>
      </c>
      <c r="B73" s="49" t="s">
        <v>132</v>
      </c>
      <c r="C73" s="49" t="s">
        <v>133</v>
      </c>
      <c r="D73" s="49" t="s">
        <v>542</v>
      </c>
      <c r="E73" s="49" t="s">
        <v>35</v>
      </c>
      <c r="F73" s="49">
        <v>0</v>
      </c>
      <c r="G73" s="49">
        <v>0</v>
      </c>
      <c r="H73" s="49">
        <v>0</v>
      </c>
      <c r="I73" s="49">
        <v>0</v>
      </c>
      <c r="J73" s="49"/>
      <c r="K73" s="59">
        <f t="shared" si="8"/>
        <v>0</v>
      </c>
      <c r="L73" s="49">
        <v>0</v>
      </c>
      <c r="M73" s="49">
        <v>0</v>
      </c>
      <c r="N73" s="49">
        <v>0</v>
      </c>
      <c r="O73" s="49">
        <v>0</v>
      </c>
      <c r="P73" s="49">
        <v>0</v>
      </c>
      <c r="Q73" s="59">
        <f t="shared" si="9"/>
        <v>0</v>
      </c>
      <c r="R73" s="49"/>
      <c r="S73" s="49">
        <v>0</v>
      </c>
      <c r="T73" s="49"/>
      <c r="U73" s="49"/>
      <c r="V73" s="49"/>
      <c r="W73" s="59">
        <f t="shared" si="10"/>
        <v>0</v>
      </c>
      <c r="X73" s="49"/>
      <c r="Y73" s="49"/>
      <c r="Z73" s="49"/>
      <c r="AA73" s="49"/>
      <c r="AB73" s="49"/>
      <c r="AC73" s="59" t="str">
        <f t="shared" si="11"/>
        <v>A</v>
      </c>
      <c r="AD73" s="49"/>
      <c r="AE73" s="49"/>
      <c r="AF73" s="49"/>
      <c r="AG73" s="49"/>
      <c r="AH73" s="49"/>
      <c r="AI73" s="59" t="str">
        <f t="shared" si="12"/>
        <v>A</v>
      </c>
      <c r="AJ73" s="49">
        <v>0</v>
      </c>
      <c r="AK73" s="49">
        <v>0</v>
      </c>
      <c r="AL73" s="49"/>
      <c r="AM73" s="49">
        <v>0</v>
      </c>
      <c r="AN73" s="49"/>
      <c r="AO73" s="59">
        <f t="shared" si="13"/>
        <v>0</v>
      </c>
      <c r="AP73" s="49">
        <v>0</v>
      </c>
      <c r="AQ73" s="49"/>
      <c r="AR73" s="49"/>
      <c r="AS73" s="49"/>
      <c r="AT73" s="49"/>
      <c r="AU73" s="59">
        <f t="shared" si="14"/>
        <v>0</v>
      </c>
      <c r="AV73" s="49"/>
      <c r="AW73" s="49"/>
      <c r="AX73" s="49"/>
      <c r="AY73" s="49">
        <v>3</v>
      </c>
      <c r="AZ73" s="49">
        <v>2</v>
      </c>
      <c r="BA73" s="59">
        <f t="shared" si="15"/>
        <v>2.5</v>
      </c>
    </row>
    <row r="74" spans="1:53" ht="23.1" customHeight="1" x14ac:dyDescent="0.3">
      <c r="A74" s="7">
        <v>72</v>
      </c>
      <c r="B74" s="7" t="s">
        <v>166</v>
      </c>
      <c r="C74" s="7" t="s">
        <v>167</v>
      </c>
      <c r="D74" s="7" t="s">
        <v>542</v>
      </c>
      <c r="E74" s="7" t="s">
        <v>161</v>
      </c>
      <c r="F74" s="49">
        <v>2</v>
      </c>
      <c r="G74" s="49">
        <v>2</v>
      </c>
      <c r="H74" s="49">
        <v>2.5</v>
      </c>
      <c r="I74" s="49">
        <v>2</v>
      </c>
      <c r="J74" s="7"/>
      <c r="K74" s="59">
        <f t="shared" si="8"/>
        <v>2.125</v>
      </c>
      <c r="L74" s="49">
        <v>2.5</v>
      </c>
      <c r="M74" s="49">
        <v>2</v>
      </c>
      <c r="N74" s="49">
        <v>2</v>
      </c>
      <c r="O74" s="49">
        <v>2</v>
      </c>
      <c r="P74" s="49">
        <v>2.5</v>
      </c>
      <c r="Q74" s="59">
        <f t="shared" si="9"/>
        <v>2.2000000000000002</v>
      </c>
      <c r="R74" s="49"/>
      <c r="S74" s="49">
        <v>2</v>
      </c>
      <c r="T74" s="7"/>
      <c r="U74" s="49"/>
      <c r="V74" s="7"/>
      <c r="W74" s="59">
        <f t="shared" si="10"/>
        <v>2</v>
      </c>
      <c r="X74" s="49"/>
      <c r="Y74" s="49"/>
      <c r="Z74" s="7"/>
      <c r="AA74" s="7"/>
      <c r="AB74" s="7"/>
      <c r="AC74" s="59" t="str">
        <f t="shared" si="11"/>
        <v>A</v>
      </c>
      <c r="AD74" s="49"/>
      <c r="AE74" s="7"/>
      <c r="AF74" s="49"/>
      <c r="AG74" s="7"/>
      <c r="AH74" s="7"/>
      <c r="AI74" s="59" t="str">
        <f t="shared" si="12"/>
        <v>A</v>
      </c>
      <c r="AJ74" s="49">
        <v>2</v>
      </c>
      <c r="AK74" s="49">
        <v>2</v>
      </c>
      <c r="AL74" s="7"/>
      <c r="AM74" s="49">
        <v>2.5</v>
      </c>
      <c r="AN74" s="7"/>
      <c r="AO74" s="59">
        <f t="shared" si="13"/>
        <v>2</v>
      </c>
      <c r="AP74" s="49">
        <v>2.5</v>
      </c>
      <c r="AQ74" s="49"/>
      <c r="AR74" s="49"/>
      <c r="AS74" s="7"/>
      <c r="AT74" s="7"/>
      <c r="AU74" s="59">
        <f t="shared" si="14"/>
        <v>2.5</v>
      </c>
      <c r="AV74" s="7"/>
      <c r="AW74" s="7"/>
      <c r="AX74" s="49"/>
      <c r="AY74" s="49">
        <v>2</v>
      </c>
      <c r="AZ74" s="49">
        <v>2</v>
      </c>
      <c r="BA74" s="59">
        <f t="shared" si="15"/>
        <v>2</v>
      </c>
    </row>
    <row r="75" spans="1:53" ht="23.1" customHeight="1" x14ac:dyDescent="0.3">
      <c r="A75" s="49">
        <v>73</v>
      </c>
      <c r="B75" s="49" t="s">
        <v>182</v>
      </c>
      <c r="C75" s="49" t="s">
        <v>183</v>
      </c>
      <c r="D75" s="49" t="s">
        <v>450</v>
      </c>
      <c r="E75" s="49" t="s">
        <v>161</v>
      </c>
      <c r="F75" s="49">
        <v>2</v>
      </c>
      <c r="G75" s="49">
        <v>2</v>
      </c>
      <c r="H75" s="49">
        <v>5</v>
      </c>
      <c r="I75" s="49">
        <v>4</v>
      </c>
      <c r="J75" s="49"/>
      <c r="K75" s="59">
        <f t="shared" si="8"/>
        <v>3.25</v>
      </c>
      <c r="L75" s="49">
        <v>3</v>
      </c>
      <c r="M75" s="49">
        <v>3</v>
      </c>
      <c r="N75" s="49">
        <v>3</v>
      </c>
      <c r="O75" s="49">
        <v>3</v>
      </c>
      <c r="P75" s="49">
        <v>3</v>
      </c>
      <c r="Q75" s="59">
        <f t="shared" si="9"/>
        <v>3</v>
      </c>
      <c r="R75" s="49"/>
      <c r="S75" s="49">
        <v>3</v>
      </c>
      <c r="T75" s="49"/>
      <c r="U75" s="49"/>
      <c r="V75" s="49"/>
      <c r="W75" s="59">
        <f t="shared" si="10"/>
        <v>3</v>
      </c>
      <c r="X75" s="49"/>
      <c r="Y75" s="49"/>
      <c r="Z75" s="49"/>
      <c r="AA75" s="49"/>
      <c r="AB75" s="49"/>
      <c r="AC75" s="59" t="str">
        <f t="shared" si="11"/>
        <v>A</v>
      </c>
      <c r="AD75" s="49"/>
      <c r="AE75" s="49"/>
      <c r="AF75" s="49"/>
      <c r="AG75" s="49"/>
      <c r="AH75" s="49"/>
      <c r="AI75" s="59" t="str">
        <f t="shared" si="12"/>
        <v>A</v>
      </c>
      <c r="AJ75" s="49">
        <v>3</v>
      </c>
      <c r="AK75" s="49">
        <v>3</v>
      </c>
      <c r="AL75" s="49"/>
      <c r="AM75" s="49">
        <v>4</v>
      </c>
      <c r="AN75" s="49"/>
      <c r="AO75" s="59">
        <f t="shared" si="13"/>
        <v>3</v>
      </c>
      <c r="AP75" s="49">
        <v>4</v>
      </c>
      <c r="AQ75" s="49"/>
      <c r="AR75" s="49"/>
      <c r="AS75" s="49"/>
      <c r="AT75" s="49"/>
      <c r="AU75" s="59">
        <f t="shared" si="14"/>
        <v>4</v>
      </c>
      <c r="AV75" s="49"/>
      <c r="AW75" s="49"/>
      <c r="AX75" s="49"/>
      <c r="AY75" s="49">
        <v>3</v>
      </c>
      <c r="AZ75" s="49">
        <v>3</v>
      </c>
      <c r="BA75" s="59">
        <f t="shared" si="15"/>
        <v>3</v>
      </c>
    </row>
    <row r="76" spans="1:53" ht="23.1" customHeight="1" x14ac:dyDescent="0.3">
      <c r="A76" s="7">
        <v>74</v>
      </c>
      <c r="B76" s="7" t="s">
        <v>322</v>
      </c>
      <c r="C76" s="7" t="s">
        <v>323</v>
      </c>
      <c r="D76" s="7" t="s">
        <v>450</v>
      </c>
      <c r="E76" s="7" t="s">
        <v>493</v>
      </c>
      <c r="F76" s="49">
        <v>2</v>
      </c>
      <c r="G76" s="49">
        <v>2</v>
      </c>
      <c r="H76" s="49">
        <v>2</v>
      </c>
      <c r="I76" s="49">
        <v>2</v>
      </c>
      <c r="J76" s="7"/>
      <c r="K76" s="59">
        <f t="shared" si="8"/>
        <v>2</v>
      </c>
      <c r="L76" s="49">
        <v>1</v>
      </c>
      <c r="M76" s="49">
        <v>3</v>
      </c>
      <c r="N76" s="49">
        <v>2</v>
      </c>
      <c r="O76" s="49">
        <v>2</v>
      </c>
      <c r="P76" s="49">
        <v>2</v>
      </c>
      <c r="Q76" s="59">
        <f t="shared" si="9"/>
        <v>2</v>
      </c>
      <c r="R76" s="49"/>
      <c r="S76" s="49">
        <v>1</v>
      </c>
      <c r="T76" s="7"/>
      <c r="U76" s="49"/>
      <c r="V76" s="7"/>
      <c r="W76" s="59">
        <f t="shared" si="10"/>
        <v>1</v>
      </c>
      <c r="X76" s="49"/>
      <c r="Y76" s="49"/>
      <c r="Z76" s="7"/>
      <c r="AA76" s="7"/>
      <c r="AB76" s="7"/>
      <c r="AC76" s="59" t="str">
        <f t="shared" si="11"/>
        <v>A</v>
      </c>
      <c r="AD76" s="49"/>
      <c r="AE76" s="7"/>
      <c r="AF76" s="49"/>
      <c r="AG76" s="7"/>
      <c r="AH76" s="7"/>
      <c r="AI76" s="59" t="str">
        <f t="shared" si="12"/>
        <v>A</v>
      </c>
      <c r="AJ76" s="49">
        <v>2</v>
      </c>
      <c r="AK76" s="49">
        <v>3</v>
      </c>
      <c r="AL76" s="7"/>
      <c r="AM76" s="49">
        <v>2</v>
      </c>
      <c r="AN76" s="7"/>
      <c r="AO76" s="59">
        <f t="shared" si="13"/>
        <v>2.5</v>
      </c>
      <c r="AP76" s="49">
        <v>2</v>
      </c>
      <c r="AQ76" s="49"/>
      <c r="AR76" s="49"/>
      <c r="AS76" s="7"/>
      <c r="AT76" s="7"/>
      <c r="AU76" s="59">
        <f t="shared" si="14"/>
        <v>2</v>
      </c>
      <c r="AV76" s="7"/>
      <c r="AW76" s="7"/>
      <c r="AX76" s="49"/>
      <c r="AY76" s="49">
        <v>3</v>
      </c>
      <c r="AZ76" s="49">
        <v>3</v>
      </c>
      <c r="BA76" s="59">
        <f t="shared" si="15"/>
        <v>3</v>
      </c>
    </row>
    <row r="77" spans="1:53" ht="23.1" customHeight="1" x14ac:dyDescent="0.3">
      <c r="A77" s="49">
        <v>75</v>
      </c>
      <c r="B77" s="49" t="s">
        <v>324</v>
      </c>
      <c r="C77" s="49" t="s">
        <v>325</v>
      </c>
      <c r="D77" s="49" t="s">
        <v>450</v>
      </c>
      <c r="E77" s="49" t="s">
        <v>493</v>
      </c>
      <c r="F77" s="49">
        <v>2</v>
      </c>
      <c r="G77" s="49">
        <v>2</v>
      </c>
      <c r="H77" s="49">
        <v>2</v>
      </c>
      <c r="I77" s="49">
        <v>2.5</v>
      </c>
      <c r="J77" s="49"/>
      <c r="K77" s="59">
        <f t="shared" si="8"/>
        <v>2.125</v>
      </c>
      <c r="L77" s="49">
        <v>2.5</v>
      </c>
      <c r="M77" s="49">
        <v>2</v>
      </c>
      <c r="N77" s="49">
        <v>2.5</v>
      </c>
      <c r="O77" s="49">
        <v>2</v>
      </c>
      <c r="P77" s="49">
        <v>2</v>
      </c>
      <c r="Q77" s="59">
        <f t="shared" si="9"/>
        <v>2.2000000000000002</v>
      </c>
      <c r="R77" s="49"/>
      <c r="S77" s="49">
        <v>2.5</v>
      </c>
      <c r="T77" s="49"/>
      <c r="U77" s="49"/>
      <c r="V77" s="49"/>
      <c r="W77" s="59">
        <f t="shared" si="10"/>
        <v>2.5</v>
      </c>
      <c r="X77" s="49"/>
      <c r="Y77" s="49"/>
      <c r="Z77" s="49"/>
      <c r="AA77" s="49"/>
      <c r="AB77" s="49"/>
      <c r="AC77" s="59" t="str">
        <f t="shared" si="11"/>
        <v>A</v>
      </c>
      <c r="AD77" s="49"/>
      <c r="AE77" s="49"/>
      <c r="AF77" s="49"/>
      <c r="AG77" s="49"/>
      <c r="AH77" s="49"/>
      <c r="AI77" s="59" t="str">
        <f t="shared" si="12"/>
        <v>A</v>
      </c>
      <c r="AJ77" s="49">
        <v>2</v>
      </c>
      <c r="AK77" s="49">
        <v>2</v>
      </c>
      <c r="AL77" s="49"/>
      <c r="AM77" s="49">
        <v>2.5</v>
      </c>
      <c r="AN77" s="49"/>
      <c r="AO77" s="59">
        <f t="shared" si="13"/>
        <v>2</v>
      </c>
      <c r="AP77" s="49">
        <v>2</v>
      </c>
      <c r="AQ77" s="49"/>
      <c r="AR77" s="49"/>
      <c r="AS77" s="49"/>
      <c r="AT77" s="49"/>
      <c r="AU77" s="59">
        <f t="shared" si="14"/>
        <v>2</v>
      </c>
      <c r="AV77" s="49"/>
      <c r="AW77" s="49"/>
      <c r="AX77" s="49"/>
      <c r="AY77" s="49">
        <v>2.5</v>
      </c>
      <c r="AZ77" s="49">
        <v>2</v>
      </c>
      <c r="BA77" s="59">
        <f t="shared" si="15"/>
        <v>2.25</v>
      </c>
    </row>
    <row r="78" spans="1:53" ht="23.1" customHeight="1" x14ac:dyDescent="0.3">
      <c r="A78" s="7">
        <v>76</v>
      </c>
      <c r="B78" s="7" t="s">
        <v>326</v>
      </c>
      <c r="C78" s="7" t="s">
        <v>327</v>
      </c>
      <c r="D78" s="7" t="s">
        <v>450</v>
      </c>
      <c r="E78" s="7" t="s">
        <v>493</v>
      </c>
      <c r="F78" s="49">
        <v>4</v>
      </c>
      <c r="G78" s="49">
        <v>4</v>
      </c>
      <c r="H78" s="49">
        <v>2</v>
      </c>
      <c r="I78" s="49">
        <v>4</v>
      </c>
      <c r="J78" s="7"/>
      <c r="K78" s="59">
        <f t="shared" si="8"/>
        <v>3.5</v>
      </c>
      <c r="L78" s="49">
        <v>4</v>
      </c>
      <c r="M78" s="49">
        <v>4</v>
      </c>
      <c r="N78" s="49">
        <v>4</v>
      </c>
      <c r="O78" s="49">
        <v>5</v>
      </c>
      <c r="P78" s="49">
        <v>4</v>
      </c>
      <c r="Q78" s="59">
        <f t="shared" si="9"/>
        <v>4.2</v>
      </c>
      <c r="R78" s="49"/>
      <c r="S78" s="49">
        <v>4</v>
      </c>
      <c r="T78" s="7"/>
      <c r="U78" s="49"/>
      <c r="V78" s="7"/>
      <c r="W78" s="59">
        <f t="shared" si="10"/>
        <v>4</v>
      </c>
      <c r="X78" s="49"/>
      <c r="Y78" s="49"/>
      <c r="Z78" s="7"/>
      <c r="AA78" s="7"/>
      <c r="AB78" s="7"/>
      <c r="AC78" s="59" t="str">
        <f t="shared" si="11"/>
        <v>A</v>
      </c>
      <c r="AD78" s="49"/>
      <c r="AE78" s="7"/>
      <c r="AF78" s="49"/>
      <c r="AG78" s="7"/>
      <c r="AH78" s="7"/>
      <c r="AI78" s="59" t="str">
        <f t="shared" si="12"/>
        <v>A</v>
      </c>
      <c r="AJ78" s="49">
        <v>3</v>
      </c>
      <c r="AK78" s="49">
        <v>3</v>
      </c>
      <c r="AL78" s="7"/>
      <c r="AM78" s="49">
        <v>4</v>
      </c>
      <c r="AN78" s="7"/>
      <c r="AO78" s="59">
        <f t="shared" si="13"/>
        <v>3</v>
      </c>
      <c r="AP78" s="49">
        <v>4</v>
      </c>
      <c r="AQ78" s="49"/>
      <c r="AR78" s="49"/>
      <c r="AS78" s="7"/>
      <c r="AT78" s="7"/>
      <c r="AU78" s="59">
        <f t="shared" si="14"/>
        <v>4</v>
      </c>
      <c r="AV78" s="7"/>
      <c r="AW78" s="7"/>
      <c r="AX78" s="49"/>
      <c r="AY78" s="49">
        <v>3</v>
      </c>
      <c r="AZ78" s="49">
        <v>3</v>
      </c>
      <c r="BA78" s="59">
        <f t="shared" si="15"/>
        <v>3</v>
      </c>
    </row>
    <row r="79" spans="1:53" ht="23.1" customHeight="1" x14ac:dyDescent="0.3">
      <c r="A79" s="49">
        <v>77</v>
      </c>
      <c r="B79" s="49" t="s">
        <v>328</v>
      </c>
      <c r="C79" s="49" t="s">
        <v>329</v>
      </c>
      <c r="D79" s="49" t="s">
        <v>450</v>
      </c>
      <c r="E79" s="49" t="s">
        <v>493</v>
      </c>
      <c r="F79" s="49">
        <v>2</v>
      </c>
      <c r="G79" s="49">
        <v>3</v>
      </c>
      <c r="H79" s="49">
        <v>3</v>
      </c>
      <c r="I79" s="49">
        <v>3</v>
      </c>
      <c r="J79" s="49"/>
      <c r="K79" s="59">
        <f t="shared" si="8"/>
        <v>2.75</v>
      </c>
      <c r="L79" s="49">
        <v>4</v>
      </c>
      <c r="M79" s="49">
        <v>2</v>
      </c>
      <c r="N79" s="49">
        <v>3</v>
      </c>
      <c r="O79" s="49">
        <v>3</v>
      </c>
      <c r="P79" s="49">
        <v>2</v>
      </c>
      <c r="Q79" s="59">
        <f t="shared" si="9"/>
        <v>2.8</v>
      </c>
      <c r="R79" s="49"/>
      <c r="S79" s="49">
        <v>2</v>
      </c>
      <c r="T79" s="49"/>
      <c r="U79" s="49"/>
      <c r="V79" s="49"/>
      <c r="W79" s="59">
        <f t="shared" si="10"/>
        <v>2</v>
      </c>
      <c r="X79" s="49"/>
      <c r="Y79" s="49"/>
      <c r="Z79" s="49"/>
      <c r="AA79" s="49"/>
      <c r="AB79" s="49"/>
      <c r="AC79" s="59" t="str">
        <f t="shared" si="11"/>
        <v>A</v>
      </c>
      <c r="AD79" s="49"/>
      <c r="AE79" s="49"/>
      <c r="AF79" s="49"/>
      <c r="AG79" s="49"/>
      <c r="AH79" s="49"/>
      <c r="AI79" s="59" t="str">
        <f t="shared" si="12"/>
        <v>A</v>
      </c>
      <c r="AJ79" s="49">
        <v>3</v>
      </c>
      <c r="AK79" s="49">
        <v>3</v>
      </c>
      <c r="AL79" s="49"/>
      <c r="AM79" s="49">
        <v>3</v>
      </c>
      <c r="AN79" s="49"/>
      <c r="AO79" s="59">
        <f t="shared" si="13"/>
        <v>3</v>
      </c>
      <c r="AP79" s="49">
        <v>3</v>
      </c>
      <c r="AQ79" s="49"/>
      <c r="AR79" s="49"/>
      <c r="AS79" s="49"/>
      <c r="AT79" s="49"/>
      <c r="AU79" s="59">
        <f t="shared" si="14"/>
        <v>3</v>
      </c>
      <c r="AV79" s="49"/>
      <c r="AW79" s="49"/>
      <c r="AX79" s="49"/>
      <c r="AY79" s="49">
        <v>3</v>
      </c>
      <c r="AZ79" s="49">
        <v>3</v>
      </c>
      <c r="BA79" s="59">
        <f t="shared" si="15"/>
        <v>3</v>
      </c>
    </row>
    <row r="80" spans="1:53" ht="23.1" customHeight="1" x14ac:dyDescent="0.3">
      <c r="A80" s="7">
        <v>78</v>
      </c>
      <c r="B80" s="7" t="s">
        <v>330</v>
      </c>
      <c r="C80" s="7" t="s">
        <v>331</v>
      </c>
      <c r="D80" s="7" t="s">
        <v>450</v>
      </c>
      <c r="E80" s="7" t="s">
        <v>493</v>
      </c>
      <c r="F80" s="49">
        <v>3</v>
      </c>
      <c r="G80" s="49">
        <v>3</v>
      </c>
      <c r="H80" s="49">
        <v>0</v>
      </c>
      <c r="I80" s="49">
        <v>3</v>
      </c>
      <c r="J80" s="7"/>
      <c r="K80" s="59">
        <f t="shared" si="8"/>
        <v>2.25</v>
      </c>
      <c r="L80" s="49">
        <v>3</v>
      </c>
      <c r="M80" s="49">
        <v>3</v>
      </c>
      <c r="N80" s="49">
        <v>3</v>
      </c>
      <c r="O80" s="49">
        <v>3</v>
      </c>
      <c r="P80" s="49">
        <v>3</v>
      </c>
      <c r="Q80" s="59">
        <f t="shared" si="9"/>
        <v>3</v>
      </c>
      <c r="R80" s="49"/>
      <c r="S80" s="49">
        <v>3</v>
      </c>
      <c r="T80" s="7"/>
      <c r="U80" s="49"/>
      <c r="V80" s="7"/>
      <c r="W80" s="59">
        <f t="shared" si="10"/>
        <v>3</v>
      </c>
      <c r="X80" s="49"/>
      <c r="Y80" s="49"/>
      <c r="Z80" s="7"/>
      <c r="AA80" s="7"/>
      <c r="AB80" s="7"/>
      <c r="AC80" s="59" t="str">
        <f t="shared" si="11"/>
        <v>A</v>
      </c>
      <c r="AD80" s="49"/>
      <c r="AE80" s="7"/>
      <c r="AF80" s="49"/>
      <c r="AG80" s="7"/>
      <c r="AH80" s="7"/>
      <c r="AI80" s="59" t="str">
        <f t="shared" si="12"/>
        <v>A</v>
      </c>
      <c r="AJ80" s="49">
        <v>3</v>
      </c>
      <c r="AK80" s="49">
        <v>3</v>
      </c>
      <c r="AL80" s="7"/>
      <c r="AM80" s="49">
        <v>3</v>
      </c>
      <c r="AN80" s="7"/>
      <c r="AO80" s="59">
        <f t="shared" si="13"/>
        <v>3</v>
      </c>
      <c r="AP80" s="49">
        <v>3</v>
      </c>
      <c r="AQ80" s="49"/>
      <c r="AR80" s="49"/>
      <c r="AS80" s="7"/>
      <c r="AT80" s="7"/>
      <c r="AU80" s="59">
        <f t="shared" si="14"/>
        <v>3</v>
      </c>
      <c r="AV80" s="7"/>
      <c r="AW80" s="7"/>
      <c r="AX80" s="49"/>
      <c r="AY80" s="49">
        <v>2</v>
      </c>
      <c r="AZ80" s="49">
        <v>1</v>
      </c>
      <c r="BA80" s="59">
        <f t="shared" si="15"/>
        <v>1.5</v>
      </c>
    </row>
    <row r="81" spans="1:53" ht="23.1" customHeight="1" x14ac:dyDescent="0.3">
      <c r="A81" s="49">
        <v>79</v>
      </c>
      <c r="B81" s="49" t="s">
        <v>199</v>
      </c>
      <c r="C81" s="49" t="s">
        <v>200</v>
      </c>
      <c r="D81" s="49" t="s">
        <v>450</v>
      </c>
      <c r="E81" s="49" t="s">
        <v>161</v>
      </c>
      <c r="F81" s="49">
        <v>2</v>
      </c>
      <c r="G81" s="49">
        <v>2</v>
      </c>
      <c r="H81" s="49">
        <v>2</v>
      </c>
      <c r="I81" s="49">
        <v>2</v>
      </c>
      <c r="J81" s="49"/>
      <c r="K81" s="59">
        <f t="shared" si="8"/>
        <v>2</v>
      </c>
      <c r="L81" s="49">
        <v>2</v>
      </c>
      <c r="M81" s="49">
        <v>3</v>
      </c>
      <c r="N81" s="49">
        <v>2</v>
      </c>
      <c r="O81" s="49">
        <v>3</v>
      </c>
      <c r="P81" s="49">
        <v>1</v>
      </c>
      <c r="Q81" s="59">
        <f t="shared" si="9"/>
        <v>2.2000000000000002</v>
      </c>
      <c r="R81" s="49"/>
      <c r="S81" s="49">
        <v>2</v>
      </c>
      <c r="T81" s="49"/>
      <c r="U81" s="49"/>
      <c r="V81" s="49"/>
      <c r="W81" s="59">
        <f t="shared" si="10"/>
        <v>2</v>
      </c>
      <c r="X81" s="49"/>
      <c r="Y81" s="49"/>
      <c r="Z81" s="49"/>
      <c r="AA81" s="49"/>
      <c r="AB81" s="49"/>
      <c r="AC81" s="59" t="str">
        <f t="shared" si="11"/>
        <v>A</v>
      </c>
      <c r="AD81" s="49"/>
      <c r="AE81" s="49"/>
      <c r="AF81" s="49"/>
      <c r="AG81" s="49"/>
      <c r="AH81" s="49"/>
      <c r="AI81" s="59" t="str">
        <f t="shared" si="12"/>
        <v>A</v>
      </c>
      <c r="AJ81" s="49">
        <v>2</v>
      </c>
      <c r="AK81" s="49">
        <v>2</v>
      </c>
      <c r="AL81" s="49"/>
      <c r="AM81" s="49">
        <v>2</v>
      </c>
      <c r="AN81" s="49"/>
      <c r="AO81" s="59">
        <f t="shared" si="13"/>
        <v>2</v>
      </c>
      <c r="AP81" s="49">
        <v>3</v>
      </c>
      <c r="AQ81" s="49"/>
      <c r="AR81" s="49"/>
      <c r="AS81" s="49"/>
      <c r="AT81" s="49"/>
      <c r="AU81" s="59">
        <f t="shared" si="14"/>
        <v>3</v>
      </c>
      <c r="AV81" s="49"/>
      <c r="AW81" s="49"/>
      <c r="AX81" s="49"/>
      <c r="AY81" s="49">
        <v>2</v>
      </c>
      <c r="AZ81" s="49">
        <v>3</v>
      </c>
      <c r="BA81" s="59">
        <f t="shared" si="15"/>
        <v>2.5</v>
      </c>
    </row>
    <row r="82" spans="1:53" ht="23.1" customHeight="1" x14ac:dyDescent="0.3">
      <c r="A82" s="7">
        <v>80</v>
      </c>
      <c r="B82" s="7" t="s">
        <v>332</v>
      </c>
      <c r="C82" s="7" t="s">
        <v>333</v>
      </c>
      <c r="D82" s="7" t="s">
        <v>450</v>
      </c>
      <c r="E82" s="7" t="s">
        <v>493</v>
      </c>
      <c r="F82" s="49">
        <v>2</v>
      </c>
      <c r="G82" s="49">
        <v>3</v>
      </c>
      <c r="H82" s="49">
        <v>3</v>
      </c>
      <c r="I82" s="49">
        <v>2</v>
      </c>
      <c r="J82" s="7"/>
      <c r="K82" s="59">
        <f t="shared" si="8"/>
        <v>2.5</v>
      </c>
      <c r="L82" s="49">
        <v>3</v>
      </c>
      <c r="M82" s="49">
        <v>4</v>
      </c>
      <c r="N82" s="49">
        <v>3</v>
      </c>
      <c r="O82" s="49">
        <v>3</v>
      </c>
      <c r="P82" s="49">
        <v>2</v>
      </c>
      <c r="Q82" s="59">
        <f t="shared" si="9"/>
        <v>3</v>
      </c>
      <c r="R82" s="49"/>
      <c r="S82" s="49">
        <v>3</v>
      </c>
      <c r="T82" s="7"/>
      <c r="U82" s="49"/>
      <c r="V82" s="7"/>
      <c r="W82" s="59">
        <f t="shared" si="10"/>
        <v>3</v>
      </c>
      <c r="X82" s="49"/>
      <c r="Y82" s="49"/>
      <c r="Z82" s="7"/>
      <c r="AA82" s="7"/>
      <c r="AB82" s="7"/>
      <c r="AC82" s="59" t="str">
        <f t="shared" si="11"/>
        <v>A</v>
      </c>
      <c r="AD82" s="49"/>
      <c r="AE82" s="7"/>
      <c r="AF82" s="49"/>
      <c r="AG82" s="7"/>
      <c r="AH82" s="7"/>
      <c r="AI82" s="59" t="str">
        <f t="shared" si="12"/>
        <v>A</v>
      </c>
      <c r="AJ82" s="49">
        <v>2</v>
      </c>
      <c r="AK82" s="49">
        <v>3</v>
      </c>
      <c r="AL82" s="7"/>
      <c r="AM82" s="49">
        <v>3</v>
      </c>
      <c r="AN82" s="7"/>
      <c r="AO82" s="59">
        <f t="shared" si="13"/>
        <v>2.5</v>
      </c>
      <c r="AP82" s="49">
        <v>4</v>
      </c>
      <c r="AQ82" s="49"/>
      <c r="AR82" s="49"/>
      <c r="AS82" s="7"/>
      <c r="AT82" s="7"/>
      <c r="AU82" s="59">
        <f t="shared" si="14"/>
        <v>4</v>
      </c>
      <c r="AV82" s="7"/>
      <c r="AW82" s="7"/>
      <c r="AX82" s="49"/>
      <c r="AY82" s="49">
        <v>4</v>
      </c>
      <c r="AZ82" s="49">
        <v>4</v>
      </c>
      <c r="BA82" s="59">
        <f t="shared" si="15"/>
        <v>4</v>
      </c>
    </row>
    <row r="83" spans="1:53" ht="23.1" customHeight="1" x14ac:dyDescent="0.3">
      <c r="A83" s="49">
        <v>81</v>
      </c>
      <c r="B83" s="49" t="s">
        <v>334</v>
      </c>
      <c r="C83" s="49" t="s">
        <v>335</v>
      </c>
      <c r="D83" s="49" t="s">
        <v>542</v>
      </c>
      <c r="E83" s="49" t="s">
        <v>493</v>
      </c>
      <c r="F83" s="49">
        <v>2</v>
      </c>
      <c r="G83" s="49">
        <v>4</v>
      </c>
      <c r="H83" s="49">
        <v>4</v>
      </c>
      <c r="I83" s="49">
        <v>2</v>
      </c>
      <c r="J83" s="49"/>
      <c r="K83" s="59">
        <f t="shared" si="8"/>
        <v>3</v>
      </c>
      <c r="L83" s="49">
        <v>3</v>
      </c>
      <c r="M83" s="49">
        <v>2</v>
      </c>
      <c r="N83" s="49">
        <v>3</v>
      </c>
      <c r="O83" s="49">
        <v>2</v>
      </c>
      <c r="P83" s="49">
        <v>2</v>
      </c>
      <c r="Q83" s="59">
        <f t="shared" si="9"/>
        <v>2.4</v>
      </c>
      <c r="R83" s="49"/>
      <c r="S83" s="49">
        <v>3</v>
      </c>
      <c r="T83" s="49"/>
      <c r="U83" s="49"/>
      <c r="V83" s="49"/>
      <c r="W83" s="59">
        <f t="shared" si="10"/>
        <v>3</v>
      </c>
      <c r="X83" s="49"/>
      <c r="Y83" s="49"/>
      <c r="Z83" s="49"/>
      <c r="AA83" s="49"/>
      <c r="AB83" s="49"/>
      <c r="AC83" s="59" t="str">
        <f t="shared" si="11"/>
        <v>A</v>
      </c>
      <c r="AD83" s="49"/>
      <c r="AE83" s="49"/>
      <c r="AF83" s="49"/>
      <c r="AG83" s="49"/>
      <c r="AH83" s="49"/>
      <c r="AI83" s="59" t="str">
        <f t="shared" si="12"/>
        <v>A</v>
      </c>
      <c r="AJ83" s="49">
        <v>3</v>
      </c>
      <c r="AK83" s="49">
        <v>2</v>
      </c>
      <c r="AL83" s="49"/>
      <c r="AM83" s="49">
        <v>2</v>
      </c>
      <c r="AN83" s="49"/>
      <c r="AO83" s="59">
        <f t="shared" si="13"/>
        <v>2.5</v>
      </c>
      <c r="AP83" s="49">
        <v>3</v>
      </c>
      <c r="AQ83" s="49"/>
      <c r="AR83" s="49"/>
      <c r="AS83" s="49"/>
      <c r="AT83" s="49"/>
      <c r="AU83" s="59">
        <f t="shared" si="14"/>
        <v>3</v>
      </c>
      <c r="AV83" s="49"/>
      <c r="AW83" s="49"/>
      <c r="AX83" s="49"/>
      <c r="AY83" s="49">
        <v>3</v>
      </c>
      <c r="AZ83" s="49">
        <v>2</v>
      </c>
      <c r="BA83" s="59">
        <f t="shared" si="15"/>
        <v>2.5</v>
      </c>
    </row>
    <row r="84" spans="1:53" ht="23.1" customHeight="1" x14ac:dyDescent="0.3">
      <c r="A84" s="7">
        <v>82</v>
      </c>
      <c r="B84" s="7" t="s">
        <v>81</v>
      </c>
      <c r="C84" s="7" t="s">
        <v>82</v>
      </c>
      <c r="D84" s="7" t="s">
        <v>542</v>
      </c>
      <c r="E84" s="7" t="s">
        <v>35</v>
      </c>
      <c r="F84" s="49">
        <v>4</v>
      </c>
      <c r="G84" s="49">
        <v>3</v>
      </c>
      <c r="H84" s="49">
        <v>4</v>
      </c>
      <c r="I84" s="49">
        <v>4.5</v>
      </c>
      <c r="J84" s="7"/>
      <c r="K84" s="59">
        <f t="shared" si="8"/>
        <v>3.875</v>
      </c>
      <c r="L84" s="49">
        <v>4.5</v>
      </c>
      <c r="M84" s="49">
        <v>4</v>
      </c>
      <c r="N84" s="49">
        <v>3.5</v>
      </c>
      <c r="O84" s="49">
        <v>3</v>
      </c>
      <c r="P84" s="49">
        <v>2.5</v>
      </c>
      <c r="Q84" s="59">
        <f t="shared" si="9"/>
        <v>3.5</v>
      </c>
      <c r="R84" s="49"/>
      <c r="S84" s="49">
        <v>4.5</v>
      </c>
      <c r="T84" s="7"/>
      <c r="U84" s="49"/>
      <c r="V84" s="7"/>
      <c r="W84" s="59">
        <f t="shared" si="10"/>
        <v>4.5</v>
      </c>
      <c r="X84" s="49"/>
      <c r="Y84" s="49"/>
      <c r="Z84" s="7"/>
      <c r="AA84" s="7"/>
      <c r="AB84" s="7"/>
      <c r="AC84" s="59" t="str">
        <f t="shared" si="11"/>
        <v>A</v>
      </c>
      <c r="AD84" s="49"/>
      <c r="AE84" s="7"/>
      <c r="AF84" s="49"/>
      <c r="AG84" s="7"/>
      <c r="AH84" s="7"/>
      <c r="AI84" s="59" t="str">
        <f t="shared" si="12"/>
        <v>A</v>
      </c>
      <c r="AJ84" s="49">
        <v>2.5</v>
      </c>
      <c r="AK84" s="49">
        <v>3</v>
      </c>
      <c r="AL84" s="7"/>
      <c r="AM84" s="49">
        <v>4.5</v>
      </c>
      <c r="AN84" s="7"/>
      <c r="AO84" s="59">
        <f t="shared" si="13"/>
        <v>2.75</v>
      </c>
      <c r="AP84" s="49">
        <v>4</v>
      </c>
      <c r="AQ84" s="49"/>
      <c r="AR84" s="49"/>
      <c r="AS84" s="7"/>
      <c r="AT84" s="7"/>
      <c r="AU84" s="59">
        <f t="shared" si="14"/>
        <v>4</v>
      </c>
      <c r="AV84" s="7"/>
      <c r="AW84" s="7"/>
      <c r="AX84" s="49"/>
      <c r="AY84" s="49">
        <v>4.5</v>
      </c>
      <c r="AZ84" s="49">
        <v>3</v>
      </c>
      <c r="BA84" s="59">
        <f t="shared" si="15"/>
        <v>3.75</v>
      </c>
    </row>
    <row r="85" spans="1:53" ht="23.1" customHeight="1" x14ac:dyDescent="0.3">
      <c r="A85" s="49">
        <v>83</v>
      </c>
      <c r="B85" s="49" t="s">
        <v>70</v>
      </c>
      <c r="C85" s="49" t="s">
        <v>71</v>
      </c>
      <c r="D85" s="49" t="s">
        <v>450</v>
      </c>
      <c r="E85" s="49" t="s">
        <v>35</v>
      </c>
      <c r="F85" s="49">
        <v>2</v>
      </c>
      <c r="G85" s="49">
        <v>2</v>
      </c>
      <c r="H85" s="49">
        <v>2</v>
      </c>
      <c r="I85" s="49">
        <v>3</v>
      </c>
      <c r="J85" s="49"/>
      <c r="K85" s="59">
        <f t="shared" si="8"/>
        <v>2.25</v>
      </c>
      <c r="L85" s="49">
        <v>3</v>
      </c>
      <c r="M85" s="49">
        <v>3</v>
      </c>
      <c r="N85" s="49">
        <v>2</v>
      </c>
      <c r="O85" s="49">
        <v>2</v>
      </c>
      <c r="P85" s="49">
        <v>2</v>
      </c>
      <c r="Q85" s="59">
        <f t="shared" si="9"/>
        <v>2.4</v>
      </c>
      <c r="R85" s="49"/>
      <c r="S85" s="49">
        <v>2</v>
      </c>
      <c r="T85" s="49"/>
      <c r="U85" s="49"/>
      <c r="V85" s="49"/>
      <c r="W85" s="59">
        <f t="shared" si="10"/>
        <v>2</v>
      </c>
      <c r="X85" s="49"/>
      <c r="Y85" s="49"/>
      <c r="Z85" s="49"/>
      <c r="AA85" s="49"/>
      <c r="AB85" s="49"/>
      <c r="AC85" s="59" t="str">
        <f t="shared" si="11"/>
        <v>A</v>
      </c>
      <c r="AD85" s="49"/>
      <c r="AE85" s="49"/>
      <c r="AF85" s="49"/>
      <c r="AG85" s="49"/>
      <c r="AH85" s="49"/>
      <c r="AI85" s="59" t="str">
        <f t="shared" si="12"/>
        <v>A</v>
      </c>
      <c r="AJ85" s="49">
        <v>3</v>
      </c>
      <c r="AK85" s="49">
        <v>3</v>
      </c>
      <c r="AL85" s="49"/>
      <c r="AM85" s="49">
        <v>2</v>
      </c>
      <c r="AN85" s="49"/>
      <c r="AO85" s="59">
        <f t="shared" si="13"/>
        <v>3</v>
      </c>
      <c r="AP85" s="49">
        <v>2</v>
      </c>
      <c r="AQ85" s="49"/>
      <c r="AR85" s="49"/>
      <c r="AS85" s="49"/>
      <c r="AT85" s="49"/>
      <c r="AU85" s="59">
        <f t="shared" si="14"/>
        <v>2</v>
      </c>
      <c r="AV85" s="49"/>
      <c r="AW85" s="49"/>
      <c r="AX85" s="49"/>
      <c r="AY85" s="49">
        <v>3</v>
      </c>
      <c r="AZ85" s="49">
        <v>4</v>
      </c>
      <c r="BA85" s="59">
        <f t="shared" si="15"/>
        <v>3.5</v>
      </c>
    </row>
    <row r="86" spans="1:53" ht="23.1" customHeight="1" x14ac:dyDescent="0.3">
      <c r="A86" s="7">
        <v>84</v>
      </c>
      <c r="B86" s="7" t="s">
        <v>336</v>
      </c>
      <c r="C86" s="7" t="s">
        <v>337</v>
      </c>
      <c r="D86" s="7" t="s">
        <v>450</v>
      </c>
      <c r="E86" s="7" t="s">
        <v>493</v>
      </c>
      <c r="F86" s="49">
        <v>3</v>
      </c>
      <c r="G86" s="49">
        <v>3</v>
      </c>
      <c r="H86" s="49">
        <v>3</v>
      </c>
      <c r="I86" s="49">
        <v>3</v>
      </c>
      <c r="J86" s="7"/>
      <c r="K86" s="59">
        <f t="shared" si="8"/>
        <v>3</v>
      </c>
      <c r="L86" s="49">
        <v>3</v>
      </c>
      <c r="M86" s="49">
        <v>3</v>
      </c>
      <c r="N86" s="49">
        <v>3</v>
      </c>
      <c r="O86" s="49">
        <v>3</v>
      </c>
      <c r="P86" s="49">
        <v>3</v>
      </c>
      <c r="Q86" s="59">
        <f t="shared" si="9"/>
        <v>3</v>
      </c>
      <c r="R86" s="49"/>
      <c r="S86" s="49">
        <v>3</v>
      </c>
      <c r="T86" s="7"/>
      <c r="U86" s="49"/>
      <c r="V86" s="7"/>
      <c r="W86" s="59">
        <f t="shared" si="10"/>
        <v>3</v>
      </c>
      <c r="X86" s="49"/>
      <c r="Y86" s="49"/>
      <c r="Z86" s="7"/>
      <c r="AA86" s="7"/>
      <c r="AB86" s="7"/>
      <c r="AC86" s="59" t="str">
        <f t="shared" si="11"/>
        <v>A</v>
      </c>
      <c r="AD86" s="49"/>
      <c r="AE86" s="7"/>
      <c r="AF86" s="49"/>
      <c r="AG86" s="7"/>
      <c r="AH86" s="7"/>
      <c r="AI86" s="59" t="str">
        <f t="shared" si="12"/>
        <v>A</v>
      </c>
      <c r="AJ86" s="49">
        <v>3</v>
      </c>
      <c r="AK86" s="49">
        <v>3</v>
      </c>
      <c r="AL86" s="7"/>
      <c r="AM86" s="49">
        <v>3</v>
      </c>
      <c r="AN86" s="7"/>
      <c r="AO86" s="59">
        <f t="shared" si="13"/>
        <v>3</v>
      </c>
      <c r="AP86" s="49">
        <v>3</v>
      </c>
      <c r="AQ86" s="49"/>
      <c r="AR86" s="49"/>
      <c r="AS86" s="7"/>
      <c r="AT86" s="7"/>
      <c r="AU86" s="59">
        <f t="shared" si="14"/>
        <v>3</v>
      </c>
      <c r="AV86" s="7"/>
      <c r="AW86" s="7"/>
      <c r="AX86" s="49"/>
      <c r="AY86" s="49">
        <v>3</v>
      </c>
      <c r="AZ86" s="49">
        <v>2</v>
      </c>
      <c r="BA86" s="59">
        <f t="shared" si="15"/>
        <v>2.5</v>
      </c>
    </row>
    <row r="87" spans="1:53" ht="23.1" customHeight="1" x14ac:dyDescent="0.3">
      <c r="A87" s="49">
        <v>85</v>
      </c>
      <c r="B87" s="49" t="s">
        <v>134</v>
      </c>
      <c r="C87" s="49" t="s">
        <v>135</v>
      </c>
      <c r="D87" s="49" t="s">
        <v>450</v>
      </c>
      <c r="E87" s="49" t="s">
        <v>35</v>
      </c>
      <c r="F87" s="49">
        <v>4</v>
      </c>
      <c r="G87" s="49">
        <v>4</v>
      </c>
      <c r="H87" s="49">
        <v>4</v>
      </c>
      <c r="I87" s="49">
        <v>4</v>
      </c>
      <c r="J87" s="49"/>
      <c r="K87" s="59">
        <f t="shared" si="8"/>
        <v>4</v>
      </c>
      <c r="L87" s="49">
        <v>4</v>
      </c>
      <c r="M87" s="49">
        <v>4</v>
      </c>
      <c r="N87" s="49">
        <v>4</v>
      </c>
      <c r="O87" s="49">
        <v>4</v>
      </c>
      <c r="P87" s="49">
        <v>4</v>
      </c>
      <c r="Q87" s="59">
        <f t="shared" si="9"/>
        <v>4</v>
      </c>
      <c r="R87" s="49"/>
      <c r="S87" s="49">
        <v>4</v>
      </c>
      <c r="T87" s="49"/>
      <c r="U87" s="49"/>
      <c r="V87" s="49"/>
      <c r="W87" s="59">
        <f t="shared" si="10"/>
        <v>4</v>
      </c>
      <c r="X87" s="49"/>
      <c r="Y87" s="49"/>
      <c r="Z87" s="49"/>
      <c r="AA87" s="49"/>
      <c r="AB87" s="49"/>
      <c r="AC87" s="59" t="str">
        <f t="shared" si="11"/>
        <v>A</v>
      </c>
      <c r="AD87" s="49"/>
      <c r="AE87" s="49"/>
      <c r="AF87" s="49"/>
      <c r="AG87" s="49"/>
      <c r="AH87" s="49"/>
      <c r="AI87" s="59" t="str">
        <f t="shared" si="12"/>
        <v>A</v>
      </c>
      <c r="AJ87" s="49">
        <v>4</v>
      </c>
      <c r="AK87" s="49">
        <v>4</v>
      </c>
      <c r="AL87" s="49"/>
      <c r="AM87" s="49">
        <v>4</v>
      </c>
      <c r="AN87" s="49"/>
      <c r="AO87" s="59">
        <f t="shared" si="13"/>
        <v>4</v>
      </c>
      <c r="AP87" s="49">
        <v>4</v>
      </c>
      <c r="AQ87" s="49"/>
      <c r="AR87" s="49"/>
      <c r="AS87" s="49"/>
      <c r="AT87" s="49"/>
      <c r="AU87" s="59">
        <f t="shared" si="14"/>
        <v>4</v>
      </c>
      <c r="AV87" s="49"/>
      <c r="AW87" s="49"/>
      <c r="AX87" s="49"/>
      <c r="AY87" s="49">
        <v>3</v>
      </c>
      <c r="AZ87" s="49">
        <v>3</v>
      </c>
      <c r="BA87" s="59">
        <f t="shared" si="15"/>
        <v>3</v>
      </c>
    </row>
    <row r="88" spans="1:53" ht="23.1" customHeight="1" x14ac:dyDescent="0.3">
      <c r="A88" s="7">
        <v>86</v>
      </c>
      <c r="B88" s="7" t="s">
        <v>215</v>
      </c>
      <c r="C88" s="7" t="s">
        <v>216</v>
      </c>
      <c r="D88" s="7" t="s">
        <v>450</v>
      </c>
      <c r="E88" s="7" t="s">
        <v>161</v>
      </c>
      <c r="F88" s="49">
        <v>3</v>
      </c>
      <c r="G88" s="49">
        <v>4</v>
      </c>
      <c r="H88" s="49">
        <v>3</v>
      </c>
      <c r="I88" s="49">
        <v>3</v>
      </c>
      <c r="J88" s="7"/>
      <c r="K88" s="59">
        <f t="shared" si="8"/>
        <v>3.25</v>
      </c>
      <c r="L88" s="49">
        <v>2</v>
      </c>
      <c r="M88" s="49">
        <v>4</v>
      </c>
      <c r="N88" s="49">
        <v>2</v>
      </c>
      <c r="O88" s="49">
        <v>3</v>
      </c>
      <c r="P88" s="49">
        <v>4</v>
      </c>
      <c r="Q88" s="59">
        <f t="shared" si="9"/>
        <v>3</v>
      </c>
      <c r="R88" s="49"/>
      <c r="S88" s="49">
        <v>3</v>
      </c>
      <c r="T88" s="7"/>
      <c r="U88" s="49"/>
      <c r="V88" s="7"/>
      <c r="W88" s="59">
        <f t="shared" si="10"/>
        <v>3</v>
      </c>
      <c r="X88" s="49"/>
      <c r="Y88" s="49"/>
      <c r="Z88" s="7"/>
      <c r="AA88" s="7"/>
      <c r="AB88" s="7"/>
      <c r="AC88" s="59" t="str">
        <f t="shared" si="11"/>
        <v>A</v>
      </c>
      <c r="AD88" s="49"/>
      <c r="AE88" s="7"/>
      <c r="AF88" s="49"/>
      <c r="AG88" s="7"/>
      <c r="AH88" s="7"/>
      <c r="AI88" s="59" t="str">
        <f t="shared" si="12"/>
        <v>A</v>
      </c>
      <c r="AJ88" s="49">
        <v>3</v>
      </c>
      <c r="AK88" s="49">
        <v>4</v>
      </c>
      <c r="AL88" s="7"/>
      <c r="AM88" s="49">
        <v>3</v>
      </c>
      <c r="AN88" s="7"/>
      <c r="AO88" s="59">
        <f t="shared" si="13"/>
        <v>3.5</v>
      </c>
      <c r="AP88" s="49">
        <v>4</v>
      </c>
      <c r="AQ88" s="49"/>
      <c r="AR88" s="49"/>
      <c r="AS88" s="7"/>
      <c r="AT88" s="7"/>
      <c r="AU88" s="59">
        <f t="shared" si="14"/>
        <v>4</v>
      </c>
      <c r="AV88" s="7"/>
      <c r="AW88" s="7"/>
      <c r="AX88" s="49"/>
      <c r="AY88" s="49">
        <v>4</v>
      </c>
      <c r="AZ88" s="49">
        <v>4</v>
      </c>
      <c r="BA88" s="59">
        <f t="shared" si="15"/>
        <v>4</v>
      </c>
    </row>
    <row r="89" spans="1:53" ht="23.1" customHeight="1" x14ac:dyDescent="0.3">
      <c r="A89" s="49">
        <v>87</v>
      </c>
      <c r="B89" s="49" t="s">
        <v>338</v>
      </c>
      <c r="C89" s="49" t="s">
        <v>339</v>
      </c>
      <c r="D89" s="49" t="s">
        <v>542</v>
      </c>
      <c r="E89" s="49" t="s">
        <v>493</v>
      </c>
      <c r="F89" s="49">
        <v>3</v>
      </c>
      <c r="G89" s="49">
        <v>3</v>
      </c>
      <c r="H89" s="49">
        <v>2</v>
      </c>
      <c r="I89" s="49">
        <v>4</v>
      </c>
      <c r="J89" s="49"/>
      <c r="K89" s="59">
        <f t="shared" si="8"/>
        <v>3</v>
      </c>
      <c r="L89" s="49">
        <v>3</v>
      </c>
      <c r="M89" s="49">
        <v>4</v>
      </c>
      <c r="N89" s="49">
        <v>3</v>
      </c>
      <c r="O89" s="49">
        <v>4</v>
      </c>
      <c r="P89" s="49">
        <v>3</v>
      </c>
      <c r="Q89" s="59">
        <f t="shared" si="9"/>
        <v>3.4</v>
      </c>
      <c r="R89" s="49"/>
      <c r="S89" s="49">
        <v>4</v>
      </c>
      <c r="T89" s="49"/>
      <c r="U89" s="49"/>
      <c r="V89" s="49"/>
      <c r="W89" s="59">
        <f t="shared" si="10"/>
        <v>4</v>
      </c>
      <c r="X89" s="49"/>
      <c r="Y89" s="49"/>
      <c r="Z89" s="49"/>
      <c r="AA89" s="49"/>
      <c r="AB89" s="49"/>
      <c r="AC89" s="59" t="str">
        <f t="shared" si="11"/>
        <v>A</v>
      </c>
      <c r="AD89" s="49"/>
      <c r="AE89" s="49"/>
      <c r="AF89" s="49"/>
      <c r="AG89" s="49"/>
      <c r="AH89" s="49"/>
      <c r="AI89" s="59" t="str">
        <f t="shared" si="12"/>
        <v>A</v>
      </c>
      <c r="AJ89" s="49">
        <v>4</v>
      </c>
      <c r="AK89" s="49">
        <v>4</v>
      </c>
      <c r="AL89" s="49"/>
      <c r="AM89" s="49">
        <v>4</v>
      </c>
      <c r="AN89" s="49"/>
      <c r="AO89" s="59">
        <f t="shared" si="13"/>
        <v>4</v>
      </c>
      <c r="AP89" s="49">
        <v>4</v>
      </c>
      <c r="AQ89" s="49"/>
      <c r="AR89" s="49"/>
      <c r="AS89" s="49"/>
      <c r="AT89" s="49"/>
      <c r="AU89" s="59">
        <f t="shared" si="14"/>
        <v>4</v>
      </c>
      <c r="AV89" s="49"/>
      <c r="AW89" s="49"/>
      <c r="AX89" s="49"/>
      <c r="AY89" s="49">
        <v>2</v>
      </c>
      <c r="AZ89" s="49">
        <v>2</v>
      </c>
      <c r="BA89" s="59">
        <f t="shared" si="15"/>
        <v>2</v>
      </c>
    </row>
    <row r="90" spans="1:53" ht="23.1" customHeight="1" x14ac:dyDescent="0.3">
      <c r="A90" s="7">
        <v>88</v>
      </c>
      <c r="B90" s="7" t="s">
        <v>136</v>
      </c>
      <c r="C90" s="7" t="s">
        <v>137</v>
      </c>
      <c r="D90" s="7" t="s">
        <v>542</v>
      </c>
      <c r="E90" s="7" t="s">
        <v>35</v>
      </c>
      <c r="F90" s="49">
        <v>3</v>
      </c>
      <c r="G90" s="49">
        <v>2</v>
      </c>
      <c r="H90" s="49">
        <v>3</v>
      </c>
      <c r="I90" s="49">
        <v>4</v>
      </c>
      <c r="J90" s="7"/>
      <c r="K90" s="59">
        <f t="shared" si="8"/>
        <v>3</v>
      </c>
      <c r="L90" s="49">
        <v>4</v>
      </c>
      <c r="M90" s="49">
        <v>3</v>
      </c>
      <c r="N90" s="49">
        <v>4</v>
      </c>
      <c r="O90" s="49">
        <v>4</v>
      </c>
      <c r="P90" s="49">
        <v>3</v>
      </c>
      <c r="Q90" s="59">
        <f t="shared" si="9"/>
        <v>3.6</v>
      </c>
      <c r="R90" s="49"/>
      <c r="S90" s="49">
        <v>3</v>
      </c>
      <c r="T90" s="7"/>
      <c r="U90" s="49"/>
      <c r="V90" s="7"/>
      <c r="W90" s="59">
        <f t="shared" si="10"/>
        <v>3</v>
      </c>
      <c r="X90" s="49"/>
      <c r="Y90" s="49"/>
      <c r="Z90" s="7"/>
      <c r="AA90" s="7"/>
      <c r="AB90" s="7"/>
      <c r="AC90" s="59" t="str">
        <f t="shared" si="11"/>
        <v>A</v>
      </c>
      <c r="AD90" s="49"/>
      <c r="AE90" s="7"/>
      <c r="AF90" s="49"/>
      <c r="AG90" s="7"/>
      <c r="AH90" s="7"/>
      <c r="AI90" s="59" t="str">
        <f t="shared" si="12"/>
        <v>A</v>
      </c>
      <c r="AJ90" s="49">
        <v>3</v>
      </c>
      <c r="AK90" s="49">
        <v>3</v>
      </c>
      <c r="AL90" s="7"/>
      <c r="AM90" s="49">
        <v>4</v>
      </c>
      <c r="AN90" s="7"/>
      <c r="AO90" s="59">
        <f t="shared" si="13"/>
        <v>3</v>
      </c>
      <c r="AP90" s="49">
        <v>3</v>
      </c>
      <c r="AQ90" s="49"/>
      <c r="AR90" s="49"/>
      <c r="AS90" s="7"/>
      <c r="AT90" s="7"/>
      <c r="AU90" s="59">
        <f t="shared" si="14"/>
        <v>3</v>
      </c>
      <c r="AV90" s="7"/>
      <c r="AW90" s="7"/>
      <c r="AX90" s="49"/>
      <c r="AY90" s="49">
        <v>3</v>
      </c>
      <c r="AZ90" s="49">
        <v>4</v>
      </c>
      <c r="BA90" s="59">
        <f t="shared" si="15"/>
        <v>3.5</v>
      </c>
    </row>
    <row r="91" spans="1:53" ht="23.1" customHeight="1" x14ac:dyDescent="0.3">
      <c r="A91" s="49">
        <v>89</v>
      </c>
      <c r="B91" s="49" t="s">
        <v>62</v>
      </c>
      <c r="C91" s="49" t="s">
        <v>63</v>
      </c>
      <c r="D91" s="49" t="s">
        <v>542</v>
      </c>
      <c r="E91" s="49" t="s">
        <v>35</v>
      </c>
      <c r="F91" s="49">
        <v>4</v>
      </c>
      <c r="G91" s="49">
        <v>4</v>
      </c>
      <c r="H91" s="49">
        <v>4</v>
      </c>
      <c r="I91" s="49">
        <v>4</v>
      </c>
      <c r="J91" s="49"/>
      <c r="K91" s="59">
        <f t="shared" si="8"/>
        <v>4</v>
      </c>
      <c r="L91" s="49">
        <v>4</v>
      </c>
      <c r="M91" s="49">
        <v>4</v>
      </c>
      <c r="N91" s="49">
        <v>4</v>
      </c>
      <c r="O91" s="49">
        <v>4</v>
      </c>
      <c r="P91" s="49">
        <v>4</v>
      </c>
      <c r="Q91" s="59">
        <f t="shared" si="9"/>
        <v>4</v>
      </c>
      <c r="R91" s="49"/>
      <c r="S91" s="49">
        <v>4</v>
      </c>
      <c r="T91" s="49"/>
      <c r="U91" s="49"/>
      <c r="V91" s="49"/>
      <c r="W91" s="59">
        <f t="shared" si="10"/>
        <v>4</v>
      </c>
      <c r="X91" s="49"/>
      <c r="Y91" s="49"/>
      <c r="Z91" s="49"/>
      <c r="AA91" s="49"/>
      <c r="AB91" s="49"/>
      <c r="AC91" s="59" t="str">
        <f t="shared" si="11"/>
        <v>A</v>
      </c>
      <c r="AD91" s="49"/>
      <c r="AE91" s="49"/>
      <c r="AF91" s="49"/>
      <c r="AG91" s="49"/>
      <c r="AH91" s="49"/>
      <c r="AI91" s="59" t="str">
        <f t="shared" si="12"/>
        <v>A</v>
      </c>
      <c r="AJ91" s="49">
        <v>4</v>
      </c>
      <c r="AK91" s="49">
        <v>4</v>
      </c>
      <c r="AL91" s="49"/>
      <c r="AM91" s="49">
        <v>4</v>
      </c>
      <c r="AN91" s="49"/>
      <c r="AO91" s="59">
        <f t="shared" si="13"/>
        <v>4</v>
      </c>
      <c r="AP91" s="49">
        <v>3</v>
      </c>
      <c r="AQ91" s="49"/>
      <c r="AR91" s="49"/>
      <c r="AS91" s="49"/>
      <c r="AT91" s="49"/>
      <c r="AU91" s="59">
        <f t="shared" si="14"/>
        <v>3</v>
      </c>
      <c r="AV91" s="49"/>
      <c r="AW91" s="49"/>
      <c r="AX91" s="49"/>
      <c r="AY91" s="49">
        <v>3</v>
      </c>
      <c r="AZ91" s="49">
        <v>3</v>
      </c>
      <c r="BA91" s="59">
        <f t="shared" si="15"/>
        <v>3</v>
      </c>
    </row>
    <row r="92" spans="1:53" ht="23.1" customHeight="1" x14ac:dyDescent="0.3">
      <c r="A92" s="7">
        <v>90</v>
      </c>
      <c r="B92" s="7" t="s">
        <v>38</v>
      </c>
      <c r="C92" s="7" t="s">
        <v>39</v>
      </c>
      <c r="D92" s="7" t="s">
        <v>544</v>
      </c>
      <c r="E92" s="7" t="s">
        <v>35</v>
      </c>
      <c r="F92" s="49">
        <v>2</v>
      </c>
      <c r="G92" s="49">
        <v>4</v>
      </c>
      <c r="H92" s="49">
        <v>4</v>
      </c>
      <c r="I92" s="49">
        <v>3</v>
      </c>
      <c r="J92" s="7"/>
      <c r="K92" s="59">
        <f t="shared" si="8"/>
        <v>3.25</v>
      </c>
      <c r="L92" s="49">
        <v>3</v>
      </c>
      <c r="M92" s="49">
        <v>4</v>
      </c>
      <c r="N92" s="49">
        <v>4</v>
      </c>
      <c r="O92" s="49">
        <v>3</v>
      </c>
      <c r="P92" s="49">
        <v>4</v>
      </c>
      <c r="Q92" s="59">
        <f t="shared" si="9"/>
        <v>3.6</v>
      </c>
      <c r="R92" s="49"/>
      <c r="S92" s="49">
        <v>3</v>
      </c>
      <c r="T92" s="7"/>
      <c r="U92" s="49"/>
      <c r="V92" s="7"/>
      <c r="W92" s="59">
        <f t="shared" si="10"/>
        <v>3</v>
      </c>
      <c r="X92" s="49"/>
      <c r="Y92" s="49"/>
      <c r="Z92" s="7"/>
      <c r="AA92" s="7"/>
      <c r="AB92" s="7"/>
      <c r="AC92" s="59" t="str">
        <f t="shared" si="11"/>
        <v>A</v>
      </c>
      <c r="AD92" s="49"/>
      <c r="AE92" s="7"/>
      <c r="AF92" s="49"/>
      <c r="AG92" s="7"/>
      <c r="AH92" s="7"/>
      <c r="AI92" s="59" t="str">
        <f t="shared" si="12"/>
        <v>A</v>
      </c>
      <c r="AJ92" s="49">
        <v>2</v>
      </c>
      <c r="AK92" s="49">
        <v>3</v>
      </c>
      <c r="AL92" s="7"/>
      <c r="AM92" s="49">
        <v>3</v>
      </c>
      <c r="AN92" s="7"/>
      <c r="AO92" s="59">
        <f t="shared" si="13"/>
        <v>2.5</v>
      </c>
      <c r="AP92" s="49">
        <v>4</v>
      </c>
      <c r="AQ92" s="49"/>
      <c r="AR92" s="49"/>
      <c r="AS92" s="7"/>
      <c r="AT92" s="7"/>
      <c r="AU92" s="59">
        <f t="shared" si="14"/>
        <v>4</v>
      </c>
      <c r="AV92" s="7"/>
      <c r="AW92" s="7"/>
      <c r="AX92" s="49"/>
      <c r="AY92" s="49">
        <v>4</v>
      </c>
      <c r="AZ92" s="49">
        <v>4</v>
      </c>
      <c r="BA92" s="59">
        <f t="shared" si="15"/>
        <v>4</v>
      </c>
    </row>
    <row r="93" spans="1:53" ht="23.1" customHeight="1" x14ac:dyDescent="0.3">
      <c r="A93" s="49">
        <v>91</v>
      </c>
      <c r="B93" s="49" t="s">
        <v>138</v>
      </c>
      <c r="C93" s="49" t="s">
        <v>139</v>
      </c>
      <c r="D93" s="49" t="s">
        <v>450</v>
      </c>
      <c r="E93" s="49" t="s">
        <v>35</v>
      </c>
      <c r="F93" s="49">
        <v>1</v>
      </c>
      <c r="G93" s="49">
        <v>1</v>
      </c>
      <c r="H93" s="49">
        <v>1</v>
      </c>
      <c r="I93" s="49">
        <v>1</v>
      </c>
      <c r="J93" s="49"/>
      <c r="K93" s="59">
        <f t="shared" si="8"/>
        <v>1</v>
      </c>
      <c r="L93" s="49">
        <v>1</v>
      </c>
      <c r="M93" s="49">
        <v>1</v>
      </c>
      <c r="N93" s="49">
        <v>1</v>
      </c>
      <c r="O93" s="49">
        <v>4</v>
      </c>
      <c r="P93" s="49">
        <v>1</v>
      </c>
      <c r="Q93" s="59">
        <f t="shared" si="9"/>
        <v>1.6</v>
      </c>
      <c r="R93" s="49"/>
      <c r="S93" s="49">
        <v>1</v>
      </c>
      <c r="T93" s="49"/>
      <c r="U93" s="49"/>
      <c r="V93" s="49"/>
      <c r="W93" s="59">
        <f t="shared" si="10"/>
        <v>1</v>
      </c>
      <c r="X93" s="49"/>
      <c r="Y93" s="49"/>
      <c r="Z93" s="49"/>
      <c r="AA93" s="49"/>
      <c r="AB93" s="49"/>
      <c r="AC93" s="59" t="str">
        <f t="shared" si="11"/>
        <v>A</v>
      </c>
      <c r="AD93" s="49"/>
      <c r="AE93" s="49"/>
      <c r="AF93" s="49"/>
      <c r="AG93" s="49"/>
      <c r="AH93" s="49"/>
      <c r="AI93" s="59" t="str">
        <f t="shared" si="12"/>
        <v>A</v>
      </c>
      <c r="AJ93" s="49">
        <v>1</v>
      </c>
      <c r="AK93" s="49">
        <v>1</v>
      </c>
      <c r="AL93" s="49"/>
      <c r="AM93" s="49">
        <v>1</v>
      </c>
      <c r="AN93" s="49"/>
      <c r="AO93" s="59">
        <f t="shared" si="13"/>
        <v>1</v>
      </c>
      <c r="AP93" s="49">
        <v>1</v>
      </c>
      <c r="AQ93" s="49"/>
      <c r="AR93" s="49"/>
      <c r="AS93" s="49"/>
      <c r="AT93" s="49"/>
      <c r="AU93" s="59">
        <f t="shared" si="14"/>
        <v>1</v>
      </c>
      <c r="AV93" s="49"/>
      <c r="AW93" s="49"/>
      <c r="AX93" s="49"/>
      <c r="AY93" s="49">
        <v>1</v>
      </c>
      <c r="AZ93" s="49">
        <v>1</v>
      </c>
      <c r="BA93" s="59">
        <f t="shared" si="15"/>
        <v>1</v>
      </c>
    </row>
    <row r="94" spans="1:53" ht="23.1" customHeight="1" x14ac:dyDescent="0.3">
      <c r="A94" s="7">
        <v>92</v>
      </c>
      <c r="B94" s="7" t="s">
        <v>231</v>
      </c>
      <c r="C94" s="7" t="s">
        <v>232</v>
      </c>
      <c r="D94" s="7" t="s">
        <v>450</v>
      </c>
      <c r="E94" s="7" t="s">
        <v>161</v>
      </c>
      <c r="F94" s="49">
        <v>3</v>
      </c>
      <c r="G94" s="49">
        <v>4</v>
      </c>
      <c r="H94" s="49">
        <v>4</v>
      </c>
      <c r="I94" s="49">
        <v>3</v>
      </c>
      <c r="J94" s="7"/>
      <c r="K94" s="59">
        <f t="shared" si="8"/>
        <v>3.5</v>
      </c>
      <c r="L94" s="49">
        <v>3</v>
      </c>
      <c r="M94" s="49">
        <v>3</v>
      </c>
      <c r="N94" s="49">
        <v>4</v>
      </c>
      <c r="O94" s="49">
        <v>2</v>
      </c>
      <c r="P94" s="49">
        <v>3</v>
      </c>
      <c r="Q94" s="59">
        <f t="shared" si="9"/>
        <v>3</v>
      </c>
      <c r="R94" s="49"/>
      <c r="S94" s="49">
        <v>4</v>
      </c>
      <c r="T94" s="7"/>
      <c r="U94" s="49"/>
      <c r="V94" s="7"/>
      <c r="W94" s="59">
        <f t="shared" si="10"/>
        <v>4</v>
      </c>
      <c r="X94" s="49"/>
      <c r="Y94" s="49"/>
      <c r="Z94" s="7"/>
      <c r="AA94" s="7"/>
      <c r="AB94" s="7"/>
      <c r="AC94" s="59" t="str">
        <f t="shared" si="11"/>
        <v>A</v>
      </c>
      <c r="AD94" s="49"/>
      <c r="AE94" s="7"/>
      <c r="AF94" s="49"/>
      <c r="AG94" s="7"/>
      <c r="AH94" s="7"/>
      <c r="AI94" s="59" t="str">
        <f t="shared" si="12"/>
        <v>A</v>
      </c>
      <c r="AJ94" s="49">
        <v>3</v>
      </c>
      <c r="AK94" s="49">
        <v>4</v>
      </c>
      <c r="AL94" s="7"/>
      <c r="AM94" s="49">
        <v>2</v>
      </c>
      <c r="AN94" s="7"/>
      <c r="AO94" s="59">
        <f t="shared" si="13"/>
        <v>3.5</v>
      </c>
      <c r="AP94" s="49">
        <v>4</v>
      </c>
      <c r="AQ94" s="49"/>
      <c r="AR94" s="49"/>
      <c r="AS94" s="7"/>
      <c r="AT94" s="7"/>
      <c r="AU94" s="59">
        <f t="shared" si="14"/>
        <v>4</v>
      </c>
      <c r="AV94" s="7"/>
      <c r="AW94" s="7"/>
      <c r="AX94" s="49"/>
      <c r="AY94" s="49">
        <v>4</v>
      </c>
      <c r="AZ94" s="49">
        <v>4</v>
      </c>
      <c r="BA94" s="59">
        <f t="shared" si="15"/>
        <v>4</v>
      </c>
    </row>
    <row r="95" spans="1:53" ht="23.1" customHeight="1" x14ac:dyDescent="0.3">
      <c r="A95" s="49">
        <v>93</v>
      </c>
      <c r="B95" s="49" t="s">
        <v>340</v>
      </c>
      <c r="C95" s="49" t="s">
        <v>341</v>
      </c>
      <c r="D95" s="49" t="s">
        <v>542</v>
      </c>
      <c r="E95" s="49" t="s">
        <v>493</v>
      </c>
      <c r="F95" s="49">
        <v>3</v>
      </c>
      <c r="G95" s="49">
        <v>2</v>
      </c>
      <c r="H95" s="49">
        <v>2</v>
      </c>
      <c r="I95" s="49">
        <v>2</v>
      </c>
      <c r="J95" s="49"/>
      <c r="K95" s="59">
        <f t="shared" si="8"/>
        <v>2.25</v>
      </c>
      <c r="L95" s="49">
        <v>2</v>
      </c>
      <c r="M95" s="49">
        <v>2</v>
      </c>
      <c r="N95" s="49">
        <v>2</v>
      </c>
      <c r="O95" s="49">
        <v>2</v>
      </c>
      <c r="P95" s="49">
        <v>2</v>
      </c>
      <c r="Q95" s="59">
        <f t="shared" si="9"/>
        <v>2</v>
      </c>
      <c r="R95" s="49"/>
      <c r="S95" s="49">
        <v>2</v>
      </c>
      <c r="T95" s="49"/>
      <c r="U95" s="49"/>
      <c r="V95" s="49"/>
      <c r="W95" s="59">
        <f t="shared" si="10"/>
        <v>2</v>
      </c>
      <c r="X95" s="49"/>
      <c r="Y95" s="49"/>
      <c r="Z95" s="49"/>
      <c r="AA95" s="49"/>
      <c r="AB95" s="49"/>
      <c r="AC95" s="59" t="str">
        <f t="shared" si="11"/>
        <v>A</v>
      </c>
      <c r="AD95" s="49"/>
      <c r="AE95" s="49"/>
      <c r="AF95" s="49"/>
      <c r="AG95" s="49"/>
      <c r="AH95" s="49"/>
      <c r="AI95" s="59" t="str">
        <f t="shared" si="12"/>
        <v>A</v>
      </c>
      <c r="AJ95" s="49">
        <v>3</v>
      </c>
      <c r="AK95" s="49">
        <v>2</v>
      </c>
      <c r="AL95" s="49"/>
      <c r="AM95" s="49">
        <v>2</v>
      </c>
      <c r="AN95" s="49"/>
      <c r="AO95" s="59">
        <f t="shared" si="13"/>
        <v>2.5</v>
      </c>
      <c r="AP95" s="49">
        <v>2</v>
      </c>
      <c r="AQ95" s="49"/>
      <c r="AR95" s="49"/>
      <c r="AS95" s="49"/>
      <c r="AT95" s="49"/>
      <c r="AU95" s="59">
        <f t="shared" si="14"/>
        <v>2</v>
      </c>
      <c r="AV95" s="49"/>
      <c r="AW95" s="49"/>
      <c r="AX95" s="49"/>
      <c r="AY95" s="49">
        <v>3</v>
      </c>
      <c r="AZ95" s="49">
        <v>1</v>
      </c>
      <c r="BA95" s="59">
        <f t="shared" si="15"/>
        <v>2</v>
      </c>
    </row>
    <row r="96" spans="1:53" ht="23.1" customHeight="1" x14ac:dyDescent="0.3">
      <c r="A96" s="7">
        <v>94</v>
      </c>
      <c r="B96" s="7" t="s">
        <v>97</v>
      </c>
      <c r="C96" s="7" t="s">
        <v>98</v>
      </c>
      <c r="D96" s="7" t="s">
        <v>450</v>
      </c>
      <c r="E96" s="7" t="s">
        <v>35</v>
      </c>
      <c r="F96" s="49">
        <v>3</v>
      </c>
      <c r="G96" s="49">
        <v>0</v>
      </c>
      <c r="H96" s="49">
        <v>4</v>
      </c>
      <c r="I96" s="49">
        <v>3</v>
      </c>
      <c r="J96" s="7"/>
      <c r="K96" s="59">
        <f t="shared" si="8"/>
        <v>2.5</v>
      </c>
      <c r="L96" s="49">
        <v>4</v>
      </c>
      <c r="M96" s="49">
        <v>3</v>
      </c>
      <c r="N96" s="49">
        <v>3</v>
      </c>
      <c r="O96" s="49">
        <v>4</v>
      </c>
      <c r="P96" s="49">
        <v>3</v>
      </c>
      <c r="Q96" s="59">
        <f t="shared" si="9"/>
        <v>3.4</v>
      </c>
      <c r="R96" s="49"/>
      <c r="S96" s="49">
        <v>2</v>
      </c>
      <c r="T96" s="7"/>
      <c r="U96" s="49"/>
      <c r="V96" s="7"/>
      <c r="W96" s="59">
        <f t="shared" si="10"/>
        <v>2</v>
      </c>
      <c r="X96" s="49"/>
      <c r="Y96" s="49"/>
      <c r="Z96" s="7"/>
      <c r="AA96" s="7"/>
      <c r="AB96" s="7"/>
      <c r="AC96" s="59" t="str">
        <f t="shared" si="11"/>
        <v>A</v>
      </c>
      <c r="AD96" s="49"/>
      <c r="AE96" s="7"/>
      <c r="AF96" s="49"/>
      <c r="AG96" s="7"/>
      <c r="AH96" s="7"/>
      <c r="AI96" s="59" t="str">
        <f t="shared" si="12"/>
        <v>A</v>
      </c>
      <c r="AJ96" s="49">
        <v>3</v>
      </c>
      <c r="AK96" s="49">
        <v>3</v>
      </c>
      <c r="AL96" s="7"/>
      <c r="AM96" s="49">
        <v>2</v>
      </c>
      <c r="AN96" s="7"/>
      <c r="AO96" s="59">
        <f t="shared" si="13"/>
        <v>3</v>
      </c>
      <c r="AP96" s="49">
        <v>4</v>
      </c>
      <c r="AQ96" s="49"/>
      <c r="AR96" s="49"/>
      <c r="AS96" s="7"/>
      <c r="AT96" s="7"/>
      <c r="AU96" s="59">
        <f t="shared" si="14"/>
        <v>4</v>
      </c>
      <c r="AV96" s="7"/>
      <c r="AW96" s="7"/>
      <c r="AX96" s="49"/>
      <c r="AY96" s="49">
        <v>3</v>
      </c>
      <c r="AZ96" s="49">
        <v>5</v>
      </c>
      <c r="BA96" s="59">
        <f t="shared" si="15"/>
        <v>4</v>
      </c>
    </row>
    <row r="97" spans="1:53" ht="23.1" customHeight="1" x14ac:dyDescent="0.3">
      <c r="A97" s="49">
        <v>95</v>
      </c>
      <c r="B97" s="49" t="s">
        <v>249</v>
      </c>
      <c r="C97" s="49" t="s">
        <v>250</v>
      </c>
      <c r="D97" s="49" t="s">
        <v>450</v>
      </c>
      <c r="E97" s="49" t="s">
        <v>161</v>
      </c>
      <c r="F97" s="49">
        <v>3</v>
      </c>
      <c r="G97" s="49">
        <v>3</v>
      </c>
      <c r="H97" s="49">
        <v>0</v>
      </c>
      <c r="I97" s="49">
        <v>3</v>
      </c>
      <c r="J97" s="49"/>
      <c r="K97" s="59">
        <f t="shared" si="8"/>
        <v>2.25</v>
      </c>
      <c r="L97" s="49">
        <v>3</v>
      </c>
      <c r="M97" s="49">
        <v>3</v>
      </c>
      <c r="N97" s="49">
        <v>3</v>
      </c>
      <c r="O97" s="49">
        <v>3</v>
      </c>
      <c r="P97" s="49">
        <v>3</v>
      </c>
      <c r="Q97" s="59">
        <f t="shared" si="9"/>
        <v>3</v>
      </c>
      <c r="R97" s="49"/>
      <c r="S97" s="49">
        <v>3</v>
      </c>
      <c r="T97" s="49"/>
      <c r="U97" s="49"/>
      <c r="V97" s="49"/>
      <c r="W97" s="59">
        <f t="shared" si="10"/>
        <v>3</v>
      </c>
      <c r="X97" s="49"/>
      <c r="Y97" s="49"/>
      <c r="Z97" s="49"/>
      <c r="AA97" s="49"/>
      <c r="AB97" s="49"/>
      <c r="AC97" s="59" t="str">
        <f t="shared" si="11"/>
        <v>A</v>
      </c>
      <c r="AD97" s="49"/>
      <c r="AE97" s="49"/>
      <c r="AF97" s="49"/>
      <c r="AG97" s="49"/>
      <c r="AH97" s="49"/>
      <c r="AI97" s="59" t="str">
        <f t="shared" si="12"/>
        <v>A</v>
      </c>
      <c r="AJ97" s="49">
        <v>3</v>
      </c>
      <c r="AK97" s="49">
        <v>2</v>
      </c>
      <c r="AL97" s="49"/>
      <c r="AM97" s="49">
        <v>3</v>
      </c>
      <c r="AN97" s="49"/>
      <c r="AO97" s="59">
        <f t="shared" si="13"/>
        <v>2.5</v>
      </c>
      <c r="AP97" s="49">
        <v>3</v>
      </c>
      <c r="AQ97" s="49"/>
      <c r="AR97" s="49"/>
      <c r="AS97" s="49"/>
      <c r="AT97" s="49"/>
      <c r="AU97" s="59">
        <f t="shared" si="14"/>
        <v>3</v>
      </c>
      <c r="AV97" s="49"/>
      <c r="AW97" s="49"/>
      <c r="AX97" s="49"/>
      <c r="AY97" s="49">
        <v>3</v>
      </c>
      <c r="AZ97" s="49">
        <v>3</v>
      </c>
      <c r="BA97" s="59">
        <f t="shared" si="15"/>
        <v>3</v>
      </c>
    </row>
    <row r="98" spans="1:53" ht="23.1" customHeight="1" x14ac:dyDescent="0.3">
      <c r="A98" s="7">
        <v>96</v>
      </c>
      <c r="B98" s="7" t="s">
        <v>342</v>
      </c>
      <c r="C98" s="7" t="s">
        <v>343</v>
      </c>
      <c r="D98" s="7" t="s">
        <v>450</v>
      </c>
      <c r="E98" s="7" t="s">
        <v>493</v>
      </c>
      <c r="F98" s="49">
        <v>2</v>
      </c>
      <c r="G98" s="49">
        <v>3</v>
      </c>
      <c r="H98" s="49">
        <v>2</v>
      </c>
      <c r="I98" s="49">
        <v>2</v>
      </c>
      <c r="J98" s="7"/>
      <c r="K98" s="59">
        <f t="shared" si="8"/>
        <v>2.25</v>
      </c>
      <c r="L98" s="49">
        <v>3</v>
      </c>
      <c r="M98" s="49">
        <v>4</v>
      </c>
      <c r="N98" s="49">
        <v>3</v>
      </c>
      <c r="O98" s="49">
        <v>3</v>
      </c>
      <c r="P98" s="49">
        <v>2</v>
      </c>
      <c r="Q98" s="59">
        <f t="shared" si="9"/>
        <v>3</v>
      </c>
      <c r="R98" s="49"/>
      <c r="S98" s="49">
        <v>3</v>
      </c>
      <c r="T98" s="7"/>
      <c r="U98" s="49"/>
      <c r="V98" s="7"/>
      <c r="W98" s="59">
        <f t="shared" si="10"/>
        <v>3</v>
      </c>
      <c r="X98" s="49"/>
      <c r="Y98" s="49"/>
      <c r="Z98" s="7"/>
      <c r="AA98" s="7"/>
      <c r="AB98" s="7"/>
      <c r="AC98" s="59" t="str">
        <f t="shared" si="11"/>
        <v>A</v>
      </c>
      <c r="AD98" s="49"/>
      <c r="AE98" s="7"/>
      <c r="AF98" s="49"/>
      <c r="AG98" s="7"/>
      <c r="AH98" s="7"/>
      <c r="AI98" s="59" t="str">
        <f t="shared" si="12"/>
        <v>A</v>
      </c>
      <c r="AJ98" s="49">
        <v>3</v>
      </c>
      <c r="AK98" s="49">
        <v>2</v>
      </c>
      <c r="AL98" s="7"/>
      <c r="AM98" s="49">
        <v>2</v>
      </c>
      <c r="AN98" s="7"/>
      <c r="AO98" s="59">
        <f t="shared" si="13"/>
        <v>2.5</v>
      </c>
      <c r="AP98" s="49">
        <v>2</v>
      </c>
      <c r="AQ98" s="49"/>
      <c r="AR98" s="49"/>
      <c r="AS98" s="7"/>
      <c r="AT98" s="7"/>
      <c r="AU98" s="59">
        <f t="shared" si="14"/>
        <v>2</v>
      </c>
      <c r="AV98" s="7"/>
      <c r="AW98" s="7"/>
      <c r="AX98" s="49"/>
      <c r="AY98" s="49">
        <v>3</v>
      </c>
      <c r="AZ98" s="49">
        <v>3</v>
      </c>
      <c r="BA98" s="59">
        <f t="shared" si="15"/>
        <v>3</v>
      </c>
    </row>
    <row r="99" spans="1:53" ht="23.1" customHeight="1" x14ac:dyDescent="0.3">
      <c r="A99" s="49">
        <v>97</v>
      </c>
      <c r="B99" s="49" t="s">
        <v>184</v>
      </c>
      <c r="C99" s="49" t="s">
        <v>185</v>
      </c>
      <c r="D99" s="49" t="s">
        <v>542</v>
      </c>
      <c r="E99" s="49" t="s">
        <v>161</v>
      </c>
      <c r="F99" s="49">
        <v>3</v>
      </c>
      <c r="G99" s="49">
        <v>3</v>
      </c>
      <c r="H99" s="49">
        <v>3</v>
      </c>
      <c r="I99" s="49">
        <v>3.5</v>
      </c>
      <c r="J99" s="49"/>
      <c r="K99" s="59">
        <f t="shared" si="8"/>
        <v>3.125</v>
      </c>
      <c r="L99" s="49">
        <v>3.5</v>
      </c>
      <c r="M99" s="49">
        <v>3</v>
      </c>
      <c r="N99" s="49">
        <v>3.5</v>
      </c>
      <c r="O99" s="49">
        <v>3</v>
      </c>
      <c r="P99" s="49">
        <v>3</v>
      </c>
      <c r="Q99" s="59">
        <f t="shared" si="9"/>
        <v>3.2</v>
      </c>
      <c r="R99" s="49"/>
      <c r="S99" s="49">
        <v>3.5</v>
      </c>
      <c r="T99" s="49"/>
      <c r="U99" s="49"/>
      <c r="V99" s="49"/>
      <c r="W99" s="59">
        <f t="shared" si="10"/>
        <v>3.5</v>
      </c>
      <c r="X99" s="49"/>
      <c r="Y99" s="49"/>
      <c r="Z99" s="49"/>
      <c r="AA99" s="49"/>
      <c r="AB99" s="49"/>
      <c r="AC99" s="59" t="str">
        <f t="shared" si="11"/>
        <v>A</v>
      </c>
      <c r="AD99" s="49"/>
      <c r="AE99" s="49"/>
      <c r="AF99" s="49"/>
      <c r="AG99" s="49"/>
      <c r="AH99" s="49"/>
      <c r="AI99" s="59" t="str">
        <f t="shared" si="12"/>
        <v>A</v>
      </c>
      <c r="AJ99" s="49">
        <v>3</v>
      </c>
      <c r="AK99" s="49">
        <v>3</v>
      </c>
      <c r="AL99" s="49"/>
      <c r="AM99" s="49">
        <v>3.5</v>
      </c>
      <c r="AN99" s="49"/>
      <c r="AO99" s="59">
        <f t="shared" si="13"/>
        <v>3</v>
      </c>
      <c r="AP99" s="49">
        <v>3</v>
      </c>
      <c r="AQ99" s="49"/>
      <c r="AR99" s="49"/>
      <c r="AS99" s="49"/>
      <c r="AT99" s="49"/>
      <c r="AU99" s="59">
        <f t="shared" si="14"/>
        <v>3</v>
      </c>
      <c r="AV99" s="49"/>
      <c r="AW99" s="49"/>
      <c r="AX99" s="49"/>
      <c r="AY99" s="49">
        <v>3.5</v>
      </c>
      <c r="AZ99" s="49">
        <v>3</v>
      </c>
      <c r="BA99" s="59">
        <f t="shared" si="15"/>
        <v>3.25</v>
      </c>
    </row>
    <row r="100" spans="1:53" ht="23.1" customHeight="1" x14ac:dyDescent="0.3">
      <c r="A100" s="7">
        <v>98</v>
      </c>
      <c r="B100" s="7" t="s">
        <v>344</v>
      </c>
      <c r="C100" s="7" t="s">
        <v>345</v>
      </c>
      <c r="D100" s="7" t="s">
        <v>542</v>
      </c>
      <c r="E100" s="7" t="s">
        <v>493</v>
      </c>
      <c r="F100" s="49">
        <v>2</v>
      </c>
      <c r="G100" s="49">
        <v>2</v>
      </c>
      <c r="H100" s="49">
        <v>2</v>
      </c>
      <c r="I100" s="49">
        <v>2</v>
      </c>
      <c r="J100" s="7"/>
      <c r="K100" s="59">
        <f t="shared" si="8"/>
        <v>2</v>
      </c>
      <c r="L100" s="49">
        <v>3</v>
      </c>
      <c r="M100" s="49">
        <v>2</v>
      </c>
      <c r="N100" s="49">
        <v>3</v>
      </c>
      <c r="O100" s="49">
        <v>3</v>
      </c>
      <c r="P100" s="49">
        <v>2</v>
      </c>
      <c r="Q100" s="59">
        <f t="shared" si="9"/>
        <v>2.6</v>
      </c>
      <c r="R100" s="49"/>
      <c r="S100" s="49">
        <v>2</v>
      </c>
      <c r="T100" s="7"/>
      <c r="U100" s="49"/>
      <c r="V100" s="7"/>
      <c r="W100" s="59">
        <f t="shared" si="10"/>
        <v>2</v>
      </c>
      <c r="X100" s="49"/>
      <c r="Y100" s="49"/>
      <c r="Z100" s="7"/>
      <c r="AA100" s="7"/>
      <c r="AB100" s="7"/>
      <c r="AC100" s="59" t="str">
        <f t="shared" si="11"/>
        <v>A</v>
      </c>
      <c r="AD100" s="49"/>
      <c r="AE100" s="7"/>
      <c r="AF100" s="49"/>
      <c r="AG100" s="7"/>
      <c r="AH100" s="7"/>
      <c r="AI100" s="59" t="str">
        <f t="shared" si="12"/>
        <v>A</v>
      </c>
      <c r="AJ100" s="49">
        <v>2</v>
      </c>
      <c r="AK100" s="49">
        <v>3</v>
      </c>
      <c r="AL100" s="7"/>
      <c r="AM100" s="49">
        <v>3</v>
      </c>
      <c r="AN100" s="7"/>
      <c r="AO100" s="59">
        <f t="shared" si="13"/>
        <v>2.5</v>
      </c>
      <c r="AP100" s="49">
        <v>3</v>
      </c>
      <c r="AQ100" s="49"/>
      <c r="AR100" s="49"/>
      <c r="AS100" s="7"/>
      <c r="AT100" s="7"/>
      <c r="AU100" s="59">
        <f t="shared" si="14"/>
        <v>3</v>
      </c>
      <c r="AV100" s="7"/>
      <c r="AW100" s="7"/>
      <c r="AX100" s="49"/>
      <c r="AY100" s="49">
        <v>2</v>
      </c>
      <c r="AZ100" s="49">
        <v>2</v>
      </c>
      <c r="BA100" s="59">
        <f t="shared" si="15"/>
        <v>2</v>
      </c>
    </row>
    <row r="101" spans="1:53" ht="23.1" customHeight="1" x14ac:dyDescent="0.3">
      <c r="A101" s="49">
        <v>99</v>
      </c>
      <c r="B101" s="49" t="s">
        <v>263</v>
      </c>
      <c r="C101" s="49" t="s">
        <v>264</v>
      </c>
      <c r="D101" s="49" t="s">
        <v>450</v>
      </c>
      <c r="E101" s="49" t="s">
        <v>161</v>
      </c>
      <c r="F101" s="49">
        <v>0</v>
      </c>
      <c r="G101" s="49">
        <v>0</v>
      </c>
      <c r="H101" s="49">
        <v>0</v>
      </c>
      <c r="I101" s="49">
        <v>0</v>
      </c>
      <c r="J101" s="49"/>
      <c r="K101" s="59">
        <f t="shared" si="8"/>
        <v>0</v>
      </c>
      <c r="L101" s="49">
        <v>0</v>
      </c>
      <c r="M101" s="49">
        <v>0</v>
      </c>
      <c r="N101" s="49">
        <v>0</v>
      </c>
      <c r="O101" s="49">
        <v>0</v>
      </c>
      <c r="P101" s="49">
        <v>0</v>
      </c>
      <c r="Q101" s="59">
        <f t="shared" si="9"/>
        <v>0</v>
      </c>
      <c r="R101" s="49"/>
      <c r="S101" s="49">
        <v>0</v>
      </c>
      <c r="T101" s="49"/>
      <c r="U101" s="49"/>
      <c r="V101" s="49"/>
      <c r="W101" s="59">
        <f t="shared" si="10"/>
        <v>0</v>
      </c>
      <c r="X101" s="49"/>
      <c r="Y101" s="49"/>
      <c r="Z101" s="49"/>
      <c r="AA101" s="49"/>
      <c r="AB101" s="49"/>
      <c r="AC101" s="59" t="str">
        <f t="shared" si="11"/>
        <v>A</v>
      </c>
      <c r="AD101" s="49"/>
      <c r="AE101" s="49"/>
      <c r="AF101" s="49"/>
      <c r="AG101" s="49"/>
      <c r="AH101" s="49"/>
      <c r="AI101" s="59" t="str">
        <f t="shared" si="12"/>
        <v>A</v>
      </c>
      <c r="AJ101" s="49">
        <v>0</v>
      </c>
      <c r="AK101" s="49">
        <v>0</v>
      </c>
      <c r="AL101" s="49"/>
      <c r="AM101" s="49">
        <v>0</v>
      </c>
      <c r="AN101" s="49"/>
      <c r="AO101" s="59">
        <f t="shared" si="13"/>
        <v>0</v>
      </c>
      <c r="AP101" s="49">
        <v>0</v>
      </c>
      <c r="AQ101" s="49"/>
      <c r="AR101" s="49"/>
      <c r="AS101" s="49"/>
      <c r="AT101" s="49"/>
      <c r="AU101" s="59">
        <f t="shared" si="14"/>
        <v>0</v>
      </c>
      <c r="AV101" s="49"/>
      <c r="AW101" s="49"/>
      <c r="AX101" s="49"/>
      <c r="AY101" s="49">
        <v>0</v>
      </c>
      <c r="AZ101" s="49">
        <v>0</v>
      </c>
      <c r="BA101" s="59">
        <f t="shared" si="15"/>
        <v>0</v>
      </c>
    </row>
    <row r="102" spans="1:53" ht="23.1" customHeight="1" x14ac:dyDescent="0.3">
      <c r="A102" s="7">
        <v>100</v>
      </c>
      <c r="B102" s="7" t="s">
        <v>140</v>
      </c>
      <c r="C102" s="7" t="s">
        <v>141</v>
      </c>
      <c r="D102" s="7" t="s">
        <v>450</v>
      </c>
      <c r="E102" s="7" t="s">
        <v>35</v>
      </c>
      <c r="F102" s="49">
        <v>0</v>
      </c>
      <c r="G102" s="49">
        <v>0</v>
      </c>
      <c r="H102" s="49">
        <v>0</v>
      </c>
      <c r="I102" s="49">
        <v>0</v>
      </c>
      <c r="J102" s="7"/>
      <c r="K102" s="59">
        <f t="shared" si="8"/>
        <v>0</v>
      </c>
      <c r="L102" s="49">
        <v>0</v>
      </c>
      <c r="M102" s="49">
        <v>0</v>
      </c>
      <c r="N102" s="49">
        <v>0</v>
      </c>
      <c r="O102" s="49">
        <v>0</v>
      </c>
      <c r="P102" s="49">
        <v>0</v>
      </c>
      <c r="Q102" s="59">
        <f t="shared" si="9"/>
        <v>0</v>
      </c>
      <c r="R102" s="49"/>
      <c r="S102" s="49">
        <v>0</v>
      </c>
      <c r="T102" s="7"/>
      <c r="U102" s="49"/>
      <c r="V102" s="7"/>
      <c r="W102" s="59">
        <f t="shared" si="10"/>
        <v>0</v>
      </c>
      <c r="X102" s="49"/>
      <c r="Y102" s="49"/>
      <c r="Z102" s="7"/>
      <c r="AA102" s="7"/>
      <c r="AB102" s="7"/>
      <c r="AC102" s="59" t="str">
        <f t="shared" si="11"/>
        <v>A</v>
      </c>
      <c r="AD102" s="49"/>
      <c r="AE102" s="7"/>
      <c r="AF102" s="49"/>
      <c r="AG102" s="7"/>
      <c r="AH102" s="7"/>
      <c r="AI102" s="59" t="str">
        <f t="shared" si="12"/>
        <v>A</v>
      </c>
      <c r="AJ102" s="49">
        <v>0</v>
      </c>
      <c r="AK102" s="49">
        <v>0</v>
      </c>
      <c r="AL102" s="7"/>
      <c r="AM102" s="49">
        <v>0</v>
      </c>
      <c r="AN102" s="7"/>
      <c r="AO102" s="59">
        <f t="shared" si="13"/>
        <v>0</v>
      </c>
      <c r="AP102" s="49">
        <v>0</v>
      </c>
      <c r="AQ102" s="49"/>
      <c r="AR102" s="49"/>
      <c r="AS102" s="7"/>
      <c r="AT102" s="7"/>
      <c r="AU102" s="59">
        <f t="shared" si="14"/>
        <v>0</v>
      </c>
      <c r="AV102" s="7"/>
      <c r="AW102" s="7"/>
      <c r="AX102" s="49"/>
      <c r="AY102" s="49">
        <v>0</v>
      </c>
      <c r="AZ102" s="49">
        <v>0</v>
      </c>
      <c r="BA102" s="59">
        <f t="shared" si="15"/>
        <v>0</v>
      </c>
    </row>
    <row r="103" spans="1:53" ht="23.1" customHeight="1" x14ac:dyDescent="0.3">
      <c r="A103" s="49">
        <v>101</v>
      </c>
      <c r="B103" s="49" t="s">
        <v>346</v>
      </c>
      <c r="C103" s="49" t="s">
        <v>347</v>
      </c>
      <c r="D103" s="49" t="s">
        <v>450</v>
      </c>
      <c r="E103" s="49" t="s">
        <v>493</v>
      </c>
      <c r="F103" s="49">
        <v>4</v>
      </c>
      <c r="G103" s="49">
        <v>4</v>
      </c>
      <c r="H103" s="49">
        <v>4</v>
      </c>
      <c r="I103" s="49">
        <v>2</v>
      </c>
      <c r="J103" s="49"/>
      <c r="K103" s="59">
        <f t="shared" si="8"/>
        <v>3.5</v>
      </c>
      <c r="L103" s="49">
        <v>3</v>
      </c>
      <c r="M103" s="49">
        <v>4</v>
      </c>
      <c r="N103" s="49">
        <v>3</v>
      </c>
      <c r="O103" s="49">
        <v>4</v>
      </c>
      <c r="P103" s="49">
        <v>3</v>
      </c>
      <c r="Q103" s="59">
        <f t="shared" si="9"/>
        <v>3.4</v>
      </c>
      <c r="R103" s="49"/>
      <c r="S103" s="49">
        <v>4</v>
      </c>
      <c r="T103" s="49"/>
      <c r="U103" s="49"/>
      <c r="V103" s="49"/>
      <c r="W103" s="59">
        <f t="shared" si="10"/>
        <v>4</v>
      </c>
      <c r="X103" s="49"/>
      <c r="Y103" s="49"/>
      <c r="Z103" s="49"/>
      <c r="AA103" s="49"/>
      <c r="AB103" s="49"/>
      <c r="AC103" s="59" t="str">
        <f t="shared" si="11"/>
        <v>A</v>
      </c>
      <c r="AD103" s="49"/>
      <c r="AE103" s="49"/>
      <c r="AF103" s="49"/>
      <c r="AG103" s="49"/>
      <c r="AH103" s="49"/>
      <c r="AI103" s="59" t="str">
        <f t="shared" si="12"/>
        <v>A</v>
      </c>
      <c r="AJ103" s="49">
        <v>3</v>
      </c>
      <c r="AK103" s="49">
        <v>4</v>
      </c>
      <c r="AL103" s="49"/>
      <c r="AM103" s="49">
        <v>4</v>
      </c>
      <c r="AN103" s="49"/>
      <c r="AO103" s="59">
        <f t="shared" si="13"/>
        <v>3.5</v>
      </c>
      <c r="AP103" s="49">
        <v>4</v>
      </c>
      <c r="AQ103" s="49"/>
      <c r="AR103" s="49"/>
      <c r="AS103" s="49"/>
      <c r="AT103" s="49"/>
      <c r="AU103" s="59">
        <f t="shared" si="14"/>
        <v>4</v>
      </c>
      <c r="AV103" s="49"/>
      <c r="AW103" s="49"/>
      <c r="AX103" s="49"/>
      <c r="AY103" s="49">
        <v>3</v>
      </c>
      <c r="AZ103" s="49">
        <v>3</v>
      </c>
      <c r="BA103" s="59">
        <f t="shared" si="15"/>
        <v>3</v>
      </c>
    </row>
    <row r="104" spans="1:53" ht="23.1" customHeight="1" x14ac:dyDescent="0.3">
      <c r="A104" s="7">
        <v>102</v>
      </c>
      <c r="B104" s="7" t="s">
        <v>348</v>
      </c>
      <c r="C104" s="7" t="s">
        <v>349</v>
      </c>
      <c r="D104" s="7" t="s">
        <v>542</v>
      </c>
      <c r="E104" s="7" t="s">
        <v>493</v>
      </c>
      <c r="F104" s="49">
        <v>2</v>
      </c>
      <c r="G104" s="49">
        <v>3</v>
      </c>
      <c r="H104" s="49">
        <v>3</v>
      </c>
      <c r="I104" s="49">
        <v>2</v>
      </c>
      <c r="J104" s="7"/>
      <c r="K104" s="59">
        <f t="shared" si="8"/>
        <v>2.5</v>
      </c>
      <c r="L104" s="49">
        <v>3</v>
      </c>
      <c r="M104" s="49">
        <v>4</v>
      </c>
      <c r="N104" s="49">
        <v>4</v>
      </c>
      <c r="O104" s="49">
        <v>3</v>
      </c>
      <c r="P104" s="49">
        <v>2</v>
      </c>
      <c r="Q104" s="59">
        <f t="shared" si="9"/>
        <v>3.2</v>
      </c>
      <c r="R104" s="49"/>
      <c r="S104" s="49">
        <v>2</v>
      </c>
      <c r="T104" s="7"/>
      <c r="U104" s="49"/>
      <c r="V104" s="7"/>
      <c r="W104" s="59">
        <f t="shared" si="10"/>
        <v>2</v>
      </c>
      <c r="X104" s="49"/>
      <c r="Y104" s="49"/>
      <c r="Z104" s="7"/>
      <c r="AA104" s="7"/>
      <c r="AB104" s="7"/>
      <c r="AC104" s="59" t="str">
        <f t="shared" si="11"/>
        <v>A</v>
      </c>
      <c r="AD104" s="49"/>
      <c r="AE104" s="7"/>
      <c r="AF104" s="49"/>
      <c r="AG104" s="7"/>
      <c r="AH104" s="7"/>
      <c r="AI104" s="59" t="str">
        <f t="shared" si="12"/>
        <v>A</v>
      </c>
      <c r="AJ104" s="49">
        <v>2</v>
      </c>
      <c r="AK104" s="49">
        <v>4</v>
      </c>
      <c r="AL104" s="7"/>
      <c r="AM104" s="49">
        <v>3</v>
      </c>
      <c r="AN104" s="7"/>
      <c r="AO104" s="59">
        <f t="shared" si="13"/>
        <v>3</v>
      </c>
      <c r="AP104" s="49">
        <v>3</v>
      </c>
      <c r="AQ104" s="49"/>
      <c r="AR104" s="49"/>
      <c r="AS104" s="7"/>
      <c r="AT104" s="7"/>
      <c r="AU104" s="59">
        <f t="shared" si="14"/>
        <v>3</v>
      </c>
      <c r="AV104" s="7"/>
      <c r="AW104" s="7"/>
      <c r="AX104" s="49"/>
      <c r="AY104" s="49">
        <v>3</v>
      </c>
      <c r="AZ104" s="49">
        <v>3</v>
      </c>
      <c r="BA104" s="59">
        <f t="shared" si="15"/>
        <v>3</v>
      </c>
    </row>
    <row r="105" spans="1:53" ht="23.1" customHeight="1" x14ac:dyDescent="0.3">
      <c r="A105" s="49">
        <v>103</v>
      </c>
      <c r="B105" s="49" t="s">
        <v>142</v>
      </c>
      <c r="C105" s="49" t="s">
        <v>143</v>
      </c>
      <c r="D105" s="49" t="s">
        <v>542</v>
      </c>
      <c r="E105" s="49" t="s">
        <v>35</v>
      </c>
      <c r="F105" s="49">
        <v>2</v>
      </c>
      <c r="G105" s="49">
        <v>3</v>
      </c>
      <c r="H105" s="49">
        <v>3</v>
      </c>
      <c r="I105" s="49">
        <v>2</v>
      </c>
      <c r="J105" s="49"/>
      <c r="K105" s="59">
        <f t="shared" si="8"/>
        <v>2.5</v>
      </c>
      <c r="L105" s="49">
        <v>3</v>
      </c>
      <c r="M105" s="49">
        <v>3</v>
      </c>
      <c r="N105" s="49">
        <v>3</v>
      </c>
      <c r="O105" s="49">
        <v>4</v>
      </c>
      <c r="P105" s="49">
        <v>2</v>
      </c>
      <c r="Q105" s="59">
        <f t="shared" si="9"/>
        <v>3</v>
      </c>
      <c r="R105" s="49"/>
      <c r="S105" s="49">
        <v>2</v>
      </c>
      <c r="T105" s="49"/>
      <c r="U105" s="49"/>
      <c r="V105" s="49"/>
      <c r="W105" s="59">
        <f t="shared" si="10"/>
        <v>2</v>
      </c>
      <c r="X105" s="49"/>
      <c r="Y105" s="49"/>
      <c r="Z105" s="49"/>
      <c r="AA105" s="49"/>
      <c r="AB105" s="49"/>
      <c r="AC105" s="59" t="str">
        <f t="shared" si="11"/>
        <v>A</v>
      </c>
      <c r="AD105" s="49"/>
      <c r="AE105" s="49"/>
      <c r="AF105" s="49"/>
      <c r="AG105" s="49"/>
      <c r="AH105" s="49"/>
      <c r="AI105" s="59" t="str">
        <f t="shared" si="12"/>
        <v>A</v>
      </c>
      <c r="AJ105" s="49">
        <v>2</v>
      </c>
      <c r="AK105" s="49">
        <v>3</v>
      </c>
      <c r="AL105" s="49"/>
      <c r="AM105" s="49">
        <v>2</v>
      </c>
      <c r="AN105" s="49"/>
      <c r="AO105" s="59">
        <f t="shared" si="13"/>
        <v>2.5</v>
      </c>
      <c r="AP105" s="49">
        <v>2</v>
      </c>
      <c r="AQ105" s="49"/>
      <c r="AR105" s="49"/>
      <c r="AS105" s="49"/>
      <c r="AT105" s="49"/>
      <c r="AU105" s="59">
        <f t="shared" si="14"/>
        <v>2</v>
      </c>
      <c r="AV105" s="49"/>
      <c r="AW105" s="49"/>
      <c r="AX105" s="49"/>
      <c r="AY105" s="49">
        <v>3</v>
      </c>
      <c r="AZ105" s="49">
        <v>3</v>
      </c>
      <c r="BA105" s="59">
        <f t="shared" si="15"/>
        <v>3</v>
      </c>
    </row>
    <row r="106" spans="1:53" ht="23.1" customHeight="1" x14ac:dyDescent="0.3">
      <c r="A106" s="7">
        <v>104</v>
      </c>
      <c r="B106" s="7" t="s">
        <v>77</v>
      </c>
      <c r="C106" s="7" t="s">
        <v>78</v>
      </c>
      <c r="D106" s="7" t="s">
        <v>450</v>
      </c>
      <c r="E106" s="7" t="s">
        <v>35</v>
      </c>
      <c r="F106" s="49">
        <v>4</v>
      </c>
      <c r="G106" s="49">
        <v>4</v>
      </c>
      <c r="H106" s="49">
        <v>4</v>
      </c>
      <c r="I106" s="49">
        <v>3</v>
      </c>
      <c r="J106" s="7"/>
      <c r="K106" s="59">
        <f t="shared" si="8"/>
        <v>3.75</v>
      </c>
      <c r="L106" s="49">
        <v>5</v>
      </c>
      <c r="M106" s="49">
        <v>5</v>
      </c>
      <c r="N106" s="49">
        <v>4</v>
      </c>
      <c r="O106" s="49">
        <v>2</v>
      </c>
      <c r="P106" s="49">
        <v>5</v>
      </c>
      <c r="Q106" s="59">
        <f t="shared" si="9"/>
        <v>4.2</v>
      </c>
      <c r="R106" s="49"/>
      <c r="S106" s="49">
        <v>4</v>
      </c>
      <c r="T106" s="7"/>
      <c r="U106" s="49"/>
      <c r="V106" s="7"/>
      <c r="W106" s="59">
        <f t="shared" si="10"/>
        <v>4</v>
      </c>
      <c r="X106" s="49"/>
      <c r="Y106" s="49"/>
      <c r="Z106" s="7"/>
      <c r="AA106" s="7"/>
      <c r="AB106" s="7"/>
      <c r="AC106" s="59" t="str">
        <f t="shared" si="11"/>
        <v>A</v>
      </c>
      <c r="AD106" s="49"/>
      <c r="AE106" s="7"/>
      <c r="AF106" s="49"/>
      <c r="AG106" s="7"/>
      <c r="AH106" s="7"/>
      <c r="AI106" s="59" t="str">
        <f t="shared" si="12"/>
        <v>A</v>
      </c>
      <c r="AJ106" s="49">
        <v>4</v>
      </c>
      <c r="AK106" s="49">
        <v>4</v>
      </c>
      <c r="AL106" s="7"/>
      <c r="AM106" s="49">
        <v>3</v>
      </c>
      <c r="AN106" s="7"/>
      <c r="AO106" s="59">
        <f t="shared" si="13"/>
        <v>4</v>
      </c>
      <c r="AP106" s="49">
        <v>4</v>
      </c>
      <c r="AQ106" s="49"/>
      <c r="AR106" s="49"/>
      <c r="AS106" s="7"/>
      <c r="AT106" s="7"/>
      <c r="AU106" s="59">
        <f t="shared" si="14"/>
        <v>4</v>
      </c>
      <c r="AV106" s="7"/>
      <c r="AW106" s="7"/>
      <c r="AX106" s="49"/>
      <c r="AY106" s="49">
        <v>4</v>
      </c>
      <c r="AZ106" s="49">
        <v>4</v>
      </c>
      <c r="BA106" s="59">
        <f t="shared" si="15"/>
        <v>4</v>
      </c>
    </row>
    <row r="107" spans="1:53" ht="23.1" customHeight="1" x14ac:dyDescent="0.3">
      <c r="A107" s="49">
        <v>105</v>
      </c>
      <c r="B107" s="49" t="s">
        <v>144</v>
      </c>
      <c r="C107" s="49" t="s">
        <v>145</v>
      </c>
      <c r="D107" s="49" t="s">
        <v>542</v>
      </c>
      <c r="E107" s="49" t="s">
        <v>35</v>
      </c>
      <c r="F107" s="49">
        <v>4</v>
      </c>
      <c r="G107" s="49">
        <v>4</v>
      </c>
      <c r="H107" s="49">
        <v>2</v>
      </c>
      <c r="I107" s="49">
        <v>3</v>
      </c>
      <c r="J107" s="49"/>
      <c r="K107" s="59">
        <f t="shared" si="8"/>
        <v>3.25</v>
      </c>
      <c r="L107" s="49">
        <v>4</v>
      </c>
      <c r="M107" s="49">
        <v>4</v>
      </c>
      <c r="N107" s="49">
        <v>3</v>
      </c>
      <c r="O107" s="49">
        <v>5</v>
      </c>
      <c r="P107" s="49">
        <v>4</v>
      </c>
      <c r="Q107" s="59">
        <f t="shared" si="9"/>
        <v>4</v>
      </c>
      <c r="R107" s="49"/>
      <c r="S107" s="49">
        <v>4</v>
      </c>
      <c r="T107" s="49"/>
      <c r="U107" s="49"/>
      <c r="V107" s="49"/>
      <c r="W107" s="59">
        <f t="shared" si="10"/>
        <v>4</v>
      </c>
      <c r="X107" s="49"/>
      <c r="Y107" s="49"/>
      <c r="Z107" s="49"/>
      <c r="AA107" s="49"/>
      <c r="AB107" s="49"/>
      <c r="AC107" s="59" t="str">
        <f t="shared" si="11"/>
        <v>A</v>
      </c>
      <c r="AD107" s="49"/>
      <c r="AE107" s="49"/>
      <c r="AF107" s="49"/>
      <c r="AG107" s="49"/>
      <c r="AH107" s="49"/>
      <c r="AI107" s="59" t="str">
        <f t="shared" si="12"/>
        <v>A</v>
      </c>
      <c r="AJ107" s="49">
        <v>3</v>
      </c>
      <c r="AK107" s="49">
        <v>3</v>
      </c>
      <c r="AL107" s="49"/>
      <c r="AM107" s="49">
        <v>3</v>
      </c>
      <c r="AN107" s="49"/>
      <c r="AO107" s="59">
        <f t="shared" si="13"/>
        <v>3</v>
      </c>
      <c r="AP107" s="49">
        <v>3</v>
      </c>
      <c r="AQ107" s="49"/>
      <c r="AR107" s="49"/>
      <c r="AS107" s="49"/>
      <c r="AT107" s="49"/>
      <c r="AU107" s="59">
        <f t="shared" si="14"/>
        <v>3</v>
      </c>
      <c r="AV107" s="49"/>
      <c r="AW107" s="49"/>
      <c r="AX107" s="49"/>
      <c r="AY107" s="49">
        <v>3</v>
      </c>
      <c r="AZ107" s="49">
        <v>5</v>
      </c>
      <c r="BA107" s="59">
        <f t="shared" si="15"/>
        <v>4</v>
      </c>
    </row>
    <row r="108" spans="1:53" ht="23.1" customHeight="1" x14ac:dyDescent="0.3">
      <c r="A108" s="7">
        <v>106</v>
      </c>
      <c r="B108" s="7" t="s">
        <v>350</v>
      </c>
      <c r="C108" s="7" t="s">
        <v>351</v>
      </c>
      <c r="D108" s="7" t="s">
        <v>450</v>
      </c>
      <c r="E108" s="7" t="s">
        <v>493</v>
      </c>
      <c r="F108" s="49">
        <v>3</v>
      </c>
      <c r="G108" s="49">
        <v>3</v>
      </c>
      <c r="H108" s="49">
        <v>0</v>
      </c>
      <c r="I108" s="49">
        <v>3</v>
      </c>
      <c r="J108" s="7"/>
      <c r="K108" s="59">
        <f t="shared" si="8"/>
        <v>2.25</v>
      </c>
      <c r="L108" s="49">
        <v>3</v>
      </c>
      <c r="M108" s="49">
        <v>3</v>
      </c>
      <c r="N108" s="49">
        <v>3</v>
      </c>
      <c r="O108" s="49">
        <v>3</v>
      </c>
      <c r="P108" s="49">
        <v>3</v>
      </c>
      <c r="Q108" s="59">
        <f t="shared" si="9"/>
        <v>3</v>
      </c>
      <c r="R108" s="49"/>
      <c r="S108" s="49">
        <v>3</v>
      </c>
      <c r="T108" s="7"/>
      <c r="U108" s="49"/>
      <c r="V108" s="7"/>
      <c r="W108" s="59">
        <f t="shared" si="10"/>
        <v>3</v>
      </c>
      <c r="X108" s="49"/>
      <c r="Y108" s="49"/>
      <c r="Z108" s="7"/>
      <c r="AA108" s="7"/>
      <c r="AB108" s="7"/>
      <c r="AC108" s="59" t="str">
        <f t="shared" si="11"/>
        <v>A</v>
      </c>
      <c r="AD108" s="49"/>
      <c r="AE108" s="7"/>
      <c r="AF108" s="49"/>
      <c r="AG108" s="7"/>
      <c r="AH108" s="7"/>
      <c r="AI108" s="59" t="str">
        <f t="shared" si="12"/>
        <v>A</v>
      </c>
      <c r="AJ108" s="49">
        <v>3</v>
      </c>
      <c r="AK108" s="49">
        <v>3</v>
      </c>
      <c r="AL108" s="7"/>
      <c r="AM108" s="49">
        <v>4</v>
      </c>
      <c r="AN108" s="7"/>
      <c r="AO108" s="59">
        <f t="shared" si="13"/>
        <v>3</v>
      </c>
      <c r="AP108" s="49">
        <v>4</v>
      </c>
      <c r="AQ108" s="49"/>
      <c r="AR108" s="49"/>
      <c r="AS108" s="7"/>
      <c r="AT108" s="7"/>
      <c r="AU108" s="59">
        <f t="shared" si="14"/>
        <v>4</v>
      </c>
      <c r="AV108" s="7"/>
      <c r="AW108" s="7"/>
      <c r="AX108" s="49"/>
      <c r="AY108" s="49">
        <v>3</v>
      </c>
      <c r="AZ108" s="49">
        <v>4</v>
      </c>
      <c r="BA108" s="59">
        <f t="shared" si="15"/>
        <v>3.5</v>
      </c>
    </row>
    <row r="109" spans="1:53" ht="23.1" customHeight="1" x14ac:dyDescent="0.3">
      <c r="A109" s="49">
        <v>107</v>
      </c>
      <c r="B109" s="49" t="s">
        <v>352</v>
      </c>
      <c r="C109" s="49" t="s">
        <v>353</v>
      </c>
      <c r="D109" s="49" t="s">
        <v>542</v>
      </c>
      <c r="E109" s="49" t="s">
        <v>493</v>
      </c>
      <c r="F109" s="49">
        <v>3</v>
      </c>
      <c r="G109" s="49">
        <v>4</v>
      </c>
      <c r="H109" s="49">
        <v>3</v>
      </c>
      <c r="I109" s="49">
        <v>3</v>
      </c>
      <c r="J109" s="49"/>
      <c r="K109" s="59">
        <f t="shared" si="8"/>
        <v>3.25</v>
      </c>
      <c r="L109" s="49">
        <v>5</v>
      </c>
      <c r="M109" s="49">
        <v>4</v>
      </c>
      <c r="N109" s="49">
        <v>4</v>
      </c>
      <c r="O109" s="49">
        <v>4</v>
      </c>
      <c r="P109" s="49">
        <v>5</v>
      </c>
      <c r="Q109" s="59">
        <f t="shared" si="9"/>
        <v>4.4000000000000004</v>
      </c>
      <c r="R109" s="49"/>
      <c r="S109" s="49">
        <v>4</v>
      </c>
      <c r="T109" s="49"/>
      <c r="U109" s="49"/>
      <c r="V109" s="49"/>
      <c r="W109" s="59">
        <f t="shared" si="10"/>
        <v>4</v>
      </c>
      <c r="X109" s="49"/>
      <c r="Y109" s="49"/>
      <c r="Z109" s="49"/>
      <c r="AA109" s="49"/>
      <c r="AB109" s="49"/>
      <c r="AC109" s="59" t="str">
        <f t="shared" si="11"/>
        <v>A</v>
      </c>
      <c r="AD109" s="49"/>
      <c r="AE109" s="49"/>
      <c r="AF109" s="49"/>
      <c r="AG109" s="49"/>
      <c r="AH109" s="49"/>
      <c r="AI109" s="59" t="str">
        <f t="shared" si="12"/>
        <v>A</v>
      </c>
      <c r="AJ109" s="49">
        <v>2</v>
      </c>
      <c r="AK109" s="49">
        <v>4</v>
      </c>
      <c r="AL109" s="49"/>
      <c r="AM109" s="49">
        <v>3</v>
      </c>
      <c r="AN109" s="49"/>
      <c r="AO109" s="59">
        <f t="shared" si="13"/>
        <v>3</v>
      </c>
      <c r="AP109" s="49">
        <v>3</v>
      </c>
      <c r="AQ109" s="49"/>
      <c r="AR109" s="49"/>
      <c r="AS109" s="49"/>
      <c r="AT109" s="49"/>
      <c r="AU109" s="59">
        <f t="shared" si="14"/>
        <v>3</v>
      </c>
      <c r="AV109" s="49"/>
      <c r="AW109" s="49"/>
      <c r="AX109" s="49"/>
      <c r="AY109" s="49">
        <v>4</v>
      </c>
      <c r="AZ109" s="49">
        <v>4</v>
      </c>
      <c r="BA109" s="59">
        <f t="shared" si="15"/>
        <v>4</v>
      </c>
    </row>
    <row r="110" spans="1:53" ht="23.1" customHeight="1" x14ac:dyDescent="0.3">
      <c r="A110" s="7">
        <v>108</v>
      </c>
      <c r="B110" s="7" t="s">
        <v>279</v>
      </c>
      <c r="C110" s="7" t="s">
        <v>280</v>
      </c>
      <c r="D110" s="7" t="s">
        <v>450</v>
      </c>
      <c r="E110" s="7" t="s">
        <v>161</v>
      </c>
      <c r="F110" s="49">
        <v>2</v>
      </c>
      <c r="G110" s="49">
        <v>4</v>
      </c>
      <c r="H110" s="49">
        <v>3</v>
      </c>
      <c r="I110" s="49">
        <v>3</v>
      </c>
      <c r="J110" s="7"/>
      <c r="K110" s="59">
        <f t="shared" si="8"/>
        <v>3</v>
      </c>
      <c r="L110" s="49">
        <v>3</v>
      </c>
      <c r="M110" s="49">
        <v>2</v>
      </c>
      <c r="N110" s="49">
        <v>2</v>
      </c>
      <c r="O110" s="49">
        <v>4</v>
      </c>
      <c r="P110" s="49">
        <v>1</v>
      </c>
      <c r="Q110" s="59">
        <f t="shared" si="9"/>
        <v>2.4</v>
      </c>
      <c r="R110" s="49"/>
      <c r="S110" s="49">
        <v>3</v>
      </c>
      <c r="T110" s="7"/>
      <c r="U110" s="49"/>
      <c r="V110" s="7"/>
      <c r="W110" s="59">
        <f t="shared" si="10"/>
        <v>3</v>
      </c>
      <c r="X110" s="49"/>
      <c r="Y110" s="49"/>
      <c r="Z110" s="7"/>
      <c r="AA110" s="7"/>
      <c r="AB110" s="7"/>
      <c r="AC110" s="59" t="str">
        <f t="shared" si="11"/>
        <v>A</v>
      </c>
      <c r="AD110" s="49"/>
      <c r="AE110" s="7"/>
      <c r="AF110" s="49"/>
      <c r="AG110" s="7"/>
      <c r="AH110" s="7"/>
      <c r="AI110" s="59" t="str">
        <f t="shared" si="12"/>
        <v>A</v>
      </c>
      <c r="AJ110" s="49">
        <v>2</v>
      </c>
      <c r="AK110" s="49">
        <v>2</v>
      </c>
      <c r="AL110" s="7"/>
      <c r="AM110" s="49">
        <v>3</v>
      </c>
      <c r="AN110" s="7"/>
      <c r="AO110" s="59">
        <f t="shared" si="13"/>
        <v>2</v>
      </c>
      <c r="AP110" s="49">
        <v>4</v>
      </c>
      <c r="AQ110" s="49"/>
      <c r="AR110" s="49"/>
      <c r="AS110" s="7"/>
      <c r="AT110" s="7"/>
      <c r="AU110" s="59">
        <f t="shared" si="14"/>
        <v>4</v>
      </c>
      <c r="AV110" s="7"/>
      <c r="AW110" s="7"/>
      <c r="AX110" s="49"/>
      <c r="AY110" s="49">
        <v>4</v>
      </c>
      <c r="AZ110" s="49">
        <v>3</v>
      </c>
      <c r="BA110" s="59">
        <f t="shared" si="15"/>
        <v>3.5</v>
      </c>
    </row>
    <row r="111" spans="1:53" ht="23.1" customHeight="1" x14ac:dyDescent="0.3">
      <c r="A111" s="49">
        <v>109</v>
      </c>
      <c r="B111" s="49" t="s">
        <v>168</v>
      </c>
      <c r="C111" s="49" t="s">
        <v>169</v>
      </c>
      <c r="D111" s="49" t="s">
        <v>450</v>
      </c>
      <c r="E111" s="49" t="s">
        <v>161</v>
      </c>
      <c r="F111" s="49">
        <v>2</v>
      </c>
      <c r="G111" s="49">
        <v>5</v>
      </c>
      <c r="H111" s="49">
        <v>2</v>
      </c>
      <c r="I111" s="49">
        <v>2</v>
      </c>
      <c r="J111" s="49"/>
      <c r="K111" s="59">
        <f t="shared" si="8"/>
        <v>2.75</v>
      </c>
      <c r="L111" s="49">
        <v>3</v>
      </c>
      <c r="M111" s="49">
        <v>4</v>
      </c>
      <c r="N111" s="49">
        <v>3</v>
      </c>
      <c r="O111" s="49">
        <v>3</v>
      </c>
      <c r="P111" s="49">
        <v>2</v>
      </c>
      <c r="Q111" s="59">
        <f t="shared" si="9"/>
        <v>3</v>
      </c>
      <c r="R111" s="49"/>
      <c r="S111" s="49">
        <v>4</v>
      </c>
      <c r="T111" s="49"/>
      <c r="U111" s="49"/>
      <c r="V111" s="49"/>
      <c r="W111" s="59">
        <f t="shared" si="10"/>
        <v>4</v>
      </c>
      <c r="X111" s="49"/>
      <c r="Y111" s="49"/>
      <c r="Z111" s="49"/>
      <c r="AA111" s="49"/>
      <c r="AB111" s="49"/>
      <c r="AC111" s="59" t="str">
        <f t="shared" si="11"/>
        <v>A</v>
      </c>
      <c r="AD111" s="49"/>
      <c r="AE111" s="49"/>
      <c r="AF111" s="49"/>
      <c r="AG111" s="49"/>
      <c r="AH111" s="49"/>
      <c r="AI111" s="59" t="str">
        <f t="shared" si="12"/>
        <v>A</v>
      </c>
      <c r="AJ111" s="49">
        <v>3</v>
      </c>
      <c r="AK111" s="49">
        <v>2</v>
      </c>
      <c r="AL111" s="49"/>
      <c r="AM111" s="49">
        <v>3</v>
      </c>
      <c r="AN111" s="49"/>
      <c r="AO111" s="59">
        <f t="shared" si="13"/>
        <v>2.5</v>
      </c>
      <c r="AP111" s="49">
        <v>3</v>
      </c>
      <c r="AQ111" s="49"/>
      <c r="AR111" s="49"/>
      <c r="AS111" s="49"/>
      <c r="AT111" s="49"/>
      <c r="AU111" s="59">
        <f t="shared" si="14"/>
        <v>3</v>
      </c>
      <c r="AV111" s="49"/>
      <c r="AW111" s="49"/>
      <c r="AX111" s="49"/>
      <c r="AY111" s="49">
        <v>3</v>
      </c>
      <c r="AZ111" s="49">
        <v>2</v>
      </c>
      <c r="BA111" s="59">
        <f t="shared" si="15"/>
        <v>2.5</v>
      </c>
    </row>
    <row r="112" spans="1:53" ht="23.1" customHeight="1" x14ac:dyDescent="0.3">
      <c r="A112" s="7">
        <v>110</v>
      </c>
      <c r="B112" s="7" t="s">
        <v>186</v>
      </c>
      <c r="C112" s="7" t="s">
        <v>187</v>
      </c>
      <c r="D112" s="7" t="s">
        <v>450</v>
      </c>
      <c r="E112" s="7" t="s">
        <v>161</v>
      </c>
      <c r="F112" s="49">
        <v>2</v>
      </c>
      <c r="G112" s="49">
        <v>3</v>
      </c>
      <c r="H112" s="49">
        <v>0</v>
      </c>
      <c r="I112" s="49">
        <v>2</v>
      </c>
      <c r="J112" s="7"/>
      <c r="K112" s="59">
        <f t="shared" si="8"/>
        <v>1.75</v>
      </c>
      <c r="L112" s="49">
        <v>3</v>
      </c>
      <c r="M112" s="49">
        <v>2</v>
      </c>
      <c r="N112" s="49">
        <v>2</v>
      </c>
      <c r="O112" s="49">
        <v>2</v>
      </c>
      <c r="P112" s="49">
        <v>2</v>
      </c>
      <c r="Q112" s="59">
        <f t="shared" si="9"/>
        <v>2.2000000000000002</v>
      </c>
      <c r="R112" s="49"/>
      <c r="S112" s="49">
        <v>2</v>
      </c>
      <c r="T112" s="7"/>
      <c r="U112" s="49"/>
      <c r="V112" s="7"/>
      <c r="W112" s="59">
        <f t="shared" si="10"/>
        <v>2</v>
      </c>
      <c r="X112" s="49"/>
      <c r="Y112" s="49"/>
      <c r="Z112" s="7"/>
      <c r="AA112" s="7"/>
      <c r="AB112" s="7"/>
      <c r="AC112" s="59" t="str">
        <f t="shared" si="11"/>
        <v>A</v>
      </c>
      <c r="AD112" s="49"/>
      <c r="AE112" s="7"/>
      <c r="AF112" s="49"/>
      <c r="AG112" s="7"/>
      <c r="AH112" s="7"/>
      <c r="AI112" s="59" t="str">
        <f t="shared" si="12"/>
        <v>A</v>
      </c>
      <c r="AJ112" s="49">
        <v>2</v>
      </c>
      <c r="AK112" s="49">
        <v>2</v>
      </c>
      <c r="AL112" s="7"/>
      <c r="AM112" s="49">
        <v>2</v>
      </c>
      <c r="AN112" s="7"/>
      <c r="AO112" s="59">
        <f t="shared" si="13"/>
        <v>2</v>
      </c>
      <c r="AP112" s="49">
        <v>2</v>
      </c>
      <c r="AQ112" s="49"/>
      <c r="AR112" s="49"/>
      <c r="AS112" s="7"/>
      <c r="AT112" s="7"/>
      <c r="AU112" s="59">
        <f t="shared" si="14"/>
        <v>2</v>
      </c>
      <c r="AV112" s="7"/>
      <c r="AW112" s="7"/>
      <c r="AX112" s="49"/>
      <c r="AY112" s="49">
        <v>3</v>
      </c>
      <c r="AZ112" s="49">
        <v>2</v>
      </c>
      <c r="BA112" s="59">
        <f t="shared" si="15"/>
        <v>2.5</v>
      </c>
    </row>
    <row r="113" spans="1:53" ht="23.1" customHeight="1" x14ac:dyDescent="0.3">
      <c r="A113" s="49">
        <v>111</v>
      </c>
      <c r="B113" s="49" t="s">
        <v>233</v>
      </c>
      <c r="C113" s="49" t="s">
        <v>234</v>
      </c>
      <c r="D113" s="49" t="s">
        <v>450</v>
      </c>
      <c r="E113" s="49" t="s">
        <v>161</v>
      </c>
      <c r="F113" s="49">
        <v>2</v>
      </c>
      <c r="G113" s="49">
        <v>2</v>
      </c>
      <c r="H113" s="49">
        <v>2</v>
      </c>
      <c r="I113" s="49">
        <v>3</v>
      </c>
      <c r="J113" s="49"/>
      <c r="K113" s="59">
        <f t="shared" si="8"/>
        <v>2.25</v>
      </c>
      <c r="L113" s="49">
        <v>2</v>
      </c>
      <c r="M113" s="49">
        <v>3</v>
      </c>
      <c r="N113" s="49">
        <v>2</v>
      </c>
      <c r="O113" s="49">
        <v>3</v>
      </c>
      <c r="P113" s="49">
        <v>2</v>
      </c>
      <c r="Q113" s="59">
        <f t="shared" si="9"/>
        <v>2.4</v>
      </c>
      <c r="R113" s="49"/>
      <c r="S113" s="49">
        <v>2</v>
      </c>
      <c r="T113" s="49"/>
      <c r="U113" s="49"/>
      <c r="V113" s="49"/>
      <c r="W113" s="59">
        <f t="shared" si="10"/>
        <v>2</v>
      </c>
      <c r="X113" s="49"/>
      <c r="Y113" s="49"/>
      <c r="Z113" s="49"/>
      <c r="AA113" s="49"/>
      <c r="AB113" s="49"/>
      <c r="AC113" s="59" t="str">
        <f t="shared" si="11"/>
        <v>A</v>
      </c>
      <c r="AD113" s="49"/>
      <c r="AE113" s="49"/>
      <c r="AF113" s="49"/>
      <c r="AG113" s="49"/>
      <c r="AH113" s="49"/>
      <c r="AI113" s="59" t="str">
        <f t="shared" si="12"/>
        <v>A</v>
      </c>
      <c r="AJ113" s="49">
        <v>2</v>
      </c>
      <c r="AK113" s="49">
        <v>2</v>
      </c>
      <c r="AL113" s="49"/>
      <c r="AM113" s="49">
        <v>2</v>
      </c>
      <c r="AN113" s="49"/>
      <c r="AO113" s="59">
        <f t="shared" si="13"/>
        <v>2</v>
      </c>
      <c r="AP113" s="49">
        <v>2</v>
      </c>
      <c r="AQ113" s="49"/>
      <c r="AR113" s="49"/>
      <c r="AS113" s="49"/>
      <c r="AT113" s="49"/>
      <c r="AU113" s="59">
        <f t="shared" si="14"/>
        <v>2</v>
      </c>
      <c r="AV113" s="49"/>
      <c r="AW113" s="49"/>
      <c r="AX113" s="49"/>
      <c r="AY113" s="49">
        <v>1</v>
      </c>
      <c r="AZ113" s="49">
        <v>1</v>
      </c>
      <c r="BA113" s="59">
        <f t="shared" si="15"/>
        <v>1</v>
      </c>
    </row>
    <row r="114" spans="1:53" ht="23.1" customHeight="1" x14ac:dyDescent="0.3">
      <c r="A114" s="7">
        <v>112</v>
      </c>
      <c r="B114" s="7" t="s">
        <v>146</v>
      </c>
      <c r="C114" s="7" t="s">
        <v>147</v>
      </c>
      <c r="D114" s="7" t="s">
        <v>450</v>
      </c>
      <c r="E114" s="7" t="s">
        <v>35</v>
      </c>
      <c r="F114" s="49">
        <v>2</v>
      </c>
      <c r="G114" s="49">
        <v>2</v>
      </c>
      <c r="H114" s="49">
        <v>2</v>
      </c>
      <c r="I114" s="49">
        <v>2</v>
      </c>
      <c r="J114" s="7"/>
      <c r="K114" s="59">
        <f t="shared" si="8"/>
        <v>2</v>
      </c>
      <c r="L114" s="49">
        <v>3</v>
      </c>
      <c r="M114" s="49">
        <v>4</v>
      </c>
      <c r="N114" s="49">
        <v>2</v>
      </c>
      <c r="O114" s="49">
        <v>3</v>
      </c>
      <c r="P114" s="49">
        <v>2</v>
      </c>
      <c r="Q114" s="59">
        <f t="shared" si="9"/>
        <v>2.8</v>
      </c>
      <c r="R114" s="49"/>
      <c r="S114" s="49">
        <v>2</v>
      </c>
      <c r="T114" s="7"/>
      <c r="U114" s="49"/>
      <c r="V114" s="7"/>
      <c r="W114" s="59">
        <f t="shared" si="10"/>
        <v>2</v>
      </c>
      <c r="X114" s="49"/>
      <c r="Y114" s="49"/>
      <c r="Z114" s="7"/>
      <c r="AA114" s="7"/>
      <c r="AB114" s="7"/>
      <c r="AC114" s="59" t="str">
        <f t="shared" si="11"/>
        <v>A</v>
      </c>
      <c r="AD114" s="49"/>
      <c r="AE114" s="7"/>
      <c r="AF114" s="49"/>
      <c r="AG114" s="7"/>
      <c r="AH114" s="7"/>
      <c r="AI114" s="59" t="str">
        <f t="shared" si="12"/>
        <v>A</v>
      </c>
      <c r="AJ114" s="49">
        <v>2</v>
      </c>
      <c r="AK114" s="49">
        <v>2</v>
      </c>
      <c r="AL114" s="7"/>
      <c r="AM114" s="49">
        <v>2</v>
      </c>
      <c r="AN114" s="7"/>
      <c r="AO114" s="59">
        <f t="shared" si="13"/>
        <v>2</v>
      </c>
      <c r="AP114" s="49">
        <v>3</v>
      </c>
      <c r="AQ114" s="49"/>
      <c r="AR114" s="49"/>
      <c r="AS114" s="7"/>
      <c r="AT114" s="7"/>
      <c r="AU114" s="59">
        <f t="shared" si="14"/>
        <v>3</v>
      </c>
      <c r="AV114" s="7"/>
      <c r="AW114" s="7"/>
      <c r="AX114" s="49"/>
      <c r="AY114" s="49">
        <v>2</v>
      </c>
      <c r="AZ114" s="49">
        <v>2</v>
      </c>
      <c r="BA114" s="59">
        <f t="shared" si="15"/>
        <v>2</v>
      </c>
    </row>
    <row r="115" spans="1:53" ht="23.1" customHeight="1" x14ac:dyDescent="0.3">
      <c r="A115" s="49">
        <v>113</v>
      </c>
      <c r="B115" s="49" t="s">
        <v>201</v>
      </c>
      <c r="C115" s="49" t="s">
        <v>202</v>
      </c>
      <c r="D115" s="49" t="s">
        <v>450</v>
      </c>
      <c r="E115" s="49" t="s">
        <v>161</v>
      </c>
      <c r="F115" s="49">
        <v>3</v>
      </c>
      <c r="G115" s="49">
        <v>4</v>
      </c>
      <c r="H115" s="49">
        <v>3</v>
      </c>
      <c r="I115" s="49">
        <v>3</v>
      </c>
      <c r="J115" s="49"/>
      <c r="K115" s="59">
        <f t="shared" si="8"/>
        <v>3.25</v>
      </c>
      <c r="L115" s="49">
        <v>2</v>
      </c>
      <c r="M115" s="49">
        <v>3</v>
      </c>
      <c r="N115" s="49">
        <v>4</v>
      </c>
      <c r="O115" s="49">
        <v>4</v>
      </c>
      <c r="P115" s="49">
        <v>3</v>
      </c>
      <c r="Q115" s="59">
        <f t="shared" si="9"/>
        <v>3.2</v>
      </c>
      <c r="R115" s="49"/>
      <c r="S115" s="49">
        <v>2</v>
      </c>
      <c r="T115" s="49"/>
      <c r="U115" s="49"/>
      <c r="V115" s="49"/>
      <c r="W115" s="59">
        <f t="shared" si="10"/>
        <v>2</v>
      </c>
      <c r="X115" s="49"/>
      <c r="Y115" s="49"/>
      <c r="Z115" s="49"/>
      <c r="AA115" s="49"/>
      <c r="AB115" s="49"/>
      <c r="AC115" s="59" t="str">
        <f t="shared" si="11"/>
        <v>A</v>
      </c>
      <c r="AD115" s="49"/>
      <c r="AE115" s="49"/>
      <c r="AF115" s="49"/>
      <c r="AG115" s="49"/>
      <c r="AH115" s="49"/>
      <c r="AI115" s="59" t="str">
        <f t="shared" si="12"/>
        <v>A</v>
      </c>
      <c r="AJ115" s="49">
        <v>2</v>
      </c>
      <c r="AK115" s="49">
        <v>3</v>
      </c>
      <c r="AL115" s="49"/>
      <c r="AM115" s="49">
        <v>2</v>
      </c>
      <c r="AN115" s="49"/>
      <c r="AO115" s="59">
        <f t="shared" si="13"/>
        <v>2.5</v>
      </c>
      <c r="AP115" s="49">
        <v>3</v>
      </c>
      <c r="AQ115" s="49"/>
      <c r="AR115" s="49"/>
      <c r="AS115" s="49"/>
      <c r="AT115" s="49"/>
      <c r="AU115" s="59">
        <f t="shared" si="14"/>
        <v>3</v>
      </c>
      <c r="AV115" s="49"/>
      <c r="AW115" s="49"/>
      <c r="AX115" s="49"/>
      <c r="AY115" s="49">
        <v>4</v>
      </c>
      <c r="AZ115" s="49">
        <v>3</v>
      </c>
      <c r="BA115" s="59">
        <f t="shared" si="15"/>
        <v>3.5</v>
      </c>
    </row>
    <row r="116" spans="1:53" ht="23.1" customHeight="1" x14ac:dyDescent="0.3">
      <c r="A116" s="7">
        <v>114</v>
      </c>
      <c r="B116" s="7" t="s">
        <v>217</v>
      </c>
      <c r="C116" s="7" t="s">
        <v>218</v>
      </c>
      <c r="D116" s="7" t="s">
        <v>450</v>
      </c>
      <c r="E116" s="7" t="s">
        <v>161</v>
      </c>
      <c r="F116" s="49">
        <v>2</v>
      </c>
      <c r="G116" s="49">
        <v>2</v>
      </c>
      <c r="H116" s="49">
        <v>0</v>
      </c>
      <c r="I116" s="49">
        <v>2</v>
      </c>
      <c r="J116" s="7"/>
      <c r="K116" s="59">
        <f t="shared" si="8"/>
        <v>1.5</v>
      </c>
      <c r="L116" s="49">
        <v>2</v>
      </c>
      <c r="M116" s="49">
        <v>2</v>
      </c>
      <c r="N116" s="49">
        <v>2</v>
      </c>
      <c r="O116" s="49">
        <v>2</v>
      </c>
      <c r="P116" s="49">
        <v>2</v>
      </c>
      <c r="Q116" s="59">
        <f t="shared" si="9"/>
        <v>2</v>
      </c>
      <c r="R116" s="49"/>
      <c r="S116" s="49">
        <v>2</v>
      </c>
      <c r="T116" s="7"/>
      <c r="U116" s="49"/>
      <c r="V116" s="7"/>
      <c r="W116" s="59">
        <f t="shared" si="10"/>
        <v>2</v>
      </c>
      <c r="X116" s="49"/>
      <c r="Y116" s="49"/>
      <c r="Z116" s="7"/>
      <c r="AA116" s="7"/>
      <c r="AB116" s="7"/>
      <c r="AC116" s="59" t="str">
        <f t="shared" si="11"/>
        <v>A</v>
      </c>
      <c r="AD116" s="49"/>
      <c r="AE116" s="7"/>
      <c r="AF116" s="49"/>
      <c r="AG116" s="7"/>
      <c r="AH116" s="7"/>
      <c r="AI116" s="59" t="str">
        <f t="shared" si="12"/>
        <v>A</v>
      </c>
      <c r="AJ116" s="49">
        <v>2</v>
      </c>
      <c r="AK116" s="49">
        <v>2</v>
      </c>
      <c r="AL116" s="7"/>
      <c r="AM116" s="49">
        <v>2</v>
      </c>
      <c r="AN116" s="7"/>
      <c r="AO116" s="59">
        <f t="shared" si="13"/>
        <v>2</v>
      </c>
      <c r="AP116" s="49">
        <v>2</v>
      </c>
      <c r="AQ116" s="49"/>
      <c r="AR116" s="49"/>
      <c r="AS116" s="7"/>
      <c r="AT116" s="7"/>
      <c r="AU116" s="59">
        <f t="shared" si="14"/>
        <v>2</v>
      </c>
      <c r="AV116" s="7"/>
      <c r="AW116" s="7"/>
      <c r="AX116" s="49"/>
      <c r="AY116" s="49">
        <v>3</v>
      </c>
      <c r="AZ116" s="49">
        <v>2</v>
      </c>
      <c r="BA116" s="59">
        <f t="shared" si="15"/>
        <v>2.5</v>
      </c>
    </row>
    <row r="117" spans="1:53" ht="23.1" customHeight="1" x14ac:dyDescent="0.3">
      <c r="A117" s="49">
        <v>115</v>
      </c>
      <c r="B117" s="49" t="s">
        <v>235</v>
      </c>
      <c r="C117" s="49" t="s">
        <v>236</v>
      </c>
      <c r="D117" s="49" t="s">
        <v>450</v>
      </c>
      <c r="E117" s="49" t="s">
        <v>161</v>
      </c>
      <c r="F117" s="49">
        <v>2.5</v>
      </c>
      <c r="G117" s="49">
        <v>2.5</v>
      </c>
      <c r="H117" s="49">
        <v>2.5</v>
      </c>
      <c r="I117" s="49">
        <v>2.5</v>
      </c>
      <c r="J117" s="49"/>
      <c r="K117" s="59">
        <f t="shared" si="8"/>
        <v>2.5</v>
      </c>
      <c r="L117" s="49">
        <v>2.5</v>
      </c>
      <c r="M117" s="49">
        <v>2.5</v>
      </c>
      <c r="N117" s="49">
        <v>2.5</v>
      </c>
      <c r="O117" s="49">
        <v>2.5</v>
      </c>
      <c r="P117" s="49">
        <v>2.5</v>
      </c>
      <c r="Q117" s="59">
        <f t="shared" si="9"/>
        <v>2.5</v>
      </c>
      <c r="R117" s="49"/>
      <c r="S117" s="49">
        <v>2.5</v>
      </c>
      <c r="T117" s="49"/>
      <c r="U117" s="49"/>
      <c r="V117" s="49"/>
      <c r="W117" s="59">
        <f t="shared" si="10"/>
        <v>2.5</v>
      </c>
      <c r="X117" s="49"/>
      <c r="Y117" s="49"/>
      <c r="Z117" s="49"/>
      <c r="AA117" s="49"/>
      <c r="AB117" s="49"/>
      <c r="AC117" s="59" t="str">
        <f t="shared" si="11"/>
        <v>A</v>
      </c>
      <c r="AD117" s="49"/>
      <c r="AE117" s="49"/>
      <c r="AF117" s="49"/>
      <c r="AG117" s="49"/>
      <c r="AH117" s="49"/>
      <c r="AI117" s="59" t="str">
        <f t="shared" si="12"/>
        <v>A</v>
      </c>
      <c r="AJ117" s="49">
        <v>2.5</v>
      </c>
      <c r="AK117" s="49">
        <v>2.5</v>
      </c>
      <c r="AL117" s="49"/>
      <c r="AM117" s="49">
        <v>2.5</v>
      </c>
      <c r="AN117" s="49"/>
      <c r="AO117" s="59">
        <f t="shared" si="13"/>
        <v>2.5</v>
      </c>
      <c r="AP117" s="49">
        <v>2.5</v>
      </c>
      <c r="AQ117" s="49"/>
      <c r="AR117" s="49"/>
      <c r="AS117" s="49"/>
      <c r="AT117" s="49"/>
      <c r="AU117" s="59">
        <f t="shared" si="14"/>
        <v>2.5</v>
      </c>
      <c r="AV117" s="49"/>
      <c r="AW117" s="49"/>
      <c r="AX117" s="49"/>
      <c r="AY117" s="49">
        <v>2.5</v>
      </c>
      <c r="AZ117" s="49">
        <v>2.5</v>
      </c>
      <c r="BA117" s="59">
        <f t="shared" si="15"/>
        <v>2.5</v>
      </c>
    </row>
    <row r="118" spans="1:53" ht="23.1" customHeight="1" x14ac:dyDescent="0.3">
      <c r="A118" s="7">
        <v>116</v>
      </c>
      <c r="B118" s="7" t="s">
        <v>354</v>
      </c>
      <c r="C118" s="7" t="s">
        <v>355</v>
      </c>
      <c r="D118" s="7" t="s">
        <v>544</v>
      </c>
      <c r="E118" s="7" t="s">
        <v>493</v>
      </c>
      <c r="F118" s="49">
        <v>3</v>
      </c>
      <c r="G118" s="49">
        <v>4</v>
      </c>
      <c r="H118" s="49">
        <v>5</v>
      </c>
      <c r="I118" s="49">
        <v>4</v>
      </c>
      <c r="J118" s="7"/>
      <c r="K118" s="59">
        <f t="shared" si="8"/>
        <v>4</v>
      </c>
      <c r="L118" s="49">
        <v>4</v>
      </c>
      <c r="M118" s="49">
        <v>4</v>
      </c>
      <c r="N118" s="49">
        <v>5</v>
      </c>
      <c r="O118" s="49">
        <v>3</v>
      </c>
      <c r="P118" s="49">
        <v>4</v>
      </c>
      <c r="Q118" s="59">
        <f t="shared" si="9"/>
        <v>4</v>
      </c>
      <c r="R118" s="49"/>
      <c r="S118" s="49">
        <v>2</v>
      </c>
      <c r="T118" s="7"/>
      <c r="U118" s="49"/>
      <c r="V118" s="7"/>
      <c r="W118" s="59">
        <f t="shared" si="10"/>
        <v>2</v>
      </c>
      <c r="X118" s="49"/>
      <c r="Y118" s="49"/>
      <c r="Z118" s="7"/>
      <c r="AA118" s="7"/>
      <c r="AB118" s="7"/>
      <c r="AC118" s="59" t="str">
        <f t="shared" si="11"/>
        <v>A</v>
      </c>
      <c r="AD118" s="49"/>
      <c r="AE118" s="7"/>
      <c r="AF118" s="49"/>
      <c r="AG118" s="7"/>
      <c r="AH118" s="7"/>
      <c r="AI118" s="59" t="str">
        <f t="shared" si="12"/>
        <v>A</v>
      </c>
      <c r="AJ118" s="49">
        <v>3</v>
      </c>
      <c r="AK118" s="49">
        <v>4</v>
      </c>
      <c r="AL118" s="7"/>
      <c r="AM118" s="49">
        <v>4</v>
      </c>
      <c r="AN118" s="7"/>
      <c r="AO118" s="59">
        <f t="shared" si="13"/>
        <v>3.5</v>
      </c>
      <c r="AP118" s="49">
        <v>3</v>
      </c>
      <c r="AQ118" s="49"/>
      <c r="AR118" s="49"/>
      <c r="AS118" s="7"/>
      <c r="AT118" s="7"/>
      <c r="AU118" s="59">
        <f t="shared" si="14"/>
        <v>3</v>
      </c>
      <c r="AV118" s="7"/>
      <c r="AW118" s="7"/>
      <c r="AX118" s="49"/>
      <c r="AY118" s="49">
        <v>4</v>
      </c>
      <c r="AZ118" s="49">
        <v>4</v>
      </c>
      <c r="BA118" s="59">
        <f t="shared" si="15"/>
        <v>4</v>
      </c>
    </row>
    <row r="119" spans="1:53" ht="23.1" customHeight="1" x14ac:dyDescent="0.3">
      <c r="A119" s="49">
        <v>117</v>
      </c>
      <c r="B119" s="49" t="s">
        <v>203</v>
      </c>
      <c r="C119" s="49" t="s">
        <v>204</v>
      </c>
      <c r="D119" s="49" t="s">
        <v>542</v>
      </c>
      <c r="E119" s="49" t="s">
        <v>161</v>
      </c>
      <c r="F119" s="49">
        <v>3</v>
      </c>
      <c r="G119" s="49">
        <v>4</v>
      </c>
      <c r="H119" s="49">
        <v>4</v>
      </c>
      <c r="I119" s="49">
        <v>3</v>
      </c>
      <c r="J119" s="49"/>
      <c r="K119" s="59">
        <f t="shared" si="8"/>
        <v>3.5</v>
      </c>
      <c r="L119" s="49">
        <v>4</v>
      </c>
      <c r="M119" s="49">
        <v>4</v>
      </c>
      <c r="N119" s="49">
        <v>5</v>
      </c>
      <c r="O119" s="49">
        <v>2</v>
      </c>
      <c r="P119" s="49">
        <v>4</v>
      </c>
      <c r="Q119" s="59">
        <f t="shared" si="9"/>
        <v>3.8</v>
      </c>
      <c r="R119" s="49"/>
      <c r="S119" s="49">
        <v>4</v>
      </c>
      <c r="T119" s="49"/>
      <c r="U119" s="49"/>
      <c r="V119" s="49"/>
      <c r="W119" s="59">
        <f t="shared" si="10"/>
        <v>4</v>
      </c>
      <c r="X119" s="49"/>
      <c r="Y119" s="49"/>
      <c r="Z119" s="49"/>
      <c r="AA119" s="49"/>
      <c r="AB119" s="49"/>
      <c r="AC119" s="59" t="str">
        <f t="shared" si="11"/>
        <v>A</v>
      </c>
      <c r="AD119" s="49"/>
      <c r="AE119" s="49"/>
      <c r="AF119" s="49"/>
      <c r="AG119" s="49"/>
      <c r="AH119" s="49"/>
      <c r="AI119" s="59" t="str">
        <f t="shared" si="12"/>
        <v>A</v>
      </c>
      <c r="AJ119" s="49">
        <v>3</v>
      </c>
      <c r="AK119" s="49">
        <v>4</v>
      </c>
      <c r="AL119" s="49"/>
      <c r="AM119" s="49">
        <v>3</v>
      </c>
      <c r="AN119" s="49"/>
      <c r="AO119" s="59">
        <f t="shared" si="13"/>
        <v>3.5</v>
      </c>
      <c r="AP119" s="49">
        <v>4</v>
      </c>
      <c r="AQ119" s="49"/>
      <c r="AR119" s="49"/>
      <c r="AS119" s="49"/>
      <c r="AT119" s="49"/>
      <c r="AU119" s="59">
        <f t="shared" si="14"/>
        <v>4</v>
      </c>
      <c r="AV119" s="49"/>
      <c r="AW119" s="49"/>
      <c r="AX119" s="49"/>
      <c r="AY119" s="49">
        <v>4</v>
      </c>
      <c r="AZ119" s="49">
        <v>4</v>
      </c>
      <c r="BA119" s="59">
        <f t="shared" si="15"/>
        <v>4</v>
      </c>
    </row>
    <row r="120" spans="1:53" ht="23.1" customHeight="1" x14ac:dyDescent="0.3">
      <c r="A120" s="7">
        <v>118</v>
      </c>
      <c r="B120" s="7" t="s">
        <v>356</v>
      </c>
      <c r="C120" s="7" t="s">
        <v>357</v>
      </c>
      <c r="D120" s="7" t="s">
        <v>542</v>
      </c>
      <c r="E120" s="7" t="s">
        <v>493</v>
      </c>
      <c r="F120" s="49">
        <v>2</v>
      </c>
      <c r="G120" s="49">
        <v>3</v>
      </c>
      <c r="H120" s="49">
        <v>2</v>
      </c>
      <c r="I120" s="49">
        <v>3</v>
      </c>
      <c r="J120" s="7"/>
      <c r="K120" s="59">
        <f t="shared" si="8"/>
        <v>2.5</v>
      </c>
      <c r="L120" s="49">
        <v>3</v>
      </c>
      <c r="M120" s="49">
        <v>2</v>
      </c>
      <c r="N120" s="49">
        <v>3</v>
      </c>
      <c r="O120" s="49">
        <v>3</v>
      </c>
      <c r="P120" s="49">
        <v>3</v>
      </c>
      <c r="Q120" s="59">
        <f t="shared" si="9"/>
        <v>2.8</v>
      </c>
      <c r="R120" s="49"/>
      <c r="S120" s="49">
        <v>2</v>
      </c>
      <c r="T120" s="7"/>
      <c r="U120" s="49"/>
      <c r="V120" s="7"/>
      <c r="W120" s="59">
        <f t="shared" si="10"/>
        <v>2</v>
      </c>
      <c r="X120" s="49"/>
      <c r="Y120" s="49"/>
      <c r="Z120" s="7"/>
      <c r="AA120" s="7"/>
      <c r="AB120" s="7"/>
      <c r="AC120" s="59" t="str">
        <f t="shared" si="11"/>
        <v>A</v>
      </c>
      <c r="AD120" s="49"/>
      <c r="AE120" s="7"/>
      <c r="AF120" s="49"/>
      <c r="AG120" s="7"/>
      <c r="AH120" s="7"/>
      <c r="AI120" s="59" t="str">
        <f t="shared" si="12"/>
        <v>A</v>
      </c>
      <c r="AJ120" s="49">
        <v>3</v>
      </c>
      <c r="AK120" s="49">
        <v>2</v>
      </c>
      <c r="AL120" s="7"/>
      <c r="AM120" s="49">
        <v>2</v>
      </c>
      <c r="AN120" s="7"/>
      <c r="AO120" s="59">
        <f t="shared" si="13"/>
        <v>2.5</v>
      </c>
      <c r="AP120" s="49">
        <v>2</v>
      </c>
      <c r="AQ120" s="49"/>
      <c r="AR120" s="49"/>
      <c r="AS120" s="7"/>
      <c r="AT120" s="7"/>
      <c r="AU120" s="59">
        <f t="shared" si="14"/>
        <v>2</v>
      </c>
      <c r="AV120" s="7"/>
      <c r="AW120" s="7"/>
      <c r="AX120" s="49"/>
      <c r="AY120" s="49">
        <v>3</v>
      </c>
      <c r="AZ120" s="49">
        <v>2</v>
      </c>
      <c r="BA120" s="59">
        <f t="shared" si="15"/>
        <v>2.5</v>
      </c>
    </row>
    <row r="121" spans="1:53" ht="23.1" customHeight="1" x14ac:dyDescent="0.3">
      <c r="A121" s="49">
        <v>119</v>
      </c>
      <c r="B121" s="49" t="s">
        <v>358</v>
      </c>
      <c r="C121" s="49" t="s">
        <v>359</v>
      </c>
      <c r="D121" s="49" t="s">
        <v>542</v>
      </c>
      <c r="E121" s="49" t="s">
        <v>493</v>
      </c>
      <c r="F121" s="49">
        <v>3.5</v>
      </c>
      <c r="G121" s="49">
        <v>3.5</v>
      </c>
      <c r="H121" s="49">
        <v>3.5</v>
      </c>
      <c r="I121" s="49">
        <v>4</v>
      </c>
      <c r="J121" s="49"/>
      <c r="K121" s="59">
        <f t="shared" si="8"/>
        <v>3.625</v>
      </c>
      <c r="L121" s="49">
        <v>4</v>
      </c>
      <c r="M121" s="49">
        <v>3.5</v>
      </c>
      <c r="N121" s="49">
        <v>4</v>
      </c>
      <c r="O121" s="49">
        <v>3.5</v>
      </c>
      <c r="P121" s="49">
        <v>3.5</v>
      </c>
      <c r="Q121" s="59">
        <f t="shared" si="9"/>
        <v>3.7</v>
      </c>
      <c r="R121" s="49"/>
      <c r="S121" s="49">
        <v>4</v>
      </c>
      <c r="T121" s="49"/>
      <c r="U121" s="49"/>
      <c r="V121" s="49"/>
      <c r="W121" s="59">
        <f t="shared" si="10"/>
        <v>4</v>
      </c>
      <c r="X121" s="49"/>
      <c r="Y121" s="49"/>
      <c r="Z121" s="49"/>
      <c r="AA121" s="49"/>
      <c r="AB121" s="49"/>
      <c r="AC121" s="59" t="str">
        <f t="shared" si="11"/>
        <v>A</v>
      </c>
      <c r="AD121" s="49"/>
      <c r="AE121" s="49"/>
      <c r="AF121" s="49"/>
      <c r="AG121" s="49"/>
      <c r="AH121" s="49"/>
      <c r="AI121" s="59" t="str">
        <f t="shared" si="12"/>
        <v>A</v>
      </c>
      <c r="AJ121" s="49">
        <v>3.5</v>
      </c>
      <c r="AK121" s="49">
        <v>3.5</v>
      </c>
      <c r="AL121" s="49"/>
      <c r="AM121" s="49">
        <v>4</v>
      </c>
      <c r="AN121" s="49"/>
      <c r="AO121" s="59">
        <f t="shared" si="13"/>
        <v>3.5</v>
      </c>
      <c r="AP121" s="49">
        <v>3.5</v>
      </c>
      <c r="AQ121" s="49"/>
      <c r="AR121" s="49"/>
      <c r="AS121" s="49"/>
      <c r="AT121" s="49"/>
      <c r="AU121" s="59">
        <f t="shared" si="14"/>
        <v>3.5</v>
      </c>
      <c r="AV121" s="49"/>
      <c r="AW121" s="49"/>
      <c r="AX121" s="49"/>
      <c r="AY121" s="49">
        <v>4</v>
      </c>
      <c r="AZ121" s="49">
        <v>3.5</v>
      </c>
      <c r="BA121" s="59">
        <f t="shared" si="15"/>
        <v>3.75</v>
      </c>
    </row>
    <row r="122" spans="1:53" ht="23.1" customHeight="1" x14ac:dyDescent="0.3">
      <c r="A122" s="7">
        <v>120</v>
      </c>
      <c r="B122" s="7" t="s">
        <v>150</v>
      </c>
      <c r="C122" s="7" t="s">
        <v>151</v>
      </c>
      <c r="D122" s="7" t="s">
        <v>450</v>
      </c>
      <c r="E122" s="7" t="s">
        <v>35</v>
      </c>
      <c r="F122" s="49">
        <v>1</v>
      </c>
      <c r="G122" s="49">
        <v>1</v>
      </c>
      <c r="H122" s="49">
        <v>1</v>
      </c>
      <c r="I122" s="49">
        <v>1</v>
      </c>
      <c r="J122" s="7"/>
      <c r="K122" s="59">
        <f t="shared" si="8"/>
        <v>1</v>
      </c>
      <c r="L122" s="49">
        <v>2</v>
      </c>
      <c r="M122" s="49">
        <v>2</v>
      </c>
      <c r="N122" s="49">
        <v>2</v>
      </c>
      <c r="O122" s="49">
        <v>4</v>
      </c>
      <c r="P122" s="49">
        <v>2</v>
      </c>
      <c r="Q122" s="59">
        <f t="shared" si="9"/>
        <v>2.4</v>
      </c>
      <c r="R122" s="49"/>
      <c r="S122" s="49">
        <v>1</v>
      </c>
      <c r="T122" s="7"/>
      <c r="U122" s="49"/>
      <c r="V122" s="7"/>
      <c r="W122" s="59">
        <f t="shared" si="10"/>
        <v>1</v>
      </c>
      <c r="X122" s="49"/>
      <c r="Y122" s="49"/>
      <c r="Z122" s="7"/>
      <c r="AA122" s="7"/>
      <c r="AB122" s="7"/>
      <c r="AC122" s="59" t="str">
        <f t="shared" si="11"/>
        <v>A</v>
      </c>
      <c r="AD122" s="49"/>
      <c r="AE122" s="7"/>
      <c r="AF122" s="49"/>
      <c r="AG122" s="7"/>
      <c r="AH122" s="7"/>
      <c r="AI122" s="59" t="str">
        <f t="shared" si="12"/>
        <v>A</v>
      </c>
      <c r="AJ122" s="49">
        <v>1</v>
      </c>
      <c r="AK122" s="49">
        <v>1</v>
      </c>
      <c r="AL122" s="7"/>
      <c r="AM122" s="49">
        <v>1</v>
      </c>
      <c r="AN122" s="7"/>
      <c r="AO122" s="59">
        <f t="shared" si="13"/>
        <v>1</v>
      </c>
      <c r="AP122" s="49">
        <v>2</v>
      </c>
      <c r="AQ122" s="49"/>
      <c r="AR122" s="49"/>
      <c r="AS122" s="7"/>
      <c r="AT122" s="7"/>
      <c r="AU122" s="59">
        <f t="shared" si="14"/>
        <v>2</v>
      </c>
      <c r="AV122" s="7"/>
      <c r="AW122" s="7"/>
      <c r="AX122" s="49"/>
      <c r="AY122" s="49">
        <v>1</v>
      </c>
      <c r="AZ122" s="49">
        <v>1</v>
      </c>
      <c r="BA122" s="59">
        <f t="shared" si="15"/>
        <v>1</v>
      </c>
    </row>
    <row r="123" spans="1:53" ht="23.1" customHeight="1" x14ac:dyDescent="0.3">
      <c r="A123" s="49">
        <v>121</v>
      </c>
      <c r="B123" s="49" t="s">
        <v>360</v>
      </c>
      <c r="C123" s="49" t="s">
        <v>361</v>
      </c>
      <c r="D123" s="49" t="s">
        <v>450</v>
      </c>
      <c r="E123" s="49" t="s">
        <v>493</v>
      </c>
      <c r="F123" s="49">
        <v>2</v>
      </c>
      <c r="G123" s="49">
        <v>1</v>
      </c>
      <c r="H123" s="49">
        <v>0</v>
      </c>
      <c r="I123" s="49">
        <v>2</v>
      </c>
      <c r="J123" s="49"/>
      <c r="K123" s="59">
        <f t="shared" si="8"/>
        <v>1.25</v>
      </c>
      <c r="L123" s="49">
        <v>2</v>
      </c>
      <c r="M123" s="49">
        <v>1</v>
      </c>
      <c r="N123" s="49">
        <v>2</v>
      </c>
      <c r="O123" s="49">
        <v>2</v>
      </c>
      <c r="P123" s="49">
        <v>2</v>
      </c>
      <c r="Q123" s="59">
        <f t="shared" si="9"/>
        <v>1.8</v>
      </c>
      <c r="R123" s="49"/>
      <c r="S123" s="49">
        <v>1</v>
      </c>
      <c r="T123" s="49"/>
      <c r="U123" s="49"/>
      <c r="V123" s="49"/>
      <c r="W123" s="59">
        <f t="shared" si="10"/>
        <v>1</v>
      </c>
      <c r="X123" s="49"/>
      <c r="Y123" s="49"/>
      <c r="Z123" s="49"/>
      <c r="AA123" s="49"/>
      <c r="AB123" s="49"/>
      <c r="AC123" s="59" t="str">
        <f t="shared" si="11"/>
        <v>A</v>
      </c>
      <c r="AD123" s="49"/>
      <c r="AE123" s="49"/>
      <c r="AF123" s="49"/>
      <c r="AG123" s="49"/>
      <c r="AH123" s="49"/>
      <c r="AI123" s="59" t="str">
        <f t="shared" si="12"/>
        <v>A</v>
      </c>
      <c r="AJ123" s="49">
        <v>3</v>
      </c>
      <c r="AK123" s="49">
        <v>2</v>
      </c>
      <c r="AL123" s="49"/>
      <c r="AM123" s="49">
        <v>2</v>
      </c>
      <c r="AN123" s="49"/>
      <c r="AO123" s="59">
        <f t="shared" si="13"/>
        <v>2.5</v>
      </c>
      <c r="AP123" s="49">
        <v>2</v>
      </c>
      <c r="AQ123" s="49"/>
      <c r="AR123" s="49"/>
      <c r="AS123" s="49"/>
      <c r="AT123" s="49"/>
      <c r="AU123" s="59">
        <f t="shared" si="14"/>
        <v>2</v>
      </c>
      <c r="AV123" s="49"/>
      <c r="AW123" s="49"/>
      <c r="AX123" s="49"/>
      <c r="AY123" s="49">
        <v>3</v>
      </c>
      <c r="AZ123" s="49">
        <v>2</v>
      </c>
      <c r="BA123" s="59">
        <f t="shared" si="15"/>
        <v>2.5</v>
      </c>
    </row>
    <row r="124" spans="1:53" ht="23.1" customHeight="1" x14ac:dyDescent="0.3">
      <c r="A124" s="7">
        <v>122</v>
      </c>
      <c r="B124" s="7" t="s">
        <v>362</v>
      </c>
      <c r="C124" s="7" t="s">
        <v>363</v>
      </c>
      <c r="D124" s="7" t="s">
        <v>450</v>
      </c>
      <c r="E124" s="7" t="s">
        <v>493</v>
      </c>
      <c r="F124" s="49">
        <v>4</v>
      </c>
      <c r="G124" s="49">
        <v>4</v>
      </c>
      <c r="H124" s="49">
        <v>3</v>
      </c>
      <c r="I124" s="49">
        <v>3</v>
      </c>
      <c r="J124" s="7"/>
      <c r="K124" s="59">
        <f t="shared" si="8"/>
        <v>3.5</v>
      </c>
      <c r="L124" s="49">
        <v>4</v>
      </c>
      <c r="M124" s="49">
        <v>4</v>
      </c>
      <c r="N124" s="49">
        <v>4</v>
      </c>
      <c r="O124" s="49">
        <v>4</v>
      </c>
      <c r="P124" s="49">
        <v>4</v>
      </c>
      <c r="Q124" s="59">
        <f t="shared" si="9"/>
        <v>4</v>
      </c>
      <c r="R124" s="49"/>
      <c r="S124" s="49">
        <v>4</v>
      </c>
      <c r="T124" s="7"/>
      <c r="U124" s="49"/>
      <c r="V124" s="7"/>
      <c r="W124" s="59">
        <f t="shared" si="10"/>
        <v>4</v>
      </c>
      <c r="X124" s="49"/>
      <c r="Y124" s="49"/>
      <c r="Z124" s="7"/>
      <c r="AA124" s="7"/>
      <c r="AB124" s="7"/>
      <c r="AC124" s="59" t="str">
        <f t="shared" si="11"/>
        <v>A</v>
      </c>
      <c r="AD124" s="49"/>
      <c r="AE124" s="7"/>
      <c r="AF124" s="49"/>
      <c r="AG124" s="7"/>
      <c r="AH124" s="7"/>
      <c r="AI124" s="59" t="str">
        <f t="shared" si="12"/>
        <v>A</v>
      </c>
      <c r="AJ124" s="49">
        <v>3</v>
      </c>
      <c r="AK124" s="49">
        <v>3</v>
      </c>
      <c r="AL124" s="7"/>
      <c r="AM124" s="49">
        <v>3</v>
      </c>
      <c r="AN124" s="7"/>
      <c r="AO124" s="59">
        <f t="shared" si="13"/>
        <v>3</v>
      </c>
      <c r="AP124" s="49">
        <v>4</v>
      </c>
      <c r="AQ124" s="49"/>
      <c r="AR124" s="49"/>
      <c r="AS124" s="7"/>
      <c r="AT124" s="7"/>
      <c r="AU124" s="59">
        <f t="shared" si="14"/>
        <v>4</v>
      </c>
      <c r="AV124" s="7"/>
      <c r="AW124" s="7"/>
      <c r="AX124" s="49"/>
      <c r="AY124" s="49">
        <v>3</v>
      </c>
      <c r="AZ124" s="49">
        <v>5</v>
      </c>
      <c r="BA124" s="59">
        <f t="shared" si="15"/>
        <v>4</v>
      </c>
    </row>
    <row r="125" spans="1:53" ht="23.1" customHeight="1" x14ac:dyDescent="0.3">
      <c r="A125" s="49">
        <v>123</v>
      </c>
      <c r="B125" s="49" t="s">
        <v>364</v>
      </c>
      <c r="C125" s="49" t="s">
        <v>365</v>
      </c>
      <c r="D125" s="49" t="s">
        <v>450</v>
      </c>
      <c r="E125" s="49" t="s">
        <v>493</v>
      </c>
      <c r="F125" s="49">
        <v>3</v>
      </c>
      <c r="G125" s="49">
        <v>4</v>
      </c>
      <c r="H125" s="49">
        <v>3</v>
      </c>
      <c r="I125" s="49">
        <v>2</v>
      </c>
      <c r="J125" s="49"/>
      <c r="K125" s="59">
        <f t="shared" si="8"/>
        <v>3</v>
      </c>
      <c r="L125" s="49">
        <v>3</v>
      </c>
      <c r="M125" s="49">
        <v>4</v>
      </c>
      <c r="N125" s="49">
        <v>3</v>
      </c>
      <c r="O125" s="49">
        <v>4</v>
      </c>
      <c r="P125" s="49">
        <v>4</v>
      </c>
      <c r="Q125" s="59">
        <f t="shared" si="9"/>
        <v>3.6</v>
      </c>
      <c r="R125" s="49"/>
      <c r="S125" s="49">
        <v>3</v>
      </c>
      <c r="T125" s="49"/>
      <c r="U125" s="49"/>
      <c r="V125" s="49"/>
      <c r="W125" s="59">
        <f t="shared" si="10"/>
        <v>3</v>
      </c>
      <c r="X125" s="49"/>
      <c r="Y125" s="49"/>
      <c r="Z125" s="49"/>
      <c r="AA125" s="49"/>
      <c r="AB125" s="49"/>
      <c r="AC125" s="59" t="str">
        <f t="shared" si="11"/>
        <v>A</v>
      </c>
      <c r="AD125" s="49"/>
      <c r="AE125" s="49"/>
      <c r="AF125" s="49"/>
      <c r="AG125" s="49"/>
      <c r="AH125" s="49"/>
      <c r="AI125" s="59" t="str">
        <f t="shared" si="12"/>
        <v>A</v>
      </c>
      <c r="AJ125" s="49">
        <v>3</v>
      </c>
      <c r="AK125" s="49">
        <v>4</v>
      </c>
      <c r="AL125" s="49"/>
      <c r="AM125" s="49">
        <v>3</v>
      </c>
      <c r="AN125" s="49"/>
      <c r="AO125" s="59">
        <f t="shared" si="13"/>
        <v>3.5</v>
      </c>
      <c r="AP125" s="49">
        <v>4</v>
      </c>
      <c r="AQ125" s="49"/>
      <c r="AR125" s="49"/>
      <c r="AS125" s="49"/>
      <c r="AT125" s="49"/>
      <c r="AU125" s="59">
        <f t="shared" si="14"/>
        <v>4</v>
      </c>
      <c r="AV125" s="49"/>
      <c r="AW125" s="49"/>
      <c r="AX125" s="49"/>
      <c r="AY125" s="49">
        <v>4</v>
      </c>
      <c r="AZ125" s="49">
        <v>3</v>
      </c>
      <c r="BA125" s="59">
        <f t="shared" si="15"/>
        <v>3.5</v>
      </c>
    </row>
    <row r="126" spans="1:53" ht="23.1" customHeight="1" x14ac:dyDescent="0.3">
      <c r="A126" s="7">
        <v>124</v>
      </c>
      <c r="B126" s="7" t="s">
        <v>54</v>
      </c>
      <c r="C126" s="7" t="s">
        <v>55</v>
      </c>
      <c r="D126" s="7" t="s">
        <v>450</v>
      </c>
      <c r="E126" s="7" t="s">
        <v>35</v>
      </c>
      <c r="F126" s="49">
        <v>3</v>
      </c>
      <c r="G126" s="49">
        <v>3</v>
      </c>
      <c r="H126" s="49">
        <v>3.5</v>
      </c>
      <c r="I126" s="49">
        <v>3.5</v>
      </c>
      <c r="J126" s="7"/>
      <c r="K126" s="59">
        <f t="shared" si="8"/>
        <v>3.25</v>
      </c>
      <c r="L126" s="49">
        <v>3.5</v>
      </c>
      <c r="M126" s="49">
        <v>3.5</v>
      </c>
      <c r="N126" s="49">
        <v>3</v>
      </c>
      <c r="O126" s="49">
        <v>3</v>
      </c>
      <c r="P126" s="49">
        <v>3.5</v>
      </c>
      <c r="Q126" s="59">
        <f t="shared" si="9"/>
        <v>3.3</v>
      </c>
      <c r="R126" s="49"/>
      <c r="S126" s="49">
        <v>3.5</v>
      </c>
      <c r="T126" s="7"/>
      <c r="U126" s="49"/>
      <c r="V126" s="7"/>
      <c r="W126" s="59">
        <f t="shared" si="10"/>
        <v>3.5</v>
      </c>
      <c r="X126" s="49"/>
      <c r="Y126" s="49"/>
      <c r="Z126" s="7"/>
      <c r="AA126" s="7"/>
      <c r="AB126" s="7"/>
      <c r="AC126" s="59" t="str">
        <f t="shared" si="11"/>
        <v>A</v>
      </c>
      <c r="AD126" s="49"/>
      <c r="AE126" s="7"/>
      <c r="AF126" s="49"/>
      <c r="AG126" s="7"/>
      <c r="AH126" s="7"/>
      <c r="AI126" s="59" t="str">
        <f t="shared" si="12"/>
        <v>A</v>
      </c>
      <c r="AJ126" s="49">
        <v>3</v>
      </c>
      <c r="AK126" s="49">
        <v>3</v>
      </c>
      <c r="AL126" s="7"/>
      <c r="AM126" s="49">
        <v>3.5</v>
      </c>
      <c r="AN126" s="7"/>
      <c r="AO126" s="59">
        <f t="shared" si="13"/>
        <v>3</v>
      </c>
      <c r="AP126" s="49">
        <v>3.5</v>
      </c>
      <c r="AQ126" s="49"/>
      <c r="AR126" s="49"/>
      <c r="AS126" s="7"/>
      <c r="AT126" s="7"/>
      <c r="AU126" s="59">
        <f t="shared" si="14"/>
        <v>3.5</v>
      </c>
      <c r="AV126" s="7"/>
      <c r="AW126" s="7"/>
      <c r="AX126" s="49"/>
      <c r="AY126" s="49">
        <v>3</v>
      </c>
      <c r="AZ126" s="49">
        <v>3</v>
      </c>
      <c r="BA126" s="59">
        <f t="shared" si="15"/>
        <v>3</v>
      </c>
    </row>
    <row r="127" spans="1:53" ht="23.1" customHeight="1" x14ac:dyDescent="0.3">
      <c r="A127" s="49">
        <v>125</v>
      </c>
      <c r="B127" s="49" t="s">
        <v>219</v>
      </c>
      <c r="C127" s="49" t="s">
        <v>220</v>
      </c>
      <c r="D127" s="49" t="s">
        <v>542</v>
      </c>
      <c r="E127" s="49" t="s">
        <v>161</v>
      </c>
      <c r="F127" s="49">
        <v>3.5</v>
      </c>
      <c r="G127" s="49">
        <v>3</v>
      </c>
      <c r="H127" s="49">
        <v>3.5</v>
      </c>
      <c r="I127" s="49">
        <v>3.5</v>
      </c>
      <c r="J127" s="49"/>
      <c r="K127" s="59">
        <f t="shared" si="8"/>
        <v>3.375</v>
      </c>
      <c r="L127" s="49">
        <v>3.5</v>
      </c>
      <c r="M127" s="49">
        <v>3.5</v>
      </c>
      <c r="N127" s="49">
        <v>4</v>
      </c>
      <c r="O127" s="49">
        <v>3</v>
      </c>
      <c r="P127" s="49">
        <v>3.5</v>
      </c>
      <c r="Q127" s="59">
        <f t="shared" si="9"/>
        <v>3.5</v>
      </c>
      <c r="R127" s="49"/>
      <c r="S127" s="49">
        <v>3.5</v>
      </c>
      <c r="T127" s="49"/>
      <c r="U127" s="49"/>
      <c r="V127" s="49"/>
      <c r="W127" s="59">
        <f t="shared" si="10"/>
        <v>3.5</v>
      </c>
      <c r="X127" s="49"/>
      <c r="Y127" s="49"/>
      <c r="Z127" s="49"/>
      <c r="AA127" s="49"/>
      <c r="AB127" s="49"/>
      <c r="AC127" s="59" t="str">
        <f t="shared" si="11"/>
        <v>A</v>
      </c>
      <c r="AD127" s="49"/>
      <c r="AE127" s="49"/>
      <c r="AF127" s="49"/>
      <c r="AG127" s="49"/>
      <c r="AH127" s="49"/>
      <c r="AI127" s="59" t="str">
        <f t="shared" si="12"/>
        <v>A</v>
      </c>
      <c r="AJ127" s="49">
        <v>3.5</v>
      </c>
      <c r="AK127" s="49">
        <v>3</v>
      </c>
      <c r="AL127" s="49"/>
      <c r="AM127" s="49">
        <v>3.5</v>
      </c>
      <c r="AN127" s="49"/>
      <c r="AO127" s="59">
        <f t="shared" si="13"/>
        <v>3.25</v>
      </c>
      <c r="AP127" s="49">
        <v>3.5</v>
      </c>
      <c r="AQ127" s="49"/>
      <c r="AR127" s="49"/>
      <c r="AS127" s="49"/>
      <c r="AT127" s="49"/>
      <c r="AU127" s="59">
        <f t="shared" si="14"/>
        <v>3.5</v>
      </c>
      <c r="AV127" s="49"/>
      <c r="AW127" s="49"/>
      <c r="AX127" s="49"/>
      <c r="AY127" s="49">
        <v>3.5</v>
      </c>
      <c r="AZ127" s="49">
        <v>3</v>
      </c>
      <c r="BA127" s="59">
        <f t="shared" si="15"/>
        <v>3.25</v>
      </c>
    </row>
    <row r="128" spans="1:53" ht="23.1" customHeight="1" x14ac:dyDescent="0.3">
      <c r="A128" s="7">
        <v>126</v>
      </c>
      <c r="B128" s="7" t="s">
        <v>237</v>
      </c>
      <c r="C128" s="7" t="s">
        <v>238</v>
      </c>
      <c r="D128" s="7" t="s">
        <v>542</v>
      </c>
      <c r="E128" s="7" t="s">
        <v>161</v>
      </c>
      <c r="F128" s="49">
        <v>2</v>
      </c>
      <c r="G128" s="49">
        <v>2</v>
      </c>
      <c r="H128" s="49">
        <v>2</v>
      </c>
      <c r="I128" s="49">
        <v>2</v>
      </c>
      <c r="J128" s="7"/>
      <c r="K128" s="59">
        <f t="shared" si="8"/>
        <v>2</v>
      </c>
      <c r="L128" s="49">
        <v>2</v>
      </c>
      <c r="M128" s="49">
        <v>2</v>
      </c>
      <c r="N128" s="49">
        <v>2</v>
      </c>
      <c r="O128" s="49">
        <v>2</v>
      </c>
      <c r="P128" s="49">
        <v>2</v>
      </c>
      <c r="Q128" s="59">
        <f t="shared" si="9"/>
        <v>2</v>
      </c>
      <c r="R128" s="49"/>
      <c r="S128" s="49">
        <v>2</v>
      </c>
      <c r="T128" s="7"/>
      <c r="U128" s="49"/>
      <c r="V128" s="7"/>
      <c r="W128" s="59">
        <f t="shared" si="10"/>
        <v>2</v>
      </c>
      <c r="X128" s="49"/>
      <c r="Y128" s="49"/>
      <c r="Z128" s="7"/>
      <c r="AA128" s="7"/>
      <c r="AB128" s="7"/>
      <c r="AC128" s="59" t="str">
        <f t="shared" si="11"/>
        <v>A</v>
      </c>
      <c r="AD128" s="49"/>
      <c r="AE128" s="7"/>
      <c r="AF128" s="49"/>
      <c r="AG128" s="7"/>
      <c r="AH128" s="7"/>
      <c r="AI128" s="59" t="str">
        <f t="shared" si="12"/>
        <v>A</v>
      </c>
      <c r="AJ128" s="49">
        <v>2</v>
      </c>
      <c r="AK128" s="49">
        <v>2</v>
      </c>
      <c r="AL128" s="7"/>
      <c r="AM128" s="49">
        <v>2</v>
      </c>
      <c r="AN128" s="7"/>
      <c r="AO128" s="59">
        <f t="shared" si="13"/>
        <v>2</v>
      </c>
      <c r="AP128" s="49">
        <v>2</v>
      </c>
      <c r="AQ128" s="49"/>
      <c r="AR128" s="49"/>
      <c r="AS128" s="7"/>
      <c r="AT128" s="7"/>
      <c r="AU128" s="59">
        <f t="shared" si="14"/>
        <v>2</v>
      </c>
      <c r="AV128" s="7"/>
      <c r="AW128" s="7"/>
      <c r="AX128" s="49"/>
      <c r="AY128" s="49">
        <v>3</v>
      </c>
      <c r="AZ128" s="49">
        <v>3</v>
      </c>
      <c r="BA128" s="59">
        <f t="shared" si="15"/>
        <v>3</v>
      </c>
    </row>
    <row r="129" spans="1:53" ht="23.1" customHeight="1" x14ac:dyDescent="0.3">
      <c r="A129" s="49">
        <v>127</v>
      </c>
      <c r="B129" s="49" t="s">
        <v>366</v>
      </c>
      <c r="C129" s="49" t="s">
        <v>367</v>
      </c>
      <c r="D129" s="49" t="s">
        <v>542</v>
      </c>
      <c r="E129" s="49" t="s">
        <v>493</v>
      </c>
      <c r="F129" s="49">
        <v>2.5</v>
      </c>
      <c r="G129" s="49">
        <v>2.5</v>
      </c>
      <c r="H129" s="49">
        <v>2</v>
      </c>
      <c r="I129" s="49">
        <v>2</v>
      </c>
      <c r="J129" s="49"/>
      <c r="K129" s="59">
        <f t="shared" si="8"/>
        <v>2.25</v>
      </c>
      <c r="L129" s="49">
        <v>2</v>
      </c>
      <c r="M129" s="49">
        <v>2</v>
      </c>
      <c r="N129" s="49">
        <v>2.5</v>
      </c>
      <c r="O129" s="49">
        <v>2.5</v>
      </c>
      <c r="P129" s="49">
        <v>2</v>
      </c>
      <c r="Q129" s="59">
        <f t="shared" si="9"/>
        <v>2.2000000000000002</v>
      </c>
      <c r="R129" s="49"/>
      <c r="S129" s="49">
        <v>2</v>
      </c>
      <c r="T129" s="49"/>
      <c r="U129" s="49"/>
      <c r="V129" s="49"/>
      <c r="W129" s="59">
        <f t="shared" si="10"/>
        <v>2</v>
      </c>
      <c r="X129" s="49"/>
      <c r="Y129" s="49"/>
      <c r="Z129" s="49"/>
      <c r="AA129" s="49"/>
      <c r="AB129" s="49"/>
      <c r="AC129" s="59" t="str">
        <f t="shared" si="11"/>
        <v>A</v>
      </c>
      <c r="AD129" s="49"/>
      <c r="AE129" s="49"/>
      <c r="AF129" s="49"/>
      <c r="AG129" s="49"/>
      <c r="AH129" s="49"/>
      <c r="AI129" s="59" t="str">
        <f t="shared" si="12"/>
        <v>A</v>
      </c>
      <c r="AJ129" s="49">
        <v>2.5</v>
      </c>
      <c r="AK129" s="49">
        <v>2.5</v>
      </c>
      <c r="AL129" s="49"/>
      <c r="AM129" s="49">
        <v>2</v>
      </c>
      <c r="AN129" s="49"/>
      <c r="AO129" s="59">
        <f t="shared" si="13"/>
        <v>2.5</v>
      </c>
      <c r="AP129" s="49">
        <v>2</v>
      </c>
      <c r="AQ129" s="49"/>
      <c r="AR129" s="49"/>
      <c r="AS129" s="49"/>
      <c r="AT129" s="49"/>
      <c r="AU129" s="59">
        <f t="shared" si="14"/>
        <v>2</v>
      </c>
      <c r="AV129" s="49"/>
      <c r="AW129" s="49"/>
      <c r="AX129" s="49"/>
      <c r="AY129" s="49">
        <v>2.5</v>
      </c>
      <c r="AZ129" s="49">
        <v>2.5</v>
      </c>
      <c r="BA129" s="59">
        <f t="shared" si="15"/>
        <v>2.5</v>
      </c>
    </row>
    <row r="130" spans="1:53" ht="23.1" customHeight="1" x14ac:dyDescent="0.3">
      <c r="A130" s="7">
        <v>128</v>
      </c>
      <c r="B130" s="7" t="s">
        <v>368</v>
      </c>
      <c r="C130" s="7" t="s">
        <v>369</v>
      </c>
      <c r="D130" s="7" t="s">
        <v>450</v>
      </c>
      <c r="E130" s="7" t="s">
        <v>493</v>
      </c>
      <c r="F130" s="49">
        <v>3</v>
      </c>
      <c r="G130" s="49">
        <v>3</v>
      </c>
      <c r="H130" s="49">
        <v>2</v>
      </c>
      <c r="I130" s="49">
        <v>2</v>
      </c>
      <c r="J130" s="7"/>
      <c r="K130" s="59">
        <f t="shared" si="8"/>
        <v>2.5</v>
      </c>
      <c r="L130" s="49">
        <v>3</v>
      </c>
      <c r="M130" s="49">
        <v>4</v>
      </c>
      <c r="N130" s="49">
        <v>3</v>
      </c>
      <c r="O130" s="49">
        <v>3</v>
      </c>
      <c r="P130" s="49">
        <v>3</v>
      </c>
      <c r="Q130" s="59">
        <f t="shared" si="9"/>
        <v>3.2</v>
      </c>
      <c r="R130" s="49"/>
      <c r="S130" s="49">
        <v>3</v>
      </c>
      <c r="T130" s="7"/>
      <c r="U130" s="49"/>
      <c r="V130" s="7"/>
      <c r="W130" s="59">
        <f t="shared" si="10"/>
        <v>3</v>
      </c>
      <c r="X130" s="49"/>
      <c r="Y130" s="49"/>
      <c r="Z130" s="7"/>
      <c r="AA130" s="7"/>
      <c r="AB130" s="7"/>
      <c r="AC130" s="59" t="str">
        <f t="shared" si="11"/>
        <v>A</v>
      </c>
      <c r="AD130" s="49"/>
      <c r="AE130" s="7"/>
      <c r="AF130" s="49"/>
      <c r="AG130" s="7"/>
      <c r="AH130" s="7"/>
      <c r="AI130" s="59" t="str">
        <f t="shared" si="12"/>
        <v>A</v>
      </c>
      <c r="AJ130" s="49">
        <v>2</v>
      </c>
      <c r="AK130" s="49">
        <v>3</v>
      </c>
      <c r="AL130" s="7"/>
      <c r="AM130" s="49">
        <v>3</v>
      </c>
      <c r="AN130" s="7"/>
      <c r="AO130" s="59">
        <f t="shared" si="13"/>
        <v>2.5</v>
      </c>
      <c r="AP130" s="49">
        <v>3</v>
      </c>
      <c r="AQ130" s="49"/>
      <c r="AR130" s="49"/>
      <c r="AS130" s="7"/>
      <c r="AT130" s="7"/>
      <c r="AU130" s="59">
        <f t="shared" si="14"/>
        <v>3</v>
      </c>
      <c r="AV130" s="7"/>
      <c r="AW130" s="7"/>
      <c r="AX130" s="49"/>
      <c r="AY130" s="49">
        <v>3</v>
      </c>
      <c r="AZ130" s="49">
        <v>3</v>
      </c>
      <c r="BA130" s="59">
        <f t="shared" si="15"/>
        <v>3</v>
      </c>
    </row>
    <row r="131" spans="1:53" ht="23.1" customHeight="1" x14ac:dyDescent="0.3">
      <c r="A131" s="49">
        <v>129</v>
      </c>
      <c r="B131" s="49" t="s">
        <v>251</v>
      </c>
      <c r="C131" s="49" t="s">
        <v>252</v>
      </c>
      <c r="D131" s="49" t="s">
        <v>542</v>
      </c>
      <c r="E131" s="49" t="s">
        <v>161</v>
      </c>
      <c r="F131" s="49">
        <v>3</v>
      </c>
      <c r="G131" s="49">
        <v>4</v>
      </c>
      <c r="H131" s="49">
        <v>3</v>
      </c>
      <c r="I131" s="49">
        <v>3</v>
      </c>
      <c r="J131" s="49"/>
      <c r="K131" s="59">
        <f t="shared" si="8"/>
        <v>3.25</v>
      </c>
      <c r="L131" s="49">
        <v>3</v>
      </c>
      <c r="M131" s="49">
        <v>3</v>
      </c>
      <c r="N131" s="49">
        <v>3</v>
      </c>
      <c r="O131" s="49">
        <v>4</v>
      </c>
      <c r="P131" s="49">
        <v>3</v>
      </c>
      <c r="Q131" s="59">
        <f t="shared" si="9"/>
        <v>3.2</v>
      </c>
      <c r="R131" s="49"/>
      <c r="S131" s="49">
        <v>4</v>
      </c>
      <c r="T131" s="49"/>
      <c r="U131" s="49"/>
      <c r="V131" s="49"/>
      <c r="W131" s="59">
        <f t="shared" si="10"/>
        <v>4</v>
      </c>
      <c r="X131" s="49"/>
      <c r="Y131" s="49"/>
      <c r="Z131" s="49"/>
      <c r="AA131" s="49"/>
      <c r="AB131" s="49"/>
      <c r="AC131" s="59" t="str">
        <f t="shared" si="11"/>
        <v>A</v>
      </c>
      <c r="AD131" s="49"/>
      <c r="AE131" s="49"/>
      <c r="AF131" s="49"/>
      <c r="AG131" s="49"/>
      <c r="AH131" s="49"/>
      <c r="AI131" s="59" t="str">
        <f t="shared" si="12"/>
        <v>A</v>
      </c>
      <c r="AJ131" s="49">
        <v>2</v>
      </c>
      <c r="AK131" s="49">
        <v>3</v>
      </c>
      <c r="AL131" s="49"/>
      <c r="AM131" s="49">
        <v>3</v>
      </c>
      <c r="AN131" s="49"/>
      <c r="AO131" s="59">
        <f t="shared" si="13"/>
        <v>2.5</v>
      </c>
      <c r="AP131" s="49">
        <v>3</v>
      </c>
      <c r="AQ131" s="49"/>
      <c r="AR131" s="49"/>
      <c r="AS131" s="49"/>
      <c r="AT131" s="49"/>
      <c r="AU131" s="59">
        <f t="shared" si="14"/>
        <v>3</v>
      </c>
      <c r="AV131" s="49"/>
      <c r="AW131" s="49"/>
      <c r="AX131" s="49"/>
      <c r="AY131" s="49">
        <v>4</v>
      </c>
      <c r="AZ131" s="49">
        <v>4</v>
      </c>
      <c r="BA131" s="59">
        <f t="shared" si="15"/>
        <v>4</v>
      </c>
    </row>
    <row r="132" spans="1:53" ht="23.1" customHeight="1" x14ac:dyDescent="0.3">
      <c r="A132" s="7">
        <v>130</v>
      </c>
      <c r="B132" s="7" t="s">
        <v>56</v>
      </c>
      <c r="C132" s="7" t="s">
        <v>57</v>
      </c>
      <c r="D132" s="7" t="s">
        <v>450</v>
      </c>
      <c r="E132" s="7" t="s">
        <v>35</v>
      </c>
      <c r="F132" s="49">
        <v>3</v>
      </c>
      <c r="G132" s="49">
        <v>3.5</v>
      </c>
      <c r="H132" s="49">
        <v>3.5</v>
      </c>
      <c r="I132" s="49">
        <v>3.5</v>
      </c>
      <c r="J132" s="7"/>
      <c r="K132" s="59">
        <f t="shared" ref="K132:K195" si="16">IFERROR(AVERAGE(F132,G132,H132,I132),"0")</f>
        <v>3.375</v>
      </c>
      <c r="L132" s="49">
        <v>3.5</v>
      </c>
      <c r="M132" s="49">
        <v>3.5</v>
      </c>
      <c r="N132" s="49">
        <v>3</v>
      </c>
      <c r="O132" s="49">
        <v>3.5</v>
      </c>
      <c r="P132" s="49">
        <v>3.5</v>
      </c>
      <c r="Q132" s="59">
        <f t="shared" ref="Q132:Q195" si="17">IFERROR(AVERAGE(M132,N132,L132,O132,P132),"0")</f>
        <v>3.4</v>
      </c>
      <c r="R132" s="49"/>
      <c r="S132" s="49">
        <v>3.5</v>
      </c>
      <c r="T132" s="7"/>
      <c r="U132" s="49"/>
      <c r="V132" s="7"/>
      <c r="W132" s="59">
        <f t="shared" ref="W132:W195" si="18">S132</f>
        <v>3.5</v>
      </c>
      <c r="X132" s="49"/>
      <c r="Y132" s="49"/>
      <c r="Z132" s="7"/>
      <c r="AA132" s="7"/>
      <c r="AB132" s="7"/>
      <c r="AC132" s="59" t="str">
        <f t="shared" ref="AC132:AC195" si="19">IFERROR(AVERAGE(Y132,X132),"A")</f>
        <v>A</v>
      </c>
      <c r="AD132" s="49"/>
      <c r="AE132" s="7"/>
      <c r="AF132" s="49"/>
      <c r="AG132" s="7"/>
      <c r="AH132" s="7"/>
      <c r="AI132" s="59" t="str">
        <f t="shared" ref="AI132:AI195" si="20">IFERROR(AVERAGE(AF132,AD132),"A")</f>
        <v>A</v>
      </c>
      <c r="AJ132" s="49">
        <v>3</v>
      </c>
      <c r="AK132" s="49">
        <v>3.5</v>
      </c>
      <c r="AL132" s="7"/>
      <c r="AM132" s="49">
        <v>3.5</v>
      </c>
      <c r="AN132" s="7"/>
      <c r="AO132" s="59">
        <f t="shared" ref="AO132:AO195" si="21">IFERROR(AVERAGE(AJ132,AK132,AAM132),"0")</f>
        <v>3.25</v>
      </c>
      <c r="AP132" s="49">
        <v>3.5</v>
      </c>
      <c r="AQ132" s="49"/>
      <c r="AR132" s="49"/>
      <c r="AS132" s="7"/>
      <c r="AT132" s="7"/>
      <c r="AU132" s="59">
        <f t="shared" ref="AU132:AU195" si="22">AP132</f>
        <v>3.5</v>
      </c>
      <c r="AV132" s="7"/>
      <c r="AW132" s="7"/>
      <c r="AX132" s="49"/>
      <c r="AY132" s="49">
        <v>3.5</v>
      </c>
      <c r="AZ132" s="49">
        <v>3.5</v>
      </c>
      <c r="BA132" s="59">
        <f t="shared" ref="BA132:BA195" si="23">IFERROR(AVERAGE(AY132,AZ132),"0")</f>
        <v>3.5</v>
      </c>
    </row>
    <row r="133" spans="1:53" ht="23.1" customHeight="1" x14ac:dyDescent="0.3">
      <c r="A133" s="49">
        <v>131</v>
      </c>
      <c r="B133" s="49" t="s">
        <v>265</v>
      </c>
      <c r="C133" s="49" t="s">
        <v>266</v>
      </c>
      <c r="D133" s="49" t="s">
        <v>542</v>
      </c>
      <c r="E133" s="49" t="s">
        <v>161</v>
      </c>
      <c r="F133" s="49">
        <v>4</v>
      </c>
      <c r="G133" s="49">
        <v>4</v>
      </c>
      <c r="H133" s="49">
        <v>0</v>
      </c>
      <c r="I133" s="49">
        <v>4</v>
      </c>
      <c r="J133" s="49"/>
      <c r="K133" s="59">
        <f t="shared" si="16"/>
        <v>3</v>
      </c>
      <c r="L133" s="49">
        <v>4</v>
      </c>
      <c r="M133" s="49">
        <v>4</v>
      </c>
      <c r="N133" s="49">
        <v>4</v>
      </c>
      <c r="O133" s="49">
        <v>4</v>
      </c>
      <c r="P133" s="49">
        <v>4</v>
      </c>
      <c r="Q133" s="59">
        <f t="shared" si="17"/>
        <v>4</v>
      </c>
      <c r="R133" s="49"/>
      <c r="S133" s="49">
        <v>4</v>
      </c>
      <c r="T133" s="49"/>
      <c r="U133" s="49"/>
      <c r="V133" s="49"/>
      <c r="W133" s="59">
        <f t="shared" si="18"/>
        <v>4</v>
      </c>
      <c r="X133" s="49"/>
      <c r="Y133" s="49"/>
      <c r="Z133" s="49"/>
      <c r="AA133" s="49"/>
      <c r="AB133" s="49"/>
      <c r="AC133" s="59" t="str">
        <f t="shared" si="19"/>
        <v>A</v>
      </c>
      <c r="AD133" s="49"/>
      <c r="AE133" s="49"/>
      <c r="AF133" s="49"/>
      <c r="AG133" s="49"/>
      <c r="AH133" s="49"/>
      <c r="AI133" s="59" t="str">
        <f t="shared" si="20"/>
        <v>A</v>
      </c>
      <c r="AJ133" s="49">
        <v>4</v>
      </c>
      <c r="AK133" s="49">
        <v>4</v>
      </c>
      <c r="AL133" s="49"/>
      <c r="AM133" s="49">
        <v>4</v>
      </c>
      <c r="AN133" s="49"/>
      <c r="AO133" s="59">
        <f t="shared" si="21"/>
        <v>4</v>
      </c>
      <c r="AP133" s="49">
        <v>4</v>
      </c>
      <c r="AQ133" s="49"/>
      <c r="AR133" s="49"/>
      <c r="AS133" s="49"/>
      <c r="AT133" s="49"/>
      <c r="AU133" s="59">
        <f t="shared" si="22"/>
        <v>4</v>
      </c>
      <c r="AV133" s="49"/>
      <c r="AW133" s="49"/>
      <c r="AX133" s="49"/>
      <c r="AY133" s="49">
        <v>2</v>
      </c>
      <c r="AZ133" s="49">
        <v>2</v>
      </c>
      <c r="BA133" s="59">
        <f t="shared" si="23"/>
        <v>2</v>
      </c>
    </row>
    <row r="134" spans="1:53" ht="23.1" customHeight="1" x14ac:dyDescent="0.3">
      <c r="A134" s="7">
        <v>132</v>
      </c>
      <c r="B134" s="7" t="s">
        <v>79</v>
      </c>
      <c r="C134" s="7" t="s">
        <v>80</v>
      </c>
      <c r="D134" s="7" t="s">
        <v>542</v>
      </c>
      <c r="E134" s="7" t="s">
        <v>35</v>
      </c>
      <c r="F134" s="49">
        <v>2</v>
      </c>
      <c r="G134" s="49">
        <v>3</v>
      </c>
      <c r="H134" s="49">
        <v>3</v>
      </c>
      <c r="I134" s="49">
        <v>3</v>
      </c>
      <c r="J134" s="7"/>
      <c r="K134" s="59">
        <f t="shared" si="16"/>
        <v>2.75</v>
      </c>
      <c r="L134" s="49">
        <v>3</v>
      </c>
      <c r="M134" s="49">
        <v>3</v>
      </c>
      <c r="N134" s="49">
        <v>4</v>
      </c>
      <c r="O134" s="49">
        <v>4</v>
      </c>
      <c r="P134" s="49">
        <v>4</v>
      </c>
      <c r="Q134" s="59">
        <f t="shared" si="17"/>
        <v>3.6</v>
      </c>
      <c r="R134" s="49"/>
      <c r="S134" s="49">
        <v>3</v>
      </c>
      <c r="T134" s="7"/>
      <c r="U134" s="49"/>
      <c r="V134" s="7"/>
      <c r="W134" s="59">
        <f t="shared" si="18"/>
        <v>3</v>
      </c>
      <c r="X134" s="49"/>
      <c r="Y134" s="49"/>
      <c r="Z134" s="7"/>
      <c r="AA134" s="7"/>
      <c r="AB134" s="7"/>
      <c r="AC134" s="59" t="str">
        <f t="shared" si="19"/>
        <v>A</v>
      </c>
      <c r="AD134" s="49"/>
      <c r="AE134" s="7"/>
      <c r="AF134" s="49"/>
      <c r="AG134" s="7"/>
      <c r="AH134" s="7"/>
      <c r="AI134" s="59" t="str">
        <f t="shared" si="20"/>
        <v>A</v>
      </c>
      <c r="AJ134" s="49">
        <v>2</v>
      </c>
      <c r="AK134" s="49">
        <v>3</v>
      </c>
      <c r="AL134" s="7"/>
      <c r="AM134" s="49">
        <v>3</v>
      </c>
      <c r="AN134" s="7"/>
      <c r="AO134" s="59">
        <f t="shared" si="21"/>
        <v>2.5</v>
      </c>
      <c r="AP134" s="49">
        <v>2</v>
      </c>
      <c r="AQ134" s="49"/>
      <c r="AR134" s="49"/>
      <c r="AS134" s="7"/>
      <c r="AT134" s="7"/>
      <c r="AU134" s="59">
        <f t="shared" si="22"/>
        <v>2</v>
      </c>
      <c r="AV134" s="7"/>
      <c r="AW134" s="7"/>
      <c r="AX134" s="49"/>
      <c r="AY134" s="49">
        <v>4</v>
      </c>
      <c r="AZ134" s="49">
        <v>4</v>
      </c>
      <c r="BA134" s="59">
        <f t="shared" si="23"/>
        <v>4</v>
      </c>
    </row>
    <row r="135" spans="1:53" ht="23.1" customHeight="1" x14ac:dyDescent="0.3">
      <c r="A135" s="49">
        <v>133</v>
      </c>
      <c r="B135" s="49" t="s">
        <v>85</v>
      </c>
      <c r="C135" s="49" t="s">
        <v>86</v>
      </c>
      <c r="D135" s="49" t="s">
        <v>450</v>
      </c>
      <c r="E135" s="49" t="s">
        <v>35</v>
      </c>
      <c r="F135" s="49">
        <v>0</v>
      </c>
      <c r="G135" s="49">
        <v>0</v>
      </c>
      <c r="H135" s="49">
        <v>0</v>
      </c>
      <c r="I135" s="49">
        <v>0</v>
      </c>
      <c r="J135" s="49"/>
      <c r="K135" s="59">
        <f t="shared" si="16"/>
        <v>0</v>
      </c>
      <c r="L135" s="49">
        <v>0</v>
      </c>
      <c r="M135" s="49">
        <v>0</v>
      </c>
      <c r="N135" s="49">
        <v>0</v>
      </c>
      <c r="O135" s="49">
        <v>0</v>
      </c>
      <c r="P135" s="49">
        <v>0</v>
      </c>
      <c r="Q135" s="59">
        <f t="shared" si="17"/>
        <v>0</v>
      </c>
      <c r="R135" s="49"/>
      <c r="S135" s="49">
        <v>0</v>
      </c>
      <c r="T135" s="49"/>
      <c r="U135" s="49"/>
      <c r="V135" s="49"/>
      <c r="W135" s="59">
        <f t="shared" si="18"/>
        <v>0</v>
      </c>
      <c r="X135" s="49"/>
      <c r="Y135" s="49"/>
      <c r="Z135" s="49"/>
      <c r="AA135" s="49"/>
      <c r="AB135" s="49"/>
      <c r="AC135" s="59" t="str">
        <f t="shared" si="19"/>
        <v>A</v>
      </c>
      <c r="AD135" s="49"/>
      <c r="AE135" s="49"/>
      <c r="AF135" s="49"/>
      <c r="AG135" s="49"/>
      <c r="AH135" s="49"/>
      <c r="AI135" s="59" t="str">
        <f t="shared" si="20"/>
        <v>A</v>
      </c>
      <c r="AJ135" s="49">
        <v>0</v>
      </c>
      <c r="AK135" s="49">
        <v>0</v>
      </c>
      <c r="AL135" s="49"/>
      <c r="AM135" s="49">
        <v>0</v>
      </c>
      <c r="AN135" s="49"/>
      <c r="AO135" s="59">
        <f t="shared" si="21"/>
        <v>0</v>
      </c>
      <c r="AP135" s="49">
        <v>0</v>
      </c>
      <c r="AQ135" s="49"/>
      <c r="AR135" s="49"/>
      <c r="AS135" s="49"/>
      <c r="AT135" s="49"/>
      <c r="AU135" s="59">
        <f t="shared" si="22"/>
        <v>0</v>
      </c>
      <c r="AV135" s="49"/>
      <c r="AW135" s="49"/>
      <c r="AX135" s="49"/>
      <c r="AY135" s="49">
        <v>0</v>
      </c>
      <c r="AZ135" s="49">
        <v>0</v>
      </c>
      <c r="BA135" s="59">
        <f t="shared" si="23"/>
        <v>0</v>
      </c>
    </row>
    <row r="136" spans="1:53" ht="23.1" customHeight="1" x14ac:dyDescent="0.3">
      <c r="A136" s="7">
        <v>134</v>
      </c>
      <c r="B136" s="7" t="s">
        <v>253</v>
      </c>
      <c r="C136" s="7" t="s">
        <v>254</v>
      </c>
      <c r="D136" s="7" t="s">
        <v>450</v>
      </c>
      <c r="E136" s="7" t="s">
        <v>161</v>
      </c>
      <c r="F136" s="49">
        <v>3</v>
      </c>
      <c r="G136" s="49">
        <v>1</v>
      </c>
      <c r="H136" s="49">
        <v>2</v>
      </c>
      <c r="I136" s="49">
        <v>2</v>
      </c>
      <c r="J136" s="7"/>
      <c r="K136" s="59">
        <f t="shared" si="16"/>
        <v>2</v>
      </c>
      <c r="L136" s="49">
        <v>2</v>
      </c>
      <c r="M136" s="49">
        <v>2</v>
      </c>
      <c r="N136" s="49">
        <v>2</v>
      </c>
      <c r="O136" s="49">
        <v>3</v>
      </c>
      <c r="P136" s="49">
        <v>3</v>
      </c>
      <c r="Q136" s="59">
        <f t="shared" si="17"/>
        <v>2.4</v>
      </c>
      <c r="R136" s="49"/>
      <c r="S136" s="49">
        <v>3</v>
      </c>
      <c r="T136" s="7"/>
      <c r="U136" s="49"/>
      <c r="V136" s="7"/>
      <c r="W136" s="59">
        <f t="shared" si="18"/>
        <v>3</v>
      </c>
      <c r="X136" s="49"/>
      <c r="Y136" s="49"/>
      <c r="Z136" s="7"/>
      <c r="AA136" s="7"/>
      <c r="AB136" s="7"/>
      <c r="AC136" s="59" t="str">
        <f t="shared" si="19"/>
        <v>A</v>
      </c>
      <c r="AD136" s="49"/>
      <c r="AE136" s="7"/>
      <c r="AF136" s="49"/>
      <c r="AG136" s="7"/>
      <c r="AH136" s="7"/>
      <c r="AI136" s="59" t="str">
        <f t="shared" si="20"/>
        <v>A</v>
      </c>
      <c r="AJ136" s="49">
        <v>3</v>
      </c>
      <c r="AK136" s="49">
        <v>2</v>
      </c>
      <c r="AL136" s="7"/>
      <c r="AM136" s="49">
        <v>3</v>
      </c>
      <c r="AN136" s="7"/>
      <c r="AO136" s="59">
        <f t="shared" si="21"/>
        <v>2.5</v>
      </c>
      <c r="AP136" s="49">
        <v>3</v>
      </c>
      <c r="AQ136" s="49"/>
      <c r="AR136" s="49"/>
      <c r="AS136" s="7"/>
      <c r="AT136" s="7"/>
      <c r="AU136" s="59">
        <f t="shared" si="22"/>
        <v>3</v>
      </c>
      <c r="AV136" s="7"/>
      <c r="AW136" s="7"/>
      <c r="AX136" s="49"/>
      <c r="AY136" s="49">
        <v>1</v>
      </c>
      <c r="AZ136" s="49">
        <v>1</v>
      </c>
      <c r="BA136" s="59">
        <f t="shared" si="23"/>
        <v>1</v>
      </c>
    </row>
    <row r="137" spans="1:53" ht="23.1" customHeight="1" x14ac:dyDescent="0.3">
      <c r="A137" s="49">
        <v>135</v>
      </c>
      <c r="B137" s="49" t="s">
        <v>370</v>
      </c>
      <c r="C137" s="49" t="s">
        <v>371</v>
      </c>
      <c r="D137" s="49" t="s">
        <v>450</v>
      </c>
      <c r="E137" s="49" t="s">
        <v>493</v>
      </c>
      <c r="F137" s="49">
        <v>2</v>
      </c>
      <c r="G137" s="49">
        <v>1</v>
      </c>
      <c r="H137" s="49">
        <v>0</v>
      </c>
      <c r="I137" s="49">
        <v>2</v>
      </c>
      <c r="J137" s="49"/>
      <c r="K137" s="59">
        <f t="shared" si="16"/>
        <v>1.25</v>
      </c>
      <c r="L137" s="49">
        <v>3</v>
      </c>
      <c r="M137" s="49">
        <v>2</v>
      </c>
      <c r="N137" s="49">
        <v>3</v>
      </c>
      <c r="O137" s="49">
        <v>3</v>
      </c>
      <c r="P137" s="49">
        <v>3</v>
      </c>
      <c r="Q137" s="59">
        <f t="shared" si="17"/>
        <v>2.8</v>
      </c>
      <c r="R137" s="49"/>
      <c r="S137" s="49">
        <v>2</v>
      </c>
      <c r="T137" s="49"/>
      <c r="U137" s="49"/>
      <c r="V137" s="49"/>
      <c r="W137" s="59">
        <f t="shared" si="18"/>
        <v>2</v>
      </c>
      <c r="X137" s="49"/>
      <c r="Y137" s="49"/>
      <c r="Z137" s="49"/>
      <c r="AA137" s="49"/>
      <c r="AB137" s="49"/>
      <c r="AC137" s="59" t="str">
        <f t="shared" si="19"/>
        <v>A</v>
      </c>
      <c r="AD137" s="49"/>
      <c r="AE137" s="49"/>
      <c r="AF137" s="49"/>
      <c r="AG137" s="49"/>
      <c r="AH137" s="49"/>
      <c r="AI137" s="59" t="str">
        <f t="shared" si="20"/>
        <v>A</v>
      </c>
      <c r="AJ137" s="49">
        <v>3</v>
      </c>
      <c r="AK137" s="49">
        <v>2</v>
      </c>
      <c r="AL137" s="49"/>
      <c r="AM137" s="49">
        <v>2</v>
      </c>
      <c r="AN137" s="49"/>
      <c r="AO137" s="59">
        <f t="shared" si="21"/>
        <v>2.5</v>
      </c>
      <c r="AP137" s="49">
        <v>2</v>
      </c>
      <c r="AQ137" s="49"/>
      <c r="AR137" s="49"/>
      <c r="AS137" s="49"/>
      <c r="AT137" s="49"/>
      <c r="AU137" s="59">
        <f t="shared" si="22"/>
        <v>2</v>
      </c>
      <c r="AV137" s="49"/>
      <c r="AW137" s="49"/>
      <c r="AX137" s="49"/>
      <c r="AY137" s="49">
        <v>3</v>
      </c>
      <c r="AZ137" s="49">
        <v>2</v>
      </c>
      <c r="BA137" s="59">
        <f t="shared" si="23"/>
        <v>2.5</v>
      </c>
    </row>
    <row r="138" spans="1:53" ht="23.1" customHeight="1" x14ac:dyDescent="0.3">
      <c r="A138" s="7">
        <v>136</v>
      </c>
      <c r="B138" s="7" t="s">
        <v>372</v>
      </c>
      <c r="C138" s="7" t="s">
        <v>373</v>
      </c>
      <c r="D138" s="7" t="s">
        <v>542</v>
      </c>
      <c r="E138" s="7" t="s">
        <v>493</v>
      </c>
      <c r="F138" s="49">
        <v>2</v>
      </c>
      <c r="G138" s="49">
        <v>3</v>
      </c>
      <c r="H138" s="49">
        <v>2</v>
      </c>
      <c r="I138" s="49">
        <v>2</v>
      </c>
      <c r="J138" s="7"/>
      <c r="K138" s="59">
        <f t="shared" si="16"/>
        <v>2.25</v>
      </c>
      <c r="L138" s="49">
        <v>3</v>
      </c>
      <c r="M138" s="49">
        <v>2</v>
      </c>
      <c r="N138" s="49">
        <v>2</v>
      </c>
      <c r="O138" s="49">
        <v>4</v>
      </c>
      <c r="P138" s="49">
        <v>2</v>
      </c>
      <c r="Q138" s="59">
        <f t="shared" si="17"/>
        <v>2.6</v>
      </c>
      <c r="R138" s="49"/>
      <c r="S138" s="49">
        <v>2</v>
      </c>
      <c r="T138" s="7"/>
      <c r="U138" s="49"/>
      <c r="V138" s="7"/>
      <c r="W138" s="59">
        <f t="shared" si="18"/>
        <v>2</v>
      </c>
      <c r="X138" s="49"/>
      <c r="Y138" s="49"/>
      <c r="Z138" s="7"/>
      <c r="AA138" s="7"/>
      <c r="AB138" s="7"/>
      <c r="AC138" s="59" t="str">
        <f t="shared" si="19"/>
        <v>A</v>
      </c>
      <c r="AD138" s="49"/>
      <c r="AE138" s="7"/>
      <c r="AF138" s="49"/>
      <c r="AG138" s="7"/>
      <c r="AH138" s="7"/>
      <c r="AI138" s="59" t="str">
        <f t="shared" si="20"/>
        <v>A</v>
      </c>
      <c r="AJ138" s="49">
        <v>2</v>
      </c>
      <c r="AK138" s="49">
        <v>2</v>
      </c>
      <c r="AL138" s="7"/>
      <c r="AM138" s="49">
        <v>2</v>
      </c>
      <c r="AN138" s="7"/>
      <c r="AO138" s="59">
        <f t="shared" si="21"/>
        <v>2</v>
      </c>
      <c r="AP138" s="49">
        <v>3</v>
      </c>
      <c r="AQ138" s="49"/>
      <c r="AR138" s="49"/>
      <c r="AS138" s="7"/>
      <c r="AT138" s="7"/>
      <c r="AU138" s="59">
        <f t="shared" si="22"/>
        <v>3</v>
      </c>
      <c r="AV138" s="7"/>
      <c r="AW138" s="7"/>
      <c r="AX138" s="49"/>
      <c r="AY138" s="49">
        <v>3</v>
      </c>
      <c r="AZ138" s="49">
        <v>3</v>
      </c>
      <c r="BA138" s="59">
        <f t="shared" si="23"/>
        <v>3</v>
      </c>
    </row>
    <row r="139" spans="1:53" ht="23.1" customHeight="1" x14ac:dyDescent="0.3">
      <c r="A139" s="49">
        <v>137</v>
      </c>
      <c r="B139" s="49" t="s">
        <v>267</v>
      </c>
      <c r="C139" s="49" t="s">
        <v>268</v>
      </c>
      <c r="D139" s="49" t="s">
        <v>542</v>
      </c>
      <c r="E139" s="49" t="s">
        <v>161</v>
      </c>
      <c r="F139" s="49">
        <v>1</v>
      </c>
      <c r="G139" s="49">
        <v>3</v>
      </c>
      <c r="H139" s="49">
        <v>2</v>
      </c>
      <c r="I139" s="49">
        <v>2</v>
      </c>
      <c r="J139" s="49"/>
      <c r="K139" s="59">
        <f t="shared" si="16"/>
        <v>2</v>
      </c>
      <c r="L139" s="49">
        <v>3</v>
      </c>
      <c r="M139" s="49">
        <v>2</v>
      </c>
      <c r="N139" s="49">
        <v>3</v>
      </c>
      <c r="O139" s="49">
        <v>4</v>
      </c>
      <c r="P139" s="49">
        <v>2</v>
      </c>
      <c r="Q139" s="59">
        <f t="shared" si="17"/>
        <v>2.8</v>
      </c>
      <c r="R139" s="49"/>
      <c r="S139" s="49">
        <v>2</v>
      </c>
      <c r="T139" s="49"/>
      <c r="U139" s="49"/>
      <c r="V139" s="49"/>
      <c r="W139" s="59">
        <f t="shared" si="18"/>
        <v>2</v>
      </c>
      <c r="X139" s="49"/>
      <c r="Y139" s="49"/>
      <c r="Z139" s="49"/>
      <c r="AA139" s="49"/>
      <c r="AB139" s="49"/>
      <c r="AC139" s="59" t="str">
        <f t="shared" si="19"/>
        <v>A</v>
      </c>
      <c r="AD139" s="49"/>
      <c r="AE139" s="49"/>
      <c r="AF139" s="49"/>
      <c r="AG139" s="49"/>
      <c r="AH139" s="49"/>
      <c r="AI139" s="59" t="str">
        <f t="shared" si="20"/>
        <v>A</v>
      </c>
      <c r="AJ139" s="49">
        <v>2</v>
      </c>
      <c r="AK139" s="49">
        <v>2</v>
      </c>
      <c r="AL139" s="49"/>
      <c r="AM139" s="49">
        <v>1</v>
      </c>
      <c r="AN139" s="49"/>
      <c r="AO139" s="59">
        <f t="shared" si="21"/>
        <v>2</v>
      </c>
      <c r="AP139" s="49">
        <v>4</v>
      </c>
      <c r="AQ139" s="49"/>
      <c r="AR139" s="49"/>
      <c r="AS139" s="49"/>
      <c r="AT139" s="49"/>
      <c r="AU139" s="59">
        <f t="shared" si="22"/>
        <v>4</v>
      </c>
      <c r="AV139" s="49"/>
      <c r="AW139" s="49"/>
      <c r="AX139" s="49"/>
      <c r="AY139" s="49">
        <v>2</v>
      </c>
      <c r="AZ139" s="49">
        <v>2</v>
      </c>
      <c r="BA139" s="59">
        <f t="shared" si="23"/>
        <v>2</v>
      </c>
    </row>
    <row r="140" spans="1:53" ht="23.1" customHeight="1" x14ac:dyDescent="0.3">
      <c r="A140" s="7">
        <v>138</v>
      </c>
      <c r="B140" s="7" t="s">
        <v>281</v>
      </c>
      <c r="C140" s="7" t="s">
        <v>282</v>
      </c>
      <c r="D140" s="7" t="s">
        <v>542</v>
      </c>
      <c r="E140" s="7" t="s">
        <v>161</v>
      </c>
      <c r="F140" s="49">
        <v>4</v>
      </c>
      <c r="G140" s="49">
        <v>3</v>
      </c>
      <c r="H140" s="49">
        <v>3</v>
      </c>
      <c r="I140" s="49">
        <v>3</v>
      </c>
      <c r="J140" s="7"/>
      <c r="K140" s="59">
        <f t="shared" si="16"/>
        <v>3.25</v>
      </c>
      <c r="L140" s="49">
        <v>2</v>
      </c>
      <c r="M140" s="49">
        <v>3</v>
      </c>
      <c r="N140" s="49">
        <v>3</v>
      </c>
      <c r="O140" s="49">
        <v>4</v>
      </c>
      <c r="P140" s="49">
        <v>4</v>
      </c>
      <c r="Q140" s="59">
        <f t="shared" si="17"/>
        <v>3.2</v>
      </c>
      <c r="R140" s="49"/>
      <c r="S140" s="49">
        <v>3</v>
      </c>
      <c r="T140" s="7"/>
      <c r="U140" s="49"/>
      <c r="V140" s="7"/>
      <c r="W140" s="59">
        <f t="shared" si="18"/>
        <v>3</v>
      </c>
      <c r="X140" s="49"/>
      <c r="Y140" s="49"/>
      <c r="Z140" s="7"/>
      <c r="AA140" s="7"/>
      <c r="AB140" s="7"/>
      <c r="AC140" s="59" t="str">
        <f t="shared" si="19"/>
        <v>A</v>
      </c>
      <c r="AD140" s="49"/>
      <c r="AE140" s="7"/>
      <c r="AF140" s="49"/>
      <c r="AG140" s="7"/>
      <c r="AH140" s="7"/>
      <c r="AI140" s="59" t="str">
        <f t="shared" si="20"/>
        <v>A</v>
      </c>
      <c r="AJ140" s="49">
        <v>2</v>
      </c>
      <c r="AK140" s="49">
        <v>3</v>
      </c>
      <c r="AL140" s="7"/>
      <c r="AM140" s="49">
        <v>4</v>
      </c>
      <c r="AN140" s="7"/>
      <c r="AO140" s="59">
        <f t="shared" si="21"/>
        <v>2.5</v>
      </c>
      <c r="AP140" s="49">
        <v>4</v>
      </c>
      <c r="AQ140" s="49"/>
      <c r="AR140" s="49"/>
      <c r="AS140" s="7"/>
      <c r="AT140" s="7"/>
      <c r="AU140" s="59">
        <f t="shared" si="22"/>
        <v>4</v>
      </c>
      <c r="AV140" s="7"/>
      <c r="AW140" s="7"/>
      <c r="AX140" s="49"/>
      <c r="AY140" s="49">
        <v>4</v>
      </c>
      <c r="AZ140" s="49">
        <v>3</v>
      </c>
      <c r="BA140" s="59">
        <f t="shared" si="23"/>
        <v>3.5</v>
      </c>
    </row>
    <row r="141" spans="1:53" ht="23.1" customHeight="1" x14ac:dyDescent="0.3">
      <c r="A141" s="49">
        <v>139</v>
      </c>
      <c r="B141" s="49" t="s">
        <v>152</v>
      </c>
      <c r="C141" s="49" t="s">
        <v>153</v>
      </c>
      <c r="D141" s="49" t="s">
        <v>450</v>
      </c>
      <c r="E141" s="49" t="s">
        <v>35</v>
      </c>
      <c r="F141" s="49">
        <v>3</v>
      </c>
      <c r="G141" s="49">
        <v>2</v>
      </c>
      <c r="H141" s="49">
        <v>3</v>
      </c>
      <c r="I141" s="49">
        <v>2</v>
      </c>
      <c r="J141" s="49"/>
      <c r="K141" s="59">
        <f t="shared" si="16"/>
        <v>2.5</v>
      </c>
      <c r="L141" s="49">
        <v>3</v>
      </c>
      <c r="M141" s="49">
        <v>2</v>
      </c>
      <c r="N141" s="49">
        <v>2</v>
      </c>
      <c r="O141" s="49">
        <v>3</v>
      </c>
      <c r="P141" s="49">
        <v>3</v>
      </c>
      <c r="Q141" s="59">
        <f t="shared" si="17"/>
        <v>2.6</v>
      </c>
      <c r="R141" s="49"/>
      <c r="S141" s="49">
        <v>2</v>
      </c>
      <c r="T141" s="49"/>
      <c r="U141" s="49"/>
      <c r="V141" s="49"/>
      <c r="W141" s="59">
        <f t="shared" si="18"/>
        <v>2</v>
      </c>
      <c r="X141" s="49"/>
      <c r="Y141" s="49"/>
      <c r="Z141" s="49"/>
      <c r="AA141" s="49"/>
      <c r="AB141" s="49"/>
      <c r="AC141" s="59" t="str">
        <f t="shared" si="19"/>
        <v>A</v>
      </c>
      <c r="AD141" s="49"/>
      <c r="AE141" s="49"/>
      <c r="AF141" s="49"/>
      <c r="AG141" s="49"/>
      <c r="AH141" s="49"/>
      <c r="AI141" s="59" t="str">
        <f t="shared" si="20"/>
        <v>A</v>
      </c>
      <c r="AJ141" s="49">
        <v>3</v>
      </c>
      <c r="AK141" s="49">
        <v>2</v>
      </c>
      <c r="AL141" s="49"/>
      <c r="AM141" s="49">
        <v>3</v>
      </c>
      <c r="AN141" s="49"/>
      <c r="AO141" s="59">
        <f t="shared" si="21"/>
        <v>2.5</v>
      </c>
      <c r="AP141" s="49">
        <v>3</v>
      </c>
      <c r="AQ141" s="49"/>
      <c r="AR141" s="49"/>
      <c r="AS141" s="49"/>
      <c r="AT141" s="49"/>
      <c r="AU141" s="59">
        <f t="shared" si="22"/>
        <v>3</v>
      </c>
      <c r="AV141" s="49"/>
      <c r="AW141" s="49"/>
      <c r="AX141" s="49"/>
      <c r="AY141" s="49">
        <v>3</v>
      </c>
      <c r="AZ141" s="49">
        <v>4</v>
      </c>
      <c r="BA141" s="59">
        <f t="shared" si="23"/>
        <v>3.5</v>
      </c>
    </row>
    <row r="142" spans="1:53" ht="23.1" customHeight="1" x14ac:dyDescent="0.3">
      <c r="A142" s="7">
        <v>140</v>
      </c>
      <c r="B142" s="7" t="s">
        <v>374</v>
      </c>
      <c r="C142" s="7" t="s">
        <v>375</v>
      </c>
      <c r="D142" s="7" t="s">
        <v>450</v>
      </c>
      <c r="E142" s="7" t="s">
        <v>493</v>
      </c>
      <c r="F142" s="49">
        <v>1</v>
      </c>
      <c r="G142" s="49">
        <v>2</v>
      </c>
      <c r="H142" s="49">
        <v>1</v>
      </c>
      <c r="I142" s="49">
        <v>1</v>
      </c>
      <c r="J142" s="7"/>
      <c r="K142" s="59">
        <f t="shared" si="16"/>
        <v>1.25</v>
      </c>
      <c r="L142" s="49">
        <v>2</v>
      </c>
      <c r="M142" s="49">
        <v>1</v>
      </c>
      <c r="N142" s="49">
        <v>1</v>
      </c>
      <c r="O142" s="49">
        <v>3</v>
      </c>
      <c r="P142" s="49">
        <v>1</v>
      </c>
      <c r="Q142" s="59">
        <f t="shared" si="17"/>
        <v>1.6</v>
      </c>
      <c r="R142" s="49"/>
      <c r="S142" s="49">
        <v>1</v>
      </c>
      <c r="T142" s="7"/>
      <c r="U142" s="49"/>
      <c r="V142" s="7"/>
      <c r="W142" s="59">
        <f t="shared" si="18"/>
        <v>1</v>
      </c>
      <c r="X142" s="49"/>
      <c r="Y142" s="49"/>
      <c r="Z142" s="7"/>
      <c r="AA142" s="7"/>
      <c r="AB142" s="7"/>
      <c r="AC142" s="59" t="str">
        <f t="shared" si="19"/>
        <v>A</v>
      </c>
      <c r="AD142" s="49"/>
      <c r="AE142" s="7"/>
      <c r="AF142" s="49"/>
      <c r="AG142" s="7"/>
      <c r="AH142" s="7"/>
      <c r="AI142" s="59" t="str">
        <f t="shared" si="20"/>
        <v>A</v>
      </c>
      <c r="AJ142" s="49">
        <v>1</v>
      </c>
      <c r="AK142" s="49">
        <v>1</v>
      </c>
      <c r="AL142" s="7"/>
      <c r="AM142" s="49">
        <v>1</v>
      </c>
      <c r="AN142" s="7"/>
      <c r="AO142" s="59">
        <f t="shared" si="21"/>
        <v>1</v>
      </c>
      <c r="AP142" s="49">
        <v>3</v>
      </c>
      <c r="AQ142" s="49"/>
      <c r="AR142" s="49"/>
      <c r="AS142" s="7"/>
      <c r="AT142" s="7"/>
      <c r="AU142" s="59">
        <f t="shared" si="22"/>
        <v>3</v>
      </c>
      <c r="AV142" s="7"/>
      <c r="AW142" s="7"/>
      <c r="AX142" s="49"/>
      <c r="AY142" s="49">
        <v>2</v>
      </c>
      <c r="AZ142" s="49">
        <v>2</v>
      </c>
      <c r="BA142" s="59">
        <f t="shared" si="23"/>
        <v>2</v>
      </c>
    </row>
    <row r="143" spans="1:53" ht="23.1" customHeight="1" x14ac:dyDescent="0.3">
      <c r="A143" s="49">
        <v>141</v>
      </c>
      <c r="B143" s="49" t="s">
        <v>269</v>
      </c>
      <c r="C143" s="49" t="s">
        <v>270</v>
      </c>
      <c r="D143" s="49" t="s">
        <v>450</v>
      </c>
      <c r="E143" s="49" t="s">
        <v>161</v>
      </c>
      <c r="F143" s="49">
        <v>3</v>
      </c>
      <c r="G143" s="49">
        <v>2.5</v>
      </c>
      <c r="H143" s="49">
        <v>3</v>
      </c>
      <c r="I143" s="49">
        <v>3.5</v>
      </c>
      <c r="J143" s="49"/>
      <c r="K143" s="59">
        <f t="shared" si="16"/>
        <v>3</v>
      </c>
      <c r="L143" s="49">
        <v>3.5</v>
      </c>
      <c r="M143" s="49">
        <v>3</v>
      </c>
      <c r="N143" s="49">
        <v>3</v>
      </c>
      <c r="O143" s="49">
        <v>2.5</v>
      </c>
      <c r="P143" s="49">
        <v>2.5</v>
      </c>
      <c r="Q143" s="59">
        <f t="shared" si="17"/>
        <v>2.9</v>
      </c>
      <c r="R143" s="49"/>
      <c r="S143" s="49">
        <v>3.5</v>
      </c>
      <c r="T143" s="49"/>
      <c r="U143" s="49"/>
      <c r="V143" s="49"/>
      <c r="W143" s="59">
        <f t="shared" si="18"/>
        <v>3.5</v>
      </c>
      <c r="X143" s="49"/>
      <c r="Y143" s="49"/>
      <c r="Z143" s="49"/>
      <c r="AA143" s="49"/>
      <c r="AB143" s="49"/>
      <c r="AC143" s="59" t="str">
        <f t="shared" si="19"/>
        <v>A</v>
      </c>
      <c r="AD143" s="49"/>
      <c r="AE143" s="49"/>
      <c r="AF143" s="49"/>
      <c r="AG143" s="49"/>
      <c r="AH143" s="49"/>
      <c r="AI143" s="59" t="str">
        <f t="shared" si="20"/>
        <v>A</v>
      </c>
      <c r="AJ143" s="49">
        <v>2.5</v>
      </c>
      <c r="AK143" s="49">
        <v>2.5</v>
      </c>
      <c r="AL143" s="49"/>
      <c r="AM143" s="49">
        <v>3.5</v>
      </c>
      <c r="AN143" s="49"/>
      <c r="AO143" s="59">
        <f t="shared" si="21"/>
        <v>2.5</v>
      </c>
      <c r="AP143" s="49">
        <v>3</v>
      </c>
      <c r="AQ143" s="49"/>
      <c r="AR143" s="49"/>
      <c r="AS143" s="49"/>
      <c r="AT143" s="49"/>
      <c r="AU143" s="59">
        <f t="shared" si="22"/>
        <v>3</v>
      </c>
      <c r="AV143" s="49"/>
      <c r="AW143" s="49"/>
      <c r="AX143" s="49"/>
      <c r="AY143" s="49">
        <v>3.5</v>
      </c>
      <c r="AZ143" s="49">
        <v>2.5</v>
      </c>
      <c r="BA143" s="59">
        <f t="shared" si="23"/>
        <v>3</v>
      </c>
    </row>
    <row r="144" spans="1:53" ht="23.1" customHeight="1" x14ac:dyDescent="0.3">
      <c r="A144" s="7">
        <v>142</v>
      </c>
      <c r="B144" s="7" t="s">
        <v>170</v>
      </c>
      <c r="C144" s="7" t="s">
        <v>171</v>
      </c>
      <c r="D144" s="7" t="s">
        <v>542</v>
      </c>
      <c r="E144" s="7" t="s">
        <v>161</v>
      </c>
      <c r="F144" s="49">
        <v>3</v>
      </c>
      <c r="G144" s="49">
        <v>4</v>
      </c>
      <c r="H144" s="49">
        <v>4</v>
      </c>
      <c r="I144" s="49">
        <v>3</v>
      </c>
      <c r="J144" s="7"/>
      <c r="K144" s="59">
        <f t="shared" si="16"/>
        <v>3.5</v>
      </c>
      <c r="L144" s="49">
        <v>3</v>
      </c>
      <c r="M144" s="49">
        <v>3</v>
      </c>
      <c r="N144" s="49">
        <v>3</v>
      </c>
      <c r="O144" s="49">
        <v>3</v>
      </c>
      <c r="P144" s="49">
        <v>3</v>
      </c>
      <c r="Q144" s="59">
        <f t="shared" si="17"/>
        <v>3</v>
      </c>
      <c r="R144" s="49"/>
      <c r="S144" s="49">
        <v>3</v>
      </c>
      <c r="T144" s="7"/>
      <c r="U144" s="49"/>
      <c r="V144" s="7"/>
      <c r="W144" s="59">
        <f t="shared" si="18"/>
        <v>3</v>
      </c>
      <c r="X144" s="49"/>
      <c r="Y144" s="49"/>
      <c r="Z144" s="7"/>
      <c r="AA144" s="7"/>
      <c r="AB144" s="7"/>
      <c r="AC144" s="59" t="str">
        <f t="shared" si="19"/>
        <v>A</v>
      </c>
      <c r="AD144" s="49"/>
      <c r="AE144" s="7"/>
      <c r="AF144" s="49"/>
      <c r="AG144" s="7"/>
      <c r="AH144" s="7"/>
      <c r="AI144" s="59" t="str">
        <f t="shared" si="20"/>
        <v>A</v>
      </c>
      <c r="AJ144" s="49">
        <v>3</v>
      </c>
      <c r="AK144" s="49">
        <v>3</v>
      </c>
      <c r="AL144" s="7"/>
      <c r="AM144" s="49">
        <v>3</v>
      </c>
      <c r="AN144" s="7"/>
      <c r="AO144" s="59">
        <f t="shared" si="21"/>
        <v>3</v>
      </c>
      <c r="AP144" s="49">
        <v>3</v>
      </c>
      <c r="AQ144" s="49"/>
      <c r="AR144" s="49"/>
      <c r="AS144" s="7"/>
      <c r="AT144" s="7"/>
      <c r="AU144" s="59">
        <f t="shared" si="22"/>
        <v>3</v>
      </c>
      <c r="AV144" s="7"/>
      <c r="AW144" s="7"/>
      <c r="AX144" s="49"/>
      <c r="AY144" s="49">
        <v>3</v>
      </c>
      <c r="AZ144" s="49">
        <v>4</v>
      </c>
      <c r="BA144" s="59">
        <f t="shared" si="23"/>
        <v>3.5</v>
      </c>
    </row>
    <row r="145" spans="1:53" ht="23.1" customHeight="1" x14ac:dyDescent="0.3">
      <c r="A145" s="49">
        <v>143</v>
      </c>
      <c r="B145" s="49" t="s">
        <v>283</v>
      </c>
      <c r="C145" s="49" t="s">
        <v>284</v>
      </c>
      <c r="D145" s="49" t="s">
        <v>450</v>
      </c>
      <c r="E145" s="49" t="s">
        <v>161</v>
      </c>
      <c r="F145" s="49">
        <v>3</v>
      </c>
      <c r="G145" s="49">
        <v>4</v>
      </c>
      <c r="H145" s="49">
        <v>0</v>
      </c>
      <c r="I145" s="49">
        <v>3</v>
      </c>
      <c r="J145" s="49"/>
      <c r="K145" s="59">
        <f t="shared" si="16"/>
        <v>2.5</v>
      </c>
      <c r="L145" s="49">
        <v>3</v>
      </c>
      <c r="M145" s="49">
        <v>3</v>
      </c>
      <c r="N145" s="49">
        <v>3</v>
      </c>
      <c r="O145" s="49">
        <v>3</v>
      </c>
      <c r="P145" s="49">
        <v>3</v>
      </c>
      <c r="Q145" s="59">
        <f t="shared" si="17"/>
        <v>3</v>
      </c>
      <c r="R145" s="49"/>
      <c r="S145" s="49">
        <v>3</v>
      </c>
      <c r="T145" s="49"/>
      <c r="U145" s="49"/>
      <c r="V145" s="49"/>
      <c r="W145" s="59">
        <f t="shared" si="18"/>
        <v>3</v>
      </c>
      <c r="X145" s="49"/>
      <c r="Y145" s="49"/>
      <c r="Z145" s="49"/>
      <c r="AA145" s="49"/>
      <c r="AB145" s="49"/>
      <c r="AC145" s="59" t="str">
        <f t="shared" si="19"/>
        <v>A</v>
      </c>
      <c r="AD145" s="49"/>
      <c r="AE145" s="49"/>
      <c r="AF145" s="49"/>
      <c r="AG145" s="49"/>
      <c r="AH145" s="49"/>
      <c r="AI145" s="59" t="str">
        <f t="shared" si="20"/>
        <v>A</v>
      </c>
      <c r="AJ145" s="49">
        <v>3</v>
      </c>
      <c r="AK145" s="49">
        <v>3</v>
      </c>
      <c r="AL145" s="49"/>
      <c r="AM145" s="49">
        <v>3</v>
      </c>
      <c r="AN145" s="49"/>
      <c r="AO145" s="59">
        <f t="shared" si="21"/>
        <v>3</v>
      </c>
      <c r="AP145" s="49">
        <v>3</v>
      </c>
      <c r="AQ145" s="49"/>
      <c r="AR145" s="49"/>
      <c r="AS145" s="49"/>
      <c r="AT145" s="49"/>
      <c r="AU145" s="59">
        <f t="shared" si="22"/>
        <v>3</v>
      </c>
      <c r="AV145" s="49"/>
      <c r="AW145" s="49"/>
      <c r="AX145" s="49"/>
      <c r="AY145" s="49">
        <v>3</v>
      </c>
      <c r="AZ145" s="49">
        <v>3</v>
      </c>
      <c r="BA145" s="59">
        <f t="shared" si="23"/>
        <v>3</v>
      </c>
    </row>
    <row r="146" spans="1:53" ht="23.1" customHeight="1" x14ac:dyDescent="0.3">
      <c r="A146" s="7">
        <v>144</v>
      </c>
      <c r="B146" s="7" t="s">
        <v>172</v>
      </c>
      <c r="C146" s="7" t="s">
        <v>173</v>
      </c>
      <c r="D146" s="7" t="s">
        <v>450</v>
      </c>
      <c r="E146" s="7" t="s">
        <v>161</v>
      </c>
      <c r="F146" s="49">
        <v>3</v>
      </c>
      <c r="G146" s="49">
        <v>3</v>
      </c>
      <c r="H146" s="49">
        <v>3</v>
      </c>
      <c r="I146" s="49">
        <v>3</v>
      </c>
      <c r="J146" s="7"/>
      <c r="K146" s="59">
        <f t="shared" si="16"/>
        <v>3</v>
      </c>
      <c r="L146" s="49">
        <v>4</v>
      </c>
      <c r="M146" s="49">
        <v>3</v>
      </c>
      <c r="N146" s="49">
        <v>3</v>
      </c>
      <c r="O146" s="49">
        <v>3</v>
      </c>
      <c r="P146" s="49">
        <v>4</v>
      </c>
      <c r="Q146" s="59">
        <f t="shared" si="17"/>
        <v>3.4</v>
      </c>
      <c r="R146" s="49"/>
      <c r="S146" s="49">
        <v>3</v>
      </c>
      <c r="T146" s="7"/>
      <c r="U146" s="49"/>
      <c r="V146" s="7"/>
      <c r="W146" s="59">
        <f t="shared" si="18"/>
        <v>3</v>
      </c>
      <c r="X146" s="49"/>
      <c r="Y146" s="49"/>
      <c r="Z146" s="7"/>
      <c r="AA146" s="7"/>
      <c r="AB146" s="7"/>
      <c r="AC146" s="59" t="str">
        <f t="shared" si="19"/>
        <v>A</v>
      </c>
      <c r="AD146" s="49"/>
      <c r="AE146" s="7"/>
      <c r="AF146" s="49"/>
      <c r="AG146" s="7"/>
      <c r="AH146" s="7"/>
      <c r="AI146" s="59" t="str">
        <f t="shared" si="20"/>
        <v>A</v>
      </c>
      <c r="AJ146" s="49">
        <v>3</v>
      </c>
      <c r="AK146" s="49">
        <v>3</v>
      </c>
      <c r="AL146" s="7"/>
      <c r="AM146" s="49">
        <v>3</v>
      </c>
      <c r="AN146" s="7"/>
      <c r="AO146" s="59">
        <f t="shared" si="21"/>
        <v>3</v>
      </c>
      <c r="AP146" s="49">
        <v>3</v>
      </c>
      <c r="AQ146" s="49"/>
      <c r="AR146" s="49"/>
      <c r="AS146" s="7"/>
      <c r="AT146" s="7"/>
      <c r="AU146" s="59">
        <f t="shared" si="22"/>
        <v>3</v>
      </c>
      <c r="AV146" s="7"/>
      <c r="AW146" s="7"/>
      <c r="AX146" s="49"/>
      <c r="AY146" s="49">
        <v>3</v>
      </c>
      <c r="AZ146" s="49">
        <v>4</v>
      </c>
      <c r="BA146" s="59">
        <f t="shared" si="23"/>
        <v>3.5</v>
      </c>
    </row>
    <row r="147" spans="1:53" ht="23.1" customHeight="1" x14ac:dyDescent="0.3">
      <c r="A147" s="49">
        <v>145</v>
      </c>
      <c r="B147" s="49" t="s">
        <v>376</v>
      </c>
      <c r="C147" s="49" t="s">
        <v>377</v>
      </c>
      <c r="D147" s="49" t="s">
        <v>542</v>
      </c>
      <c r="E147" s="49" t="s">
        <v>493</v>
      </c>
      <c r="F147" s="49">
        <v>2.5</v>
      </c>
      <c r="G147" s="49">
        <v>3</v>
      </c>
      <c r="H147" s="49">
        <v>3</v>
      </c>
      <c r="I147" s="49">
        <v>2.5</v>
      </c>
      <c r="J147" s="49"/>
      <c r="K147" s="59">
        <f t="shared" si="16"/>
        <v>2.75</v>
      </c>
      <c r="L147" s="49">
        <v>3</v>
      </c>
      <c r="M147" s="49">
        <v>2.5</v>
      </c>
      <c r="N147" s="49">
        <v>2.5</v>
      </c>
      <c r="O147" s="49">
        <v>3</v>
      </c>
      <c r="P147" s="49">
        <v>3</v>
      </c>
      <c r="Q147" s="59">
        <f t="shared" si="17"/>
        <v>2.8</v>
      </c>
      <c r="R147" s="49"/>
      <c r="S147" s="49">
        <v>2.5</v>
      </c>
      <c r="T147" s="49"/>
      <c r="U147" s="49"/>
      <c r="V147" s="49"/>
      <c r="W147" s="59">
        <f t="shared" si="18"/>
        <v>2.5</v>
      </c>
      <c r="X147" s="49"/>
      <c r="Y147" s="49"/>
      <c r="Z147" s="49"/>
      <c r="AA147" s="49"/>
      <c r="AB147" s="49"/>
      <c r="AC147" s="59" t="str">
        <f t="shared" si="19"/>
        <v>A</v>
      </c>
      <c r="AD147" s="49"/>
      <c r="AE147" s="49"/>
      <c r="AF147" s="49"/>
      <c r="AG147" s="49"/>
      <c r="AH147" s="49"/>
      <c r="AI147" s="59" t="str">
        <f t="shared" si="20"/>
        <v>A</v>
      </c>
      <c r="AJ147" s="49">
        <v>2.5</v>
      </c>
      <c r="AK147" s="49">
        <v>3</v>
      </c>
      <c r="AL147" s="49"/>
      <c r="AM147" s="49">
        <v>3</v>
      </c>
      <c r="AN147" s="49"/>
      <c r="AO147" s="59">
        <f t="shared" si="21"/>
        <v>2.75</v>
      </c>
      <c r="AP147" s="49">
        <v>3</v>
      </c>
      <c r="AQ147" s="49"/>
      <c r="AR147" s="49"/>
      <c r="AS147" s="49"/>
      <c r="AT147" s="49"/>
      <c r="AU147" s="59">
        <f t="shared" si="22"/>
        <v>3</v>
      </c>
      <c r="AV147" s="49"/>
      <c r="AW147" s="49"/>
      <c r="AX147" s="49"/>
      <c r="AY147" s="49">
        <v>3</v>
      </c>
      <c r="AZ147" s="49">
        <v>3</v>
      </c>
      <c r="BA147" s="59">
        <f t="shared" si="23"/>
        <v>3</v>
      </c>
    </row>
    <row r="148" spans="1:53" ht="23.1" customHeight="1" x14ac:dyDescent="0.3">
      <c r="A148" s="7">
        <v>146</v>
      </c>
      <c r="B148" s="7" t="s">
        <v>378</v>
      </c>
      <c r="C148" s="7" t="s">
        <v>379</v>
      </c>
      <c r="D148" s="7" t="s">
        <v>542</v>
      </c>
      <c r="E148" s="7" t="s">
        <v>493</v>
      </c>
      <c r="F148" s="49">
        <v>4</v>
      </c>
      <c r="G148" s="49">
        <v>5</v>
      </c>
      <c r="H148" s="49">
        <v>4</v>
      </c>
      <c r="I148" s="49">
        <v>3</v>
      </c>
      <c r="J148" s="7"/>
      <c r="K148" s="59">
        <f t="shared" si="16"/>
        <v>4</v>
      </c>
      <c r="L148" s="49">
        <v>4</v>
      </c>
      <c r="M148" s="49">
        <v>5</v>
      </c>
      <c r="N148" s="49">
        <v>5</v>
      </c>
      <c r="O148" s="49">
        <v>4</v>
      </c>
      <c r="P148" s="49">
        <v>5</v>
      </c>
      <c r="Q148" s="59">
        <f t="shared" si="17"/>
        <v>4.5999999999999996</v>
      </c>
      <c r="R148" s="49"/>
      <c r="S148" s="49">
        <v>4</v>
      </c>
      <c r="T148" s="7"/>
      <c r="U148" s="49"/>
      <c r="V148" s="7"/>
      <c r="W148" s="59">
        <f t="shared" si="18"/>
        <v>4</v>
      </c>
      <c r="X148" s="49"/>
      <c r="Y148" s="49"/>
      <c r="Z148" s="7"/>
      <c r="AA148" s="7"/>
      <c r="AB148" s="7"/>
      <c r="AC148" s="59" t="str">
        <f t="shared" si="19"/>
        <v>A</v>
      </c>
      <c r="AD148" s="49"/>
      <c r="AE148" s="7"/>
      <c r="AF148" s="49"/>
      <c r="AG148" s="7"/>
      <c r="AH148" s="7"/>
      <c r="AI148" s="59" t="str">
        <f t="shared" si="20"/>
        <v>A</v>
      </c>
      <c r="AJ148" s="49">
        <v>4</v>
      </c>
      <c r="AK148" s="49">
        <v>5</v>
      </c>
      <c r="AL148" s="7"/>
      <c r="AM148" s="49">
        <v>3</v>
      </c>
      <c r="AN148" s="7"/>
      <c r="AO148" s="59">
        <f t="shared" si="21"/>
        <v>4.5</v>
      </c>
      <c r="AP148" s="49">
        <v>2</v>
      </c>
      <c r="AQ148" s="49"/>
      <c r="AR148" s="49"/>
      <c r="AS148" s="7"/>
      <c r="AT148" s="7"/>
      <c r="AU148" s="59">
        <f t="shared" si="22"/>
        <v>2</v>
      </c>
      <c r="AV148" s="7"/>
      <c r="AW148" s="7"/>
      <c r="AX148" s="49"/>
      <c r="AY148" s="49">
        <v>4</v>
      </c>
      <c r="AZ148" s="49">
        <v>4</v>
      </c>
      <c r="BA148" s="59">
        <f t="shared" si="23"/>
        <v>4</v>
      </c>
    </row>
    <row r="149" spans="1:53" ht="23.1" customHeight="1" x14ac:dyDescent="0.3">
      <c r="A149" s="49">
        <v>147</v>
      </c>
      <c r="B149" s="49" t="s">
        <v>154</v>
      </c>
      <c r="C149" s="49" t="s">
        <v>155</v>
      </c>
      <c r="D149" s="49" t="s">
        <v>450</v>
      </c>
      <c r="E149" s="49" t="s">
        <v>35</v>
      </c>
      <c r="F149" s="49">
        <v>3</v>
      </c>
      <c r="G149" s="49">
        <v>3</v>
      </c>
      <c r="H149" s="49">
        <v>3</v>
      </c>
      <c r="I149" s="49">
        <v>2</v>
      </c>
      <c r="J149" s="49"/>
      <c r="K149" s="59">
        <f t="shared" si="16"/>
        <v>2.75</v>
      </c>
      <c r="L149" s="49">
        <v>4</v>
      </c>
      <c r="M149" s="49">
        <v>3</v>
      </c>
      <c r="N149" s="49">
        <v>4</v>
      </c>
      <c r="O149" s="49">
        <v>4</v>
      </c>
      <c r="P149" s="49">
        <v>2</v>
      </c>
      <c r="Q149" s="59">
        <f t="shared" si="17"/>
        <v>3.4</v>
      </c>
      <c r="R149" s="49"/>
      <c r="S149" s="49">
        <v>3</v>
      </c>
      <c r="T149" s="49"/>
      <c r="U149" s="49"/>
      <c r="V149" s="49"/>
      <c r="W149" s="59">
        <f t="shared" si="18"/>
        <v>3</v>
      </c>
      <c r="X149" s="49"/>
      <c r="Y149" s="49"/>
      <c r="Z149" s="49"/>
      <c r="AA149" s="49"/>
      <c r="AB149" s="49"/>
      <c r="AC149" s="59" t="str">
        <f t="shared" si="19"/>
        <v>A</v>
      </c>
      <c r="AD149" s="49"/>
      <c r="AE149" s="49"/>
      <c r="AF149" s="49"/>
      <c r="AG149" s="49"/>
      <c r="AH149" s="49"/>
      <c r="AI149" s="59" t="str">
        <f t="shared" si="20"/>
        <v>A</v>
      </c>
      <c r="AJ149" s="49">
        <v>2</v>
      </c>
      <c r="AK149" s="49">
        <v>3</v>
      </c>
      <c r="AL149" s="49"/>
      <c r="AM149" s="49">
        <v>3</v>
      </c>
      <c r="AN149" s="49"/>
      <c r="AO149" s="59">
        <f t="shared" si="21"/>
        <v>2.5</v>
      </c>
      <c r="AP149" s="49">
        <v>2</v>
      </c>
      <c r="AQ149" s="49"/>
      <c r="AR149" s="49"/>
      <c r="AS149" s="49"/>
      <c r="AT149" s="49"/>
      <c r="AU149" s="59">
        <f t="shared" si="22"/>
        <v>2</v>
      </c>
      <c r="AV149" s="49"/>
      <c r="AW149" s="49"/>
      <c r="AX149" s="49"/>
      <c r="AY149" s="49">
        <v>3</v>
      </c>
      <c r="AZ149" s="49">
        <v>2</v>
      </c>
      <c r="BA149" s="59">
        <f t="shared" si="23"/>
        <v>2.5</v>
      </c>
    </row>
    <row r="150" spans="1:53" ht="23.1" customHeight="1" x14ac:dyDescent="0.3">
      <c r="A150" s="7">
        <v>148</v>
      </c>
      <c r="B150" s="7" t="s">
        <v>380</v>
      </c>
      <c r="C150" s="7" t="s">
        <v>381</v>
      </c>
      <c r="D150" s="7" t="s">
        <v>450</v>
      </c>
      <c r="E150" s="7" t="s">
        <v>493</v>
      </c>
      <c r="F150" s="49">
        <v>2</v>
      </c>
      <c r="G150" s="49">
        <v>4</v>
      </c>
      <c r="H150" s="49">
        <v>2</v>
      </c>
      <c r="I150" s="49">
        <v>2</v>
      </c>
      <c r="J150" s="7"/>
      <c r="K150" s="59">
        <f t="shared" si="16"/>
        <v>2.5</v>
      </c>
      <c r="L150" s="49">
        <v>3</v>
      </c>
      <c r="M150" s="49">
        <v>3</v>
      </c>
      <c r="N150" s="49">
        <v>3</v>
      </c>
      <c r="O150" s="49">
        <v>3</v>
      </c>
      <c r="P150" s="49">
        <v>3</v>
      </c>
      <c r="Q150" s="59">
        <f t="shared" si="17"/>
        <v>3</v>
      </c>
      <c r="R150" s="49"/>
      <c r="S150" s="49">
        <v>3</v>
      </c>
      <c r="T150" s="7"/>
      <c r="U150" s="49"/>
      <c r="V150" s="7"/>
      <c r="W150" s="59">
        <f t="shared" si="18"/>
        <v>3</v>
      </c>
      <c r="X150" s="49"/>
      <c r="Y150" s="49"/>
      <c r="Z150" s="7"/>
      <c r="AA150" s="7"/>
      <c r="AB150" s="7"/>
      <c r="AC150" s="59" t="str">
        <f t="shared" si="19"/>
        <v>A</v>
      </c>
      <c r="AD150" s="49"/>
      <c r="AE150" s="7"/>
      <c r="AF150" s="49"/>
      <c r="AG150" s="7"/>
      <c r="AH150" s="7"/>
      <c r="AI150" s="59" t="str">
        <f t="shared" si="20"/>
        <v>A</v>
      </c>
      <c r="AJ150" s="49">
        <v>2</v>
      </c>
      <c r="AK150" s="49">
        <v>2</v>
      </c>
      <c r="AL150" s="7"/>
      <c r="AM150" s="49">
        <v>2</v>
      </c>
      <c r="AN150" s="7"/>
      <c r="AO150" s="59">
        <f t="shared" si="21"/>
        <v>2</v>
      </c>
      <c r="AP150" s="49">
        <v>3</v>
      </c>
      <c r="AQ150" s="49"/>
      <c r="AR150" s="49"/>
      <c r="AS150" s="7"/>
      <c r="AT150" s="7"/>
      <c r="AU150" s="59">
        <f t="shared" si="22"/>
        <v>3</v>
      </c>
      <c r="AV150" s="7"/>
      <c r="AW150" s="7"/>
      <c r="AX150" s="49"/>
      <c r="AY150" s="49">
        <v>3</v>
      </c>
      <c r="AZ150" s="49">
        <v>3</v>
      </c>
      <c r="BA150" s="59">
        <f t="shared" si="23"/>
        <v>3</v>
      </c>
    </row>
    <row r="151" spans="1:53" ht="23.1" customHeight="1" x14ac:dyDescent="0.3">
      <c r="A151" s="49">
        <v>149</v>
      </c>
      <c r="B151" s="49" t="s">
        <v>156</v>
      </c>
      <c r="C151" s="49" t="s">
        <v>382</v>
      </c>
      <c r="D151" s="49" t="s">
        <v>450</v>
      </c>
      <c r="E151" s="49" t="s">
        <v>35</v>
      </c>
      <c r="F151" s="49">
        <v>3</v>
      </c>
      <c r="G151" s="49">
        <v>3</v>
      </c>
      <c r="H151" s="49">
        <v>3</v>
      </c>
      <c r="I151" s="49">
        <v>3</v>
      </c>
      <c r="J151" s="49"/>
      <c r="K151" s="59">
        <f t="shared" si="16"/>
        <v>3</v>
      </c>
      <c r="L151" s="49">
        <v>2</v>
      </c>
      <c r="M151" s="49">
        <v>3</v>
      </c>
      <c r="N151" s="49">
        <v>2</v>
      </c>
      <c r="O151" s="49">
        <v>2</v>
      </c>
      <c r="P151" s="49">
        <v>2</v>
      </c>
      <c r="Q151" s="59">
        <f t="shared" si="17"/>
        <v>2.2000000000000002</v>
      </c>
      <c r="R151" s="49"/>
      <c r="S151" s="49">
        <v>2</v>
      </c>
      <c r="T151" s="49"/>
      <c r="U151" s="49"/>
      <c r="V151" s="49"/>
      <c r="W151" s="59">
        <f t="shared" si="18"/>
        <v>2</v>
      </c>
      <c r="X151" s="49"/>
      <c r="Y151" s="49"/>
      <c r="Z151" s="49"/>
      <c r="AA151" s="49"/>
      <c r="AB151" s="49"/>
      <c r="AC151" s="59" t="str">
        <f t="shared" si="19"/>
        <v>A</v>
      </c>
      <c r="AD151" s="49"/>
      <c r="AE151" s="49"/>
      <c r="AF151" s="49"/>
      <c r="AG151" s="49"/>
      <c r="AH151" s="49"/>
      <c r="AI151" s="59" t="str">
        <f t="shared" si="20"/>
        <v>A</v>
      </c>
      <c r="AJ151" s="49">
        <v>3</v>
      </c>
      <c r="AK151" s="49">
        <v>3</v>
      </c>
      <c r="AL151" s="49"/>
      <c r="AM151" s="49">
        <v>3</v>
      </c>
      <c r="AN151" s="49"/>
      <c r="AO151" s="59">
        <f t="shared" si="21"/>
        <v>3</v>
      </c>
      <c r="AP151" s="49">
        <v>3</v>
      </c>
      <c r="AQ151" s="49"/>
      <c r="AR151" s="49"/>
      <c r="AS151" s="49"/>
      <c r="AT151" s="49"/>
      <c r="AU151" s="59">
        <f t="shared" si="22"/>
        <v>3</v>
      </c>
      <c r="AV151" s="49"/>
      <c r="AW151" s="49"/>
      <c r="AX151" s="49"/>
      <c r="AY151" s="49">
        <v>3</v>
      </c>
      <c r="AZ151" s="49">
        <v>2</v>
      </c>
      <c r="BA151" s="59">
        <f t="shared" si="23"/>
        <v>2.5</v>
      </c>
    </row>
    <row r="152" spans="1:53" ht="23.1" customHeight="1" x14ac:dyDescent="0.3">
      <c r="A152" s="7">
        <v>150</v>
      </c>
      <c r="B152" s="7" t="s">
        <v>383</v>
      </c>
      <c r="C152" s="7" t="s">
        <v>384</v>
      </c>
      <c r="D152" s="7" t="s">
        <v>542</v>
      </c>
      <c r="E152" s="7" t="s">
        <v>493</v>
      </c>
      <c r="F152" s="49">
        <v>2</v>
      </c>
      <c r="G152" s="49">
        <v>4</v>
      </c>
      <c r="H152" s="49">
        <v>3</v>
      </c>
      <c r="I152" s="49">
        <v>4</v>
      </c>
      <c r="J152" s="7"/>
      <c r="K152" s="59">
        <f t="shared" si="16"/>
        <v>3.25</v>
      </c>
      <c r="L152" s="49">
        <v>2</v>
      </c>
      <c r="M152" s="49">
        <v>4</v>
      </c>
      <c r="N152" s="49">
        <v>3</v>
      </c>
      <c r="O152" s="49">
        <v>3</v>
      </c>
      <c r="P152" s="49">
        <v>2</v>
      </c>
      <c r="Q152" s="59">
        <f t="shared" si="17"/>
        <v>2.8</v>
      </c>
      <c r="R152" s="49"/>
      <c r="S152" s="49">
        <v>2</v>
      </c>
      <c r="T152" s="7"/>
      <c r="U152" s="49"/>
      <c r="V152" s="7"/>
      <c r="W152" s="59">
        <f t="shared" si="18"/>
        <v>2</v>
      </c>
      <c r="X152" s="49"/>
      <c r="Y152" s="49"/>
      <c r="Z152" s="7"/>
      <c r="AA152" s="7"/>
      <c r="AB152" s="7"/>
      <c r="AC152" s="59" t="str">
        <f t="shared" si="19"/>
        <v>A</v>
      </c>
      <c r="AD152" s="49"/>
      <c r="AE152" s="7"/>
      <c r="AF152" s="49"/>
      <c r="AG152" s="7"/>
      <c r="AH152" s="7"/>
      <c r="AI152" s="59" t="str">
        <f t="shared" si="20"/>
        <v>A</v>
      </c>
      <c r="AJ152" s="49">
        <v>3</v>
      </c>
      <c r="AK152" s="49">
        <v>3</v>
      </c>
      <c r="AL152" s="7"/>
      <c r="AM152" s="49">
        <v>4</v>
      </c>
      <c r="AN152" s="7"/>
      <c r="AO152" s="59">
        <f t="shared" si="21"/>
        <v>3</v>
      </c>
      <c r="AP152" s="49">
        <v>3</v>
      </c>
      <c r="AQ152" s="49"/>
      <c r="AR152" s="49"/>
      <c r="AS152" s="7"/>
      <c r="AT152" s="7"/>
      <c r="AU152" s="59">
        <f t="shared" si="22"/>
        <v>3</v>
      </c>
      <c r="AV152" s="7"/>
      <c r="AW152" s="7"/>
      <c r="AX152" s="49"/>
      <c r="AY152" s="49">
        <v>4</v>
      </c>
      <c r="AZ152" s="49">
        <v>4</v>
      </c>
      <c r="BA152" s="59">
        <f t="shared" si="23"/>
        <v>4</v>
      </c>
    </row>
    <row r="153" spans="1:53" ht="23.1" customHeight="1" x14ac:dyDescent="0.3">
      <c r="A153" s="49">
        <v>151</v>
      </c>
      <c r="B153" s="49" t="s">
        <v>46</v>
      </c>
      <c r="C153" s="49" t="s">
        <v>47</v>
      </c>
      <c r="D153" s="49" t="s">
        <v>450</v>
      </c>
      <c r="E153" s="49" t="s">
        <v>35</v>
      </c>
      <c r="F153" s="49">
        <v>3</v>
      </c>
      <c r="G153" s="49">
        <v>3</v>
      </c>
      <c r="H153" s="49">
        <v>4</v>
      </c>
      <c r="I153" s="49">
        <v>3</v>
      </c>
      <c r="J153" s="49"/>
      <c r="K153" s="59">
        <f t="shared" si="16"/>
        <v>3.25</v>
      </c>
      <c r="L153" s="49">
        <v>4</v>
      </c>
      <c r="M153" s="49">
        <v>3</v>
      </c>
      <c r="N153" s="49">
        <v>3</v>
      </c>
      <c r="O153" s="49">
        <v>3</v>
      </c>
      <c r="P153" s="49">
        <v>3</v>
      </c>
      <c r="Q153" s="59">
        <f t="shared" si="17"/>
        <v>3.2</v>
      </c>
      <c r="R153" s="49"/>
      <c r="S153" s="49">
        <v>3</v>
      </c>
      <c r="T153" s="49"/>
      <c r="U153" s="49"/>
      <c r="V153" s="49"/>
      <c r="W153" s="59">
        <f t="shared" si="18"/>
        <v>3</v>
      </c>
      <c r="X153" s="49"/>
      <c r="Y153" s="49"/>
      <c r="Z153" s="49"/>
      <c r="AA153" s="49"/>
      <c r="AB153" s="49"/>
      <c r="AC153" s="59" t="str">
        <f t="shared" si="19"/>
        <v>A</v>
      </c>
      <c r="AD153" s="49"/>
      <c r="AE153" s="49"/>
      <c r="AF153" s="49"/>
      <c r="AG153" s="49"/>
      <c r="AH153" s="49"/>
      <c r="AI153" s="59" t="str">
        <f t="shared" si="20"/>
        <v>A</v>
      </c>
      <c r="AJ153" s="49">
        <v>3</v>
      </c>
      <c r="AK153" s="49">
        <v>3</v>
      </c>
      <c r="AL153" s="49"/>
      <c r="AM153" s="49">
        <v>3</v>
      </c>
      <c r="AN153" s="49"/>
      <c r="AO153" s="59">
        <f t="shared" si="21"/>
        <v>3</v>
      </c>
      <c r="AP153" s="49">
        <v>3</v>
      </c>
      <c r="AQ153" s="49"/>
      <c r="AR153" s="49"/>
      <c r="AS153" s="49"/>
      <c r="AT153" s="49"/>
      <c r="AU153" s="59">
        <f t="shared" si="22"/>
        <v>3</v>
      </c>
      <c r="AV153" s="49"/>
      <c r="AW153" s="49"/>
      <c r="AX153" s="49"/>
      <c r="AY153" s="49">
        <v>3</v>
      </c>
      <c r="AZ153" s="49">
        <v>2</v>
      </c>
      <c r="BA153" s="59">
        <f t="shared" si="23"/>
        <v>2.5</v>
      </c>
    </row>
    <row r="154" spans="1:53" ht="23.1" customHeight="1" x14ac:dyDescent="0.3">
      <c r="A154" s="7">
        <v>152</v>
      </c>
      <c r="B154" s="7" t="s">
        <v>83</v>
      </c>
      <c r="C154" s="7" t="s">
        <v>84</v>
      </c>
      <c r="D154" s="7" t="s">
        <v>450</v>
      </c>
      <c r="E154" s="7" t="s">
        <v>35</v>
      </c>
      <c r="F154" s="49">
        <v>3</v>
      </c>
      <c r="G154" s="49">
        <v>3</v>
      </c>
      <c r="H154" s="49">
        <v>4</v>
      </c>
      <c r="I154" s="49">
        <v>4</v>
      </c>
      <c r="J154" s="7"/>
      <c r="K154" s="59">
        <f t="shared" si="16"/>
        <v>3.5</v>
      </c>
      <c r="L154" s="49">
        <v>3</v>
      </c>
      <c r="M154" s="49">
        <v>4</v>
      </c>
      <c r="N154" s="49">
        <v>4</v>
      </c>
      <c r="O154" s="49">
        <v>3</v>
      </c>
      <c r="P154" s="49">
        <v>4</v>
      </c>
      <c r="Q154" s="59">
        <f t="shared" si="17"/>
        <v>3.6</v>
      </c>
      <c r="R154" s="49"/>
      <c r="S154" s="49">
        <v>4</v>
      </c>
      <c r="T154" s="7"/>
      <c r="U154" s="49"/>
      <c r="V154" s="7"/>
      <c r="W154" s="59">
        <f t="shared" si="18"/>
        <v>4</v>
      </c>
      <c r="X154" s="49"/>
      <c r="Y154" s="49"/>
      <c r="Z154" s="7"/>
      <c r="AA154" s="7"/>
      <c r="AB154" s="7"/>
      <c r="AC154" s="59" t="str">
        <f t="shared" si="19"/>
        <v>A</v>
      </c>
      <c r="AD154" s="49"/>
      <c r="AE154" s="7"/>
      <c r="AF154" s="49"/>
      <c r="AG154" s="7"/>
      <c r="AH154" s="7"/>
      <c r="AI154" s="59" t="str">
        <f t="shared" si="20"/>
        <v>A</v>
      </c>
      <c r="AJ154" s="49">
        <v>3</v>
      </c>
      <c r="AK154" s="49">
        <v>4</v>
      </c>
      <c r="AL154" s="7"/>
      <c r="AM154" s="49">
        <v>3</v>
      </c>
      <c r="AN154" s="7"/>
      <c r="AO154" s="59">
        <f t="shared" si="21"/>
        <v>3.5</v>
      </c>
      <c r="AP154" s="49">
        <v>3</v>
      </c>
      <c r="AQ154" s="49"/>
      <c r="AR154" s="49"/>
      <c r="AS154" s="7"/>
      <c r="AT154" s="7"/>
      <c r="AU154" s="59">
        <f t="shared" si="22"/>
        <v>3</v>
      </c>
      <c r="AV154" s="7"/>
      <c r="AW154" s="7"/>
      <c r="AX154" s="49"/>
      <c r="AY154" s="49">
        <v>3</v>
      </c>
      <c r="AZ154" s="49">
        <v>3</v>
      </c>
      <c r="BA154" s="59">
        <f t="shared" si="23"/>
        <v>3</v>
      </c>
    </row>
    <row r="155" spans="1:53" ht="23.1" customHeight="1" x14ac:dyDescent="0.3">
      <c r="A155" s="49">
        <v>153</v>
      </c>
      <c r="B155" s="49" t="s">
        <v>385</v>
      </c>
      <c r="C155" s="49" t="s">
        <v>386</v>
      </c>
      <c r="D155" s="49" t="s">
        <v>450</v>
      </c>
      <c r="E155" s="49" t="s">
        <v>493</v>
      </c>
      <c r="F155" s="49">
        <v>2</v>
      </c>
      <c r="G155" s="49">
        <v>2</v>
      </c>
      <c r="H155" s="49">
        <v>3</v>
      </c>
      <c r="I155" s="49">
        <v>2</v>
      </c>
      <c r="J155" s="49"/>
      <c r="K155" s="59">
        <f t="shared" si="16"/>
        <v>2.25</v>
      </c>
      <c r="L155" s="49">
        <v>3</v>
      </c>
      <c r="M155" s="49">
        <v>3</v>
      </c>
      <c r="N155" s="49">
        <v>2</v>
      </c>
      <c r="O155" s="49">
        <v>3</v>
      </c>
      <c r="P155" s="49">
        <v>2</v>
      </c>
      <c r="Q155" s="59">
        <f t="shared" si="17"/>
        <v>2.6</v>
      </c>
      <c r="R155" s="49"/>
      <c r="S155" s="49">
        <v>2</v>
      </c>
      <c r="T155" s="49"/>
      <c r="U155" s="49"/>
      <c r="V155" s="49"/>
      <c r="W155" s="59">
        <f t="shared" si="18"/>
        <v>2</v>
      </c>
      <c r="X155" s="49"/>
      <c r="Y155" s="49"/>
      <c r="Z155" s="49"/>
      <c r="AA155" s="49"/>
      <c r="AB155" s="49"/>
      <c r="AC155" s="59" t="str">
        <f t="shared" si="19"/>
        <v>A</v>
      </c>
      <c r="AD155" s="49"/>
      <c r="AE155" s="49"/>
      <c r="AF155" s="49"/>
      <c r="AG155" s="49"/>
      <c r="AH155" s="49"/>
      <c r="AI155" s="59" t="str">
        <f t="shared" si="20"/>
        <v>A</v>
      </c>
      <c r="AJ155" s="49">
        <v>2</v>
      </c>
      <c r="AK155" s="49">
        <v>2</v>
      </c>
      <c r="AL155" s="49"/>
      <c r="AM155" s="49">
        <v>3</v>
      </c>
      <c r="AN155" s="49"/>
      <c r="AO155" s="59">
        <f t="shared" si="21"/>
        <v>2</v>
      </c>
      <c r="AP155" s="49">
        <v>3</v>
      </c>
      <c r="AQ155" s="49"/>
      <c r="AR155" s="49"/>
      <c r="AS155" s="49"/>
      <c r="AT155" s="49"/>
      <c r="AU155" s="59">
        <f t="shared" si="22"/>
        <v>3</v>
      </c>
      <c r="AV155" s="49"/>
      <c r="AW155" s="49"/>
      <c r="AX155" s="49"/>
      <c r="AY155" s="49">
        <v>3</v>
      </c>
      <c r="AZ155" s="49">
        <v>2</v>
      </c>
      <c r="BA155" s="59">
        <f t="shared" si="23"/>
        <v>2.5</v>
      </c>
    </row>
    <row r="156" spans="1:53" ht="23.1" customHeight="1" x14ac:dyDescent="0.3">
      <c r="A156" s="7">
        <v>154</v>
      </c>
      <c r="B156" s="7" t="s">
        <v>93</v>
      </c>
      <c r="C156" s="7" t="s">
        <v>94</v>
      </c>
      <c r="D156" s="7" t="s">
        <v>542</v>
      </c>
      <c r="E156" s="7" t="s">
        <v>35</v>
      </c>
      <c r="F156" s="49">
        <v>2</v>
      </c>
      <c r="G156" s="49">
        <v>1</v>
      </c>
      <c r="H156" s="49">
        <v>2</v>
      </c>
      <c r="I156" s="49">
        <v>3</v>
      </c>
      <c r="J156" s="7"/>
      <c r="K156" s="59">
        <f t="shared" si="16"/>
        <v>2</v>
      </c>
      <c r="L156" s="49">
        <v>3</v>
      </c>
      <c r="M156" s="49">
        <v>2</v>
      </c>
      <c r="N156" s="49">
        <v>3</v>
      </c>
      <c r="O156" s="49">
        <v>3</v>
      </c>
      <c r="P156" s="49">
        <v>2</v>
      </c>
      <c r="Q156" s="59">
        <f t="shared" si="17"/>
        <v>2.6</v>
      </c>
      <c r="R156" s="49"/>
      <c r="S156" s="49">
        <v>4</v>
      </c>
      <c r="T156" s="7"/>
      <c r="U156" s="49"/>
      <c r="V156" s="7"/>
      <c r="W156" s="59">
        <f t="shared" si="18"/>
        <v>4</v>
      </c>
      <c r="X156" s="49"/>
      <c r="Y156" s="49"/>
      <c r="Z156" s="7"/>
      <c r="AA156" s="7"/>
      <c r="AB156" s="7"/>
      <c r="AC156" s="59" t="str">
        <f t="shared" si="19"/>
        <v>A</v>
      </c>
      <c r="AD156" s="49"/>
      <c r="AE156" s="7"/>
      <c r="AF156" s="49"/>
      <c r="AG156" s="7"/>
      <c r="AH156" s="7"/>
      <c r="AI156" s="59" t="str">
        <f t="shared" si="20"/>
        <v>A</v>
      </c>
      <c r="AJ156" s="49">
        <v>3</v>
      </c>
      <c r="AK156" s="49">
        <v>3</v>
      </c>
      <c r="AL156" s="7"/>
      <c r="AM156" s="49">
        <v>3</v>
      </c>
      <c r="AN156" s="7"/>
      <c r="AO156" s="59">
        <f t="shared" si="21"/>
        <v>3</v>
      </c>
      <c r="AP156" s="49">
        <v>3</v>
      </c>
      <c r="AQ156" s="49"/>
      <c r="AR156" s="49"/>
      <c r="AS156" s="7"/>
      <c r="AT156" s="7"/>
      <c r="AU156" s="59">
        <f t="shared" si="22"/>
        <v>3</v>
      </c>
      <c r="AV156" s="7"/>
      <c r="AW156" s="7"/>
      <c r="AX156" s="49"/>
      <c r="AY156" s="49">
        <v>3</v>
      </c>
      <c r="AZ156" s="49">
        <v>3</v>
      </c>
      <c r="BA156" s="59">
        <f t="shared" si="23"/>
        <v>3</v>
      </c>
    </row>
    <row r="157" spans="1:53" ht="23.1" customHeight="1" x14ac:dyDescent="0.3">
      <c r="A157" s="49">
        <v>155</v>
      </c>
      <c r="B157" s="49" t="s">
        <v>188</v>
      </c>
      <c r="C157" s="49" t="s">
        <v>189</v>
      </c>
      <c r="D157" s="49" t="s">
        <v>542</v>
      </c>
      <c r="E157" s="49" t="s">
        <v>161</v>
      </c>
      <c r="F157" s="49">
        <v>3</v>
      </c>
      <c r="G157" s="49">
        <v>3</v>
      </c>
      <c r="H157" s="49">
        <v>2</v>
      </c>
      <c r="I157" s="49">
        <v>3</v>
      </c>
      <c r="J157" s="49"/>
      <c r="K157" s="59">
        <f t="shared" si="16"/>
        <v>2.75</v>
      </c>
      <c r="L157" s="49">
        <v>2</v>
      </c>
      <c r="M157" s="49">
        <v>3</v>
      </c>
      <c r="N157" s="49">
        <v>2</v>
      </c>
      <c r="O157" s="49">
        <v>2</v>
      </c>
      <c r="P157" s="49">
        <v>3</v>
      </c>
      <c r="Q157" s="59">
        <f t="shared" si="17"/>
        <v>2.4</v>
      </c>
      <c r="R157" s="49"/>
      <c r="S157" s="49">
        <v>3</v>
      </c>
      <c r="T157" s="49"/>
      <c r="U157" s="49"/>
      <c r="V157" s="49"/>
      <c r="W157" s="59">
        <f t="shared" si="18"/>
        <v>3</v>
      </c>
      <c r="X157" s="49"/>
      <c r="Y157" s="49"/>
      <c r="Z157" s="49"/>
      <c r="AA157" s="49"/>
      <c r="AB157" s="49"/>
      <c r="AC157" s="59" t="str">
        <f t="shared" si="19"/>
        <v>A</v>
      </c>
      <c r="AD157" s="49"/>
      <c r="AE157" s="49"/>
      <c r="AF157" s="49"/>
      <c r="AG157" s="49"/>
      <c r="AH157" s="49"/>
      <c r="AI157" s="59" t="str">
        <f t="shared" si="20"/>
        <v>A</v>
      </c>
      <c r="AJ157" s="49">
        <v>3</v>
      </c>
      <c r="AK157" s="49">
        <v>3</v>
      </c>
      <c r="AL157" s="49"/>
      <c r="AM157" s="49">
        <v>3</v>
      </c>
      <c r="AN157" s="49"/>
      <c r="AO157" s="59">
        <f t="shared" si="21"/>
        <v>3</v>
      </c>
      <c r="AP157" s="49">
        <v>3</v>
      </c>
      <c r="AQ157" s="49"/>
      <c r="AR157" s="49"/>
      <c r="AS157" s="49"/>
      <c r="AT157" s="49"/>
      <c r="AU157" s="59">
        <f t="shared" si="22"/>
        <v>3</v>
      </c>
      <c r="AV157" s="49"/>
      <c r="AW157" s="49"/>
      <c r="AX157" s="49"/>
      <c r="AY157" s="49">
        <v>1</v>
      </c>
      <c r="AZ157" s="49">
        <v>1</v>
      </c>
      <c r="BA157" s="59">
        <f t="shared" si="23"/>
        <v>1</v>
      </c>
    </row>
    <row r="158" spans="1:53" ht="23.1" customHeight="1" x14ac:dyDescent="0.3">
      <c r="A158" s="7">
        <v>156</v>
      </c>
      <c r="B158" s="7" t="s">
        <v>174</v>
      </c>
      <c r="C158" s="7" t="s">
        <v>175</v>
      </c>
      <c r="D158" s="7" t="s">
        <v>450</v>
      </c>
      <c r="E158" s="7" t="s">
        <v>161</v>
      </c>
      <c r="F158" s="49">
        <v>4</v>
      </c>
      <c r="G158" s="49">
        <v>3</v>
      </c>
      <c r="H158" s="49">
        <v>3</v>
      </c>
      <c r="I158" s="49">
        <v>4</v>
      </c>
      <c r="J158" s="7"/>
      <c r="K158" s="59">
        <f t="shared" si="16"/>
        <v>3.5</v>
      </c>
      <c r="L158" s="49">
        <v>4</v>
      </c>
      <c r="M158" s="49">
        <v>4</v>
      </c>
      <c r="N158" s="49">
        <v>4</v>
      </c>
      <c r="O158" s="49">
        <v>4</v>
      </c>
      <c r="P158" s="49">
        <v>4</v>
      </c>
      <c r="Q158" s="59">
        <f t="shared" si="17"/>
        <v>4</v>
      </c>
      <c r="R158" s="49"/>
      <c r="S158" s="49">
        <v>4</v>
      </c>
      <c r="T158" s="7"/>
      <c r="U158" s="49"/>
      <c r="V158" s="7"/>
      <c r="W158" s="59">
        <f t="shared" si="18"/>
        <v>4</v>
      </c>
      <c r="X158" s="49"/>
      <c r="Y158" s="49"/>
      <c r="Z158" s="7"/>
      <c r="AA158" s="7"/>
      <c r="AB158" s="7"/>
      <c r="AC158" s="59" t="str">
        <f t="shared" si="19"/>
        <v>A</v>
      </c>
      <c r="AD158" s="49"/>
      <c r="AE158" s="7"/>
      <c r="AF158" s="49"/>
      <c r="AG158" s="7"/>
      <c r="AH158" s="7"/>
      <c r="AI158" s="59" t="str">
        <f t="shared" si="20"/>
        <v>A</v>
      </c>
      <c r="AJ158" s="49">
        <v>3</v>
      </c>
      <c r="AK158" s="49">
        <v>4</v>
      </c>
      <c r="AL158" s="7"/>
      <c r="AM158" s="49">
        <v>4</v>
      </c>
      <c r="AN158" s="7"/>
      <c r="AO158" s="59">
        <f t="shared" si="21"/>
        <v>3.5</v>
      </c>
      <c r="AP158" s="49">
        <v>4</v>
      </c>
      <c r="AQ158" s="49"/>
      <c r="AR158" s="49"/>
      <c r="AS158" s="7"/>
      <c r="AT158" s="7"/>
      <c r="AU158" s="59">
        <f t="shared" si="22"/>
        <v>4</v>
      </c>
      <c r="AV158" s="7"/>
      <c r="AW158" s="7"/>
      <c r="AX158" s="49"/>
      <c r="AY158" s="49">
        <v>3</v>
      </c>
      <c r="AZ158" s="49">
        <v>4</v>
      </c>
      <c r="BA158" s="59">
        <f t="shared" si="23"/>
        <v>3.5</v>
      </c>
    </row>
    <row r="159" spans="1:53" ht="23.1" customHeight="1" x14ac:dyDescent="0.3">
      <c r="A159" s="49">
        <v>157</v>
      </c>
      <c r="B159" s="49" t="s">
        <v>205</v>
      </c>
      <c r="C159" s="49" t="s">
        <v>206</v>
      </c>
      <c r="D159" s="49" t="s">
        <v>450</v>
      </c>
      <c r="E159" s="49" t="s">
        <v>161</v>
      </c>
      <c r="F159" s="49">
        <v>2</v>
      </c>
      <c r="G159" s="49">
        <v>2</v>
      </c>
      <c r="H159" s="49">
        <v>2</v>
      </c>
      <c r="I159" s="49">
        <v>2</v>
      </c>
      <c r="J159" s="49"/>
      <c r="K159" s="59">
        <f t="shared" si="16"/>
        <v>2</v>
      </c>
      <c r="L159" s="49">
        <v>1</v>
      </c>
      <c r="M159" s="49">
        <v>2</v>
      </c>
      <c r="N159" s="49">
        <v>2</v>
      </c>
      <c r="O159" s="49">
        <v>3</v>
      </c>
      <c r="P159" s="49">
        <v>2</v>
      </c>
      <c r="Q159" s="59">
        <f t="shared" si="17"/>
        <v>2</v>
      </c>
      <c r="R159" s="49"/>
      <c r="S159" s="49">
        <v>2</v>
      </c>
      <c r="T159" s="49"/>
      <c r="U159" s="49"/>
      <c r="V159" s="49"/>
      <c r="W159" s="59">
        <f t="shared" si="18"/>
        <v>2</v>
      </c>
      <c r="X159" s="49"/>
      <c r="Y159" s="49"/>
      <c r="Z159" s="49"/>
      <c r="AA159" s="49"/>
      <c r="AB159" s="49"/>
      <c r="AC159" s="59" t="str">
        <f t="shared" si="19"/>
        <v>A</v>
      </c>
      <c r="AD159" s="49"/>
      <c r="AE159" s="49"/>
      <c r="AF159" s="49"/>
      <c r="AG159" s="49"/>
      <c r="AH159" s="49"/>
      <c r="AI159" s="59" t="str">
        <f t="shared" si="20"/>
        <v>A</v>
      </c>
      <c r="AJ159" s="49">
        <v>2</v>
      </c>
      <c r="AK159" s="49">
        <v>2</v>
      </c>
      <c r="AL159" s="49"/>
      <c r="AM159" s="49">
        <v>2</v>
      </c>
      <c r="AN159" s="49"/>
      <c r="AO159" s="59">
        <f t="shared" si="21"/>
        <v>2</v>
      </c>
      <c r="AP159" s="49">
        <v>4</v>
      </c>
      <c r="AQ159" s="49"/>
      <c r="AR159" s="49"/>
      <c r="AS159" s="49"/>
      <c r="AT159" s="49"/>
      <c r="AU159" s="59">
        <f t="shared" si="22"/>
        <v>4</v>
      </c>
      <c r="AV159" s="49"/>
      <c r="AW159" s="49"/>
      <c r="AX159" s="49"/>
      <c r="AY159" s="49">
        <v>4</v>
      </c>
      <c r="AZ159" s="49">
        <v>3</v>
      </c>
      <c r="BA159" s="59">
        <f t="shared" si="23"/>
        <v>3.5</v>
      </c>
    </row>
    <row r="160" spans="1:53" ht="23.1" customHeight="1" x14ac:dyDescent="0.3">
      <c r="A160" s="7">
        <v>158</v>
      </c>
      <c r="B160" s="7" t="s">
        <v>387</v>
      </c>
      <c r="C160" s="7" t="s">
        <v>388</v>
      </c>
      <c r="D160" s="7" t="s">
        <v>450</v>
      </c>
      <c r="E160" s="7" t="s">
        <v>493</v>
      </c>
      <c r="F160" s="49">
        <v>0</v>
      </c>
      <c r="G160" s="49">
        <v>0</v>
      </c>
      <c r="H160" s="49">
        <v>0</v>
      </c>
      <c r="I160" s="49">
        <v>0</v>
      </c>
      <c r="J160" s="7"/>
      <c r="K160" s="59">
        <f t="shared" si="16"/>
        <v>0</v>
      </c>
      <c r="L160" s="49">
        <v>0</v>
      </c>
      <c r="M160" s="49">
        <v>0</v>
      </c>
      <c r="N160" s="49">
        <v>0</v>
      </c>
      <c r="O160" s="49">
        <v>0</v>
      </c>
      <c r="P160" s="49">
        <v>0</v>
      </c>
      <c r="Q160" s="59">
        <f t="shared" si="17"/>
        <v>0</v>
      </c>
      <c r="R160" s="49"/>
      <c r="S160" s="49">
        <v>0</v>
      </c>
      <c r="T160" s="7"/>
      <c r="U160" s="49"/>
      <c r="V160" s="7"/>
      <c r="W160" s="59">
        <f t="shared" si="18"/>
        <v>0</v>
      </c>
      <c r="X160" s="49"/>
      <c r="Y160" s="49"/>
      <c r="Z160" s="7"/>
      <c r="AA160" s="7"/>
      <c r="AB160" s="7"/>
      <c r="AC160" s="59" t="str">
        <f t="shared" si="19"/>
        <v>A</v>
      </c>
      <c r="AD160" s="49"/>
      <c r="AE160" s="7"/>
      <c r="AF160" s="49"/>
      <c r="AG160" s="7"/>
      <c r="AH160" s="7"/>
      <c r="AI160" s="59" t="str">
        <f t="shared" si="20"/>
        <v>A</v>
      </c>
      <c r="AJ160" s="49">
        <v>0</v>
      </c>
      <c r="AK160" s="49">
        <v>0</v>
      </c>
      <c r="AL160" s="7"/>
      <c r="AM160" s="49">
        <v>0</v>
      </c>
      <c r="AN160" s="7"/>
      <c r="AO160" s="59">
        <f t="shared" si="21"/>
        <v>0</v>
      </c>
      <c r="AP160" s="49">
        <v>0</v>
      </c>
      <c r="AQ160" s="49"/>
      <c r="AR160" s="49"/>
      <c r="AS160" s="7"/>
      <c r="AT160" s="7"/>
      <c r="AU160" s="59">
        <f t="shared" si="22"/>
        <v>0</v>
      </c>
      <c r="AV160" s="7"/>
      <c r="AW160" s="7"/>
      <c r="AX160" s="49"/>
      <c r="AY160" s="49">
        <v>0</v>
      </c>
      <c r="AZ160" s="49">
        <v>0</v>
      </c>
      <c r="BA160" s="59">
        <f t="shared" si="23"/>
        <v>0</v>
      </c>
    </row>
    <row r="161" spans="1:53" ht="23.1" customHeight="1" x14ac:dyDescent="0.3">
      <c r="A161" s="49">
        <v>159</v>
      </c>
      <c r="B161" s="49" t="s">
        <v>190</v>
      </c>
      <c r="C161" s="49" t="s">
        <v>191</v>
      </c>
      <c r="D161" s="49" t="s">
        <v>450</v>
      </c>
      <c r="E161" s="49" t="s">
        <v>161</v>
      </c>
      <c r="F161" s="49">
        <v>3</v>
      </c>
      <c r="G161" s="49">
        <v>3</v>
      </c>
      <c r="H161" s="49">
        <v>3</v>
      </c>
      <c r="I161" s="49">
        <v>3</v>
      </c>
      <c r="J161" s="49"/>
      <c r="K161" s="59">
        <f t="shared" si="16"/>
        <v>3</v>
      </c>
      <c r="L161" s="49">
        <v>3</v>
      </c>
      <c r="M161" s="49">
        <v>3</v>
      </c>
      <c r="N161" s="49">
        <v>3</v>
      </c>
      <c r="O161" s="49">
        <v>3</v>
      </c>
      <c r="P161" s="49">
        <v>3</v>
      </c>
      <c r="Q161" s="59">
        <f t="shared" si="17"/>
        <v>3</v>
      </c>
      <c r="R161" s="49"/>
      <c r="S161" s="49">
        <v>3</v>
      </c>
      <c r="T161" s="49"/>
      <c r="U161" s="49"/>
      <c r="V161" s="49"/>
      <c r="W161" s="59">
        <f t="shared" si="18"/>
        <v>3</v>
      </c>
      <c r="X161" s="49"/>
      <c r="Y161" s="49"/>
      <c r="Z161" s="49"/>
      <c r="AA161" s="49"/>
      <c r="AB161" s="49"/>
      <c r="AC161" s="59" t="str">
        <f t="shared" si="19"/>
        <v>A</v>
      </c>
      <c r="AD161" s="49"/>
      <c r="AE161" s="49"/>
      <c r="AF161" s="49"/>
      <c r="AG161" s="49"/>
      <c r="AH161" s="49"/>
      <c r="AI161" s="59" t="str">
        <f t="shared" si="20"/>
        <v>A</v>
      </c>
      <c r="AJ161" s="49">
        <v>3</v>
      </c>
      <c r="AK161" s="49">
        <v>3</v>
      </c>
      <c r="AL161" s="49"/>
      <c r="AM161" s="49">
        <v>3</v>
      </c>
      <c r="AN161" s="49"/>
      <c r="AO161" s="59">
        <f t="shared" si="21"/>
        <v>3</v>
      </c>
      <c r="AP161" s="49">
        <v>3</v>
      </c>
      <c r="AQ161" s="49"/>
      <c r="AR161" s="49"/>
      <c r="AS161" s="49"/>
      <c r="AT161" s="49"/>
      <c r="AU161" s="59">
        <f t="shared" si="22"/>
        <v>3</v>
      </c>
      <c r="AV161" s="49"/>
      <c r="AW161" s="49"/>
      <c r="AX161" s="49"/>
      <c r="AY161" s="49">
        <v>1</v>
      </c>
      <c r="AZ161" s="49">
        <v>1</v>
      </c>
      <c r="BA161" s="59">
        <f t="shared" si="23"/>
        <v>1</v>
      </c>
    </row>
    <row r="162" spans="1:53" ht="23.1" customHeight="1" x14ac:dyDescent="0.3">
      <c r="A162" s="7">
        <v>160</v>
      </c>
      <c r="B162" s="7" t="s">
        <v>157</v>
      </c>
      <c r="C162" s="7" t="s">
        <v>158</v>
      </c>
      <c r="D162" s="7" t="s">
        <v>542</v>
      </c>
      <c r="E162" s="7" t="s">
        <v>35</v>
      </c>
      <c r="F162" s="49">
        <v>2.5</v>
      </c>
      <c r="G162" s="49">
        <v>2.5</v>
      </c>
      <c r="H162" s="49">
        <v>2.5</v>
      </c>
      <c r="I162" s="49">
        <v>2.5</v>
      </c>
      <c r="J162" s="7"/>
      <c r="K162" s="59">
        <f t="shared" si="16"/>
        <v>2.5</v>
      </c>
      <c r="L162" s="49">
        <v>2.5</v>
      </c>
      <c r="M162" s="49">
        <v>2.5</v>
      </c>
      <c r="N162" s="49">
        <v>3</v>
      </c>
      <c r="O162" s="49">
        <v>2.5</v>
      </c>
      <c r="P162" s="49">
        <v>3</v>
      </c>
      <c r="Q162" s="59">
        <f t="shared" si="17"/>
        <v>2.7</v>
      </c>
      <c r="R162" s="49"/>
      <c r="S162" s="49">
        <v>2.5</v>
      </c>
      <c r="T162" s="7"/>
      <c r="U162" s="49"/>
      <c r="V162" s="7"/>
      <c r="W162" s="59">
        <f t="shared" si="18"/>
        <v>2.5</v>
      </c>
      <c r="X162" s="49"/>
      <c r="Y162" s="49"/>
      <c r="Z162" s="7"/>
      <c r="AA162" s="7"/>
      <c r="AB162" s="7"/>
      <c r="AC162" s="59" t="str">
        <f t="shared" si="19"/>
        <v>A</v>
      </c>
      <c r="AD162" s="49"/>
      <c r="AE162" s="7"/>
      <c r="AF162" s="49"/>
      <c r="AG162" s="7"/>
      <c r="AH162" s="7"/>
      <c r="AI162" s="59" t="str">
        <f t="shared" si="20"/>
        <v>A</v>
      </c>
      <c r="AJ162" s="49">
        <v>3</v>
      </c>
      <c r="AK162" s="49">
        <v>2.5</v>
      </c>
      <c r="AL162" s="7"/>
      <c r="AM162" s="49">
        <v>2.5</v>
      </c>
      <c r="AN162" s="7"/>
      <c r="AO162" s="59">
        <f t="shared" si="21"/>
        <v>2.75</v>
      </c>
      <c r="AP162" s="49">
        <v>2.5</v>
      </c>
      <c r="AQ162" s="49"/>
      <c r="AR162" s="49"/>
      <c r="AS162" s="7"/>
      <c r="AT162" s="7"/>
      <c r="AU162" s="59">
        <f t="shared" si="22"/>
        <v>2.5</v>
      </c>
      <c r="AV162" s="7"/>
      <c r="AW162" s="7"/>
      <c r="AX162" s="49"/>
      <c r="AY162" s="49">
        <v>2.5</v>
      </c>
      <c r="AZ162" s="49">
        <v>2.5</v>
      </c>
      <c r="BA162" s="59">
        <f t="shared" si="23"/>
        <v>2.5</v>
      </c>
    </row>
    <row r="163" spans="1:53" ht="23.1" customHeight="1" x14ac:dyDescent="0.3">
      <c r="A163" s="49">
        <v>161</v>
      </c>
      <c r="B163" s="49" t="s">
        <v>389</v>
      </c>
      <c r="C163" s="49" t="s">
        <v>390</v>
      </c>
      <c r="D163" s="49" t="s">
        <v>450</v>
      </c>
      <c r="E163" s="49" t="s">
        <v>493</v>
      </c>
      <c r="F163" s="49">
        <v>2</v>
      </c>
      <c r="G163" s="49">
        <v>3</v>
      </c>
      <c r="H163" s="49">
        <v>4</v>
      </c>
      <c r="I163" s="49">
        <v>3</v>
      </c>
      <c r="J163" s="49"/>
      <c r="K163" s="59">
        <f t="shared" si="16"/>
        <v>3</v>
      </c>
      <c r="L163" s="49">
        <v>4</v>
      </c>
      <c r="M163" s="49">
        <v>3</v>
      </c>
      <c r="N163" s="49">
        <v>4</v>
      </c>
      <c r="O163" s="49">
        <v>4</v>
      </c>
      <c r="P163" s="49">
        <v>3</v>
      </c>
      <c r="Q163" s="59">
        <f t="shared" si="17"/>
        <v>3.6</v>
      </c>
      <c r="R163" s="49"/>
      <c r="S163" s="49">
        <v>3</v>
      </c>
      <c r="T163" s="49"/>
      <c r="U163" s="49"/>
      <c r="V163" s="49"/>
      <c r="W163" s="59">
        <f t="shared" si="18"/>
        <v>3</v>
      </c>
      <c r="X163" s="49"/>
      <c r="Y163" s="49"/>
      <c r="Z163" s="49"/>
      <c r="AA163" s="49"/>
      <c r="AB163" s="49"/>
      <c r="AC163" s="59" t="str">
        <f t="shared" si="19"/>
        <v>A</v>
      </c>
      <c r="AD163" s="49"/>
      <c r="AE163" s="49"/>
      <c r="AF163" s="49"/>
      <c r="AG163" s="49"/>
      <c r="AH163" s="49"/>
      <c r="AI163" s="59" t="str">
        <f t="shared" si="20"/>
        <v>A</v>
      </c>
      <c r="AJ163" s="49">
        <v>3</v>
      </c>
      <c r="AK163" s="49">
        <v>3</v>
      </c>
      <c r="AL163" s="49"/>
      <c r="AM163" s="49">
        <v>4</v>
      </c>
      <c r="AN163" s="49"/>
      <c r="AO163" s="59">
        <f t="shared" si="21"/>
        <v>3</v>
      </c>
      <c r="AP163" s="49">
        <v>3</v>
      </c>
      <c r="AQ163" s="49"/>
      <c r="AR163" s="49"/>
      <c r="AS163" s="49"/>
      <c r="AT163" s="49"/>
      <c r="AU163" s="59">
        <f t="shared" si="22"/>
        <v>3</v>
      </c>
      <c r="AV163" s="49"/>
      <c r="AW163" s="49"/>
      <c r="AX163" s="49"/>
      <c r="AY163" s="49">
        <v>3</v>
      </c>
      <c r="AZ163" s="49">
        <v>4</v>
      </c>
      <c r="BA163" s="59">
        <f t="shared" si="23"/>
        <v>3.5</v>
      </c>
    </row>
    <row r="164" spans="1:53" ht="23.1" customHeight="1" x14ac:dyDescent="0.3">
      <c r="A164" s="7">
        <v>162</v>
      </c>
      <c r="B164" s="7" t="s">
        <v>391</v>
      </c>
      <c r="C164" s="7" t="s">
        <v>392</v>
      </c>
      <c r="D164" s="7" t="s">
        <v>450</v>
      </c>
      <c r="E164" s="7" t="s">
        <v>493</v>
      </c>
      <c r="F164" s="49">
        <v>1</v>
      </c>
      <c r="G164" s="49">
        <v>1</v>
      </c>
      <c r="H164" s="49">
        <v>1</v>
      </c>
      <c r="I164" s="49">
        <v>1</v>
      </c>
      <c r="J164" s="7"/>
      <c r="K164" s="59">
        <f t="shared" si="16"/>
        <v>1</v>
      </c>
      <c r="L164" s="49">
        <v>1</v>
      </c>
      <c r="M164" s="49">
        <v>1</v>
      </c>
      <c r="N164" s="49">
        <v>1</v>
      </c>
      <c r="O164" s="49">
        <v>4</v>
      </c>
      <c r="P164" s="49">
        <v>1</v>
      </c>
      <c r="Q164" s="59">
        <f t="shared" si="17"/>
        <v>1.6</v>
      </c>
      <c r="R164" s="49"/>
      <c r="S164" s="49">
        <v>1</v>
      </c>
      <c r="T164" s="7"/>
      <c r="U164" s="49"/>
      <c r="V164" s="7"/>
      <c r="W164" s="59">
        <f t="shared" si="18"/>
        <v>1</v>
      </c>
      <c r="X164" s="49"/>
      <c r="Y164" s="49"/>
      <c r="Z164" s="7"/>
      <c r="AA164" s="7"/>
      <c r="AB164" s="7"/>
      <c r="AC164" s="59" t="str">
        <f t="shared" si="19"/>
        <v>A</v>
      </c>
      <c r="AD164" s="49"/>
      <c r="AE164" s="7"/>
      <c r="AF164" s="49"/>
      <c r="AG164" s="7"/>
      <c r="AH164" s="7"/>
      <c r="AI164" s="59" t="str">
        <f t="shared" si="20"/>
        <v>A</v>
      </c>
      <c r="AJ164" s="49">
        <v>1</v>
      </c>
      <c r="AK164" s="49">
        <v>1</v>
      </c>
      <c r="AL164" s="7"/>
      <c r="AM164" s="49">
        <v>1</v>
      </c>
      <c r="AN164" s="7"/>
      <c r="AO164" s="59">
        <f t="shared" si="21"/>
        <v>1</v>
      </c>
      <c r="AP164" s="49">
        <v>1</v>
      </c>
      <c r="AQ164" s="49"/>
      <c r="AR164" s="49"/>
      <c r="AS164" s="7"/>
      <c r="AT164" s="7"/>
      <c r="AU164" s="59">
        <f t="shared" si="22"/>
        <v>1</v>
      </c>
      <c r="AV164" s="7"/>
      <c r="AW164" s="7"/>
      <c r="AX164" s="49"/>
      <c r="AY164" s="49">
        <v>1</v>
      </c>
      <c r="AZ164" s="49">
        <v>1</v>
      </c>
      <c r="BA164" s="59">
        <f t="shared" si="23"/>
        <v>1</v>
      </c>
    </row>
    <row r="165" spans="1:53" ht="23.1" customHeight="1" x14ac:dyDescent="0.3">
      <c r="A165" s="49">
        <v>163</v>
      </c>
      <c r="B165" s="49" t="s">
        <v>221</v>
      </c>
      <c r="C165" s="49" t="s">
        <v>222</v>
      </c>
      <c r="D165" s="49" t="s">
        <v>450</v>
      </c>
      <c r="E165" s="49" t="s">
        <v>161</v>
      </c>
      <c r="F165" s="49">
        <v>3</v>
      </c>
      <c r="G165" s="49">
        <v>3</v>
      </c>
      <c r="H165" s="49">
        <v>3</v>
      </c>
      <c r="I165" s="49">
        <v>3</v>
      </c>
      <c r="J165" s="49"/>
      <c r="K165" s="59">
        <f t="shared" si="16"/>
        <v>3</v>
      </c>
      <c r="L165" s="49">
        <v>3</v>
      </c>
      <c r="M165" s="49">
        <v>3</v>
      </c>
      <c r="N165" s="49">
        <v>3</v>
      </c>
      <c r="O165" s="49">
        <v>3</v>
      </c>
      <c r="P165" s="49">
        <v>3</v>
      </c>
      <c r="Q165" s="59">
        <f t="shared" si="17"/>
        <v>3</v>
      </c>
      <c r="R165" s="49"/>
      <c r="S165" s="49">
        <v>3</v>
      </c>
      <c r="T165" s="49"/>
      <c r="U165" s="49"/>
      <c r="V165" s="49"/>
      <c r="W165" s="59">
        <f t="shared" si="18"/>
        <v>3</v>
      </c>
      <c r="X165" s="49"/>
      <c r="Y165" s="49"/>
      <c r="Z165" s="49"/>
      <c r="AA165" s="49"/>
      <c r="AB165" s="49"/>
      <c r="AC165" s="59" t="str">
        <f t="shared" si="19"/>
        <v>A</v>
      </c>
      <c r="AD165" s="49"/>
      <c r="AE165" s="49"/>
      <c r="AF165" s="49"/>
      <c r="AG165" s="49"/>
      <c r="AH165" s="49"/>
      <c r="AI165" s="59" t="str">
        <f t="shared" si="20"/>
        <v>A</v>
      </c>
      <c r="AJ165" s="49">
        <v>3</v>
      </c>
      <c r="AK165" s="49">
        <v>3</v>
      </c>
      <c r="AL165" s="49"/>
      <c r="AM165" s="49">
        <v>3</v>
      </c>
      <c r="AN165" s="49"/>
      <c r="AO165" s="59">
        <f t="shared" si="21"/>
        <v>3</v>
      </c>
      <c r="AP165" s="49">
        <v>3</v>
      </c>
      <c r="AQ165" s="49"/>
      <c r="AR165" s="49"/>
      <c r="AS165" s="49"/>
      <c r="AT165" s="49"/>
      <c r="AU165" s="59">
        <f t="shared" si="22"/>
        <v>3</v>
      </c>
      <c r="AV165" s="49"/>
      <c r="AW165" s="49"/>
      <c r="AX165" s="49"/>
      <c r="AY165" s="49">
        <v>3</v>
      </c>
      <c r="AZ165" s="49">
        <v>2</v>
      </c>
      <c r="BA165" s="59">
        <f t="shared" si="23"/>
        <v>2.5</v>
      </c>
    </row>
    <row r="166" spans="1:53" ht="23.1" customHeight="1" x14ac:dyDescent="0.3">
      <c r="A166" s="7">
        <v>164</v>
      </c>
      <c r="B166" s="7" t="s">
        <v>207</v>
      </c>
      <c r="C166" s="7" t="s">
        <v>208</v>
      </c>
      <c r="D166" s="7" t="s">
        <v>542</v>
      </c>
      <c r="E166" s="7" t="s">
        <v>161</v>
      </c>
      <c r="F166" s="49">
        <v>3</v>
      </c>
      <c r="G166" s="49">
        <v>4</v>
      </c>
      <c r="H166" s="49">
        <v>3</v>
      </c>
      <c r="I166" s="49">
        <v>3</v>
      </c>
      <c r="J166" s="7"/>
      <c r="K166" s="59">
        <f t="shared" si="16"/>
        <v>3.25</v>
      </c>
      <c r="L166" s="49">
        <v>3</v>
      </c>
      <c r="M166" s="49">
        <v>3</v>
      </c>
      <c r="N166" s="49">
        <v>3</v>
      </c>
      <c r="O166" s="49">
        <v>3</v>
      </c>
      <c r="P166" s="49">
        <v>4</v>
      </c>
      <c r="Q166" s="59">
        <f t="shared" si="17"/>
        <v>3.2</v>
      </c>
      <c r="R166" s="49"/>
      <c r="S166" s="49">
        <v>3</v>
      </c>
      <c r="T166" s="7"/>
      <c r="U166" s="49"/>
      <c r="V166" s="7"/>
      <c r="W166" s="59">
        <f t="shared" si="18"/>
        <v>3</v>
      </c>
      <c r="X166" s="49"/>
      <c r="Y166" s="49"/>
      <c r="Z166" s="7"/>
      <c r="AA166" s="7"/>
      <c r="AB166" s="7"/>
      <c r="AC166" s="59" t="str">
        <f t="shared" si="19"/>
        <v>A</v>
      </c>
      <c r="AD166" s="49"/>
      <c r="AE166" s="7"/>
      <c r="AF166" s="49"/>
      <c r="AG166" s="7"/>
      <c r="AH166" s="7"/>
      <c r="AI166" s="59" t="str">
        <f t="shared" si="20"/>
        <v>A</v>
      </c>
      <c r="AJ166" s="49">
        <v>3</v>
      </c>
      <c r="AK166" s="49">
        <v>3</v>
      </c>
      <c r="AL166" s="7"/>
      <c r="AM166" s="49">
        <v>3</v>
      </c>
      <c r="AN166" s="7"/>
      <c r="AO166" s="59">
        <f t="shared" si="21"/>
        <v>3</v>
      </c>
      <c r="AP166" s="49">
        <v>3</v>
      </c>
      <c r="AQ166" s="49"/>
      <c r="AR166" s="49"/>
      <c r="AS166" s="7"/>
      <c r="AT166" s="7"/>
      <c r="AU166" s="59">
        <f t="shared" si="22"/>
        <v>3</v>
      </c>
      <c r="AV166" s="7"/>
      <c r="AW166" s="7"/>
      <c r="AX166" s="49"/>
      <c r="AY166" s="49">
        <v>3</v>
      </c>
      <c r="AZ166" s="49">
        <v>2</v>
      </c>
      <c r="BA166" s="59">
        <f t="shared" si="23"/>
        <v>2.5</v>
      </c>
    </row>
    <row r="167" spans="1:53" ht="23.1" customHeight="1" x14ac:dyDescent="0.3">
      <c r="A167" s="49">
        <v>165</v>
      </c>
      <c r="B167" s="49" t="s">
        <v>48</v>
      </c>
      <c r="C167" s="49" t="s">
        <v>49</v>
      </c>
      <c r="D167" s="49" t="s">
        <v>450</v>
      </c>
      <c r="E167" s="49" t="s">
        <v>35</v>
      </c>
      <c r="F167" s="49">
        <v>2.5</v>
      </c>
      <c r="G167" s="49">
        <v>3</v>
      </c>
      <c r="H167" s="49">
        <v>2.5</v>
      </c>
      <c r="I167" s="49">
        <v>2.5</v>
      </c>
      <c r="J167" s="49"/>
      <c r="K167" s="59">
        <f t="shared" si="16"/>
        <v>2.625</v>
      </c>
      <c r="L167" s="49">
        <v>2.5</v>
      </c>
      <c r="M167" s="49">
        <v>2.5</v>
      </c>
      <c r="N167" s="49">
        <v>2.5</v>
      </c>
      <c r="O167" s="49">
        <v>3</v>
      </c>
      <c r="P167" s="49">
        <v>2.5</v>
      </c>
      <c r="Q167" s="59">
        <f t="shared" si="17"/>
        <v>2.6</v>
      </c>
      <c r="R167" s="49"/>
      <c r="S167" s="49">
        <v>2.5</v>
      </c>
      <c r="T167" s="49"/>
      <c r="U167" s="49"/>
      <c r="V167" s="49"/>
      <c r="W167" s="59">
        <f t="shared" si="18"/>
        <v>2.5</v>
      </c>
      <c r="X167" s="49"/>
      <c r="Y167" s="49"/>
      <c r="Z167" s="49"/>
      <c r="AA167" s="49"/>
      <c r="AB167" s="49"/>
      <c r="AC167" s="59" t="str">
        <f t="shared" si="19"/>
        <v>A</v>
      </c>
      <c r="AD167" s="49"/>
      <c r="AE167" s="49"/>
      <c r="AF167" s="49"/>
      <c r="AG167" s="49"/>
      <c r="AH167" s="49"/>
      <c r="AI167" s="59" t="str">
        <f t="shared" si="20"/>
        <v>A</v>
      </c>
      <c r="AJ167" s="49">
        <v>2.5</v>
      </c>
      <c r="AK167" s="49">
        <v>3</v>
      </c>
      <c r="AL167" s="49"/>
      <c r="AM167" s="49">
        <v>2.5</v>
      </c>
      <c r="AN167" s="49"/>
      <c r="AO167" s="59">
        <f t="shared" si="21"/>
        <v>2.75</v>
      </c>
      <c r="AP167" s="49">
        <v>2.5</v>
      </c>
      <c r="AQ167" s="49"/>
      <c r="AR167" s="49"/>
      <c r="AS167" s="49"/>
      <c r="AT167" s="49"/>
      <c r="AU167" s="59">
        <f t="shared" si="22"/>
        <v>2.5</v>
      </c>
      <c r="AV167" s="49"/>
      <c r="AW167" s="49"/>
      <c r="AX167" s="49"/>
      <c r="AY167" s="49">
        <v>3</v>
      </c>
      <c r="AZ167" s="49">
        <v>3</v>
      </c>
      <c r="BA167" s="59">
        <f t="shared" si="23"/>
        <v>3</v>
      </c>
    </row>
    <row r="168" spans="1:53" ht="23.1" customHeight="1" x14ac:dyDescent="0.3">
      <c r="A168" s="7">
        <v>166</v>
      </c>
      <c r="B168" s="7" t="s">
        <v>159</v>
      </c>
      <c r="C168" s="7" t="s">
        <v>160</v>
      </c>
      <c r="D168" s="7" t="s">
        <v>450</v>
      </c>
      <c r="E168" s="7" t="s">
        <v>35</v>
      </c>
      <c r="F168" s="49">
        <v>3</v>
      </c>
      <c r="G168" s="49">
        <v>2</v>
      </c>
      <c r="H168" s="49">
        <v>2</v>
      </c>
      <c r="I168" s="49">
        <v>2</v>
      </c>
      <c r="J168" s="7"/>
      <c r="K168" s="59">
        <f t="shared" si="16"/>
        <v>2.25</v>
      </c>
      <c r="L168" s="49">
        <v>2</v>
      </c>
      <c r="M168" s="49">
        <v>3</v>
      </c>
      <c r="N168" s="49">
        <v>2</v>
      </c>
      <c r="O168" s="49">
        <v>3</v>
      </c>
      <c r="P168" s="49">
        <v>3</v>
      </c>
      <c r="Q168" s="59">
        <f t="shared" si="17"/>
        <v>2.6</v>
      </c>
      <c r="R168" s="49"/>
      <c r="S168" s="49">
        <v>3</v>
      </c>
      <c r="T168" s="7"/>
      <c r="U168" s="49"/>
      <c r="V168" s="7"/>
      <c r="W168" s="59">
        <f t="shared" si="18"/>
        <v>3</v>
      </c>
      <c r="X168" s="49"/>
      <c r="Y168" s="49"/>
      <c r="Z168" s="7"/>
      <c r="AA168" s="7"/>
      <c r="AB168" s="7"/>
      <c r="AC168" s="59" t="str">
        <f t="shared" si="19"/>
        <v>A</v>
      </c>
      <c r="AD168" s="49"/>
      <c r="AE168" s="7"/>
      <c r="AF168" s="49"/>
      <c r="AG168" s="7"/>
      <c r="AH168" s="7"/>
      <c r="AI168" s="59" t="str">
        <f t="shared" si="20"/>
        <v>A</v>
      </c>
      <c r="AJ168" s="49">
        <v>2</v>
      </c>
      <c r="AK168" s="49">
        <v>2</v>
      </c>
      <c r="AL168" s="7"/>
      <c r="AM168" s="49">
        <v>2</v>
      </c>
      <c r="AN168" s="7"/>
      <c r="AO168" s="59">
        <f t="shared" si="21"/>
        <v>2</v>
      </c>
      <c r="AP168" s="49">
        <v>2</v>
      </c>
      <c r="AQ168" s="49"/>
      <c r="AR168" s="49"/>
      <c r="AS168" s="7"/>
      <c r="AT168" s="7"/>
      <c r="AU168" s="59">
        <f t="shared" si="22"/>
        <v>2</v>
      </c>
      <c r="AV168" s="7"/>
      <c r="AW168" s="7"/>
      <c r="AX168" s="49"/>
      <c r="AY168" s="49">
        <v>3</v>
      </c>
      <c r="AZ168" s="49">
        <v>5</v>
      </c>
      <c r="BA168" s="59">
        <f t="shared" si="23"/>
        <v>4</v>
      </c>
    </row>
    <row r="169" spans="1:53" ht="23.1" customHeight="1" x14ac:dyDescent="0.3">
      <c r="A169" s="49">
        <v>167</v>
      </c>
      <c r="B169" s="49" t="s">
        <v>192</v>
      </c>
      <c r="C169" s="49" t="s">
        <v>193</v>
      </c>
      <c r="D169" s="49" t="s">
        <v>450</v>
      </c>
      <c r="E169" s="49" t="s">
        <v>161</v>
      </c>
      <c r="F169" s="49">
        <v>2</v>
      </c>
      <c r="G169" s="49">
        <v>3</v>
      </c>
      <c r="H169" s="49">
        <v>3</v>
      </c>
      <c r="I169" s="49">
        <v>2</v>
      </c>
      <c r="J169" s="49"/>
      <c r="K169" s="59">
        <f t="shared" si="16"/>
        <v>2.5</v>
      </c>
      <c r="L169" s="49">
        <v>3</v>
      </c>
      <c r="M169" s="49">
        <v>3</v>
      </c>
      <c r="N169" s="49">
        <v>3</v>
      </c>
      <c r="O169" s="49">
        <v>3</v>
      </c>
      <c r="P169" s="49">
        <v>2</v>
      </c>
      <c r="Q169" s="59">
        <f t="shared" si="17"/>
        <v>2.8</v>
      </c>
      <c r="R169" s="49"/>
      <c r="S169" s="49">
        <v>2</v>
      </c>
      <c r="T169" s="49"/>
      <c r="U169" s="49"/>
      <c r="V169" s="49"/>
      <c r="W169" s="59">
        <f t="shared" si="18"/>
        <v>2</v>
      </c>
      <c r="X169" s="49"/>
      <c r="Y169" s="49"/>
      <c r="Z169" s="49"/>
      <c r="AA169" s="49"/>
      <c r="AB169" s="49"/>
      <c r="AC169" s="59" t="str">
        <f t="shared" si="19"/>
        <v>A</v>
      </c>
      <c r="AD169" s="49"/>
      <c r="AE169" s="49"/>
      <c r="AF169" s="49"/>
      <c r="AG169" s="49"/>
      <c r="AH169" s="49"/>
      <c r="AI169" s="59" t="str">
        <f t="shared" si="20"/>
        <v>A</v>
      </c>
      <c r="AJ169" s="49">
        <v>2</v>
      </c>
      <c r="AK169" s="49">
        <v>2</v>
      </c>
      <c r="AL169" s="49"/>
      <c r="AM169" s="49">
        <v>3</v>
      </c>
      <c r="AN169" s="49"/>
      <c r="AO169" s="59">
        <f t="shared" si="21"/>
        <v>2</v>
      </c>
      <c r="AP169" s="49">
        <v>3</v>
      </c>
      <c r="AQ169" s="49"/>
      <c r="AR169" s="49"/>
      <c r="AS169" s="49"/>
      <c r="AT169" s="49"/>
      <c r="AU169" s="59">
        <f t="shared" si="22"/>
        <v>3</v>
      </c>
      <c r="AV169" s="49"/>
      <c r="AW169" s="49"/>
      <c r="AX169" s="49"/>
      <c r="AY169" s="49">
        <v>2</v>
      </c>
      <c r="AZ169" s="49">
        <v>3</v>
      </c>
      <c r="BA169" s="59">
        <f t="shared" si="23"/>
        <v>2.5</v>
      </c>
    </row>
    <row r="170" spans="1:53" ht="23.1" customHeight="1" x14ac:dyDescent="0.3">
      <c r="A170" s="7">
        <v>168</v>
      </c>
      <c r="B170" s="7" t="s">
        <v>223</v>
      </c>
      <c r="C170" s="7" t="s">
        <v>224</v>
      </c>
      <c r="D170" s="7" t="s">
        <v>542</v>
      </c>
      <c r="E170" s="7" t="s">
        <v>161</v>
      </c>
      <c r="F170" s="49">
        <v>3</v>
      </c>
      <c r="G170" s="49">
        <v>3</v>
      </c>
      <c r="H170" s="49">
        <v>3</v>
      </c>
      <c r="I170" s="49">
        <v>3</v>
      </c>
      <c r="J170" s="7"/>
      <c r="K170" s="59">
        <f t="shared" si="16"/>
        <v>3</v>
      </c>
      <c r="L170" s="49">
        <v>3</v>
      </c>
      <c r="M170" s="49">
        <v>3</v>
      </c>
      <c r="N170" s="49">
        <v>3</v>
      </c>
      <c r="O170" s="49">
        <v>3</v>
      </c>
      <c r="P170" s="49">
        <v>3</v>
      </c>
      <c r="Q170" s="59">
        <f t="shared" si="17"/>
        <v>3</v>
      </c>
      <c r="R170" s="49"/>
      <c r="S170" s="49">
        <v>3</v>
      </c>
      <c r="T170" s="7"/>
      <c r="U170" s="49"/>
      <c r="V170" s="7"/>
      <c r="W170" s="59">
        <f t="shared" si="18"/>
        <v>3</v>
      </c>
      <c r="X170" s="49"/>
      <c r="Y170" s="49"/>
      <c r="Z170" s="7"/>
      <c r="AA170" s="7"/>
      <c r="AB170" s="7"/>
      <c r="AC170" s="59" t="str">
        <f t="shared" si="19"/>
        <v>A</v>
      </c>
      <c r="AD170" s="49"/>
      <c r="AE170" s="7"/>
      <c r="AF170" s="49"/>
      <c r="AG170" s="7"/>
      <c r="AH170" s="7"/>
      <c r="AI170" s="59" t="str">
        <f t="shared" si="20"/>
        <v>A</v>
      </c>
      <c r="AJ170" s="49">
        <v>3</v>
      </c>
      <c r="AK170" s="49">
        <v>3</v>
      </c>
      <c r="AL170" s="7"/>
      <c r="AM170" s="49">
        <v>3</v>
      </c>
      <c r="AN170" s="7"/>
      <c r="AO170" s="59">
        <f t="shared" si="21"/>
        <v>3</v>
      </c>
      <c r="AP170" s="49">
        <v>3</v>
      </c>
      <c r="AQ170" s="49"/>
      <c r="AR170" s="49"/>
      <c r="AS170" s="7"/>
      <c r="AT170" s="7"/>
      <c r="AU170" s="59">
        <f t="shared" si="22"/>
        <v>3</v>
      </c>
      <c r="AV170" s="7"/>
      <c r="AW170" s="7"/>
      <c r="AX170" s="49"/>
      <c r="AY170" s="49">
        <v>3</v>
      </c>
      <c r="AZ170" s="49">
        <v>3</v>
      </c>
      <c r="BA170" s="59">
        <f t="shared" si="23"/>
        <v>3</v>
      </c>
    </row>
    <row r="171" spans="1:53" ht="23.1" customHeight="1" x14ac:dyDescent="0.3">
      <c r="A171" s="49">
        <v>169</v>
      </c>
      <c r="B171" s="49" t="s">
        <v>393</v>
      </c>
      <c r="C171" s="49" t="s">
        <v>394</v>
      </c>
      <c r="D171" s="49" t="s">
        <v>450</v>
      </c>
      <c r="E171" s="49" t="s">
        <v>493</v>
      </c>
      <c r="F171" s="49">
        <v>1</v>
      </c>
      <c r="G171" s="49">
        <v>2</v>
      </c>
      <c r="H171" s="49">
        <v>2</v>
      </c>
      <c r="I171" s="49">
        <v>2</v>
      </c>
      <c r="J171" s="49"/>
      <c r="K171" s="59">
        <f t="shared" si="16"/>
        <v>1.75</v>
      </c>
      <c r="L171" s="49">
        <v>2</v>
      </c>
      <c r="M171" s="49">
        <v>2</v>
      </c>
      <c r="N171" s="49">
        <v>2</v>
      </c>
      <c r="O171" s="49">
        <v>4</v>
      </c>
      <c r="P171" s="49">
        <v>2</v>
      </c>
      <c r="Q171" s="59">
        <f t="shared" si="17"/>
        <v>2.4</v>
      </c>
      <c r="R171" s="49"/>
      <c r="S171" s="49">
        <v>2</v>
      </c>
      <c r="T171" s="49"/>
      <c r="U171" s="49"/>
      <c r="V171" s="49"/>
      <c r="W171" s="59">
        <f t="shared" si="18"/>
        <v>2</v>
      </c>
      <c r="X171" s="49"/>
      <c r="Y171" s="49"/>
      <c r="Z171" s="49"/>
      <c r="AA171" s="49"/>
      <c r="AB171" s="49"/>
      <c r="AC171" s="59" t="str">
        <f t="shared" si="19"/>
        <v>A</v>
      </c>
      <c r="AD171" s="49"/>
      <c r="AE171" s="49"/>
      <c r="AF171" s="49"/>
      <c r="AG171" s="49"/>
      <c r="AH171" s="49"/>
      <c r="AI171" s="59" t="str">
        <f t="shared" si="20"/>
        <v>A</v>
      </c>
      <c r="AJ171" s="49">
        <v>3</v>
      </c>
      <c r="AK171" s="49">
        <v>2</v>
      </c>
      <c r="AL171" s="49"/>
      <c r="AM171" s="49">
        <v>2</v>
      </c>
      <c r="AN171" s="49"/>
      <c r="AO171" s="59">
        <f t="shared" si="21"/>
        <v>2.5</v>
      </c>
      <c r="AP171" s="49">
        <v>3</v>
      </c>
      <c r="AQ171" s="49"/>
      <c r="AR171" s="49"/>
      <c r="AS171" s="49"/>
      <c r="AT171" s="49"/>
      <c r="AU171" s="59">
        <f t="shared" si="22"/>
        <v>3</v>
      </c>
      <c r="AV171" s="49"/>
      <c r="AW171" s="49"/>
      <c r="AX171" s="49"/>
      <c r="AY171" s="49">
        <v>3</v>
      </c>
      <c r="AZ171" s="49">
        <v>2</v>
      </c>
      <c r="BA171" s="59">
        <f t="shared" si="23"/>
        <v>2.5</v>
      </c>
    </row>
    <row r="172" spans="1:53" ht="23.1" customHeight="1" x14ac:dyDescent="0.3">
      <c r="A172" s="7">
        <v>170</v>
      </c>
      <c r="B172" s="7" t="s">
        <v>395</v>
      </c>
      <c r="C172" s="7" t="s">
        <v>396</v>
      </c>
      <c r="D172" s="7" t="s">
        <v>542</v>
      </c>
      <c r="E172" s="7" t="s">
        <v>493</v>
      </c>
      <c r="F172" s="49">
        <v>3</v>
      </c>
      <c r="G172" s="49">
        <v>3</v>
      </c>
      <c r="H172" s="49">
        <v>3</v>
      </c>
      <c r="I172" s="49">
        <v>2</v>
      </c>
      <c r="J172" s="7"/>
      <c r="K172" s="59">
        <f t="shared" si="16"/>
        <v>2.75</v>
      </c>
      <c r="L172" s="49">
        <v>3</v>
      </c>
      <c r="M172" s="49">
        <v>3</v>
      </c>
      <c r="N172" s="49">
        <v>3</v>
      </c>
      <c r="O172" s="49">
        <v>3</v>
      </c>
      <c r="P172" s="49">
        <v>3</v>
      </c>
      <c r="Q172" s="59">
        <f t="shared" si="17"/>
        <v>3</v>
      </c>
      <c r="R172" s="49"/>
      <c r="S172" s="49">
        <v>3</v>
      </c>
      <c r="T172" s="7"/>
      <c r="U172" s="49"/>
      <c r="V172" s="7"/>
      <c r="W172" s="59">
        <f t="shared" si="18"/>
        <v>3</v>
      </c>
      <c r="X172" s="49"/>
      <c r="Y172" s="49"/>
      <c r="Z172" s="7"/>
      <c r="AA172" s="7"/>
      <c r="AB172" s="7"/>
      <c r="AC172" s="59" t="str">
        <f t="shared" si="19"/>
        <v>A</v>
      </c>
      <c r="AD172" s="49"/>
      <c r="AE172" s="7"/>
      <c r="AF172" s="49"/>
      <c r="AG172" s="7"/>
      <c r="AH172" s="7"/>
      <c r="AI172" s="59" t="str">
        <f t="shared" si="20"/>
        <v>A</v>
      </c>
      <c r="AJ172" s="49">
        <v>3</v>
      </c>
      <c r="AK172" s="49">
        <v>3</v>
      </c>
      <c r="AL172" s="7"/>
      <c r="AM172" s="49">
        <v>3</v>
      </c>
      <c r="AN172" s="7"/>
      <c r="AO172" s="59">
        <f t="shared" si="21"/>
        <v>3</v>
      </c>
      <c r="AP172" s="49">
        <v>3</v>
      </c>
      <c r="AQ172" s="49"/>
      <c r="AR172" s="49"/>
      <c r="AS172" s="7"/>
      <c r="AT172" s="7"/>
      <c r="AU172" s="59">
        <f t="shared" si="22"/>
        <v>3</v>
      </c>
      <c r="AV172" s="7"/>
      <c r="AW172" s="7"/>
      <c r="AX172" s="49"/>
      <c r="AY172" s="49">
        <v>3</v>
      </c>
      <c r="AZ172" s="49">
        <v>2</v>
      </c>
      <c r="BA172" s="59">
        <f t="shared" si="23"/>
        <v>2.5</v>
      </c>
    </row>
    <row r="173" spans="1:53" ht="23.1" customHeight="1" x14ac:dyDescent="0.3">
      <c r="A173" s="49">
        <v>171</v>
      </c>
      <c r="B173" s="49" t="s">
        <v>285</v>
      </c>
      <c r="C173" s="49" t="s">
        <v>286</v>
      </c>
      <c r="D173" s="49" t="s">
        <v>542</v>
      </c>
      <c r="E173" s="49" t="s">
        <v>161</v>
      </c>
      <c r="F173" s="49">
        <v>4</v>
      </c>
      <c r="G173" s="49">
        <v>4</v>
      </c>
      <c r="H173" s="49">
        <v>4</v>
      </c>
      <c r="I173" s="49">
        <v>3</v>
      </c>
      <c r="J173" s="49"/>
      <c r="K173" s="59">
        <f t="shared" si="16"/>
        <v>3.75</v>
      </c>
      <c r="L173" s="49">
        <v>3</v>
      </c>
      <c r="M173" s="49">
        <v>3</v>
      </c>
      <c r="N173" s="49">
        <v>3</v>
      </c>
      <c r="O173" s="49">
        <v>2</v>
      </c>
      <c r="P173" s="49">
        <v>3</v>
      </c>
      <c r="Q173" s="59">
        <f t="shared" si="17"/>
        <v>2.8</v>
      </c>
      <c r="R173" s="49"/>
      <c r="S173" s="49">
        <v>3</v>
      </c>
      <c r="T173" s="49"/>
      <c r="U173" s="49"/>
      <c r="V173" s="49"/>
      <c r="W173" s="59">
        <f t="shared" si="18"/>
        <v>3</v>
      </c>
      <c r="X173" s="49"/>
      <c r="Y173" s="49"/>
      <c r="Z173" s="49"/>
      <c r="AA173" s="49"/>
      <c r="AB173" s="49"/>
      <c r="AC173" s="59" t="str">
        <f t="shared" si="19"/>
        <v>A</v>
      </c>
      <c r="AD173" s="49"/>
      <c r="AE173" s="49"/>
      <c r="AF173" s="49"/>
      <c r="AG173" s="49"/>
      <c r="AH173" s="49"/>
      <c r="AI173" s="59" t="str">
        <f t="shared" si="20"/>
        <v>A</v>
      </c>
      <c r="AJ173" s="49">
        <v>3</v>
      </c>
      <c r="AK173" s="49">
        <v>3</v>
      </c>
      <c r="AL173" s="49"/>
      <c r="AM173" s="49">
        <v>3</v>
      </c>
      <c r="AN173" s="49"/>
      <c r="AO173" s="59">
        <f t="shared" si="21"/>
        <v>3</v>
      </c>
      <c r="AP173" s="49">
        <v>2</v>
      </c>
      <c r="AQ173" s="49"/>
      <c r="AR173" s="49"/>
      <c r="AS173" s="49"/>
      <c r="AT173" s="49"/>
      <c r="AU173" s="59">
        <f t="shared" si="22"/>
        <v>2</v>
      </c>
      <c r="AV173" s="49"/>
      <c r="AW173" s="49"/>
      <c r="AX173" s="49"/>
      <c r="AY173" s="49">
        <v>4</v>
      </c>
      <c r="AZ173" s="49">
        <v>3</v>
      </c>
      <c r="BA173" s="59">
        <f t="shared" si="23"/>
        <v>3.5</v>
      </c>
    </row>
    <row r="174" spans="1:53" ht="23.1" customHeight="1" x14ac:dyDescent="0.3">
      <c r="A174" s="7">
        <v>172</v>
      </c>
      <c r="B174" s="7" t="s">
        <v>397</v>
      </c>
      <c r="C174" s="7" t="s">
        <v>539</v>
      </c>
      <c r="D174" s="7" t="s">
        <v>542</v>
      </c>
      <c r="E174" s="7" t="s">
        <v>289</v>
      </c>
      <c r="F174" s="49">
        <v>2</v>
      </c>
      <c r="G174" s="49">
        <v>2</v>
      </c>
      <c r="H174" s="49">
        <v>2</v>
      </c>
      <c r="I174" s="49">
        <v>2</v>
      </c>
      <c r="J174" s="7"/>
      <c r="K174" s="59">
        <f t="shared" si="16"/>
        <v>2</v>
      </c>
      <c r="L174" s="49">
        <v>2</v>
      </c>
      <c r="M174" s="49">
        <v>2</v>
      </c>
      <c r="N174" s="49">
        <v>2</v>
      </c>
      <c r="O174" s="49">
        <v>2</v>
      </c>
      <c r="P174" s="49">
        <v>2</v>
      </c>
      <c r="Q174" s="59">
        <f t="shared" si="17"/>
        <v>2</v>
      </c>
      <c r="R174" s="49"/>
      <c r="S174" s="49">
        <v>2</v>
      </c>
      <c r="T174" s="7"/>
      <c r="U174" s="49"/>
      <c r="V174" s="7"/>
      <c r="W174" s="59">
        <f t="shared" si="18"/>
        <v>2</v>
      </c>
      <c r="X174" s="49"/>
      <c r="Y174" s="49"/>
      <c r="Z174" s="7"/>
      <c r="AA174" s="7"/>
      <c r="AB174" s="7"/>
      <c r="AC174" s="59" t="str">
        <f t="shared" si="19"/>
        <v>A</v>
      </c>
      <c r="AD174" s="49"/>
      <c r="AE174" s="7"/>
      <c r="AF174" s="49"/>
      <c r="AG174" s="7"/>
      <c r="AH174" s="7"/>
      <c r="AI174" s="59" t="str">
        <f t="shared" si="20"/>
        <v>A</v>
      </c>
      <c r="AJ174" s="49">
        <v>2</v>
      </c>
      <c r="AK174" s="49">
        <v>2</v>
      </c>
      <c r="AL174" s="7"/>
      <c r="AM174" s="49">
        <v>2</v>
      </c>
      <c r="AN174" s="7"/>
      <c r="AO174" s="59">
        <f t="shared" si="21"/>
        <v>2</v>
      </c>
      <c r="AP174" s="49">
        <v>2</v>
      </c>
      <c r="AQ174" s="49"/>
      <c r="AR174" s="49"/>
      <c r="AS174" s="7"/>
      <c r="AT174" s="7"/>
      <c r="AU174" s="59">
        <f t="shared" si="22"/>
        <v>2</v>
      </c>
      <c r="AV174" s="7"/>
      <c r="AW174" s="7"/>
      <c r="AX174" s="49"/>
      <c r="AY174" s="49">
        <v>3</v>
      </c>
      <c r="AZ174" s="49">
        <v>3</v>
      </c>
      <c r="BA174" s="59">
        <f t="shared" si="23"/>
        <v>3</v>
      </c>
    </row>
    <row r="175" spans="1:53" ht="23.1" customHeight="1" x14ac:dyDescent="0.3">
      <c r="A175" s="49">
        <v>173</v>
      </c>
      <c r="B175" s="49" t="s">
        <v>398</v>
      </c>
      <c r="C175" s="49" t="s">
        <v>399</v>
      </c>
      <c r="D175" s="49" t="s">
        <v>542</v>
      </c>
      <c r="E175" s="49" t="s">
        <v>493</v>
      </c>
      <c r="F175" s="49">
        <v>3</v>
      </c>
      <c r="G175" s="49">
        <v>2</v>
      </c>
      <c r="H175" s="49">
        <v>2</v>
      </c>
      <c r="I175" s="49">
        <v>2</v>
      </c>
      <c r="J175" s="49"/>
      <c r="K175" s="59">
        <f t="shared" si="16"/>
        <v>2.25</v>
      </c>
      <c r="L175" s="49">
        <v>4</v>
      </c>
      <c r="M175" s="49">
        <v>3</v>
      </c>
      <c r="N175" s="49">
        <v>3</v>
      </c>
      <c r="O175" s="49">
        <v>4</v>
      </c>
      <c r="P175" s="49">
        <v>4</v>
      </c>
      <c r="Q175" s="59">
        <f t="shared" si="17"/>
        <v>3.6</v>
      </c>
      <c r="R175" s="49"/>
      <c r="S175" s="49">
        <v>3</v>
      </c>
      <c r="T175" s="49"/>
      <c r="U175" s="49"/>
      <c r="V175" s="49"/>
      <c r="W175" s="59">
        <f t="shared" si="18"/>
        <v>3</v>
      </c>
      <c r="X175" s="49"/>
      <c r="Y175" s="49"/>
      <c r="Z175" s="49"/>
      <c r="AA175" s="49"/>
      <c r="AB175" s="49"/>
      <c r="AC175" s="59" t="str">
        <f t="shared" si="19"/>
        <v>A</v>
      </c>
      <c r="AD175" s="49"/>
      <c r="AE175" s="49"/>
      <c r="AF175" s="49"/>
      <c r="AG175" s="49"/>
      <c r="AH175" s="49"/>
      <c r="AI175" s="59" t="str">
        <f t="shared" si="20"/>
        <v>A</v>
      </c>
      <c r="AJ175" s="49">
        <v>3</v>
      </c>
      <c r="AK175" s="49">
        <v>2</v>
      </c>
      <c r="AL175" s="49"/>
      <c r="AM175" s="49">
        <v>2</v>
      </c>
      <c r="AN175" s="49"/>
      <c r="AO175" s="59">
        <f t="shared" si="21"/>
        <v>2.5</v>
      </c>
      <c r="AP175" s="49">
        <v>3</v>
      </c>
      <c r="AQ175" s="49"/>
      <c r="AR175" s="49"/>
      <c r="AS175" s="49"/>
      <c r="AT175" s="49"/>
      <c r="AU175" s="59">
        <f t="shared" si="22"/>
        <v>3</v>
      </c>
      <c r="AV175" s="49"/>
      <c r="AW175" s="49"/>
      <c r="AX175" s="49"/>
      <c r="AY175" s="49">
        <v>3</v>
      </c>
      <c r="AZ175" s="49">
        <v>3</v>
      </c>
      <c r="BA175" s="59">
        <f t="shared" si="23"/>
        <v>3</v>
      </c>
    </row>
    <row r="176" spans="1:53" ht="23.1" customHeight="1" x14ac:dyDescent="0.3">
      <c r="A176" s="7">
        <v>174</v>
      </c>
      <c r="B176" s="7" t="s">
        <v>400</v>
      </c>
      <c r="C176" s="7" t="s">
        <v>401</v>
      </c>
      <c r="D176" s="7" t="s">
        <v>542</v>
      </c>
      <c r="E176" s="7" t="s">
        <v>493</v>
      </c>
      <c r="F176" s="49">
        <v>2</v>
      </c>
      <c r="G176" s="49">
        <v>3</v>
      </c>
      <c r="H176" s="49">
        <v>2</v>
      </c>
      <c r="I176" s="49">
        <v>3</v>
      </c>
      <c r="J176" s="7"/>
      <c r="K176" s="59">
        <f t="shared" si="16"/>
        <v>2.5</v>
      </c>
      <c r="L176" s="49">
        <v>2</v>
      </c>
      <c r="M176" s="49">
        <v>2</v>
      </c>
      <c r="N176" s="49">
        <v>2</v>
      </c>
      <c r="O176" s="49">
        <v>2</v>
      </c>
      <c r="P176" s="49">
        <v>3</v>
      </c>
      <c r="Q176" s="59">
        <f t="shared" si="17"/>
        <v>2.2000000000000002</v>
      </c>
      <c r="R176" s="49"/>
      <c r="S176" s="49">
        <v>3</v>
      </c>
      <c r="T176" s="7"/>
      <c r="U176" s="49"/>
      <c r="V176" s="7"/>
      <c r="W176" s="59">
        <f t="shared" si="18"/>
        <v>3</v>
      </c>
      <c r="X176" s="49"/>
      <c r="Y176" s="49"/>
      <c r="Z176" s="7"/>
      <c r="AA176" s="7"/>
      <c r="AB176" s="7"/>
      <c r="AC176" s="59" t="str">
        <f t="shared" si="19"/>
        <v>A</v>
      </c>
      <c r="AD176" s="49"/>
      <c r="AE176" s="7"/>
      <c r="AF176" s="49"/>
      <c r="AG176" s="7"/>
      <c r="AH176" s="7"/>
      <c r="AI176" s="59" t="str">
        <f t="shared" si="20"/>
        <v>A</v>
      </c>
      <c r="AJ176" s="49">
        <v>3</v>
      </c>
      <c r="AK176" s="49">
        <v>3</v>
      </c>
      <c r="AL176" s="7"/>
      <c r="AM176" s="49">
        <v>3</v>
      </c>
      <c r="AN176" s="7"/>
      <c r="AO176" s="59">
        <f t="shared" si="21"/>
        <v>3</v>
      </c>
      <c r="AP176" s="49">
        <v>3</v>
      </c>
      <c r="AQ176" s="49"/>
      <c r="AR176" s="49"/>
      <c r="AS176" s="7"/>
      <c r="AT176" s="7"/>
      <c r="AU176" s="59">
        <f t="shared" si="22"/>
        <v>3</v>
      </c>
      <c r="AV176" s="7"/>
      <c r="AW176" s="7"/>
      <c r="AX176" s="49"/>
      <c r="AY176" s="49">
        <v>3</v>
      </c>
      <c r="AZ176" s="49">
        <v>3</v>
      </c>
      <c r="BA176" s="59">
        <f t="shared" si="23"/>
        <v>3</v>
      </c>
    </row>
    <row r="177" spans="1:53" ht="23.1" customHeight="1" x14ac:dyDescent="0.3">
      <c r="A177" s="49">
        <v>175</v>
      </c>
      <c r="B177" s="49" t="s">
        <v>120</v>
      </c>
      <c r="C177" s="49" t="s">
        <v>121</v>
      </c>
      <c r="D177" s="49" t="s">
        <v>450</v>
      </c>
      <c r="E177" s="49" t="s">
        <v>35</v>
      </c>
      <c r="F177" s="49">
        <v>1</v>
      </c>
      <c r="G177" s="49">
        <v>3</v>
      </c>
      <c r="H177" s="49">
        <v>1</v>
      </c>
      <c r="I177" s="49">
        <v>2</v>
      </c>
      <c r="J177" s="49"/>
      <c r="K177" s="59">
        <f t="shared" si="16"/>
        <v>1.75</v>
      </c>
      <c r="L177" s="49">
        <v>1</v>
      </c>
      <c r="M177" s="49">
        <v>3</v>
      </c>
      <c r="N177" s="49">
        <v>2</v>
      </c>
      <c r="O177" s="49">
        <v>3</v>
      </c>
      <c r="P177" s="49">
        <v>1</v>
      </c>
      <c r="Q177" s="59">
        <f t="shared" si="17"/>
        <v>2</v>
      </c>
      <c r="R177" s="49"/>
      <c r="S177" s="49">
        <v>2</v>
      </c>
      <c r="T177" s="49"/>
      <c r="U177" s="49"/>
      <c r="V177" s="49"/>
      <c r="W177" s="59">
        <f t="shared" si="18"/>
        <v>2</v>
      </c>
      <c r="X177" s="49"/>
      <c r="Y177" s="49"/>
      <c r="Z177" s="49"/>
      <c r="AA177" s="49"/>
      <c r="AB177" s="49"/>
      <c r="AC177" s="59" t="str">
        <f t="shared" si="19"/>
        <v>A</v>
      </c>
      <c r="AD177" s="49"/>
      <c r="AE177" s="49"/>
      <c r="AF177" s="49"/>
      <c r="AG177" s="49"/>
      <c r="AH177" s="49"/>
      <c r="AI177" s="59" t="str">
        <f t="shared" si="20"/>
        <v>A</v>
      </c>
      <c r="AJ177" s="49">
        <v>2</v>
      </c>
      <c r="AK177" s="49">
        <v>2</v>
      </c>
      <c r="AL177" s="49"/>
      <c r="AM177" s="49">
        <v>2</v>
      </c>
      <c r="AN177" s="49"/>
      <c r="AO177" s="59">
        <f t="shared" si="21"/>
        <v>2</v>
      </c>
      <c r="AP177" s="49">
        <v>3</v>
      </c>
      <c r="AQ177" s="49"/>
      <c r="AR177" s="49"/>
      <c r="AS177" s="49"/>
      <c r="AT177" s="49"/>
      <c r="AU177" s="59">
        <f t="shared" si="22"/>
        <v>3</v>
      </c>
      <c r="AV177" s="49"/>
      <c r="AW177" s="49"/>
      <c r="AX177" s="49"/>
      <c r="AY177" s="49">
        <v>3</v>
      </c>
      <c r="AZ177" s="49">
        <v>2</v>
      </c>
      <c r="BA177" s="59">
        <f t="shared" si="23"/>
        <v>2.5</v>
      </c>
    </row>
    <row r="178" spans="1:53" ht="23.1" customHeight="1" x14ac:dyDescent="0.3">
      <c r="A178" s="7">
        <v>176</v>
      </c>
      <c r="B178" s="7" t="s">
        <v>402</v>
      </c>
      <c r="C178" s="7" t="s">
        <v>403</v>
      </c>
      <c r="D178" s="7" t="s">
        <v>450</v>
      </c>
      <c r="E178" s="7" t="s">
        <v>493</v>
      </c>
      <c r="F178" s="49">
        <v>2</v>
      </c>
      <c r="G178" s="49">
        <v>2</v>
      </c>
      <c r="H178" s="49">
        <v>2</v>
      </c>
      <c r="I178" s="49">
        <v>2.5</v>
      </c>
      <c r="J178" s="7"/>
      <c r="K178" s="59">
        <f t="shared" si="16"/>
        <v>2.125</v>
      </c>
      <c r="L178" s="49">
        <v>2</v>
      </c>
      <c r="M178" s="49">
        <v>2.5</v>
      </c>
      <c r="N178" s="49">
        <v>2</v>
      </c>
      <c r="O178" s="49">
        <v>2</v>
      </c>
      <c r="P178" s="49">
        <v>2</v>
      </c>
      <c r="Q178" s="59">
        <f t="shared" si="17"/>
        <v>2.1</v>
      </c>
      <c r="R178" s="49"/>
      <c r="S178" s="49">
        <v>2.5</v>
      </c>
      <c r="T178" s="7"/>
      <c r="U178" s="49"/>
      <c r="V178" s="7"/>
      <c r="W178" s="59">
        <f t="shared" si="18"/>
        <v>2.5</v>
      </c>
      <c r="X178" s="49"/>
      <c r="Y178" s="49"/>
      <c r="Z178" s="7"/>
      <c r="AA178" s="7"/>
      <c r="AB178" s="7"/>
      <c r="AC178" s="59" t="str">
        <f t="shared" si="19"/>
        <v>A</v>
      </c>
      <c r="AD178" s="49"/>
      <c r="AE178" s="7"/>
      <c r="AF178" s="49"/>
      <c r="AG178" s="7"/>
      <c r="AH178" s="7"/>
      <c r="AI178" s="59" t="str">
        <f t="shared" si="20"/>
        <v>A</v>
      </c>
      <c r="AJ178" s="49">
        <v>2</v>
      </c>
      <c r="AK178" s="49">
        <v>2</v>
      </c>
      <c r="AL178" s="7"/>
      <c r="AM178" s="49">
        <v>2</v>
      </c>
      <c r="AN178" s="7"/>
      <c r="AO178" s="59">
        <f t="shared" si="21"/>
        <v>2</v>
      </c>
      <c r="AP178" s="49">
        <v>2</v>
      </c>
      <c r="AQ178" s="49"/>
      <c r="AR178" s="49"/>
      <c r="AS178" s="7"/>
      <c r="AT178" s="7"/>
      <c r="AU178" s="59">
        <f t="shared" si="22"/>
        <v>2</v>
      </c>
      <c r="AV178" s="7"/>
      <c r="AW178" s="7"/>
      <c r="AX178" s="49"/>
      <c r="AY178" s="49">
        <v>2</v>
      </c>
      <c r="AZ178" s="49">
        <v>2</v>
      </c>
      <c r="BA178" s="59">
        <f t="shared" si="23"/>
        <v>2</v>
      </c>
    </row>
    <row r="179" spans="1:53" ht="23.1" customHeight="1" x14ac:dyDescent="0.3">
      <c r="A179" s="49">
        <v>177</v>
      </c>
      <c r="B179" s="49" t="s">
        <v>271</v>
      </c>
      <c r="C179" s="49" t="s">
        <v>272</v>
      </c>
      <c r="D179" s="49" t="s">
        <v>450</v>
      </c>
      <c r="E179" s="49" t="s">
        <v>161</v>
      </c>
      <c r="F179" s="49">
        <v>3</v>
      </c>
      <c r="G179" s="49">
        <v>3</v>
      </c>
      <c r="H179" s="49">
        <v>0</v>
      </c>
      <c r="I179" s="49">
        <v>3</v>
      </c>
      <c r="J179" s="49"/>
      <c r="K179" s="59">
        <f t="shared" si="16"/>
        <v>2.25</v>
      </c>
      <c r="L179" s="49">
        <v>3</v>
      </c>
      <c r="M179" s="49">
        <v>3</v>
      </c>
      <c r="N179" s="49">
        <v>3</v>
      </c>
      <c r="O179" s="49">
        <v>3</v>
      </c>
      <c r="P179" s="49">
        <v>3</v>
      </c>
      <c r="Q179" s="59">
        <f t="shared" si="17"/>
        <v>3</v>
      </c>
      <c r="R179" s="49"/>
      <c r="S179" s="49">
        <v>3</v>
      </c>
      <c r="T179" s="49"/>
      <c r="U179" s="49"/>
      <c r="V179" s="49"/>
      <c r="W179" s="59">
        <f t="shared" si="18"/>
        <v>3</v>
      </c>
      <c r="X179" s="49"/>
      <c r="Y179" s="49"/>
      <c r="Z179" s="49"/>
      <c r="AA179" s="49"/>
      <c r="AB179" s="49"/>
      <c r="AC179" s="59" t="str">
        <f t="shared" si="19"/>
        <v>A</v>
      </c>
      <c r="AD179" s="49"/>
      <c r="AE179" s="49"/>
      <c r="AF179" s="49"/>
      <c r="AG179" s="49"/>
      <c r="AH179" s="49"/>
      <c r="AI179" s="59" t="str">
        <f t="shared" si="20"/>
        <v>A</v>
      </c>
      <c r="AJ179" s="49">
        <v>3</v>
      </c>
      <c r="AK179" s="49">
        <v>3</v>
      </c>
      <c r="AL179" s="49"/>
      <c r="AM179" s="49">
        <v>3</v>
      </c>
      <c r="AN179" s="49"/>
      <c r="AO179" s="59">
        <f t="shared" si="21"/>
        <v>3</v>
      </c>
      <c r="AP179" s="49">
        <v>3</v>
      </c>
      <c r="AQ179" s="49"/>
      <c r="AR179" s="49"/>
      <c r="AS179" s="49"/>
      <c r="AT179" s="49"/>
      <c r="AU179" s="59">
        <f t="shared" si="22"/>
        <v>3</v>
      </c>
      <c r="AV179" s="49"/>
      <c r="AW179" s="49"/>
      <c r="AX179" s="49"/>
      <c r="AY179" s="49">
        <v>3</v>
      </c>
      <c r="AZ179" s="49">
        <v>2</v>
      </c>
      <c r="BA179" s="59">
        <f t="shared" si="23"/>
        <v>2.5</v>
      </c>
    </row>
    <row r="180" spans="1:53" ht="23.1" customHeight="1" x14ac:dyDescent="0.3">
      <c r="A180" s="7">
        <v>178</v>
      </c>
      <c r="B180" s="7" t="s">
        <v>52</v>
      </c>
      <c r="C180" s="7" t="s">
        <v>53</v>
      </c>
      <c r="D180" s="7" t="s">
        <v>542</v>
      </c>
      <c r="E180" s="7" t="s">
        <v>35</v>
      </c>
      <c r="F180" s="49">
        <v>4</v>
      </c>
      <c r="G180" s="49">
        <v>0</v>
      </c>
      <c r="H180" s="49">
        <v>4</v>
      </c>
      <c r="I180" s="49">
        <v>3</v>
      </c>
      <c r="J180" s="7"/>
      <c r="K180" s="59">
        <f t="shared" si="16"/>
        <v>2.75</v>
      </c>
      <c r="L180" s="49">
        <v>3</v>
      </c>
      <c r="M180" s="49">
        <v>4</v>
      </c>
      <c r="N180" s="49">
        <v>2</v>
      </c>
      <c r="O180" s="49">
        <v>4</v>
      </c>
      <c r="P180" s="49">
        <v>4</v>
      </c>
      <c r="Q180" s="59">
        <f t="shared" si="17"/>
        <v>3.4</v>
      </c>
      <c r="R180" s="49"/>
      <c r="S180" s="49">
        <v>3</v>
      </c>
      <c r="T180" s="7"/>
      <c r="U180" s="49"/>
      <c r="V180" s="7"/>
      <c r="W180" s="59">
        <f t="shared" si="18"/>
        <v>3</v>
      </c>
      <c r="X180" s="49"/>
      <c r="Y180" s="49"/>
      <c r="Z180" s="7"/>
      <c r="AA180" s="7"/>
      <c r="AB180" s="7"/>
      <c r="AC180" s="59" t="str">
        <f t="shared" si="19"/>
        <v>A</v>
      </c>
      <c r="AD180" s="49"/>
      <c r="AE180" s="7"/>
      <c r="AF180" s="49"/>
      <c r="AG180" s="7"/>
      <c r="AH180" s="7"/>
      <c r="AI180" s="59" t="str">
        <f t="shared" si="20"/>
        <v>A</v>
      </c>
      <c r="AJ180" s="49">
        <v>3</v>
      </c>
      <c r="AK180" s="49">
        <v>3</v>
      </c>
      <c r="AL180" s="7"/>
      <c r="AM180" s="49">
        <v>3</v>
      </c>
      <c r="AN180" s="7"/>
      <c r="AO180" s="59">
        <f t="shared" si="21"/>
        <v>3</v>
      </c>
      <c r="AP180" s="49">
        <v>2</v>
      </c>
      <c r="AQ180" s="49"/>
      <c r="AR180" s="49"/>
      <c r="AS180" s="7"/>
      <c r="AT180" s="7"/>
      <c r="AU180" s="59">
        <f t="shared" si="22"/>
        <v>2</v>
      </c>
      <c r="AV180" s="7"/>
      <c r="AW180" s="7"/>
      <c r="AX180" s="49"/>
      <c r="AY180" s="49">
        <v>3</v>
      </c>
      <c r="AZ180" s="49">
        <v>3</v>
      </c>
      <c r="BA180" s="59">
        <f t="shared" si="23"/>
        <v>3</v>
      </c>
    </row>
    <row r="181" spans="1:53" ht="23.1" customHeight="1" x14ac:dyDescent="0.3">
      <c r="A181" s="49">
        <v>179</v>
      </c>
      <c r="B181" s="49" t="s">
        <v>239</v>
      </c>
      <c r="C181" s="49" t="s">
        <v>240</v>
      </c>
      <c r="D181" s="49" t="s">
        <v>542</v>
      </c>
      <c r="E181" s="49" t="s">
        <v>161</v>
      </c>
      <c r="F181" s="49">
        <v>3</v>
      </c>
      <c r="G181" s="49">
        <v>3</v>
      </c>
      <c r="H181" s="49">
        <v>3</v>
      </c>
      <c r="I181" s="49">
        <v>3</v>
      </c>
      <c r="J181" s="49"/>
      <c r="K181" s="59">
        <f t="shared" si="16"/>
        <v>3</v>
      </c>
      <c r="L181" s="49">
        <v>3</v>
      </c>
      <c r="M181" s="49">
        <v>3</v>
      </c>
      <c r="N181" s="49">
        <v>3</v>
      </c>
      <c r="O181" s="49">
        <v>3</v>
      </c>
      <c r="P181" s="49">
        <v>3</v>
      </c>
      <c r="Q181" s="59">
        <f t="shared" si="17"/>
        <v>3</v>
      </c>
      <c r="R181" s="49"/>
      <c r="S181" s="49">
        <v>3</v>
      </c>
      <c r="T181" s="49"/>
      <c r="U181" s="49"/>
      <c r="V181" s="49"/>
      <c r="W181" s="59">
        <f t="shared" si="18"/>
        <v>3</v>
      </c>
      <c r="X181" s="49"/>
      <c r="Y181" s="49"/>
      <c r="Z181" s="49"/>
      <c r="AA181" s="49"/>
      <c r="AB181" s="49"/>
      <c r="AC181" s="59" t="str">
        <f t="shared" si="19"/>
        <v>A</v>
      </c>
      <c r="AD181" s="49"/>
      <c r="AE181" s="49"/>
      <c r="AF181" s="49"/>
      <c r="AG181" s="49"/>
      <c r="AH181" s="49"/>
      <c r="AI181" s="59" t="str">
        <f t="shared" si="20"/>
        <v>A</v>
      </c>
      <c r="AJ181" s="49">
        <v>3</v>
      </c>
      <c r="AK181" s="49">
        <v>3</v>
      </c>
      <c r="AL181" s="49"/>
      <c r="AM181" s="49">
        <v>3</v>
      </c>
      <c r="AN181" s="49"/>
      <c r="AO181" s="59">
        <f t="shared" si="21"/>
        <v>3</v>
      </c>
      <c r="AP181" s="49">
        <v>3</v>
      </c>
      <c r="AQ181" s="49"/>
      <c r="AR181" s="49"/>
      <c r="AS181" s="49"/>
      <c r="AT181" s="49"/>
      <c r="AU181" s="59">
        <f t="shared" si="22"/>
        <v>3</v>
      </c>
      <c r="AV181" s="49"/>
      <c r="AW181" s="49"/>
      <c r="AX181" s="49"/>
      <c r="AY181" s="49">
        <v>3</v>
      </c>
      <c r="AZ181" s="49">
        <v>3</v>
      </c>
      <c r="BA181" s="59">
        <f t="shared" si="23"/>
        <v>3</v>
      </c>
    </row>
    <row r="182" spans="1:53" ht="23.1" customHeight="1" x14ac:dyDescent="0.3">
      <c r="A182" s="7">
        <v>180</v>
      </c>
      <c r="B182" s="7" t="s">
        <v>255</v>
      </c>
      <c r="C182" s="7" t="s">
        <v>256</v>
      </c>
      <c r="D182" s="7" t="s">
        <v>450</v>
      </c>
      <c r="E182" s="7" t="s">
        <v>161</v>
      </c>
      <c r="F182" s="49">
        <v>0</v>
      </c>
      <c r="G182" s="49">
        <v>0</v>
      </c>
      <c r="H182" s="49">
        <v>0</v>
      </c>
      <c r="I182" s="49">
        <v>0</v>
      </c>
      <c r="J182" s="7"/>
      <c r="K182" s="59">
        <f t="shared" si="16"/>
        <v>0</v>
      </c>
      <c r="L182" s="49">
        <v>0</v>
      </c>
      <c r="M182" s="49">
        <v>0</v>
      </c>
      <c r="N182" s="49">
        <v>0</v>
      </c>
      <c r="O182" s="49">
        <v>0</v>
      </c>
      <c r="P182" s="49">
        <v>0</v>
      </c>
      <c r="Q182" s="59">
        <f t="shared" si="17"/>
        <v>0</v>
      </c>
      <c r="R182" s="49"/>
      <c r="S182" s="49">
        <v>0</v>
      </c>
      <c r="T182" s="7"/>
      <c r="U182" s="49"/>
      <c r="V182" s="7"/>
      <c r="W182" s="59">
        <f t="shared" si="18"/>
        <v>0</v>
      </c>
      <c r="X182" s="49"/>
      <c r="Y182" s="49"/>
      <c r="Z182" s="7"/>
      <c r="AA182" s="7"/>
      <c r="AB182" s="7"/>
      <c r="AC182" s="59" t="str">
        <f t="shared" si="19"/>
        <v>A</v>
      </c>
      <c r="AD182" s="49"/>
      <c r="AE182" s="7"/>
      <c r="AF182" s="49"/>
      <c r="AG182" s="7"/>
      <c r="AH182" s="7"/>
      <c r="AI182" s="59" t="str">
        <f t="shared" si="20"/>
        <v>A</v>
      </c>
      <c r="AJ182" s="49">
        <v>0</v>
      </c>
      <c r="AK182" s="49">
        <v>0</v>
      </c>
      <c r="AL182" s="7"/>
      <c r="AM182" s="49">
        <v>0</v>
      </c>
      <c r="AN182" s="7"/>
      <c r="AO182" s="59">
        <f t="shared" si="21"/>
        <v>0</v>
      </c>
      <c r="AP182" s="49">
        <v>0</v>
      </c>
      <c r="AQ182" s="49"/>
      <c r="AR182" s="49"/>
      <c r="AS182" s="7"/>
      <c r="AT182" s="7"/>
      <c r="AU182" s="59">
        <f t="shared" si="22"/>
        <v>0</v>
      </c>
      <c r="AV182" s="7"/>
      <c r="AW182" s="7"/>
      <c r="AX182" s="49"/>
      <c r="AY182" s="49">
        <v>0</v>
      </c>
      <c r="AZ182" s="49">
        <v>0</v>
      </c>
      <c r="BA182" s="59">
        <f t="shared" si="23"/>
        <v>0</v>
      </c>
    </row>
    <row r="183" spans="1:53" ht="23.1" customHeight="1" x14ac:dyDescent="0.3">
      <c r="A183" s="49">
        <v>181</v>
      </c>
      <c r="B183" s="49" t="s">
        <v>404</v>
      </c>
      <c r="C183" s="49" t="s">
        <v>405</v>
      </c>
      <c r="D183" s="49" t="s">
        <v>450</v>
      </c>
      <c r="E183" s="49" t="s">
        <v>493</v>
      </c>
      <c r="F183" s="49">
        <v>2</v>
      </c>
      <c r="G183" s="49">
        <v>3</v>
      </c>
      <c r="H183" s="49">
        <v>2</v>
      </c>
      <c r="I183" s="49">
        <v>2</v>
      </c>
      <c r="J183" s="49"/>
      <c r="K183" s="59">
        <f t="shared" si="16"/>
        <v>2.25</v>
      </c>
      <c r="L183" s="49">
        <v>2</v>
      </c>
      <c r="M183" s="49">
        <v>3</v>
      </c>
      <c r="N183" s="49">
        <v>1</v>
      </c>
      <c r="O183" s="49">
        <v>3</v>
      </c>
      <c r="P183" s="49">
        <v>3</v>
      </c>
      <c r="Q183" s="59">
        <f t="shared" si="17"/>
        <v>2.4</v>
      </c>
      <c r="R183" s="49"/>
      <c r="S183" s="49">
        <v>3</v>
      </c>
      <c r="T183" s="49"/>
      <c r="U183" s="49"/>
      <c r="V183" s="49"/>
      <c r="W183" s="59">
        <f t="shared" si="18"/>
        <v>3</v>
      </c>
      <c r="X183" s="49"/>
      <c r="Y183" s="49"/>
      <c r="Z183" s="49"/>
      <c r="AA183" s="49"/>
      <c r="AB183" s="49"/>
      <c r="AC183" s="59" t="str">
        <f t="shared" si="19"/>
        <v>A</v>
      </c>
      <c r="AD183" s="49"/>
      <c r="AE183" s="49"/>
      <c r="AF183" s="49"/>
      <c r="AG183" s="49"/>
      <c r="AH183" s="49"/>
      <c r="AI183" s="59" t="str">
        <f t="shared" si="20"/>
        <v>A</v>
      </c>
      <c r="AJ183" s="49">
        <v>3</v>
      </c>
      <c r="AK183" s="49">
        <v>2</v>
      </c>
      <c r="AL183" s="49"/>
      <c r="AM183" s="49">
        <v>3</v>
      </c>
      <c r="AN183" s="49"/>
      <c r="AO183" s="59">
        <f t="shared" si="21"/>
        <v>2.5</v>
      </c>
      <c r="AP183" s="49">
        <v>3</v>
      </c>
      <c r="AQ183" s="49"/>
      <c r="AR183" s="49"/>
      <c r="AS183" s="49"/>
      <c r="AT183" s="49"/>
      <c r="AU183" s="59">
        <f t="shared" si="22"/>
        <v>3</v>
      </c>
      <c r="AV183" s="49"/>
      <c r="AW183" s="49"/>
      <c r="AX183" s="49"/>
      <c r="AY183" s="49">
        <v>3</v>
      </c>
      <c r="AZ183" s="49">
        <v>4</v>
      </c>
      <c r="BA183" s="59">
        <f t="shared" si="23"/>
        <v>3.5</v>
      </c>
    </row>
    <row r="184" spans="1:53" ht="23.1" customHeight="1" x14ac:dyDescent="0.3">
      <c r="A184" s="7">
        <v>182</v>
      </c>
      <c r="B184" s="7" t="s">
        <v>44</v>
      </c>
      <c r="C184" s="7" t="s">
        <v>45</v>
      </c>
      <c r="D184" s="7" t="s">
        <v>450</v>
      </c>
      <c r="E184" s="7" t="s">
        <v>35</v>
      </c>
      <c r="F184" s="49">
        <v>4</v>
      </c>
      <c r="G184" s="49">
        <v>4</v>
      </c>
      <c r="H184" s="49">
        <v>4</v>
      </c>
      <c r="I184" s="49">
        <v>4</v>
      </c>
      <c r="J184" s="7"/>
      <c r="K184" s="59">
        <f t="shared" si="16"/>
        <v>4</v>
      </c>
      <c r="L184" s="49">
        <v>4</v>
      </c>
      <c r="M184" s="49">
        <v>4</v>
      </c>
      <c r="N184" s="49">
        <v>4</v>
      </c>
      <c r="O184" s="49">
        <v>4</v>
      </c>
      <c r="P184" s="49">
        <v>4</v>
      </c>
      <c r="Q184" s="59">
        <f t="shared" si="17"/>
        <v>4</v>
      </c>
      <c r="R184" s="49"/>
      <c r="S184" s="49">
        <v>4</v>
      </c>
      <c r="T184" s="7"/>
      <c r="U184" s="49"/>
      <c r="V184" s="7"/>
      <c r="W184" s="59">
        <f t="shared" si="18"/>
        <v>4</v>
      </c>
      <c r="X184" s="49"/>
      <c r="Y184" s="49"/>
      <c r="Z184" s="7"/>
      <c r="AA184" s="7"/>
      <c r="AB184" s="7"/>
      <c r="AC184" s="59" t="str">
        <f t="shared" si="19"/>
        <v>A</v>
      </c>
      <c r="AD184" s="49"/>
      <c r="AE184" s="7"/>
      <c r="AF184" s="49"/>
      <c r="AG184" s="7"/>
      <c r="AH184" s="7"/>
      <c r="AI184" s="59" t="str">
        <f t="shared" si="20"/>
        <v>A</v>
      </c>
      <c r="AJ184" s="49">
        <v>3</v>
      </c>
      <c r="AK184" s="49">
        <v>4</v>
      </c>
      <c r="AL184" s="7"/>
      <c r="AM184" s="49">
        <v>4</v>
      </c>
      <c r="AN184" s="7"/>
      <c r="AO184" s="59">
        <f t="shared" si="21"/>
        <v>3.5</v>
      </c>
      <c r="AP184" s="49">
        <v>2</v>
      </c>
      <c r="AQ184" s="49"/>
      <c r="AR184" s="49"/>
      <c r="AS184" s="7"/>
      <c r="AT184" s="7"/>
      <c r="AU184" s="59">
        <f t="shared" si="22"/>
        <v>2</v>
      </c>
      <c r="AV184" s="7"/>
      <c r="AW184" s="7"/>
      <c r="AX184" s="49"/>
      <c r="AY184" s="49">
        <v>3</v>
      </c>
      <c r="AZ184" s="49">
        <v>4</v>
      </c>
      <c r="BA184" s="59">
        <f t="shared" si="23"/>
        <v>3.5</v>
      </c>
    </row>
    <row r="185" spans="1:53" ht="23.1" customHeight="1" x14ac:dyDescent="0.3">
      <c r="A185" s="49">
        <v>183</v>
      </c>
      <c r="B185" s="49" t="s">
        <v>406</v>
      </c>
      <c r="C185" s="49" t="s">
        <v>407</v>
      </c>
      <c r="D185" s="49" t="s">
        <v>450</v>
      </c>
      <c r="E185" s="49" t="s">
        <v>493</v>
      </c>
      <c r="F185" s="49">
        <v>2</v>
      </c>
      <c r="G185" s="49">
        <v>2</v>
      </c>
      <c r="H185" s="49">
        <v>2</v>
      </c>
      <c r="I185" s="49">
        <v>2</v>
      </c>
      <c r="J185" s="49"/>
      <c r="K185" s="59">
        <f t="shared" si="16"/>
        <v>2</v>
      </c>
      <c r="L185" s="49">
        <v>1</v>
      </c>
      <c r="M185" s="49">
        <v>4</v>
      </c>
      <c r="N185" s="49">
        <v>2</v>
      </c>
      <c r="O185" s="49">
        <v>2</v>
      </c>
      <c r="P185" s="49">
        <v>3</v>
      </c>
      <c r="Q185" s="59">
        <f t="shared" si="17"/>
        <v>2.4</v>
      </c>
      <c r="R185" s="49"/>
      <c r="S185" s="49">
        <v>2</v>
      </c>
      <c r="T185" s="49"/>
      <c r="U185" s="49"/>
      <c r="V185" s="49"/>
      <c r="W185" s="59">
        <f t="shared" si="18"/>
        <v>2</v>
      </c>
      <c r="X185" s="49"/>
      <c r="Y185" s="49"/>
      <c r="Z185" s="49"/>
      <c r="AA185" s="49"/>
      <c r="AB185" s="49"/>
      <c r="AC185" s="59" t="str">
        <f t="shared" si="19"/>
        <v>A</v>
      </c>
      <c r="AD185" s="49"/>
      <c r="AE185" s="49"/>
      <c r="AF185" s="49"/>
      <c r="AG185" s="49"/>
      <c r="AH185" s="49"/>
      <c r="AI185" s="59" t="str">
        <f t="shared" si="20"/>
        <v>A</v>
      </c>
      <c r="AJ185" s="49">
        <v>2</v>
      </c>
      <c r="AK185" s="49">
        <v>3</v>
      </c>
      <c r="AL185" s="49"/>
      <c r="AM185" s="49">
        <v>2</v>
      </c>
      <c r="AN185" s="49"/>
      <c r="AO185" s="59">
        <f t="shared" si="21"/>
        <v>2.5</v>
      </c>
      <c r="AP185" s="49">
        <v>2</v>
      </c>
      <c r="AQ185" s="49"/>
      <c r="AR185" s="49"/>
      <c r="AS185" s="49"/>
      <c r="AT185" s="49"/>
      <c r="AU185" s="59">
        <f t="shared" si="22"/>
        <v>2</v>
      </c>
      <c r="AV185" s="49"/>
      <c r="AW185" s="49"/>
      <c r="AX185" s="49"/>
      <c r="AY185" s="49">
        <v>2</v>
      </c>
      <c r="AZ185" s="49">
        <v>3</v>
      </c>
      <c r="BA185" s="59">
        <f t="shared" si="23"/>
        <v>2.5</v>
      </c>
    </row>
    <row r="186" spans="1:53" ht="23.1" customHeight="1" x14ac:dyDescent="0.3">
      <c r="A186" s="7">
        <v>184</v>
      </c>
      <c r="B186" s="7" t="s">
        <v>287</v>
      </c>
      <c r="C186" s="7" t="s">
        <v>288</v>
      </c>
      <c r="D186" s="7" t="s">
        <v>450</v>
      </c>
      <c r="E186" s="7" t="s">
        <v>161</v>
      </c>
      <c r="F186" s="49">
        <v>3</v>
      </c>
      <c r="G186" s="49">
        <v>4</v>
      </c>
      <c r="H186" s="49">
        <v>4</v>
      </c>
      <c r="I186" s="49">
        <v>3</v>
      </c>
      <c r="J186" s="7"/>
      <c r="K186" s="59">
        <f t="shared" si="16"/>
        <v>3.5</v>
      </c>
      <c r="L186" s="49">
        <v>3</v>
      </c>
      <c r="M186" s="49">
        <v>3</v>
      </c>
      <c r="N186" s="49">
        <v>2</v>
      </c>
      <c r="O186" s="49">
        <v>3</v>
      </c>
      <c r="P186" s="49">
        <v>3</v>
      </c>
      <c r="Q186" s="59">
        <f t="shared" si="17"/>
        <v>2.8</v>
      </c>
      <c r="R186" s="49"/>
      <c r="S186" s="49">
        <v>4</v>
      </c>
      <c r="T186" s="7"/>
      <c r="U186" s="49"/>
      <c r="V186" s="7"/>
      <c r="W186" s="59">
        <f t="shared" si="18"/>
        <v>4</v>
      </c>
      <c r="X186" s="49"/>
      <c r="Y186" s="49"/>
      <c r="Z186" s="7"/>
      <c r="AA186" s="7"/>
      <c r="AB186" s="7"/>
      <c r="AC186" s="59" t="str">
        <f t="shared" si="19"/>
        <v>A</v>
      </c>
      <c r="AD186" s="49"/>
      <c r="AE186" s="7"/>
      <c r="AF186" s="49"/>
      <c r="AG186" s="7"/>
      <c r="AH186" s="7"/>
      <c r="AI186" s="59" t="str">
        <f t="shared" si="20"/>
        <v>A</v>
      </c>
      <c r="AJ186" s="49">
        <v>3</v>
      </c>
      <c r="AK186" s="49">
        <v>2</v>
      </c>
      <c r="AL186" s="7"/>
      <c r="AM186" s="49">
        <v>3</v>
      </c>
      <c r="AN186" s="7"/>
      <c r="AO186" s="59">
        <f t="shared" si="21"/>
        <v>2.5</v>
      </c>
      <c r="AP186" s="49">
        <v>3</v>
      </c>
      <c r="AQ186" s="49"/>
      <c r="AR186" s="49"/>
      <c r="AS186" s="7"/>
      <c r="AT186" s="7"/>
      <c r="AU186" s="59">
        <f t="shared" si="22"/>
        <v>3</v>
      </c>
      <c r="AV186" s="7"/>
      <c r="AW186" s="7"/>
      <c r="AX186" s="49"/>
      <c r="AY186" s="49">
        <v>3</v>
      </c>
      <c r="AZ186" s="49">
        <v>3</v>
      </c>
      <c r="BA186" s="59">
        <f t="shared" si="23"/>
        <v>3</v>
      </c>
    </row>
    <row r="187" spans="1:53" ht="23.1" customHeight="1" x14ac:dyDescent="0.3">
      <c r="A187" s="49">
        <v>185</v>
      </c>
      <c r="B187" s="49" t="s">
        <v>408</v>
      </c>
      <c r="C187" s="49" t="s">
        <v>409</v>
      </c>
      <c r="D187" s="49" t="s">
        <v>450</v>
      </c>
      <c r="E187" s="49" t="s">
        <v>493</v>
      </c>
      <c r="F187" s="49">
        <v>3</v>
      </c>
      <c r="G187" s="49">
        <v>1</v>
      </c>
      <c r="H187" s="49">
        <v>2</v>
      </c>
      <c r="I187" s="49">
        <v>3</v>
      </c>
      <c r="J187" s="49"/>
      <c r="K187" s="59">
        <f t="shared" si="16"/>
        <v>2.25</v>
      </c>
      <c r="L187" s="49">
        <v>3</v>
      </c>
      <c r="M187" s="49">
        <v>3</v>
      </c>
      <c r="N187" s="49">
        <v>3</v>
      </c>
      <c r="O187" s="49">
        <v>2</v>
      </c>
      <c r="P187" s="49">
        <v>3</v>
      </c>
      <c r="Q187" s="59">
        <f t="shared" si="17"/>
        <v>2.8</v>
      </c>
      <c r="R187" s="49"/>
      <c r="S187" s="49">
        <v>2</v>
      </c>
      <c r="T187" s="49"/>
      <c r="U187" s="49"/>
      <c r="V187" s="49"/>
      <c r="W187" s="59">
        <f t="shared" si="18"/>
        <v>2</v>
      </c>
      <c r="X187" s="49"/>
      <c r="Y187" s="49"/>
      <c r="Z187" s="49"/>
      <c r="AA187" s="49"/>
      <c r="AB187" s="49"/>
      <c r="AC187" s="59" t="str">
        <f t="shared" si="19"/>
        <v>A</v>
      </c>
      <c r="AD187" s="49"/>
      <c r="AE187" s="49"/>
      <c r="AF187" s="49"/>
      <c r="AG187" s="49"/>
      <c r="AH187" s="49"/>
      <c r="AI187" s="59" t="str">
        <f t="shared" si="20"/>
        <v>A</v>
      </c>
      <c r="AJ187" s="49">
        <v>3</v>
      </c>
      <c r="AK187" s="49">
        <v>3</v>
      </c>
      <c r="AL187" s="49"/>
      <c r="AM187" s="49">
        <v>3</v>
      </c>
      <c r="AN187" s="49"/>
      <c r="AO187" s="59">
        <f t="shared" si="21"/>
        <v>3</v>
      </c>
      <c r="AP187" s="49">
        <v>3</v>
      </c>
      <c r="AQ187" s="49"/>
      <c r="AR187" s="49"/>
      <c r="AS187" s="49"/>
      <c r="AT187" s="49"/>
      <c r="AU187" s="59">
        <f t="shared" si="22"/>
        <v>3</v>
      </c>
      <c r="AV187" s="49"/>
      <c r="AW187" s="49"/>
      <c r="AX187" s="49"/>
      <c r="AY187" s="49">
        <v>3</v>
      </c>
      <c r="AZ187" s="49">
        <v>2</v>
      </c>
      <c r="BA187" s="59">
        <f t="shared" si="23"/>
        <v>2.5</v>
      </c>
    </row>
    <row r="188" spans="1:53" ht="23.1" customHeight="1" x14ac:dyDescent="0.3">
      <c r="A188" s="7">
        <v>186</v>
      </c>
      <c r="B188" s="7" t="s">
        <v>410</v>
      </c>
      <c r="C188" s="7" t="s">
        <v>411</v>
      </c>
      <c r="D188" s="7" t="s">
        <v>450</v>
      </c>
      <c r="E188" s="7" t="s">
        <v>493</v>
      </c>
      <c r="F188" s="49">
        <v>2</v>
      </c>
      <c r="G188" s="49">
        <v>3</v>
      </c>
      <c r="H188" s="49">
        <v>2</v>
      </c>
      <c r="I188" s="49">
        <v>2</v>
      </c>
      <c r="J188" s="7"/>
      <c r="K188" s="59">
        <f t="shared" si="16"/>
        <v>2.25</v>
      </c>
      <c r="L188" s="49">
        <v>2</v>
      </c>
      <c r="M188" s="49">
        <v>4</v>
      </c>
      <c r="N188" s="49">
        <v>3</v>
      </c>
      <c r="O188" s="49">
        <v>4</v>
      </c>
      <c r="P188" s="49">
        <v>3</v>
      </c>
      <c r="Q188" s="59">
        <f t="shared" si="17"/>
        <v>3.2</v>
      </c>
      <c r="R188" s="49"/>
      <c r="S188" s="49">
        <v>2</v>
      </c>
      <c r="T188" s="7"/>
      <c r="U188" s="49"/>
      <c r="V188" s="7"/>
      <c r="W188" s="59">
        <f t="shared" si="18"/>
        <v>2</v>
      </c>
      <c r="X188" s="49"/>
      <c r="Y188" s="49"/>
      <c r="Z188" s="7"/>
      <c r="AA188" s="7"/>
      <c r="AB188" s="7"/>
      <c r="AC188" s="59" t="str">
        <f t="shared" si="19"/>
        <v>A</v>
      </c>
      <c r="AD188" s="49"/>
      <c r="AE188" s="7"/>
      <c r="AF188" s="49"/>
      <c r="AG188" s="7"/>
      <c r="AH188" s="7"/>
      <c r="AI188" s="59" t="str">
        <f t="shared" si="20"/>
        <v>A</v>
      </c>
      <c r="AJ188" s="49">
        <v>3</v>
      </c>
      <c r="AK188" s="49">
        <v>3</v>
      </c>
      <c r="AL188" s="7"/>
      <c r="AM188" s="49">
        <v>2</v>
      </c>
      <c r="AN188" s="7"/>
      <c r="AO188" s="59">
        <f t="shared" si="21"/>
        <v>3</v>
      </c>
      <c r="AP188" s="49">
        <v>2</v>
      </c>
      <c r="AQ188" s="49"/>
      <c r="AR188" s="49"/>
      <c r="AS188" s="7"/>
      <c r="AT188" s="7"/>
      <c r="AU188" s="59">
        <f t="shared" si="22"/>
        <v>2</v>
      </c>
      <c r="AV188" s="7"/>
      <c r="AW188" s="7"/>
      <c r="AX188" s="49"/>
      <c r="AY188" s="49">
        <v>3</v>
      </c>
      <c r="AZ188" s="49">
        <v>3</v>
      </c>
      <c r="BA188" s="59">
        <f t="shared" si="23"/>
        <v>3</v>
      </c>
    </row>
    <row r="189" spans="1:53" ht="23.1" customHeight="1" x14ac:dyDescent="0.3">
      <c r="A189" s="49">
        <v>187</v>
      </c>
      <c r="B189" s="49" t="s">
        <v>412</v>
      </c>
      <c r="C189" s="49" t="s">
        <v>413</v>
      </c>
      <c r="D189" s="49" t="s">
        <v>542</v>
      </c>
      <c r="E189" s="49" t="s">
        <v>493</v>
      </c>
      <c r="F189" s="49">
        <v>3</v>
      </c>
      <c r="G189" s="49">
        <v>3</v>
      </c>
      <c r="H189" s="49">
        <v>3</v>
      </c>
      <c r="I189" s="49">
        <v>3</v>
      </c>
      <c r="J189" s="49"/>
      <c r="K189" s="59">
        <f t="shared" si="16"/>
        <v>3</v>
      </c>
      <c r="L189" s="49">
        <v>3</v>
      </c>
      <c r="M189" s="49">
        <v>3</v>
      </c>
      <c r="N189" s="49">
        <v>3</v>
      </c>
      <c r="O189" s="49">
        <v>3</v>
      </c>
      <c r="P189" s="49">
        <v>4</v>
      </c>
      <c r="Q189" s="59">
        <f t="shared" si="17"/>
        <v>3.2</v>
      </c>
      <c r="R189" s="49"/>
      <c r="S189" s="49">
        <v>3</v>
      </c>
      <c r="T189" s="49"/>
      <c r="U189" s="49"/>
      <c r="V189" s="49"/>
      <c r="W189" s="59">
        <f t="shared" si="18"/>
        <v>3</v>
      </c>
      <c r="X189" s="49"/>
      <c r="Y189" s="49"/>
      <c r="Z189" s="49"/>
      <c r="AA189" s="49"/>
      <c r="AB189" s="49"/>
      <c r="AC189" s="59" t="str">
        <f t="shared" si="19"/>
        <v>A</v>
      </c>
      <c r="AD189" s="49"/>
      <c r="AE189" s="49"/>
      <c r="AF189" s="49"/>
      <c r="AG189" s="49"/>
      <c r="AH189" s="49"/>
      <c r="AI189" s="59" t="str">
        <f t="shared" si="20"/>
        <v>A</v>
      </c>
      <c r="AJ189" s="49">
        <v>3</v>
      </c>
      <c r="AK189" s="49">
        <v>3</v>
      </c>
      <c r="AL189" s="49"/>
      <c r="AM189" s="49">
        <v>3</v>
      </c>
      <c r="AN189" s="49"/>
      <c r="AO189" s="59">
        <f t="shared" si="21"/>
        <v>3</v>
      </c>
      <c r="AP189" s="49">
        <v>3</v>
      </c>
      <c r="AQ189" s="49"/>
      <c r="AR189" s="49"/>
      <c r="AS189" s="49"/>
      <c r="AT189" s="49"/>
      <c r="AU189" s="59">
        <f t="shared" si="22"/>
        <v>3</v>
      </c>
      <c r="AV189" s="49"/>
      <c r="AW189" s="49"/>
      <c r="AX189" s="49"/>
      <c r="AY189" s="49">
        <v>3</v>
      </c>
      <c r="AZ189" s="49">
        <v>1</v>
      </c>
      <c r="BA189" s="59">
        <f t="shared" si="23"/>
        <v>2</v>
      </c>
    </row>
    <row r="190" spans="1:53" ht="23.1" customHeight="1" x14ac:dyDescent="0.3">
      <c r="A190" s="7">
        <v>188</v>
      </c>
      <c r="B190" s="7" t="s">
        <v>148</v>
      </c>
      <c r="C190" s="7" t="s">
        <v>149</v>
      </c>
      <c r="D190" s="7" t="s">
        <v>542</v>
      </c>
      <c r="E190" s="7" t="s">
        <v>35</v>
      </c>
      <c r="F190" s="49">
        <v>2</v>
      </c>
      <c r="G190" s="49">
        <v>3</v>
      </c>
      <c r="H190" s="49">
        <v>2</v>
      </c>
      <c r="I190" s="49">
        <v>2</v>
      </c>
      <c r="J190" s="7"/>
      <c r="K190" s="59">
        <f t="shared" si="16"/>
        <v>2.25</v>
      </c>
      <c r="L190" s="49">
        <v>3</v>
      </c>
      <c r="M190" s="49">
        <v>2</v>
      </c>
      <c r="N190" s="49">
        <v>2</v>
      </c>
      <c r="O190" s="49">
        <v>4</v>
      </c>
      <c r="P190" s="49">
        <v>2</v>
      </c>
      <c r="Q190" s="59">
        <f t="shared" si="17"/>
        <v>2.6</v>
      </c>
      <c r="R190" s="49"/>
      <c r="S190" s="49">
        <v>2</v>
      </c>
      <c r="T190" s="7"/>
      <c r="U190" s="49"/>
      <c r="V190" s="7"/>
      <c r="W190" s="59">
        <f t="shared" si="18"/>
        <v>2</v>
      </c>
      <c r="X190" s="49"/>
      <c r="Y190" s="49"/>
      <c r="Z190" s="7"/>
      <c r="AA190" s="7"/>
      <c r="AB190" s="7"/>
      <c r="AC190" s="59" t="str">
        <f t="shared" si="19"/>
        <v>A</v>
      </c>
      <c r="AD190" s="49"/>
      <c r="AE190" s="7"/>
      <c r="AF190" s="49"/>
      <c r="AG190" s="7"/>
      <c r="AH190" s="7"/>
      <c r="AI190" s="59" t="str">
        <f t="shared" si="20"/>
        <v>A</v>
      </c>
      <c r="AJ190" s="49">
        <v>2</v>
      </c>
      <c r="AK190" s="49">
        <v>3</v>
      </c>
      <c r="AL190" s="7"/>
      <c r="AM190" s="49">
        <v>2</v>
      </c>
      <c r="AN190" s="7"/>
      <c r="AO190" s="59">
        <f t="shared" si="21"/>
        <v>2.5</v>
      </c>
      <c r="AP190" s="49">
        <v>3</v>
      </c>
      <c r="AQ190" s="49"/>
      <c r="AR190" s="49"/>
      <c r="AS190" s="7"/>
      <c r="AT190" s="7"/>
      <c r="AU190" s="59">
        <f t="shared" si="22"/>
        <v>3</v>
      </c>
      <c r="AV190" s="7"/>
      <c r="AW190" s="7"/>
      <c r="AX190" s="49"/>
      <c r="AY190" s="49">
        <v>3</v>
      </c>
      <c r="AZ190" s="49">
        <v>2</v>
      </c>
      <c r="BA190" s="59">
        <f t="shared" si="23"/>
        <v>2.5</v>
      </c>
    </row>
    <row r="191" spans="1:53" ht="23.1" customHeight="1" x14ac:dyDescent="0.3">
      <c r="A191" s="49">
        <v>189</v>
      </c>
      <c r="B191" s="49" t="s">
        <v>414</v>
      </c>
      <c r="C191" s="49" t="s">
        <v>415</v>
      </c>
      <c r="D191" s="49" t="s">
        <v>450</v>
      </c>
      <c r="E191" s="49" t="s">
        <v>493</v>
      </c>
      <c r="F191" s="49">
        <v>2</v>
      </c>
      <c r="G191" s="49">
        <v>3</v>
      </c>
      <c r="H191" s="49">
        <v>3</v>
      </c>
      <c r="I191" s="49">
        <v>2</v>
      </c>
      <c r="J191" s="49"/>
      <c r="K191" s="59">
        <f t="shared" si="16"/>
        <v>2.5</v>
      </c>
      <c r="L191" s="49">
        <v>2</v>
      </c>
      <c r="M191" s="49">
        <v>2</v>
      </c>
      <c r="N191" s="49">
        <v>3</v>
      </c>
      <c r="O191" s="49">
        <v>4</v>
      </c>
      <c r="P191" s="49">
        <v>3</v>
      </c>
      <c r="Q191" s="59">
        <f t="shared" si="17"/>
        <v>2.8</v>
      </c>
      <c r="R191" s="49"/>
      <c r="S191" s="49">
        <v>3</v>
      </c>
      <c r="T191" s="49"/>
      <c r="U191" s="49"/>
      <c r="V191" s="49"/>
      <c r="W191" s="59">
        <f t="shared" si="18"/>
        <v>3</v>
      </c>
      <c r="X191" s="49"/>
      <c r="Y191" s="49"/>
      <c r="Z191" s="49"/>
      <c r="AA191" s="49"/>
      <c r="AB191" s="49"/>
      <c r="AC191" s="59" t="str">
        <f t="shared" si="19"/>
        <v>A</v>
      </c>
      <c r="AD191" s="49"/>
      <c r="AE191" s="49"/>
      <c r="AF191" s="49"/>
      <c r="AG191" s="49"/>
      <c r="AH191" s="49"/>
      <c r="AI191" s="59" t="str">
        <f t="shared" si="20"/>
        <v>A</v>
      </c>
      <c r="AJ191" s="49">
        <v>2</v>
      </c>
      <c r="AK191" s="49">
        <v>3</v>
      </c>
      <c r="AL191" s="49"/>
      <c r="AM191" s="49">
        <v>2</v>
      </c>
      <c r="AN191" s="49"/>
      <c r="AO191" s="59">
        <f t="shared" si="21"/>
        <v>2.5</v>
      </c>
      <c r="AP191" s="49">
        <v>4</v>
      </c>
      <c r="AQ191" s="49"/>
      <c r="AR191" s="49"/>
      <c r="AS191" s="49"/>
      <c r="AT191" s="49"/>
      <c r="AU191" s="59">
        <f t="shared" si="22"/>
        <v>4</v>
      </c>
      <c r="AV191" s="49"/>
      <c r="AW191" s="49"/>
      <c r="AX191" s="49"/>
      <c r="AY191" s="49">
        <v>3</v>
      </c>
      <c r="AZ191" s="49">
        <v>3</v>
      </c>
      <c r="BA191" s="59">
        <f t="shared" si="23"/>
        <v>3</v>
      </c>
    </row>
    <row r="192" spans="1:53" ht="23.1" customHeight="1" x14ac:dyDescent="0.3">
      <c r="A192" s="7">
        <v>190</v>
      </c>
      <c r="B192" s="7" t="s">
        <v>416</v>
      </c>
      <c r="C192" s="7" t="s">
        <v>417</v>
      </c>
      <c r="D192" s="7" t="s">
        <v>542</v>
      </c>
      <c r="E192" s="7" t="s">
        <v>289</v>
      </c>
      <c r="F192" s="49">
        <v>2</v>
      </c>
      <c r="G192" s="49">
        <v>2</v>
      </c>
      <c r="H192" s="49">
        <v>2.5</v>
      </c>
      <c r="I192" s="49">
        <v>2</v>
      </c>
      <c r="J192" s="7"/>
      <c r="K192" s="59">
        <f t="shared" si="16"/>
        <v>2.125</v>
      </c>
      <c r="L192" s="49">
        <v>2.5</v>
      </c>
      <c r="M192" s="49">
        <v>2</v>
      </c>
      <c r="N192" s="49">
        <v>2</v>
      </c>
      <c r="O192" s="49">
        <v>2</v>
      </c>
      <c r="P192" s="49">
        <v>2.5</v>
      </c>
      <c r="Q192" s="59">
        <f t="shared" si="17"/>
        <v>2.2000000000000002</v>
      </c>
      <c r="R192" s="49"/>
      <c r="S192" s="49">
        <v>2</v>
      </c>
      <c r="T192" s="7"/>
      <c r="U192" s="49"/>
      <c r="V192" s="7"/>
      <c r="W192" s="59">
        <f t="shared" si="18"/>
        <v>2</v>
      </c>
      <c r="X192" s="49"/>
      <c r="Y192" s="49"/>
      <c r="Z192" s="7"/>
      <c r="AA192" s="7"/>
      <c r="AB192" s="7"/>
      <c r="AC192" s="59" t="str">
        <f t="shared" si="19"/>
        <v>A</v>
      </c>
      <c r="AD192" s="49"/>
      <c r="AE192" s="7"/>
      <c r="AF192" s="49"/>
      <c r="AG192" s="7"/>
      <c r="AH192" s="7"/>
      <c r="AI192" s="59" t="str">
        <f t="shared" si="20"/>
        <v>A</v>
      </c>
      <c r="AJ192" s="49">
        <v>2</v>
      </c>
      <c r="AK192" s="49">
        <v>2</v>
      </c>
      <c r="AL192" s="7"/>
      <c r="AM192" s="49">
        <v>2.5</v>
      </c>
      <c r="AN192" s="7"/>
      <c r="AO192" s="59">
        <f t="shared" si="21"/>
        <v>2</v>
      </c>
      <c r="AP192" s="49">
        <v>2.5</v>
      </c>
      <c r="AQ192" s="49"/>
      <c r="AR192" s="49"/>
      <c r="AS192" s="7"/>
      <c r="AT192" s="7"/>
      <c r="AU192" s="59">
        <f t="shared" si="22"/>
        <v>2.5</v>
      </c>
      <c r="AV192" s="7"/>
      <c r="AW192" s="7"/>
      <c r="AX192" s="49"/>
      <c r="AY192" s="49">
        <v>2</v>
      </c>
      <c r="AZ192" s="49">
        <v>2</v>
      </c>
      <c r="BA192" s="59">
        <f t="shared" si="23"/>
        <v>2</v>
      </c>
    </row>
    <row r="193" spans="1:53" ht="23.1" customHeight="1" x14ac:dyDescent="0.3">
      <c r="A193" s="49">
        <v>191</v>
      </c>
      <c r="B193" s="49" t="s">
        <v>418</v>
      </c>
      <c r="C193" s="49" t="s">
        <v>419</v>
      </c>
      <c r="D193" s="49" t="s">
        <v>450</v>
      </c>
      <c r="E193" s="49" t="s">
        <v>493</v>
      </c>
      <c r="F193" s="49">
        <v>2</v>
      </c>
      <c r="G193" s="49">
        <v>4</v>
      </c>
      <c r="H193" s="49">
        <v>2</v>
      </c>
      <c r="I193" s="49">
        <v>2</v>
      </c>
      <c r="J193" s="49"/>
      <c r="K193" s="59">
        <f t="shared" si="16"/>
        <v>2.5</v>
      </c>
      <c r="L193" s="49">
        <v>2</v>
      </c>
      <c r="M193" s="49">
        <v>3</v>
      </c>
      <c r="N193" s="49">
        <v>3</v>
      </c>
      <c r="O193" s="49">
        <v>4</v>
      </c>
      <c r="P193" s="49">
        <v>3</v>
      </c>
      <c r="Q193" s="59">
        <f t="shared" si="17"/>
        <v>3</v>
      </c>
      <c r="R193" s="49"/>
      <c r="S193" s="49">
        <v>2</v>
      </c>
      <c r="T193" s="49"/>
      <c r="U193" s="49"/>
      <c r="V193" s="49"/>
      <c r="W193" s="59">
        <f t="shared" si="18"/>
        <v>2</v>
      </c>
      <c r="X193" s="49"/>
      <c r="Y193" s="49"/>
      <c r="Z193" s="49"/>
      <c r="AA193" s="49"/>
      <c r="AB193" s="49"/>
      <c r="AC193" s="59" t="str">
        <f t="shared" si="19"/>
        <v>A</v>
      </c>
      <c r="AD193" s="49"/>
      <c r="AE193" s="49"/>
      <c r="AF193" s="49"/>
      <c r="AG193" s="49"/>
      <c r="AH193" s="49"/>
      <c r="AI193" s="59" t="str">
        <f t="shared" si="20"/>
        <v>A</v>
      </c>
      <c r="AJ193" s="49">
        <v>2</v>
      </c>
      <c r="AK193" s="49">
        <v>3</v>
      </c>
      <c r="AL193" s="49"/>
      <c r="AM193" s="49">
        <v>2</v>
      </c>
      <c r="AN193" s="49"/>
      <c r="AO193" s="59">
        <f t="shared" si="21"/>
        <v>2.5</v>
      </c>
      <c r="AP193" s="49">
        <v>2</v>
      </c>
      <c r="AQ193" s="49"/>
      <c r="AR193" s="49"/>
      <c r="AS193" s="49"/>
      <c r="AT193" s="49"/>
      <c r="AU193" s="59">
        <f t="shared" si="22"/>
        <v>2</v>
      </c>
      <c r="AV193" s="49"/>
      <c r="AW193" s="49"/>
      <c r="AX193" s="49"/>
      <c r="AY193" s="49">
        <v>4</v>
      </c>
      <c r="AZ193" s="49">
        <v>3</v>
      </c>
      <c r="BA193" s="59">
        <f t="shared" si="23"/>
        <v>3.5</v>
      </c>
    </row>
    <row r="194" spans="1:53" ht="23.1" customHeight="1" x14ac:dyDescent="0.3">
      <c r="A194" s="7">
        <v>192</v>
      </c>
      <c r="B194" s="7" t="s">
        <v>420</v>
      </c>
      <c r="C194" s="7" t="s">
        <v>421</v>
      </c>
      <c r="D194" s="7" t="s">
        <v>450</v>
      </c>
      <c r="E194" s="7" t="s">
        <v>493</v>
      </c>
      <c r="F194" s="49">
        <v>2</v>
      </c>
      <c r="G194" s="49">
        <v>2</v>
      </c>
      <c r="H194" s="49">
        <v>2.5</v>
      </c>
      <c r="I194" s="49">
        <v>2</v>
      </c>
      <c r="J194" s="7"/>
      <c r="K194" s="59">
        <f t="shared" si="16"/>
        <v>2.125</v>
      </c>
      <c r="L194" s="49">
        <v>2.5</v>
      </c>
      <c r="M194" s="49">
        <v>2</v>
      </c>
      <c r="N194" s="49">
        <v>2</v>
      </c>
      <c r="O194" s="49">
        <v>2</v>
      </c>
      <c r="P194" s="49">
        <v>2.5</v>
      </c>
      <c r="Q194" s="59">
        <f t="shared" si="17"/>
        <v>2.2000000000000002</v>
      </c>
      <c r="R194" s="49"/>
      <c r="S194" s="49">
        <v>2</v>
      </c>
      <c r="T194" s="7"/>
      <c r="U194" s="49"/>
      <c r="V194" s="7"/>
      <c r="W194" s="59">
        <f t="shared" si="18"/>
        <v>2</v>
      </c>
      <c r="X194" s="49"/>
      <c r="Y194" s="49"/>
      <c r="Z194" s="7"/>
      <c r="AA194" s="7"/>
      <c r="AB194" s="7"/>
      <c r="AC194" s="59" t="str">
        <f t="shared" si="19"/>
        <v>A</v>
      </c>
      <c r="AD194" s="49"/>
      <c r="AE194" s="7"/>
      <c r="AF194" s="49"/>
      <c r="AG194" s="7"/>
      <c r="AH194" s="7"/>
      <c r="AI194" s="59" t="str">
        <f t="shared" si="20"/>
        <v>A</v>
      </c>
      <c r="AJ194" s="49">
        <v>2</v>
      </c>
      <c r="AK194" s="49">
        <v>2</v>
      </c>
      <c r="AL194" s="7"/>
      <c r="AM194" s="49">
        <v>2.5</v>
      </c>
      <c r="AN194" s="7"/>
      <c r="AO194" s="59">
        <f t="shared" si="21"/>
        <v>2</v>
      </c>
      <c r="AP194" s="49">
        <v>2.5</v>
      </c>
      <c r="AQ194" s="49"/>
      <c r="AR194" s="49"/>
      <c r="AS194" s="7"/>
      <c r="AT194" s="7"/>
      <c r="AU194" s="59">
        <f t="shared" si="22"/>
        <v>2.5</v>
      </c>
      <c r="AV194" s="7"/>
      <c r="AW194" s="7"/>
      <c r="AX194" s="49"/>
      <c r="AY194" s="49">
        <v>2</v>
      </c>
      <c r="AZ194" s="49">
        <v>2</v>
      </c>
      <c r="BA194" s="59">
        <f t="shared" si="23"/>
        <v>2</v>
      </c>
    </row>
    <row r="195" spans="1:53" ht="23.1" customHeight="1" x14ac:dyDescent="0.3">
      <c r="A195" s="49">
        <v>193</v>
      </c>
      <c r="B195" s="49" t="s">
        <v>422</v>
      </c>
      <c r="C195" s="49" t="s">
        <v>423</v>
      </c>
      <c r="D195" s="49" t="s">
        <v>450</v>
      </c>
      <c r="E195" s="49" t="s">
        <v>493</v>
      </c>
      <c r="F195" s="49">
        <v>3</v>
      </c>
      <c r="G195" s="49">
        <v>3</v>
      </c>
      <c r="H195" s="49">
        <v>3</v>
      </c>
      <c r="I195" s="49">
        <v>3</v>
      </c>
      <c r="J195" s="49"/>
      <c r="K195" s="59">
        <f t="shared" si="16"/>
        <v>3</v>
      </c>
      <c r="L195" s="49">
        <v>3</v>
      </c>
      <c r="M195" s="49">
        <v>2</v>
      </c>
      <c r="N195" s="49">
        <v>3</v>
      </c>
      <c r="O195" s="49">
        <v>3</v>
      </c>
      <c r="P195" s="49">
        <v>3</v>
      </c>
      <c r="Q195" s="59">
        <f t="shared" si="17"/>
        <v>2.8</v>
      </c>
      <c r="R195" s="49"/>
      <c r="S195" s="49">
        <v>3</v>
      </c>
      <c r="T195" s="49"/>
      <c r="U195" s="49"/>
      <c r="V195" s="49"/>
      <c r="W195" s="59">
        <f t="shared" si="18"/>
        <v>3</v>
      </c>
      <c r="X195" s="49"/>
      <c r="Y195" s="49"/>
      <c r="Z195" s="49"/>
      <c r="AA195" s="49"/>
      <c r="AB195" s="49"/>
      <c r="AC195" s="59" t="str">
        <f t="shared" si="19"/>
        <v>A</v>
      </c>
      <c r="AD195" s="49"/>
      <c r="AE195" s="49"/>
      <c r="AF195" s="49"/>
      <c r="AG195" s="49"/>
      <c r="AH195" s="49"/>
      <c r="AI195" s="59" t="str">
        <f t="shared" si="20"/>
        <v>A</v>
      </c>
      <c r="AJ195" s="49">
        <v>3</v>
      </c>
      <c r="AK195" s="49">
        <v>3</v>
      </c>
      <c r="AL195" s="49"/>
      <c r="AM195" s="49">
        <v>3</v>
      </c>
      <c r="AN195" s="49"/>
      <c r="AO195" s="59">
        <f t="shared" si="21"/>
        <v>3</v>
      </c>
      <c r="AP195" s="49">
        <v>3</v>
      </c>
      <c r="AQ195" s="49"/>
      <c r="AR195" s="49"/>
      <c r="AS195" s="49"/>
      <c r="AT195" s="49"/>
      <c r="AU195" s="59">
        <f t="shared" si="22"/>
        <v>3</v>
      </c>
      <c r="AV195" s="49"/>
      <c r="AW195" s="49"/>
      <c r="AX195" s="49"/>
      <c r="AY195" s="49">
        <v>3</v>
      </c>
      <c r="AZ195" s="49">
        <v>3</v>
      </c>
      <c r="BA195" s="59">
        <f t="shared" si="23"/>
        <v>3</v>
      </c>
    </row>
    <row r="196" spans="1:53" ht="23.1" customHeight="1" x14ac:dyDescent="0.3">
      <c r="A196" s="7">
        <v>194</v>
      </c>
      <c r="B196" s="7" t="s">
        <v>424</v>
      </c>
      <c r="C196" s="7" t="s">
        <v>425</v>
      </c>
      <c r="D196" s="7" t="s">
        <v>450</v>
      </c>
      <c r="E196" s="7" t="s">
        <v>493</v>
      </c>
      <c r="F196" s="49">
        <v>2</v>
      </c>
      <c r="G196" s="49">
        <v>2</v>
      </c>
      <c r="H196" s="49">
        <v>2</v>
      </c>
      <c r="I196" s="49">
        <v>2</v>
      </c>
      <c r="J196" s="7"/>
      <c r="K196" s="59">
        <f t="shared" ref="K196:K230" si="24">IFERROR(AVERAGE(F196,G196,H196,I196),"0")</f>
        <v>2</v>
      </c>
      <c r="L196" s="49">
        <v>2</v>
      </c>
      <c r="M196" s="49">
        <v>2</v>
      </c>
      <c r="N196" s="49">
        <v>2</v>
      </c>
      <c r="O196" s="49">
        <v>4</v>
      </c>
      <c r="P196" s="49">
        <v>2</v>
      </c>
      <c r="Q196" s="59">
        <f t="shared" ref="Q196:Q230" si="25">IFERROR(AVERAGE(M196,N196,L196,O196,P196),"0")</f>
        <v>2.4</v>
      </c>
      <c r="R196" s="49"/>
      <c r="S196" s="49">
        <v>2</v>
      </c>
      <c r="T196" s="7"/>
      <c r="U196" s="49"/>
      <c r="V196" s="7"/>
      <c r="W196" s="59">
        <f t="shared" ref="W196:W230" si="26">S196</f>
        <v>2</v>
      </c>
      <c r="X196" s="49"/>
      <c r="Y196" s="49"/>
      <c r="Z196" s="7"/>
      <c r="AA196" s="7"/>
      <c r="AB196" s="7"/>
      <c r="AC196" s="59" t="str">
        <f t="shared" ref="AC196:AC230" si="27">IFERROR(AVERAGE(Y196,X196),"A")</f>
        <v>A</v>
      </c>
      <c r="AD196" s="49"/>
      <c r="AE196" s="7"/>
      <c r="AF196" s="49"/>
      <c r="AG196" s="7"/>
      <c r="AH196" s="7"/>
      <c r="AI196" s="59" t="str">
        <f t="shared" ref="AI196:AI230" si="28">IFERROR(AVERAGE(AF196,AD196),"A")</f>
        <v>A</v>
      </c>
      <c r="AJ196" s="49">
        <v>2</v>
      </c>
      <c r="AK196" s="49">
        <v>2</v>
      </c>
      <c r="AL196" s="7"/>
      <c r="AM196" s="49">
        <v>2</v>
      </c>
      <c r="AN196" s="7"/>
      <c r="AO196" s="59">
        <f t="shared" ref="AO196:AO230" si="29">IFERROR(AVERAGE(AJ196,AK196,AAM196),"0")</f>
        <v>2</v>
      </c>
      <c r="AP196" s="49">
        <v>2</v>
      </c>
      <c r="AQ196" s="49"/>
      <c r="AR196" s="49"/>
      <c r="AS196" s="7"/>
      <c r="AT196" s="7"/>
      <c r="AU196" s="59">
        <f t="shared" ref="AU196:AU230" si="30">AP196</f>
        <v>2</v>
      </c>
      <c r="AV196" s="7"/>
      <c r="AW196" s="7"/>
      <c r="AX196" s="49"/>
      <c r="AY196" s="49">
        <v>1</v>
      </c>
      <c r="AZ196" s="49">
        <v>1</v>
      </c>
      <c r="BA196" s="59">
        <f t="shared" ref="BA196:BA230" si="31">IFERROR(AVERAGE(AY196,AZ196),"0")</f>
        <v>1</v>
      </c>
    </row>
    <row r="197" spans="1:53" ht="23.1" customHeight="1" x14ac:dyDescent="0.3">
      <c r="A197" s="49">
        <v>195</v>
      </c>
      <c r="B197" s="49" t="s">
        <v>426</v>
      </c>
      <c r="C197" s="49" t="s">
        <v>427</v>
      </c>
      <c r="D197" s="49" t="s">
        <v>450</v>
      </c>
      <c r="E197" s="49" t="s">
        <v>289</v>
      </c>
      <c r="F197" s="49">
        <v>2</v>
      </c>
      <c r="G197" s="49">
        <v>3</v>
      </c>
      <c r="H197" s="49">
        <v>2</v>
      </c>
      <c r="I197" s="49">
        <v>2</v>
      </c>
      <c r="J197" s="49"/>
      <c r="K197" s="59">
        <f t="shared" si="24"/>
        <v>2.25</v>
      </c>
      <c r="L197" s="49">
        <v>2</v>
      </c>
      <c r="M197" s="49">
        <v>2</v>
      </c>
      <c r="N197" s="49">
        <v>3</v>
      </c>
      <c r="O197" s="49">
        <v>4</v>
      </c>
      <c r="P197" s="49">
        <v>2</v>
      </c>
      <c r="Q197" s="59">
        <f t="shared" si="25"/>
        <v>2.6</v>
      </c>
      <c r="R197" s="49"/>
      <c r="S197" s="49">
        <v>2</v>
      </c>
      <c r="T197" s="49"/>
      <c r="U197" s="49"/>
      <c r="V197" s="49"/>
      <c r="W197" s="59">
        <f t="shared" si="26"/>
        <v>2</v>
      </c>
      <c r="X197" s="49"/>
      <c r="Y197" s="49"/>
      <c r="Z197" s="49"/>
      <c r="AA197" s="49"/>
      <c r="AB197" s="49"/>
      <c r="AC197" s="59" t="str">
        <f t="shared" si="27"/>
        <v>A</v>
      </c>
      <c r="AD197" s="49"/>
      <c r="AE197" s="49"/>
      <c r="AF197" s="49"/>
      <c r="AG197" s="49"/>
      <c r="AH197" s="49"/>
      <c r="AI197" s="59" t="str">
        <f t="shared" si="28"/>
        <v>A</v>
      </c>
      <c r="AJ197" s="49">
        <v>2</v>
      </c>
      <c r="AK197" s="49">
        <v>2</v>
      </c>
      <c r="AL197" s="49"/>
      <c r="AM197" s="49">
        <v>2</v>
      </c>
      <c r="AN197" s="49"/>
      <c r="AO197" s="59">
        <f t="shared" si="29"/>
        <v>2</v>
      </c>
      <c r="AP197" s="49">
        <v>3</v>
      </c>
      <c r="AQ197" s="49"/>
      <c r="AR197" s="49"/>
      <c r="AS197" s="49"/>
      <c r="AT197" s="49"/>
      <c r="AU197" s="59">
        <f t="shared" si="30"/>
        <v>3</v>
      </c>
      <c r="AV197" s="49"/>
      <c r="AW197" s="49"/>
      <c r="AX197" s="49"/>
      <c r="AY197" s="49">
        <v>3</v>
      </c>
      <c r="AZ197" s="49">
        <v>3</v>
      </c>
      <c r="BA197" s="59">
        <f t="shared" si="31"/>
        <v>3</v>
      </c>
    </row>
    <row r="198" spans="1:53" ht="23.1" customHeight="1" x14ac:dyDescent="0.3">
      <c r="A198" s="7">
        <v>196</v>
      </c>
      <c r="B198" s="7" t="s">
        <v>428</v>
      </c>
      <c r="C198" s="7" t="s">
        <v>429</v>
      </c>
      <c r="D198" s="7" t="s">
        <v>450</v>
      </c>
      <c r="E198" s="7" t="s">
        <v>493</v>
      </c>
      <c r="F198" s="49">
        <v>2</v>
      </c>
      <c r="G198" s="49">
        <v>2</v>
      </c>
      <c r="H198" s="49">
        <v>2</v>
      </c>
      <c r="I198" s="49">
        <v>2</v>
      </c>
      <c r="J198" s="7"/>
      <c r="K198" s="59">
        <f t="shared" si="24"/>
        <v>2</v>
      </c>
      <c r="L198" s="49">
        <v>3</v>
      </c>
      <c r="M198" s="49">
        <v>3</v>
      </c>
      <c r="N198" s="49">
        <v>2</v>
      </c>
      <c r="O198" s="49">
        <v>3</v>
      </c>
      <c r="P198" s="49">
        <v>2</v>
      </c>
      <c r="Q198" s="59">
        <f t="shared" si="25"/>
        <v>2.6</v>
      </c>
      <c r="R198" s="49"/>
      <c r="S198" s="49">
        <v>2</v>
      </c>
      <c r="T198" s="7"/>
      <c r="U198" s="49"/>
      <c r="V198" s="7"/>
      <c r="W198" s="59">
        <f t="shared" si="26"/>
        <v>2</v>
      </c>
      <c r="X198" s="49"/>
      <c r="Y198" s="49"/>
      <c r="Z198" s="7"/>
      <c r="AA198" s="7"/>
      <c r="AB198" s="7"/>
      <c r="AC198" s="59" t="str">
        <f t="shared" si="27"/>
        <v>A</v>
      </c>
      <c r="AD198" s="49"/>
      <c r="AE198" s="7"/>
      <c r="AF198" s="49"/>
      <c r="AG198" s="7"/>
      <c r="AH198" s="7"/>
      <c r="AI198" s="59" t="str">
        <f t="shared" si="28"/>
        <v>A</v>
      </c>
      <c r="AJ198" s="49">
        <v>2</v>
      </c>
      <c r="AK198" s="49">
        <v>2</v>
      </c>
      <c r="AL198" s="7"/>
      <c r="AM198" s="49">
        <v>2</v>
      </c>
      <c r="AN198" s="7"/>
      <c r="AO198" s="59">
        <f t="shared" si="29"/>
        <v>2</v>
      </c>
      <c r="AP198" s="49">
        <v>3</v>
      </c>
      <c r="AQ198" s="49"/>
      <c r="AR198" s="49"/>
      <c r="AS198" s="7"/>
      <c r="AT198" s="7"/>
      <c r="AU198" s="59">
        <f t="shared" si="30"/>
        <v>3</v>
      </c>
      <c r="AV198" s="7"/>
      <c r="AW198" s="7"/>
      <c r="AX198" s="49"/>
      <c r="AY198" s="49">
        <v>2</v>
      </c>
      <c r="AZ198" s="49">
        <v>3</v>
      </c>
      <c r="BA198" s="59">
        <f t="shared" si="31"/>
        <v>2.5</v>
      </c>
    </row>
    <row r="199" spans="1:53" ht="23.1" customHeight="1" x14ac:dyDescent="0.3">
      <c r="A199" s="49">
        <v>197</v>
      </c>
      <c r="B199" s="49" t="s">
        <v>430</v>
      </c>
      <c r="C199" s="49" t="s">
        <v>431</v>
      </c>
      <c r="D199" s="49" t="s">
        <v>542</v>
      </c>
      <c r="E199" s="49" t="s">
        <v>493</v>
      </c>
      <c r="F199" s="49">
        <v>2</v>
      </c>
      <c r="G199" s="49">
        <v>3</v>
      </c>
      <c r="H199" s="49">
        <v>2</v>
      </c>
      <c r="I199" s="49">
        <v>3</v>
      </c>
      <c r="J199" s="49"/>
      <c r="K199" s="59">
        <f t="shared" si="24"/>
        <v>2.5</v>
      </c>
      <c r="L199" s="49">
        <v>3</v>
      </c>
      <c r="M199" s="49">
        <v>4</v>
      </c>
      <c r="N199" s="49">
        <v>4</v>
      </c>
      <c r="O199" s="49">
        <v>4</v>
      </c>
      <c r="P199" s="49">
        <v>3</v>
      </c>
      <c r="Q199" s="59">
        <f t="shared" si="25"/>
        <v>3.6</v>
      </c>
      <c r="R199" s="49"/>
      <c r="S199" s="49">
        <v>2</v>
      </c>
      <c r="T199" s="49"/>
      <c r="U199" s="49"/>
      <c r="V199" s="49"/>
      <c r="W199" s="59">
        <f t="shared" si="26"/>
        <v>2</v>
      </c>
      <c r="X199" s="49"/>
      <c r="Y199" s="49"/>
      <c r="Z199" s="49"/>
      <c r="AA199" s="49"/>
      <c r="AB199" s="49"/>
      <c r="AC199" s="59" t="str">
        <f t="shared" si="27"/>
        <v>A</v>
      </c>
      <c r="AD199" s="49"/>
      <c r="AE199" s="49"/>
      <c r="AF199" s="49"/>
      <c r="AG199" s="49"/>
      <c r="AH199" s="49"/>
      <c r="AI199" s="59" t="str">
        <f t="shared" si="28"/>
        <v>A</v>
      </c>
      <c r="AJ199" s="49">
        <v>2</v>
      </c>
      <c r="AK199" s="49">
        <v>3</v>
      </c>
      <c r="AL199" s="49"/>
      <c r="AM199" s="49">
        <v>3</v>
      </c>
      <c r="AN199" s="49"/>
      <c r="AO199" s="59">
        <f t="shared" si="29"/>
        <v>2.5</v>
      </c>
      <c r="AP199" s="49">
        <v>3</v>
      </c>
      <c r="AQ199" s="49"/>
      <c r="AR199" s="49"/>
      <c r="AS199" s="49"/>
      <c r="AT199" s="49"/>
      <c r="AU199" s="59">
        <f t="shared" si="30"/>
        <v>3</v>
      </c>
      <c r="AV199" s="49"/>
      <c r="AW199" s="49"/>
      <c r="AX199" s="49"/>
      <c r="AY199" s="49">
        <v>3</v>
      </c>
      <c r="AZ199" s="49">
        <v>3</v>
      </c>
      <c r="BA199" s="59">
        <f t="shared" si="31"/>
        <v>3</v>
      </c>
    </row>
    <row r="200" spans="1:53" ht="23.1" customHeight="1" x14ac:dyDescent="0.3">
      <c r="A200" s="7">
        <v>198</v>
      </c>
      <c r="B200" s="7" t="s">
        <v>176</v>
      </c>
      <c r="C200" s="7" t="s">
        <v>177</v>
      </c>
      <c r="D200" s="7" t="s">
        <v>542</v>
      </c>
      <c r="E200" s="7" t="s">
        <v>161</v>
      </c>
      <c r="F200" s="49">
        <v>3</v>
      </c>
      <c r="G200" s="49">
        <v>3</v>
      </c>
      <c r="H200" s="49">
        <v>3</v>
      </c>
      <c r="I200" s="49">
        <v>3</v>
      </c>
      <c r="J200" s="7"/>
      <c r="K200" s="59">
        <f t="shared" si="24"/>
        <v>3</v>
      </c>
      <c r="L200" s="49">
        <v>3</v>
      </c>
      <c r="M200" s="49">
        <v>3</v>
      </c>
      <c r="N200" s="49">
        <v>3</v>
      </c>
      <c r="O200" s="49">
        <v>3</v>
      </c>
      <c r="P200" s="49">
        <v>3</v>
      </c>
      <c r="Q200" s="59">
        <f t="shared" si="25"/>
        <v>3</v>
      </c>
      <c r="R200" s="49"/>
      <c r="S200" s="49">
        <v>3</v>
      </c>
      <c r="T200" s="7"/>
      <c r="U200" s="49"/>
      <c r="V200" s="7"/>
      <c r="W200" s="59">
        <f t="shared" si="26"/>
        <v>3</v>
      </c>
      <c r="X200" s="49"/>
      <c r="Y200" s="49"/>
      <c r="Z200" s="7"/>
      <c r="AA200" s="7"/>
      <c r="AB200" s="7"/>
      <c r="AC200" s="59" t="str">
        <f t="shared" si="27"/>
        <v>A</v>
      </c>
      <c r="AD200" s="49"/>
      <c r="AE200" s="7"/>
      <c r="AF200" s="49"/>
      <c r="AG200" s="7"/>
      <c r="AH200" s="7"/>
      <c r="AI200" s="59" t="str">
        <f t="shared" si="28"/>
        <v>A</v>
      </c>
      <c r="AJ200" s="49">
        <v>3</v>
      </c>
      <c r="AK200" s="49">
        <v>3</v>
      </c>
      <c r="AL200" s="7"/>
      <c r="AM200" s="49">
        <v>3</v>
      </c>
      <c r="AN200" s="7"/>
      <c r="AO200" s="59">
        <f t="shared" si="29"/>
        <v>3</v>
      </c>
      <c r="AP200" s="49">
        <v>3</v>
      </c>
      <c r="AQ200" s="49"/>
      <c r="AR200" s="49"/>
      <c r="AS200" s="7"/>
      <c r="AT200" s="7"/>
      <c r="AU200" s="59">
        <f t="shared" si="30"/>
        <v>3</v>
      </c>
      <c r="AV200" s="7"/>
      <c r="AW200" s="7"/>
      <c r="AX200" s="49"/>
      <c r="AY200" s="49">
        <v>3</v>
      </c>
      <c r="AZ200" s="49">
        <v>2</v>
      </c>
      <c r="BA200" s="59">
        <f t="shared" si="31"/>
        <v>2.5</v>
      </c>
    </row>
    <row r="201" spans="1:53" ht="23.1" customHeight="1" x14ac:dyDescent="0.3">
      <c r="A201" s="49">
        <v>199</v>
      </c>
      <c r="B201" s="49" t="s">
        <v>432</v>
      </c>
      <c r="C201" s="49" t="s">
        <v>433</v>
      </c>
      <c r="D201" s="49" t="s">
        <v>542</v>
      </c>
      <c r="E201" s="49" t="s">
        <v>289</v>
      </c>
      <c r="F201" s="49">
        <v>0</v>
      </c>
      <c r="G201" s="49">
        <v>0</v>
      </c>
      <c r="H201" s="49">
        <v>0</v>
      </c>
      <c r="I201" s="49">
        <v>0</v>
      </c>
      <c r="J201" s="49"/>
      <c r="K201" s="59">
        <f t="shared" si="24"/>
        <v>0</v>
      </c>
      <c r="L201" s="49">
        <v>0</v>
      </c>
      <c r="M201" s="49">
        <v>0</v>
      </c>
      <c r="N201" s="49">
        <v>0</v>
      </c>
      <c r="O201" s="49">
        <v>0</v>
      </c>
      <c r="P201" s="49">
        <v>0</v>
      </c>
      <c r="Q201" s="59">
        <f t="shared" si="25"/>
        <v>0</v>
      </c>
      <c r="R201" s="49"/>
      <c r="S201" s="49">
        <v>0</v>
      </c>
      <c r="T201" s="49"/>
      <c r="U201" s="49"/>
      <c r="V201" s="49"/>
      <c r="W201" s="59">
        <f t="shared" si="26"/>
        <v>0</v>
      </c>
      <c r="X201" s="49"/>
      <c r="Y201" s="49"/>
      <c r="Z201" s="49"/>
      <c r="AA201" s="49"/>
      <c r="AB201" s="49"/>
      <c r="AC201" s="59" t="str">
        <f t="shared" si="27"/>
        <v>A</v>
      </c>
      <c r="AD201" s="49"/>
      <c r="AE201" s="49"/>
      <c r="AF201" s="49"/>
      <c r="AG201" s="49"/>
      <c r="AH201" s="49"/>
      <c r="AI201" s="59" t="str">
        <f t="shared" si="28"/>
        <v>A</v>
      </c>
      <c r="AJ201" s="49">
        <v>0</v>
      </c>
      <c r="AK201" s="49">
        <v>0</v>
      </c>
      <c r="AL201" s="49"/>
      <c r="AM201" s="49">
        <v>0</v>
      </c>
      <c r="AN201" s="49"/>
      <c r="AO201" s="59">
        <f t="shared" si="29"/>
        <v>0</v>
      </c>
      <c r="AP201" s="49">
        <v>0</v>
      </c>
      <c r="AQ201" s="49"/>
      <c r="AR201" s="49"/>
      <c r="AS201" s="49"/>
      <c r="AT201" s="49"/>
      <c r="AU201" s="59">
        <f t="shared" si="30"/>
        <v>0</v>
      </c>
      <c r="AV201" s="49"/>
      <c r="AW201" s="49"/>
      <c r="AX201" s="49"/>
      <c r="AY201" s="49">
        <v>0</v>
      </c>
      <c r="AZ201" s="49">
        <v>0</v>
      </c>
      <c r="BA201" s="59">
        <f t="shared" si="31"/>
        <v>0</v>
      </c>
    </row>
    <row r="202" spans="1:53" ht="23.1" customHeight="1" x14ac:dyDescent="0.3">
      <c r="A202" s="7">
        <v>200</v>
      </c>
      <c r="B202" s="7" t="s">
        <v>434</v>
      </c>
      <c r="C202" s="7" t="s">
        <v>435</v>
      </c>
      <c r="D202" s="7" t="s">
        <v>450</v>
      </c>
      <c r="E202" s="7" t="s">
        <v>493</v>
      </c>
      <c r="F202" s="49">
        <v>2</v>
      </c>
      <c r="G202" s="49">
        <v>4</v>
      </c>
      <c r="H202" s="49">
        <v>3</v>
      </c>
      <c r="I202" s="49">
        <v>3</v>
      </c>
      <c r="J202" s="7"/>
      <c r="K202" s="59">
        <f t="shared" si="24"/>
        <v>3</v>
      </c>
      <c r="L202" s="49">
        <v>2</v>
      </c>
      <c r="M202" s="49">
        <v>3</v>
      </c>
      <c r="N202" s="49">
        <v>3</v>
      </c>
      <c r="O202" s="49">
        <v>4</v>
      </c>
      <c r="P202" s="49">
        <v>2</v>
      </c>
      <c r="Q202" s="59">
        <f t="shared" si="25"/>
        <v>2.8</v>
      </c>
      <c r="R202" s="49"/>
      <c r="S202" s="49">
        <v>2</v>
      </c>
      <c r="T202" s="7"/>
      <c r="U202" s="49"/>
      <c r="V202" s="7"/>
      <c r="W202" s="59">
        <f t="shared" si="26"/>
        <v>2</v>
      </c>
      <c r="X202" s="49"/>
      <c r="Y202" s="49"/>
      <c r="Z202" s="7"/>
      <c r="AA202" s="7"/>
      <c r="AB202" s="7"/>
      <c r="AC202" s="59" t="str">
        <f t="shared" si="27"/>
        <v>A</v>
      </c>
      <c r="AD202" s="49"/>
      <c r="AE202" s="7"/>
      <c r="AF202" s="49"/>
      <c r="AG202" s="7"/>
      <c r="AH202" s="7"/>
      <c r="AI202" s="59" t="str">
        <f t="shared" si="28"/>
        <v>A</v>
      </c>
      <c r="AJ202" s="49">
        <v>2</v>
      </c>
      <c r="AK202" s="49">
        <v>3</v>
      </c>
      <c r="AL202" s="7"/>
      <c r="AM202" s="49">
        <v>2</v>
      </c>
      <c r="AN202" s="7"/>
      <c r="AO202" s="59">
        <f t="shared" si="29"/>
        <v>2.5</v>
      </c>
      <c r="AP202" s="49">
        <v>3</v>
      </c>
      <c r="AQ202" s="49"/>
      <c r="AR202" s="49"/>
      <c r="AS202" s="7"/>
      <c r="AT202" s="7"/>
      <c r="AU202" s="59">
        <f t="shared" si="30"/>
        <v>3</v>
      </c>
      <c r="AV202" s="7"/>
      <c r="AW202" s="7"/>
      <c r="AX202" s="49"/>
      <c r="AY202" s="49">
        <v>4</v>
      </c>
      <c r="AZ202" s="49">
        <v>3</v>
      </c>
      <c r="BA202" s="59">
        <f t="shared" si="31"/>
        <v>3.5</v>
      </c>
    </row>
    <row r="203" spans="1:53" ht="23.1" customHeight="1" x14ac:dyDescent="0.3">
      <c r="A203" s="49">
        <v>201</v>
      </c>
      <c r="B203" s="49" t="s">
        <v>436</v>
      </c>
      <c r="C203" s="49" t="s">
        <v>437</v>
      </c>
      <c r="D203" s="49" t="s">
        <v>450</v>
      </c>
      <c r="E203" s="49" t="s">
        <v>493</v>
      </c>
      <c r="F203" s="49">
        <v>2.5</v>
      </c>
      <c r="G203" s="49">
        <v>2</v>
      </c>
      <c r="H203" s="49">
        <v>2.5</v>
      </c>
      <c r="I203" s="49">
        <v>2</v>
      </c>
      <c r="J203" s="49"/>
      <c r="K203" s="59">
        <f t="shared" si="24"/>
        <v>2.25</v>
      </c>
      <c r="L203" s="49">
        <v>2</v>
      </c>
      <c r="M203" s="49">
        <v>2.5</v>
      </c>
      <c r="N203" s="49">
        <v>2.5</v>
      </c>
      <c r="O203" s="49">
        <v>2</v>
      </c>
      <c r="P203" s="49">
        <v>2</v>
      </c>
      <c r="Q203" s="59">
        <f t="shared" si="25"/>
        <v>2.2000000000000002</v>
      </c>
      <c r="R203" s="49"/>
      <c r="S203" s="49">
        <v>2</v>
      </c>
      <c r="T203" s="49"/>
      <c r="U203" s="49"/>
      <c r="V203" s="49"/>
      <c r="W203" s="59">
        <f t="shared" si="26"/>
        <v>2</v>
      </c>
      <c r="X203" s="49"/>
      <c r="Y203" s="49"/>
      <c r="Z203" s="49"/>
      <c r="AA203" s="49"/>
      <c r="AB203" s="49"/>
      <c r="AC203" s="59" t="str">
        <f t="shared" si="27"/>
        <v>A</v>
      </c>
      <c r="AD203" s="49"/>
      <c r="AE203" s="49"/>
      <c r="AF203" s="49"/>
      <c r="AG203" s="49"/>
      <c r="AH203" s="49"/>
      <c r="AI203" s="59" t="str">
        <f t="shared" si="28"/>
        <v>A</v>
      </c>
      <c r="AJ203" s="49">
        <v>2</v>
      </c>
      <c r="AK203" s="49">
        <v>2</v>
      </c>
      <c r="AL203" s="49"/>
      <c r="AM203" s="49">
        <v>2</v>
      </c>
      <c r="AN203" s="49"/>
      <c r="AO203" s="59">
        <f t="shared" si="29"/>
        <v>2</v>
      </c>
      <c r="AP203" s="49">
        <v>2.5</v>
      </c>
      <c r="AQ203" s="49"/>
      <c r="AR203" s="49"/>
      <c r="AS203" s="49"/>
      <c r="AT203" s="49"/>
      <c r="AU203" s="59">
        <f t="shared" si="30"/>
        <v>2.5</v>
      </c>
      <c r="AV203" s="49"/>
      <c r="AW203" s="49"/>
      <c r="AX203" s="49"/>
      <c r="AY203" s="49">
        <v>2</v>
      </c>
      <c r="AZ203" s="49">
        <v>2</v>
      </c>
      <c r="BA203" s="59">
        <f t="shared" si="31"/>
        <v>2</v>
      </c>
    </row>
    <row r="204" spans="1:53" ht="23.1" customHeight="1" x14ac:dyDescent="0.3">
      <c r="A204" s="7">
        <v>202</v>
      </c>
      <c r="B204" s="7" t="s">
        <v>438</v>
      </c>
      <c r="C204" s="7" t="s">
        <v>439</v>
      </c>
      <c r="D204" s="7" t="s">
        <v>450</v>
      </c>
      <c r="E204" s="7" t="s">
        <v>289</v>
      </c>
      <c r="F204" s="49">
        <v>2</v>
      </c>
      <c r="G204" s="49">
        <v>2</v>
      </c>
      <c r="H204" s="49">
        <v>2</v>
      </c>
      <c r="I204" s="49">
        <v>2</v>
      </c>
      <c r="J204" s="7"/>
      <c r="K204" s="59">
        <f t="shared" si="24"/>
        <v>2</v>
      </c>
      <c r="L204" s="49">
        <v>1</v>
      </c>
      <c r="M204" s="49">
        <v>1</v>
      </c>
      <c r="N204" s="49">
        <v>1</v>
      </c>
      <c r="O204" s="49">
        <v>1</v>
      </c>
      <c r="P204" s="49">
        <v>1</v>
      </c>
      <c r="Q204" s="59">
        <f t="shared" si="25"/>
        <v>1</v>
      </c>
      <c r="R204" s="49"/>
      <c r="S204" s="49">
        <v>1</v>
      </c>
      <c r="T204" s="7"/>
      <c r="U204" s="49"/>
      <c r="V204" s="7"/>
      <c r="W204" s="59">
        <f t="shared" si="26"/>
        <v>1</v>
      </c>
      <c r="X204" s="49"/>
      <c r="Y204" s="49"/>
      <c r="Z204" s="7"/>
      <c r="AA204" s="7"/>
      <c r="AB204" s="7"/>
      <c r="AC204" s="59" t="str">
        <f t="shared" si="27"/>
        <v>A</v>
      </c>
      <c r="AD204" s="49"/>
      <c r="AE204" s="7"/>
      <c r="AF204" s="49"/>
      <c r="AG204" s="7"/>
      <c r="AH204" s="7"/>
      <c r="AI204" s="59" t="str">
        <f t="shared" si="28"/>
        <v>A</v>
      </c>
      <c r="AJ204" s="49">
        <v>2</v>
      </c>
      <c r="AK204" s="49">
        <v>1</v>
      </c>
      <c r="AL204" s="7"/>
      <c r="AM204" s="49">
        <v>1</v>
      </c>
      <c r="AN204" s="7"/>
      <c r="AO204" s="59">
        <f t="shared" si="29"/>
        <v>1.5</v>
      </c>
      <c r="AP204" s="49">
        <v>1</v>
      </c>
      <c r="AQ204" s="49"/>
      <c r="AR204" s="49"/>
      <c r="AS204" s="7"/>
      <c r="AT204" s="7"/>
      <c r="AU204" s="59">
        <f t="shared" si="30"/>
        <v>1</v>
      </c>
      <c r="AV204" s="7"/>
      <c r="AW204" s="7"/>
      <c r="AX204" s="49"/>
      <c r="AY204" s="49">
        <v>3</v>
      </c>
      <c r="AZ204" s="49">
        <v>3</v>
      </c>
      <c r="BA204" s="59">
        <f t="shared" si="31"/>
        <v>3</v>
      </c>
    </row>
    <row r="205" spans="1:53" ht="23.1" customHeight="1" x14ac:dyDescent="0.3">
      <c r="A205" s="49">
        <v>203</v>
      </c>
      <c r="B205" s="49" t="s">
        <v>440</v>
      </c>
      <c r="C205" s="49" t="s">
        <v>441</v>
      </c>
      <c r="D205" s="49" t="s">
        <v>450</v>
      </c>
      <c r="E205" s="49" t="s">
        <v>289</v>
      </c>
      <c r="F205" s="49">
        <v>4</v>
      </c>
      <c r="G205" s="49">
        <v>4</v>
      </c>
      <c r="H205" s="49">
        <v>4</v>
      </c>
      <c r="I205" s="49">
        <v>4</v>
      </c>
      <c r="J205" s="49"/>
      <c r="K205" s="59">
        <f t="shared" si="24"/>
        <v>4</v>
      </c>
      <c r="L205" s="49">
        <v>4</v>
      </c>
      <c r="M205" s="49">
        <v>3</v>
      </c>
      <c r="N205" s="49">
        <v>4</v>
      </c>
      <c r="O205" s="49">
        <v>4</v>
      </c>
      <c r="P205" s="49">
        <v>2</v>
      </c>
      <c r="Q205" s="59">
        <f t="shared" si="25"/>
        <v>3.4</v>
      </c>
      <c r="R205" s="49"/>
      <c r="S205" s="49">
        <v>2</v>
      </c>
      <c r="T205" s="49"/>
      <c r="U205" s="49"/>
      <c r="V205" s="49"/>
      <c r="W205" s="59">
        <f t="shared" si="26"/>
        <v>2</v>
      </c>
      <c r="X205" s="49"/>
      <c r="Y205" s="49"/>
      <c r="Z205" s="49"/>
      <c r="AA205" s="49"/>
      <c r="AB205" s="49"/>
      <c r="AC205" s="59" t="str">
        <f t="shared" si="27"/>
        <v>A</v>
      </c>
      <c r="AD205" s="49"/>
      <c r="AE205" s="49"/>
      <c r="AF205" s="49"/>
      <c r="AG205" s="49"/>
      <c r="AH205" s="49"/>
      <c r="AI205" s="59" t="str">
        <f t="shared" si="28"/>
        <v>A</v>
      </c>
      <c r="AJ205" s="49">
        <v>4</v>
      </c>
      <c r="AK205" s="49">
        <v>4</v>
      </c>
      <c r="AL205" s="49"/>
      <c r="AM205" s="49">
        <v>4</v>
      </c>
      <c r="AN205" s="49"/>
      <c r="AO205" s="59">
        <f t="shared" si="29"/>
        <v>4</v>
      </c>
      <c r="AP205" s="49">
        <v>3</v>
      </c>
      <c r="AQ205" s="49"/>
      <c r="AR205" s="49"/>
      <c r="AS205" s="49"/>
      <c r="AT205" s="49"/>
      <c r="AU205" s="59">
        <f t="shared" si="30"/>
        <v>3</v>
      </c>
      <c r="AV205" s="49"/>
      <c r="AW205" s="49"/>
      <c r="AX205" s="49"/>
      <c r="AY205" s="49">
        <v>4</v>
      </c>
      <c r="AZ205" s="49">
        <v>4</v>
      </c>
      <c r="BA205" s="59">
        <f t="shared" si="31"/>
        <v>4</v>
      </c>
    </row>
    <row r="206" spans="1:53" ht="23.1" customHeight="1" x14ac:dyDescent="0.3">
      <c r="A206" s="7">
        <v>204</v>
      </c>
      <c r="B206" s="7" t="s">
        <v>442</v>
      </c>
      <c r="C206" s="7" t="s">
        <v>443</v>
      </c>
      <c r="D206" s="7" t="s">
        <v>450</v>
      </c>
      <c r="E206" s="7" t="s">
        <v>289</v>
      </c>
      <c r="F206" s="49">
        <v>3</v>
      </c>
      <c r="G206" s="49">
        <v>3</v>
      </c>
      <c r="H206" s="49">
        <v>2</v>
      </c>
      <c r="I206" s="49">
        <v>2</v>
      </c>
      <c r="J206" s="7"/>
      <c r="K206" s="59">
        <f t="shared" si="24"/>
        <v>2.5</v>
      </c>
      <c r="L206" s="49">
        <v>3</v>
      </c>
      <c r="M206" s="49">
        <v>3</v>
      </c>
      <c r="N206" s="49">
        <v>3</v>
      </c>
      <c r="O206" s="49">
        <v>4</v>
      </c>
      <c r="P206" s="49">
        <v>3</v>
      </c>
      <c r="Q206" s="59">
        <f t="shared" si="25"/>
        <v>3.2</v>
      </c>
      <c r="R206" s="49"/>
      <c r="S206" s="49">
        <v>4</v>
      </c>
      <c r="T206" s="7"/>
      <c r="U206" s="49"/>
      <c r="V206" s="7"/>
      <c r="W206" s="59">
        <f t="shared" si="26"/>
        <v>4</v>
      </c>
      <c r="X206" s="49"/>
      <c r="Y206" s="49"/>
      <c r="Z206" s="7"/>
      <c r="AA206" s="7"/>
      <c r="AB206" s="7"/>
      <c r="AC206" s="59" t="str">
        <f t="shared" si="27"/>
        <v>A</v>
      </c>
      <c r="AD206" s="49"/>
      <c r="AE206" s="7"/>
      <c r="AF206" s="49"/>
      <c r="AG206" s="7"/>
      <c r="AH206" s="7"/>
      <c r="AI206" s="59" t="str">
        <f t="shared" si="28"/>
        <v>A</v>
      </c>
      <c r="AJ206" s="49">
        <v>2</v>
      </c>
      <c r="AK206" s="49">
        <v>3</v>
      </c>
      <c r="AL206" s="7"/>
      <c r="AM206" s="49">
        <v>3</v>
      </c>
      <c r="AN206" s="7"/>
      <c r="AO206" s="59">
        <f t="shared" si="29"/>
        <v>2.5</v>
      </c>
      <c r="AP206" s="49">
        <v>3</v>
      </c>
      <c r="AQ206" s="49"/>
      <c r="AR206" s="49"/>
      <c r="AS206" s="7"/>
      <c r="AT206" s="7"/>
      <c r="AU206" s="59">
        <f t="shared" si="30"/>
        <v>3</v>
      </c>
      <c r="AV206" s="7"/>
      <c r="AW206" s="7"/>
      <c r="AX206" s="49"/>
      <c r="AY206" s="49">
        <v>3</v>
      </c>
      <c r="AZ206" s="49">
        <v>3</v>
      </c>
      <c r="BA206" s="59">
        <f t="shared" si="31"/>
        <v>3</v>
      </c>
    </row>
    <row r="207" spans="1:53" ht="23.1" customHeight="1" x14ac:dyDescent="0.3">
      <c r="A207" s="49">
        <v>205</v>
      </c>
      <c r="B207" s="49" t="s">
        <v>444</v>
      </c>
      <c r="C207" s="49" t="s">
        <v>445</v>
      </c>
      <c r="D207" s="49" t="s">
        <v>450</v>
      </c>
      <c r="E207" s="49" t="s">
        <v>289</v>
      </c>
      <c r="F207" s="49">
        <v>4</v>
      </c>
      <c r="G207" s="49">
        <v>4</v>
      </c>
      <c r="H207" s="49">
        <v>4</v>
      </c>
      <c r="I207" s="49">
        <v>3</v>
      </c>
      <c r="J207" s="49"/>
      <c r="K207" s="59">
        <f t="shared" si="24"/>
        <v>3.75</v>
      </c>
      <c r="L207" s="49">
        <v>3</v>
      </c>
      <c r="M207" s="49">
        <v>4</v>
      </c>
      <c r="N207" s="49">
        <v>4</v>
      </c>
      <c r="O207" s="49">
        <v>4</v>
      </c>
      <c r="P207" s="49">
        <v>2</v>
      </c>
      <c r="Q207" s="59">
        <f t="shared" si="25"/>
        <v>3.4</v>
      </c>
      <c r="R207" s="49"/>
      <c r="S207" s="49">
        <v>2</v>
      </c>
      <c r="T207" s="49"/>
      <c r="U207" s="49"/>
      <c r="V207" s="49"/>
      <c r="W207" s="59">
        <f t="shared" si="26"/>
        <v>2</v>
      </c>
      <c r="X207" s="49"/>
      <c r="Y207" s="49"/>
      <c r="Z207" s="49"/>
      <c r="AA207" s="49"/>
      <c r="AB207" s="49"/>
      <c r="AC207" s="59" t="str">
        <f t="shared" si="27"/>
        <v>A</v>
      </c>
      <c r="AD207" s="49"/>
      <c r="AE207" s="49"/>
      <c r="AF207" s="49"/>
      <c r="AG207" s="49"/>
      <c r="AH207" s="49"/>
      <c r="AI207" s="59" t="str">
        <f t="shared" si="28"/>
        <v>A</v>
      </c>
      <c r="AJ207" s="49">
        <v>3</v>
      </c>
      <c r="AK207" s="49">
        <v>3</v>
      </c>
      <c r="AL207" s="49"/>
      <c r="AM207" s="49">
        <v>3</v>
      </c>
      <c r="AN207" s="49"/>
      <c r="AO207" s="59">
        <f t="shared" si="29"/>
        <v>3</v>
      </c>
      <c r="AP207" s="49">
        <v>3</v>
      </c>
      <c r="AQ207" s="49"/>
      <c r="AR207" s="49"/>
      <c r="AS207" s="49"/>
      <c r="AT207" s="49"/>
      <c r="AU207" s="59">
        <f t="shared" si="30"/>
        <v>3</v>
      </c>
      <c r="AV207" s="49"/>
      <c r="AW207" s="49"/>
      <c r="AX207" s="49"/>
      <c r="AY207" s="49">
        <v>4</v>
      </c>
      <c r="AZ207" s="49">
        <v>3</v>
      </c>
      <c r="BA207" s="59">
        <f t="shared" si="31"/>
        <v>3.5</v>
      </c>
    </row>
    <row r="208" spans="1:53" ht="23.1" customHeight="1" x14ac:dyDescent="0.3">
      <c r="A208" s="7">
        <v>206</v>
      </c>
      <c r="B208" s="7" t="s">
        <v>446</v>
      </c>
      <c r="C208" s="7" t="s">
        <v>447</v>
      </c>
      <c r="D208" s="7" t="s">
        <v>450</v>
      </c>
      <c r="E208" s="7" t="s">
        <v>289</v>
      </c>
      <c r="F208" s="49">
        <v>0</v>
      </c>
      <c r="G208" s="49">
        <v>0</v>
      </c>
      <c r="H208" s="49">
        <v>0</v>
      </c>
      <c r="I208" s="49">
        <v>0</v>
      </c>
      <c r="J208" s="7"/>
      <c r="K208" s="59">
        <f t="shared" si="24"/>
        <v>0</v>
      </c>
      <c r="L208" s="49">
        <v>0</v>
      </c>
      <c r="M208" s="49">
        <v>0</v>
      </c>
      <c r="N208" s="49">
        <v>0</v>
      </c>
      <c r="O208" s="49">
        <v>0</v>
      </c>
      <c r="P208" s="49">
        <v>0</v>
      </c>
      <c r="Q208" s="59">
        <f t="shared" si="25"/>
        <v>0</v>
      </c>
      <c r="R208" s="49"/>
      <c r="S208" s="49">
        <v>0</v>
      </c>
      <c r="T208" s="7"/>
      <c r="U208" s="49"/>
      <c r="V208" s="7"/>
      <c r="W208" s="59">
        <f t="shared" si="26"/>
        <v>0</v>
      </c>
      <c r="X208" s="49"/>
      <c r="Y208" s="49"/>
      <c r="Z208" s="7"/>
      <c r="AA208" s="7"/>
      <c r="AB208" s="7"/>
      <c r="AC208" s="59" t="str">
        <f t="shared" si="27"/>
        <v>A</v>
      </c>
      <c r="AD208" s="49"/>
      <c r="AE208" s="7"/>
      <c r="AF208" s="49"/>
      <c r="AG208" s="7"/>
      <c r="AH208" s="7"/>
      <c r="AI208" s="59" t="str">
        <f t="shared" si="28"/>
        <v>A</v>
      </c>
      <c r="AJ208" s="49">
        <v>0</v>
      </c>
      <c r="AK208" s="49">
        <v>0</v>
      </c>
      <c r="AL208" s="7"/>
      <c r="AM208" s="49">
        <v>0</v>
      </c>
      <c r="AN208" s="7"/>
      <c r="AO208" s="59">
        <f t="shared" si="29"/>
        <v>0</v>
      </c>
      <c r="AP208" s="49">
        <v>0</v>
      </c>
      <c r="AQ208" s="49"/>
      <c r="AR208" s="49"/>
      <c r="AS208" s="7"/>
      <c r="AT208" s="7"/>
      <c r="AU208" s="59">
        <f t="shared" si="30"/>
        <v>0</v>
      </c>
      <c r="AV208" s="7"/>
      <c r="AW208" s="7"/>
      <c r="AX208" s="49"/>
      <c r="AY208" s="49">
        <v>0</v>
      </c>
      <c r="AZ208" s="49">
        <v>0</v>
      </c>
      <c r="BA208" s="59">
        <f t="shared" si="31"/>
        <v>0</v>
      </c>
    </row>
    <row r="209" spans="1:53" ht="23.1" customHeight="1" x14ac:dyDescent="0.3">
      <c r="A209" s="49">
        <v>207</v>
      </c>
      <c r="B209" s="49" t="s">
        <v>448</v>
      </c>
      <c r="C209" s="49" t="s">
        <v>449</v>
      </c>
      <c r="D209" s="49" t="s">
        <v>450</v>
      </c>
      <c r="E209" s="49" t="s">
        <v>289</v>
      </c>
      <c r="F209" s="49">
        <v>2</v>
      </c>
      <c r="G209" s="49">
        <v>2</v>
      </c>
      <c r="H209" s="49">
        <v>3</v>
      </c>
      <c r="I209" s="49">
        <v>3</v>
      </c>
      <c r="J209" s="49"/>
      <c r="K209" s="59">
        <f t="shared" si="24"/>
        <v>2.5</v>
      </c>
      <c r="L209" s="49">
        <v>3</v>
      </c>
      <c r="M209" s="49">
        <v>2</v>
      </c>
      <c r="N209" s="49">
        <v>2</v>
      </c>
      <c r="O209" s="49">
        <v>3</v>
      </c>
      <c r="P209" s="49">
        <v>3</v>
      </c>
      <c r="Q209" s="59">
        <f t="shared" si="25"/>
        <v>2.6</v>
      </c>
      <c r="R209" s="49"/>
      <c r="S209" s="49">
        <v>3</v>
      </c>
      <c r="T209" s="49"/>
      <c r="U209" s="49"/>
      <c r="V209" s="49"/>
      <c r="W209" s="59">
        <f t="shared" si="26"/>
        <v>3</v>
      </c>
      <c r="X209" s="49"/>
      <c r="Y209" s="49"/>
      <c r="Z209" s="49"/>
      <c r="AA209" s="49"/>
      <c r="AB209" s="49"/>
      <c r="AC209" s="59" t="str">
        <f t="shared" si="27"/>
        <v>A</v>
      </c>
      <c r="AD209" s="49"/>
      <c r="AE209" s="49"/>
      <c r="AF209" s="49"/>
      <c r="AG209" s="49"/>
      <c r="AH209" s="49"/>
      <c r="AI209" s="59" t="str">
        <f t="shared" si="28"/>
        <v>A</v>
      </c>
      <c r="AJ209" s="49">
        <v>3</v>
      </c>
      <c r="AK209" s="49">
        <v>2</v>
      </c>
      <c r="AL209" s="49"/>
      <c r="AM209" s="49">
        <v>4</v>
      </c>
      <c r="AN209" s="49"/>
      <c r="AO209" s="59">
        <f t="shared" si="29"/>
        <v>2.5</v>
      </c>
      <c r="AP209" s="49">
        <v>3</v>
      </c>
      <c r="AQ209" s="49"/>
      <c r="AR209" s="49"/>
      <c r="AS209" s="49"/>
      <c r="AT209" s="49"/>
      <c r="AU209" s="59">
        <f t="shared" si="30"/>
        <v>3</v>
      </c>
      <c r="AV209" s="49"/>
      <c r="AW209" s="49"/>
      <c r="AX209" s="49"/>
      <c r="AY209" s="49">
        <v>3</v>
      </c>
      <c r="AZ209" s="49">
        <v>2</v>
      </c>
      <c r="BA209" s="59">
        <f t="shared" si="31"/>
        <v>2.5</v>
      </c>
    </row>
    <row r="210" spans="1:53" ht="23.1" customHeight="1" x14ac:dyDescent="0.3">
      <c r="A210" s="7">
        <v>208</v>
      </c>
      <c r="B210" s="7" t="s">
        <v>74</v>
      </c>
      <c r="C210" s="7" t="s">
        <v>494</v>
      </c>
      <c r="D210" s="7" t="s">
        <v>450</v>
      </c>
      <c r="E210" s="7" t="s">
        <v>289</v>
      </c>
      <c r="F210" s="49">
        <v>4</v>
      </c>
      <c r="G210" s="49">
        <v>4</v>
      </c>
      <c r="H210" s="49">
        <v>2</v>
      </c>
      <c r="I210" s="49">
        <v>3</v>
      </c>
      <c r="J210" s="7"/>
      <c r="K210" s="59">
        <f t="shared" si="24"/>
        <v>3.25</v>
      </c>
      <c r="L210" s="49">
        <v>4</v>
      </c>
      <c r="M210" s="49">
        <v>4</v>
      </c>
      <c r="N210" s="49">
        <v>3</v>
      </c>
      <c r="O210" s="49">
        <v>5</v>
      </c>
      <c r="P210" s="49">
        <v>4</v>
      </c>
      <c r="Q210" s="59">
        <f t="shared" si="25"/>
        <v>4</v>
      </c>
      <c r="R210" s="49"/>
      <c r="S210" s="49">
        <v>4</v>
      </c>
      <c r="T210" s="7"/>
      <c r="U210" s="49"/>
      <c r="V210" s="7"/>
      <c r="W210" s="59">
        <f t="shared" si="26"/>
        <v>4</v>
      </c>
      <c r="X210" s="49"/>
      <c r="Y210" s="49"/>
      <c r="Z210" s="7"/>
      <c r="AA210" s="7"/>
      <c r="AB210" s="7"/>
      <c r="AC210" s="59" t="str">
        <f t="shared" si="27"/>
        <v>A</v>
      </c>
      <c r="AD210" s="49"/>
      <c r="AE210" s="7"/>
      <c r="AF210" s="49"/>
      <c r="AG210" s="7"/>
      <c r="AH210" s="7"/>
      <c r="AI210" s="59" t="str">
        <f t="shared" si="28"/>
        <v>A</v>
      </c>
      <c r="AJ210" s="49">
        <v>3</v>
      </c>
      <c r="AK210" s="49">
        <v>3</v>
      </c>
      <c r="AL210" s="7"/>
      <c r="AM210" s="49">
        <v>3</v>
      </c>
      <c r="AN210" s="7"/>
      <c r="AO210" s="59">
        <f t="shared" si="29"/>
        <v>3</v>
      </c>
      <c r="AP210" s="49">
        <v>3</v>
      </c>
      <c r="AQ210" s="49"/>
      <c r="AR210" s="49"/>
      <c r="AS210" s="7"/>
      <c r="AT210" s="7"/>
      <c r="AU210" s="59">
        <f t="shared" si="30"/>
        <v>3</v>
      </c>
      <c r="AV210" s="7"/>
      <c r="AW210" s="7"/>
      <c r="AX210" s="49"/>
      <c r="AY210" s="49">
        <v>3</v>
      </c>
      <c r="AZ210" s="49">
        <v>3</v>
      </c>
      <c r="BA210" s="59">
        <f t="shared" si="31"/>
        <v>3</v>
      </c>
    </row>
    <row r="211" spans="1:53" ht="23.1" customHeight="1" x14ac:dyDescent="0.3">
      <c r="A211" s="49">
        <v>209</v>
      </c>
      <c r="B211" s="49" t="s">
        <v>451</v>
      </c>
      <c r="C211" s="49" t="s">
        <v>452</v>
      </c>
      <c r="D211" s="49" t="s">
        <v>450</v>
      </c>
      <c r="E211" s="49" t="s">
        <v>289</v>
      </c>
      <c r="F211" s="49">
        <v>2</v>
      </c>
      <c r="G211" s="49">
        <v>2</v>
      </c>
      <c r="H211" s="49">
        <v>2</v>
      </c>
      <c r="I211" s="49">
        <v>2</v>
      </c>
      <c r="J211" s="49"/>
      <c r="K211" s="59">
        <f t="shared" si="24"/>
        <v>2</v>
      </c>
      <c r="L211" s="49">
        <v>2</v>
      </c>
      <c r="M211" s="49">
        <v>2</v>
      </c>
      <c r="N211" s="49">
        <v>2</v>
      </c>
      <c r="O211" s="49">
        <v>2</v>
      </c>
      <c r="P211" s="49">
        <v>2</v>
      </c>
      <c r="Q211" s="59">
        <f t="shared" si="25"/>
        <v>2</v>
      </c>
      <c r="R211" s="49"/>
      <c r="S211" s="49">
        <v>2</v>
      </c>
      <c r="T211" s="49"/>
      <c r="U211" s="49"/>
      <c r="V211" s="49"/>
      <c r="W211" s="59">
        <f t="shared" si="26"/>
        <v>2</v>
      </c>
      <c r="X211" s="49"/>
      <c r="Y211" s="49"/>
      <c r="Z211" s="49"/>
      <c r="AA211" s="49"/>
      <c r="AB211" s="49"/>
      <c r="AC211" s="59" t="str">
        <f t="shared" si="27"/>
        <v>A</v>
      </c>
      <c r="AD211" s="49"/>
      <c r="AE211" s="49"/>
      <c r="AF211" s="49"/>
      <c r="AG211" s="49"/>
      <c r="AH211" s="49"/>
      <c r="AI211" s="59" t="str">
        <f t="shared" si="28"/>
        <v>A</v>
      </c>
      <c r="AJ211" s="49">
        <v>2</v>
      </c>
      <c r="AK211" s="49">
        <v>2</v>
      </c>
      <c r="AL211" s="49"/>
      <c r="AM211" s="49">
        <v>2</v>
      </c>
      <c r="AN211" s="49"/>
      <c r="AO211" s="59">
        <f t="shared" si="29"/>
        <v>2</v>
      </c>
      <c r="AP211" s="49">
        <v>2</v>
      </c>
      <c r="AQ211" s="49"/>
      <c r="AR211" s="49"/>
      <c r="AS211" s="49"/>
      <c r="AT211" s="49"/>
      <c r="AU211" s="59">
        <f t="shared" si="30"/>
        <v>2</v>
      </c>
      <c r="AV211" s="49"/>
      <c r="AW211" s="49"/>
      <c r="AX211" s="49"/>
      <c r="AY211" s="49">
        <v>3</v>
      </c>
      <c r="AZ211" s="49">
        <v>2</v>
      </c>
      <c r="BA211" s="59">
        <f t="shared" si="31"/>
        <v>2.5</v>
      </c>
    </row>
    <row r="212" spans="1:53" ht="23.1" customHeight="1" x14ac:dyDescent="0.3">
      <c r="A212" s="7">
        <v>210</v>
      </c>
      <c r="B212" s="7" t="s">
        <v>453</v>
      </c>
      <c r="C212" s="7" t="s">
        <v>454</v>
      </c>
      <c r="D212" s="7" t="s">
        <v>450</v>
      </c>
      <c r="E212" s="7" t="s">
        <v>289</v>
      </c>
      <c r="F212" s="49">
        <v>3</v>
      </c>
      <c r="G212" s="49">
        <v>4</v>
      </c>
      <c r="H212" s="49">
        <v>3</v>
      </c>
      <c r="I212" s="49">
        <v>3</v>
      </c>
      <c r="J212" s="7"/>
      <c r="K212" s="59">
        <f t="shared" si="24"/>
        <v>3.25</v>
      </c>
      <c r="L212" s="49">
        <v>3</v>
      </c>
      <c r="M212" s="49">
        <v>3</v>
      </c>
      <c r="N212" s="49">
        <v>3</v>
      </c>
      <c r="O212" s="49">
        <v>3</v>
      </c>
      <c r="P212" s="49">
        <v>3</v>
      </c>
      <c r="Q212" s="59">
        <f t="shared" si="25"/>
        <v>3</v>
      </c>
      <c r="R212" s="49"/>
      <c r="S212" s="49">
        <v>3</v>
      </c>
      <c r="T212" s="7"/>
      <c r="U212" s="49"/>
      <c r="V212" s="7"/>
      <c r="W212" s="59">
        <f t="shared" si="26"/>
        <v>3</v>
      </c>
      <c r="X212" s="49"/>
      <c r="Y212" s="49"/>
      <c r="Z212" s="7"/>
      <c r="AA212" s="7"/>
      <c r="AB212" s="7"/>
      <c r="AC212" s="59" t="str">
        <f t="shared" si="27"/>
        <v>A</v>
      </c>
      <c r="AD212" s="49"/>
      <c r="AE212" s="7"/>
      <c r="AF212" s="49"/>
      <c r="AG212" s="7"/>
      <c r="AH212" s="7"/>
      <c r="AI212" s="59" t="str">
        <f t="shared" si="28"/>
        <v>A</v>
      </c>
      <c r="AJ212" s="49">
        <v>3</v>
      </c>
      <c r="AK212" s="49">
        <v>2</v>
      </c>
      <c r="AL212" s="7"/>
      <c r="AM212" s="49">
        <v>3</v>
      </c>
      <c r="AN212" s="7"/>
      <c r="AO212" s="59">
        <f t="shared" si="29"/>
        <v>2.5</v>
      </c>
      <c r="AP212" s="49">
        <v>3</v>
      </c>
      <c r="AQ212" s="49"/>
      <c r="AR212" s="49"/>
      <c r="AS212" s="7"/>
      <c r="AT212" s="7"/>
      <c r="AU212" s="59">
        <f t="shared" si="30"/>
        <v>3</v>
      </c>
      <c r="AV212" s="7"/>
      <c r="AW212" s="7"/>
      <c r="AX212" s="49"/>
      <c r="AY212" s="49">
        <v>3</v>
      </c>
      <c r="AZ212" s="49">
        <v>4</v>
      </c>
      <c r="BA212" s="59">
        <f t="shared" si="31"/>
        <v>3.5</v>
      </c>
    </row>
    <row r="213" spans="1:53" ht="23.1" customHeight="1" x14ac:dyDescent="0.3">
      <c r="A213" s="49">
        <v>211</v>
      </c>
      <c r="B213" s="49" t="s">
        <v>455</v>
      </c>
      <c r="C213" s="49" t="s">
        <v>456</v>
      </c>
      <c r="D213" s="49" t="s">
        <v>542</v>
      </c>
      <c r="E213" s="49" t="s">
        <v>289</v>
      </c>
      <c r="F213" s="49">
        <v>2</v>
      </c>
      <c r="G213" s="49">
        <v>4</v>
      </c>
      <c r="H213" s="49">
        <v>3</v>
      </c>
      <c r="I213" s="49">
        <v>2</v>
      </c>
      <c r="J213" s="49"/>
      <c r="K213" s="59">
        <f t="shared" si="24"/>
        <v>2.75</v>
      </c>
      <c r="L213" s="49">
        <v>3</v>
      </c>
      <c r="M213" s="49">
        <v>4</v>
      </c>
      <c r="N213" s="49">
        <v>3</v>
      </c>
      <c r="O213" s="49">
        <v>4</v>
      </c>
      <c r="P213" s="49">
        <v>3</v>
      </c>
      <c r="Q213" s="59">
        <f t="shared" si="25"/>
        <v>3.4</v>
      </c>
      <c r="R213" s="49"/>
      <c r="S213" s="49">
        <v>2</v>
      </c>
      <c r="T213" s="49"/>
      <c r="U213" s="49"/>
      <c r="V213" s="49"/>
      <c r="W213" s="59">
        <f t="shared" si="26"/>
        <v>2</v>
      </c>
      <c r="X213" s="49"/>
      <c r="Y213" s="49"/>
      <c r="Z213" s="49"/>
      <c r="AA213" s="49"/>
      <c r="AB213" s="49"/>
      <c r="AC213" s="59" t="str">
        <f t="shared" si="27"/>
        <v>A</v>
      </c>
      <c r="AD213" s="49"/>
      <c r="AE213" s="49"/>
      <c r="AF213" s="49"/>
      <c r="AG213" s="49"/>
      <c r="AH213" s="49"/>
      <c r="AI213" s="59" t="str">
        <f t="shared" si="28"/>
        <v>A</v>
      </c>
      <c r="AJ213" s="49">
        <v>2</v>
      </c>
      <c r="AK213" s="49">
        <v>3</v>
      </c>
      <c r="AL213" s="49"/>
      <c r="AM213" s="49">
        <v>3</v>
      </c>
      <c r="AN213" s="49"/>
      <c r="AO213" s="59">
        <f t="shared" si="29"/>
        <v>2.5</v>
      </c>
      <c r="AP213" s="49">
        <v>2</v>
      </c>
      <c r="AQ213" s="49"/>
      <c r="AR213" s="49"/>
      <c r="AS213" s="49"/>
      <c r="AT213" s="49"/>
      <c r="AU213" s="59">
        <f t="shared" si="30"/>
        <v>2</v>
      </c>
      <c r="AV213" s="49"/>
      <c r="AW213" s="49"/>
      <c r="AX213" s="49"/>
      <c r="AY213" s="49">
        <v>4</v>
      </c>
      <c r="AZ213" s="49">
        <v>4</v>
      </c>
      <c r="BA213" s="59">
        <f t="shared" si="31"/>
        <v>4</v>
      </c>
    </row>
    <row r="214" spans="1:53" ht="23.1" customHeight="1" x14ac:dyDescent="0.3">
      <c r="A214" s="7">
        <v>212</v>
      </c>
      <c r="B214" s="7" t="s">
        <v>457</v>
      </c>
      <c r="C214" s="7" t="s">
        <v>458</v>
      </c>
      <c r="D214" s="7" t="s">
        <v>542</v>
      </c>
      <c r="E214" s="7" t="s">
        <v>289</v>
      </c>
      <c r="F214" s="49">
        <v>3</v>
      </c>
      <c r="G214" s="49">
        <v>3</v>
      </c>
      <c r="H214" s="49">
        <v>2</v>
      </c>
      <c r="I214" s="49">
        <v>2</v>
      </c>
      <c r="J214" s="7"/>
      <c r="K214" s="59">
        <f t="shared" si="24"/>
        <v>2.5</v>
      </c>
      <c r="L214" s="49">
        <v>4</v>
      </c>
      <c r="M214" s="49">
        <v>4</v>
      </c>
      <c r="N214" s="49">
        <v>4</v>
      </c>
      <c r="O214" s="49">
        <v>4</v>
      </c>
      <c r="P214" s="49">
        <v>5</v>
      </c>
      <c r="Q214" s="59">
        <f t="shared" si="25"/>
        <v>4.2</v>
      </c>
      <c r="R214" s="49"/>
      <c r="S214" s="49">
        <v>3</v>
      </c>
      <c r="T214" s="7"/>
      <c r="U214" s="49"/>
      <c r="V214" s="7"/>
      <c r="W214" s="59">
        <f t="shared" si="26"/>
        <v>3</v>
      </c>
      <c r="X214" s="49"/>
      <c r="Y214" s="49"/>
      <c r="Z214" s="7"/>
      <c r="AA214" s="7"/>
      <c r="AB214" s="7"/>
      <c r="AC214" s="59" t="str">
        <f t="shared" si="27"/>
        <v>A</v>
      </c>
      <c r="AD214" s="49"/>
      <c r="AE214" s="7"/>
      <c r="AF214" s="49"/>
      <c r="AG214" s="7"/>
      <c r="AH214" s="7"/>
      <c r="AI214" s="59" t="str">
        <f t="shared" si="28"/>
        <v>A</v>
      </c>
      <c r="AJ214" s="49">
        <v>3</v>
      </c>
      <c r="AK214" s="49">
        <v>3</v>
      </c>
      <c r="AL214" s="7"/>
      <c r="AM214" s="49">
        <v>2</v>
      </c>
      <c r="AN214" s="7"/>
      <c r="AO214" s="59">
        <f t="shared" si="29"/>
        <v>3</v>
      </c>
      <c r="AP214" s="49">
        <v>2</v>
      </c>
      <c r="AQ214" s="49"/>
      <c r="AR214" s="49"/>
      <c r="AS214" s="7"/>
      <c r="AT214" s="7"/>
      <c r="AU214" s="59">
        <f t="shared" si="30"/>
        <v>2</v>
      </c>
      <c r="AV214" s="7"/>
      <c r="AW214" s="7"/>
      <c r="AX214" s="49"/>
      <c r="AY214" s="49">
        <v>3</v>
      </c>
      <c r="AZ214" s="49">
        <v>4</v>
      </c>
      <c r="BA214" s="59">
        <f t="shared" si="31"/>
        <v>3.5</v>
      </c>
    </row>
    <row r="215" spans="1:53" ht="23.1" customHeight="1" x14ac:dyDescent="0.3">
      <c r="A215" s="49">
        <v>213</v>
      </c>
      <c r="B215" s="49" t="s">
        <v>459</v>
      </c>
      <c r="C215" s="49" t="s">
        <v>460</v>
      </c>
      <c r="D215" s="49" t="s">
        <v>542</v>
      </c>
      <c r="E215" s="49" t="s">
        <v>289</v>
      </c>
      <c r="F215" s="49">
        <v>3.5</v>
      </c>
      <c r="G215" s="49">
        <v>3.5</v>
      </c>
      <c r="H215" s="49">
        <v>3.5</v>
      </c>
      <c r="I215" s="49">
        <v>4</v>
      </c>
      <c r="J215" s="49"/>
      <c r="K215" s="59">
        <f t="shared" si="24"/>
        <v>3.625</v>
      </c>
      <c r="L215" s="49">
        <v>4</v>
      </c>
      <c r="M215" s="49">
        <v>3.5</v>
      </c>
      <c r="N215" s="49">
        <v>3.5</v>
      </c>
      <c r="O215" s="49">
        <v>3.5</v>
      </c>
      <c r="P215" s="49">
        <v>3.5</v>
      </c>
      <c r="Q215" s="59">
        <f t="shared" si="25"/>
        <v>3.6</v>
      </c>
      <c r="R215" s="49"/>
      <c r="S215" s="49">
        <v>4</v>
      </c>
      <c r="T215" s="49"/>
      <c r="U215" s="49"/>
      <c r="V215" s="49"/>
      <c r="W215" s="59">
        <f t="shared" si="26"/>
        <v>4</v>
      </c>
      <c r="X215" s="49"/>
      <c r="Y215" s="49"/>
      <c r="Z215" s="49"/>
      <c r="AA215" s="49"/>
      <c r="AB215" s="49"/>
      <c r="AC215" s="59" t="str">
        <f t="shared" si="27"/>
        <v>A</v>
      </c>
      <c r="AD215" s="49"/>
      <c r="AE215" s="49"/>
      <c r="AF215" s="49"/>
      <c r="AG215" s="49"/>
      <c r="AH215" s="49"/>
      <c r="AI215" s="59" t="str">
        <f t="shared" si="28"/>
        <v>A</v>
      </c>
      <c r="AJ215" s="49">
        <v>3.5</v>
      </c>
      <c r="AK215" s="49">
        <v>3.5</v>
      </c>
      <c r="AL215" s="49"/>
      <c r="AM215" s="49">
        <v>4</v>
      </c>
      <c r="AN215" s="49"/>
      <c r="AO215" s="59">
        <f t="shared" si="29"/>
        <v>3.5</v>
      </c>
      <c r="AP215" s="49">
        <v>3.5</v>
      </c>
      <c r="AQ215" s="49"/>
      <c r="AR215" s="49"/>
      <c r="AS215" s="49"/>
      <c r="AT215" s="49"/>
      <c r="AU215" s="59">
        <f t="shared" si="30"/>
        <v>3.5</v>
      </c>
      <c r="AV215" s="49"/>
      <c r="AW215" s="49"/>
      <c r="AX215" s="49"/>
      <c r="AY215" s="49">
        <v>4</v>
      </c>
      <c r="AZ215" s="49">
        <v>3.5</v>
      </c>
      <c r="BA215" s="59">
        <f t="shared" si="31"/>
        <v>3.75</v>
      </c>
    </row>
    <row r="216" spans="1:53" ht="23.1" customHeight="1" x14ac:dyDescent="0.3">
      <c r="A216" s="7">
        <v>214</v>
      </c>
      <c r="B216" s="7" t="s">
        <v>461</v>
      </c>
      <c r="C216" s="7" t="s">
        <v>462</v>
      </c>
      <c r="D216" s="7" t="s">
        <v>450</v>
      </c>
      <c r="E216" s="7" t="s">
        <v>289</v>
      </c>
      <c r="F216" s="49">
        <v>2.5</v>
      </c>
      <c r="G216" s="49">
        <v>2.5</v>
      </c>
      <c r="H216" s="49">
        <v>3</v>
      </c>
      <c r="I216" s="49">
        <v>2.5</v>
      </c>
      <c r="J216" s="7"/>
      <c r="K216" s="59">
        <f t="shared" si="24"/>
        <v>2.625</v>
      </c>
      <c r="L216" s="49">
        <v>3</v>
      </c>
      <c r="M216" s="49">
        <v>2.5</v>
      </c>
      <c r="N216" s="49">
        <v>2.5</v>
      </c>
      <c r="O216" s="49">
        <v>2.5</v>
      </c>
      <c r="P216" s="49">
        <v>3</v>
      </c>
      <c r="Q216" s="59">
        <f t="shared" si="25"/>
        <v>2.7</v>
      </c>
      <c r="R216" s="49"/>
      <c r="S216" s="49">
        <v>2.5</v>
      </c>
      <c r="T216" s="7"/>
      <c r="U216" s="49"/>
      <c r="V216" s="7"/>
      <c r="W216" s="59">
        <f t="shared" si="26"/>
        <v>2.5</v>
      </c>
      <c r="X216" s="49"/>
      <c r="Y216" s="49"/>
      <c r="Z216" s="7"/>
      <c r="AA216" s="7"/>
      <c r="AB216" s="7"/>
      <c r="AC216" s="59" t="str">
        <f t="shared" si="27"/>
        <v>A</v>
      </c>
      <c r="AD216" s="49"/>
      <c r="AE216" s="7"/>
      <c r="AF216" s="49"/>
      <c r="AG216" s="7"/>
      <c r="AH216" s="7"/>
      <c r="AI216" s="59" t="str">
        <f t="shared" si="28"/>
        <v>A</v>
      </c>
      <c r="AJ216" s="49">
        <v>2.5</v>
      </c>
      <c r="AK216" s="49">
        <v>2.5</v>
      </c>
      <c r="AL216" s="7"/>
      <c r="AM216" s="49">
        <v>3</v>
      </c>
      <c r="AN216" s="7"/>
      <c r="AO216" s="59">
        <f t="shared" si="29"/>
        <v>2.5</v>
      </c>
      <c r="AP216" s="49">
        <v>3</v>
      </c>
      <c r="AQ216" s="49"/>
      <c r="AR216" s="49"/>
      <c r="AS216" s="7"/>
      <c r="AT216" s="7"/>
      <c r="AU216" s="59">
        <f t="shared" si="30"/>
        <v>3</v>
      </c>
      <c r="AV216" s="7"/>
      <c r="AW216" s="7"/>
      <c r="AX216" s="49"/>
      <c r="AY216" s="49">
        <v>2.5</v>
      </c>
      <c r="AZ216" s="49">
        <v>2.5</v>
      </c>
      <c r="BA216" s="59">
        <f t="shared" si="31"/>
        <v>2.5</v>
      </c>
    </row>
    <row r="217" spans="1:53" ht="23.1" customHeight="1" x14ac:dyDescent="0.3">
      <c r="A217" s="49">
        <v>215</v>
      </c>
      <c r="B217" s="49" t="s">
        <v>463</v>
      </c>
      <c r="C217" s="49" t="s">
        <v>464</v>
      </c>
      <c r="D217" s="49" t="s">
        <v>450</v>
      </c>
      <c r="E217" s="49" t="s">
        <v>289</v>
      </c>
      <c r="F217" s="49">
        <v>2</v>
      </c>
      <c r="G217" s="49">
        <v>3</v>
      </c>
      <c r="H217" s="49">
        <v>3</v>
      </c>
      <c r="I217" s="49">
        <v>2</v>
      </c>
      <c r="J217" s="49"/>
      <c r="K217" s="59">
        <f t="shared" si="24"/>
        <v>2.5</v>
      </c>
      <c r="L217" s="49">
        <v>3</v>
      </c>
      <c r="M217" s="49">
        <v>3</v>
      </c>
      <c r="N217" s="49">
        <v>2</v>
      </c>
      <c r="O217" s="49">
        <v>3</v>
      </c>
      <c r="P217" s="49">
        <v>2</v>
      </c>
      <c r="Q217" s="59">
        <f t="shared" si="25"/>
        <v>2.6</v>
      </c>
      <c r="R217" s="49"/>
      <c r="S217" s="49">
        <v>2</v>
      </c>
      <c r="T217" s="49"/>
      <c r="U217" s="49"/>
      <c r="V217" s="49"/>
      <c r="W217" s="59">
        <f t="shared" si="26"/>
        <v>2</v>
      </c>
      <c r="X217" s="49"/>
      <c r="Y217" s="49"/>
      <c r="Z217" s="49"/>
      <c r="AA217" s="49"/>
      <c r="AB217" s="49"/>
      <c r="AC217" s="59" t="str">
        <f t="shared" si="27"/>
        <v>A</v>
      </c>
      <c r="AD217" s="49"/>
      <c r="AE217" s="49"/>
      <c r="AF217" s="49"/>
      <c r="AG217" s="49"/>
      <c r="AH217" s="49"/>
      <c r="AI217" s="59" t="str">
        <f t="shared" si="28"/>
        <v>A</v>
      </c>
      <c r="AJ217" s="49">
        <v>2</v>
      </c>
      <c r="AK217" s="49">
        <v>3</v>
      </c>
      <c r="AL217" s="49"/>
      <c r="AM217" s="49">
        <v>3</v>
      </c>
      <c r="AN217" s="49"/>
      <c r="AO217" s="59">
        <f t="shared" si="29"/>
        <v>2.5</v>
      </c>
      <c r="AP217" s="49">
        <v>4</v>
      </c>
      <c r="AQ217" s="49"/>
      <c r="AR217" s="49"/>
      <c r="AS217" s="49"/>
      <c r="AT217" s="49"/>
      <c r="AU217" s="59">
        <f t="shared" si="30"/>
        <v>4</v>
      </c>
      <c r="AV217" s="49"/>
      <c r="AW217" s="49"/>
      <c r="AX217" s="49"/>
      <c r="AY217" s="49">
        <v>3</v>
      </c>
      <c r="AZ217" s="49">
        <v>3</v>
      </c>
      <c r="BA217" s="59">
        <f t="shared" si="31"/>
        <v>3</v>
      </c>
    </row>
    <row r="218" spans="1:53" ht="23.1" customHeight="1" x14ac:dyDescent="0.3">
      <c r="A218" s="7">
        <v>216</v>
      </c>
      <c r="B218" s="7" t="s">
        <v>465</v>
      </c>
      <c r="C218" s="7" t="s">
        <v>466</v>
      </c>
      <c r="D218" s="7" t="s">
        <v>450</v>
      </c>
      <c r="E218" s="7" t="s">
        <v>289</v>
      </c>
      <c r="F218" s="49">
        <v>1</v>
      </c>
      <c r="G218" s="49">
        <v>3</v>
      </c>
      <c r="H218" s="49">
        <v>0</v>
      </c>
      <c r="I218" s="49">
        <v>1</v>
      </c>
      <c r="J218" s="7"/>
      <c r="K218" s="59">
        <f t="shared" si="24"/>
        <v>1.25</v>
      </c>
      <c r="L218" s="49">
        <v>1</v>
      </c>
      <c r="M218" s="49">
        <v>1</v>
      </c>
      <c r="N218" s="49">
        <v>1</v>
      </c>
      <c r="O218" s="49">
        <v>1</v>
      </c>
      <c r="P218" s="49">
        <v>1</v>
      </c>
      <c r="Q218" s="59">
        <f t="shared" si="25"/>
        <v>1</v>
      </c>
      <c r="R218" s="49"/>
      <c r="S218" s="49">
        <v>1</v>
      </c>
      <c r="T218" s="7"/>
      <c r="U218" s="49"/>
      <c r="V218" s="7"/>
      <c r="W218" s="59">
        <f t="shared" si="26"/>
        <v>1</v>
      </c>
      <c r="X218" s="49"/>
      <c r="Y218" s="49"/>
      <c r="Z218" s="7"/>
      <c r="AA218" s="7"/>
      <c r="AB218" s="7"/>
      <c r="AC218" s="59" t="str">
        <f t="shared" si="27"/>
        <v>A</v>
      </c>
      <c r="AD218" s="49"/>
      <c r="AE218" s="7"/>
      <c r="AF218" s="49"/>
      <c r="AG218" s="7"/>
      <c r="AH218" s="7"/>
      <c r="AI218" s="59" t="str">
        <f t="shared" si="28"/>
        <v>A</v>
      </c>
      <c r="AJ218" s="49">
        <v>3</v>
      </c>
      <c r="AK218" s="49">
        <v>1</v>
      </c>
      <c r="AL218" s="7"/>
      <c r="AM218" s="49">
        <v>1</v>
      </c>
      <c r="AN218" s="7"/>
      <c r="AO218" s="59">
        <f t="shared" si="29"/>
        <v>2</v>
      </c>
      <c r="AP218" s="49">
        <v>1</v>
      </c>
      <c r="AQ218" s="49"/>
      <c r="AR218" s="49"/>
      <c r="AS218" s="7"/>
      <c r="AT218" s="7"/>
      <c r="AU218" s="59">
        <f t="shared" si="30"/>
        <v>1</v>
      </c>
      <c r="AV218" s="7"/>
      <c r="AW218" s="7"/>
      <c r="AX218" s="49"/>
      <c r="AY218" s="49">
        <v>2</v>
      </c>
      <c r="AZ218" s="49">
        <v>2</v>
      </c>
      <c r="BA218" s="59">
        <f t="shared" si="31"/>
        <v>2</v>
      </c>
    </row>
    <row r="219" spans="1:53" ht="23.1" customHeight="1" x14ac:dyDescent="0.3">
      <c r="A219" s="49">
        <v>217</v>
      </c>
      <c r="B219" s="49" t="s">
        <v>467</v>
      </c>
      <c r="C219" s="49" t="s">
        <v>468</v>
      </c>
      <c r="D219" s="49" t="s">
        <v>542</v>
      </c>
      <c r="E219" s="49" t="s">
        <v>289</v>
      </c>
      <c r="F219" s="49">
        <v>4</v>
      </c>
      <c r="G219" s="49">
        <v>4</v>
      </c>
      <c r="H219" s="49">
        <v>4</v>
      </c>
      <c r="I219" s="49">
        <v>4</v>
      </c>
      <c r="J219" s="49"/>
      <c r="K219" s="59">
        <f t="shared" si="24"/>
        <v>4</v>
      </c>
      <c r="L219" s="49">
        <v>5</v>
      </c>
      <c r="M219" s="49">
        <v>4</v>
      </c>
      <c r="N219" s="49">
        <v>4</v>
      </c>
      <c r="O219" s="49">
        <v>4</v>
      </c>
      <c r="P219" s="49">
        <v>3</v>
      </c>
      <c r="Q219" s="59">
        <f t="shared" si="25"/>
        <v>4</v>
      </c>
      <c r="R219" s="49"/>
      <c r="S219" s="49">
        <v>3</v>
      </c>
      <c r="T219" s="49"/>
      <c r="U219" s="49"/>
      <c r="V219" s="49"/>
      <c r="W219" s="59">
        <f t="shared" si="26"/>
        <v>3</v>
      </c>
      <c r="X219" s="49"/>
      <c r="Y219" s="49"/>
      <c r="Z219" s="49"/>
      <c r="AA219" s="49"/>
      <c r="AB219" s="49"/>
      <c r="AC219" s="59" t="str">
        <f t="shared" si="27"/>
        <v>A</v>
      </c>
      <c r="AD219" s="49"/>
      <c r="AE219" s="49"/>
      <c r="AF219" s="49"/>
      <c r="AG219" s="49"/>
      <c r="AH219" s="49"/>
      <c r="AI219" s="59" t="str">
        <f t="shared" si="28"/>
        <v>A</v>
      </c>
      <c r="AJ219" s="49">
        <v>4</v>
      </c>
      <c r="AK219" s="49">
        <v>4</v>
      </c>
      <c r="AL219" s="49"/>
      <c r="AM219" s="49">
        <v>4</v>
      </c>
      <c r="AN219" s="49"/>
      <c r="AO219" s="59">
        <f t="shared" si="29"/>
        <v>4</v>
      </c>
      <c r="AP219" s="49">
        <v>3</v>
      </c>
      <c r="AQ219" s="49"/>
      <c r="AR219" s="49"/>
      <c r="AS219" s="49"/>
      <c r="AT219" s="49"/>
      <c r="AU219" s="59">
        <f t="shared" si="30"/>
        <v>3</v>
      </c>
      <c r="AV219" s="49"/>
      <c r="AW219" s="49"/>
      <c r="AX219" s="49"/>
      <c r="AY219" s="49">
        <v>4</v>
      </c>
      <c r="AZ219" s="49">
        <v>4</v>
      </c>
      <c r="BA219" s="59">
        <f t="shared" si="31"/>
        <v>4</v>
      </c>
    </row>
    <row r="220" spans="1:53" ht="23.1" customHeight="1" x14ac:dyDescent="0.3">
      <c r="A220" s="7">
        <v>218</v>
      </c>
      <c r="B220" s="7" t="s">
        <v>469</v>
      </c>
      <c r="C220" s="7" t="s">
        <v>470</v>
      </c>
      <c r="D220" s="7" t="s">
        <v>450</v>
      </c>
      <c r="E220" s="7" t="s">
        <v>289</v>
      </c>
      <c r="F220" s="49">
        <v>2</v>
      </c>
      <c r="G220" s="49">
        <v>2</v>
      </c>
      <c r="H220" s="49">
        <v>2</v>
      </c>
      <c r="I220" s="49">
        <v>3</v>
      </c>
      <c r="J220" s="7"/>
      <c r="K220" s="59">
        <f t="shared" si="24"/>
        <v>2.25</v>
      </c>
      <c r="L220" s="49">
        <v>3</v>
      </c>
      <c r="M220" s="49">
        <v>2</v>
      </c>
      <c r="N220" s="49">
        <v>2</v>
      </c>
      <c r="O220" s="49">
        <v>2</v>
      </c>
      <c r="P220" s="49">
        <v>2</v>
      </c>
      <c r="Q220" s="59">
        <f t="shared" si="25"/>
        <v>2.2000000000000002</v>
      </c>
      <c r="R220" s="49"/>
      <c r="S220" s="49">
        <v>3</v>
      </c>
      <c r="T220" s="7"/>
      <c r="U220" s="49"/>
      <c r="V220" s="7"/>
      <c r="W220" s="59">
        <f t="shared" si="26"/>
        <v>3</v>
      </c>
      <c r="X220" s="49"/>
      <c r="Y220" s="49"/>
      <c r="Z220" s="7"/>
      <c r="AA220" s="7"/>
      <c r="AB220" s="7"/>
      <c r="AC220" s="59" t="str">
        <f t="shared" si="27"/>
        <v>A</v>
      </c>
      <c r="AD220" s="49"/>
      <c r="AE220" s="7"/>
      <c r="AF220" s="49"/>
      <c r="AG220" s="7"/>
      <c r="AH220" s="7"/>
      <c r="AI220" s="59" t="str">
        <f t="shared" si="28"/>
        <v>A</v>
      </c>
      <c r="AJ220" s="49">
        <v>3</v>
      </c>
      <c r="AK220" s="49">
        <v>3</v>
      </c>
      <c r="AL220" s="7"/>
      <c r="AM220" s="49">
        <v>2</v>
      </c>
      <c r="AN220" s="7"/>
      <c r="AO220" s="59">
        <f t="shared" si="29"/>
        <v>3</v>
      </c>
      <c r="AP220" s="49">
        <v>3</v>
      </c>
      <c r="AQ220" s="49"/>
      <c r="AR220" s="49"/>
      <c r="AS220" s="7"/>
      <c r="AT220" s="7"/>
      <c r="AU220" s="59">
        <f t="shared" si="30"/>
        <v>3</v>
      </c>
      <c r="AV220" s="7"/>
      <c r="AW220" s="7"/>
      <c r="AX220" s="49"/>
      <c r="AY220" s="49">
        <v>3</v>
      </c>
      <c r="AZ220" s="49">
        <v>2</v>
      </c>
      <c r="BA220" s="59">
        <f t="shared" si="31"/>
        <v>2.5</v>
      </c>
    </row>
    <row r="221" spans="1:53" ht="23.1" customHeight="1" x14ac:dyDescent="0.3">
      <c r="A221" s="49">
        <v>219</v>
      </c>
      <c r="B221" s="49" t="s">
        <v>471</v>
      </c>
      <c r="C221" s="49" t="s">
        <v>472</v>
      </c>
      <c r="D221" s="49" t="s">
        <v>450</v>
      </c>
      <c r="E221" s="49" t="s">
        <v>289</v>
      </c>
      <c r="F221" s="49">
        <v>3</v>
      </c>
      <c r="G221" s="49">
        <v>2.5</v>
      </c>
      <c r="H221" s="49">
        <v>3</v>
      </c>
      <c r="I221" s="49">
        <v>3.5</v>
      </c>
      <c r="J221" s="49"/>
      <c r="K221" s="59">
        <f t="shared" si="24"/>
        <v>3</v>
      </c>
      <c r="L221" s="49">
        <v>3.5</v>
      </c>
      <c r="M221" s="49">
        <v>3</v>
      </c>
      <c r="N221" s="49">
        <v>3</v>
      </c>
      <c r="O221" s="49">
        <v>2.5</v>
      </c>
      <c r="P221" s="49">
        <v>2.5</v>
      </c>
      <c r="Q221" s="59">
        <f t="shared" si="25"/>
        <v>2.9</v>
      </c>
      <c r="R221" s="49"/>
      <c r="S221" s="49">
        <v>3.5</v>
      </c>
      <c r="T221" s="49"/>
      <c r="U221" s="49"/>
      <c r="V221" s="49"/>
      <c r="W221" s="59">
        <f t="shared" si="26"/>
        <v>3.5</v>
      </c>
      <c r="X221" s="49"/>
      <c r="Y221" s="49"/>
      <c r="Z221" s="49"/>
      <c r="AA221" s="49"/>
      <c r="AB221" s="49"/>
      <c r="AC221" s="59" t="str">
        <f t="shared" si="27"/>
        <v>A</v>
      </c>
      <c r="AD221" s="49"/>
      <c r="AE221" s="49"/>
      <c r="AF221" s="49"/>
      <c r="AG221" s="49"/>
      <c r="AH221" s="49"/>
      <c r="AI221" s="59" t="str">
        <f t="shared" si="28"/>
        <v>A</v>
      </c>
      <c r="AJ221" s="49">
        <v>2.5</v>
      </c>
      <c r="AK221" s="49">
        <v>2.5</v>
      </c>
      <c r="AL221" s="49"/>
      <c r="AM221" s="49">
        <v>3.5</v>
      </c>
      <c r="AN221" s="49"/>
      <c r="AO221" s="59">
        <f t="shared" si="29"/>
        <v>2.5</v>
      </c>
      <c r="AP221" s="49">
        <v>3</v>
      </c>
      <c r="AQ221" s="49"/>
      <c r="AR221" s="49"/>
      <c r="AS221" s="49"/>
      <c r="AT221" s="49"/>
      <c r="AU221" s="59">
        <f t="shared" si="30"/>
        <v>3</v>
      </c>
      <c r="AV221" s="49"/>
      <c r="AW221" s="49"/>
      <c r="AX221" s="49"/>
      <c r="AY221" s="49">
        <v>3.5</v>
      </c>
      <c r="AZ221" s="49">
        <v>2.5</v>
      </c>
      <c r="BA221" s="59">
        <f t="shared" si="31"/>
        <v>3</v>
      </c>
    </row>
    <row r="222" spans="1:53" ht="23.1" customHeight="1" x14ac:dyDescent="0.3">
      <c r="A222" s="7">
        <v>220</v>
      </c>
      <c r="B222" s="7" t="s">
        <v>473</v>
      </c>
      <c r="C222" s="7" t="s">
        <v>474</v>
      </c>
      <c r="D222" s="7" t="s">
        <v>542</v>
      </c>
      <c r="E222" s="7" t="s">
        <v>289</v>
      </c>
      <c r="F222" s="49">
        <v>2</v>
      </c>
      <c r="G222" s="49">
        <v>3</v>
      </c>
      <c r="H222" s="49">
        <v>2</v>
      </c>
      <c r="I222" s="49">
        <v>3</v>
      </c>
      <c r="J222" s="7"/>
      <c r="K222" s="59">
        <f t="shared" si="24"/>
        <v>2.5</v>
      </c>
      <c r="L222" s="49">
        <v>2</v>
      </c>
      <c r="M222" s="49">
        <v>3</v>
      </c>
      <c r="N222" s="49">
        <v>2</v>
      </c>
      <c r="O222" s="49">
        <v>2</v>
      </c>
      <c r="P222" s="49">
        <v>2</v>
      </c>
      <c r="Q222" s="59">
        <f t="shared" si="25"/>
        <v>2.2000000000000002</v>
      </c>
      <c r="R222" s="49"/>
      <c r="S222" s="49">
        <v>2</v>
      </c>
      <c r="T222" s="7"/>
      <c r="U222" s="49"/>
      <c r="V222" s="7"/>
      <c r="W222" s="59">
        <f t="shared" si="26"/>
        <v>2</v>
      </c>
      <c r="X222" s="49"/>
      <c r="Y222" s="49"/>
      <c r="Z222" s="7"/>
      <c r="AA222" s="7"/>
      <c r="AB222" s="7"/>
      <c r="AC222" s="59" t="str">
        <f t="shared" si="27"/>
        <v>A</v>
      </c>
      <c r="AD222" s="49"/>
      <c r="AE222" s="7"/>
      <c r="AF222" s="49"/>
      <c r="AG222" s="7"/>
      <c r="AH222" s="7"/>
      <c r="AI222" s="59" t="str">
        <f t="shared" si="28"/>
        <v>A</v>
      </c>
      <c r="AJ222" s="49">
        <v>2</v>
      </c>
      <c r="AK222" s="49">
        <v>2</v>
      </c>
      <c r="AL222" s="7"/>
      <c r="AM222" s="49">
        <v>2</v>
      </c>
      <c r="AN222" s="7"/>
      <c r="AO222" s="59">
        <f t="shared" si="29"/>
        <v>2</v>
      </c>
      <c r="AP222" s="49">
        <v>3</v>
      </c>
      <c r="AQ222" s="49"/>
      <c r="AR222" s="49"/>
      <c r="AS222" s="7"/>
      <c r="AT222" s="7"/>
      <c r="AU222" s="59">
        <f t="shared" si="30"/>
        <v>3</v>
      </c>
      <c r="AV222" s="7"/>
      <c r="AW222" s="7"/>
      <c r="AX222" s="49"/>
      <c r="AY222" s="49">
        <v>3</v>
      </c>
      <c r="AZ222" s="49">
        <v>3</v>
      </c>
      <c r="BA222" s="59">
        <f t="shared" si="31"/>
        <v>3</v>
      </c>
    </row>
    <row r="223" spans="1:53" ht="23.1" customHeight="1" x14ac:dyDescent="0.3">
      <c r="A223" s="49">
        <v>221</v>
      </c>
      <c r="B223" s="49" t="s">
        <v>475</v>
      </c>
      <c r="C223" s="49" t="s">
        <v>476</v>
      </c>
      <c r="D223" s="49" t="s">
        <v>450</v>
      </c>
      <c r="E223" s="49" t="s">
        <v>289</v>
      </c>
      <c r="F223" s="49">
        <v>2</v>
      </c>
      <c r="G223" s="49">
        <v>2</v>
      </c>
      <c r="H223" s="49">
        <v>3</v>
      </c>
      <c r="I223" s="49">
        <v>3</v>
      </c>
      <c r="J223" s="49"/>
      <c r="K223" s="59">
        <f t="shared" si="24"/>
        <v>2.5</v>
      </c>
      <c r="L223" s="49">
        <v>2</v>
      </c>
      <c r="M223" s="49">
        <v>2</v>
      </c>
      <c r="N223" s="49">
        <v>4</v>
      </c>
      <c r="O223" s="49">
        <v>3</v>
      </c>
      <c r="P223" s="49">
        <v>2</v>
      </c>
      <c r="Q223" s="59">
        <f t="shared" si="25"/>
        <v>2.6</v>
      </c>
      <c r="R223" s="49"/>
      <c r="S223" s="49">
        <v>2</v>
      </c>
      <c r="T223" s="49"/>
      <c r="U223" s="49"/>
      <c r="V223" s="49"/>
      <c r="W223" s="59">
        <f t="shared" si="26"/>
        <v>2</v>
      </c>
      <c r="X223" s="49"/>
      <c r="Y223" s="49"/>
      <c r="Z223" s="49"/>
      <c r="AA223" s="49"/>
      <c r="AB223" s="49"/>
      <c r="AC223" s="59" t="str">
        <f t="shared" si="27"/>
        <v>A</v>
      </c>
      <c r="AD223" s="49"/>
      <c r="AE223" s="49"/>
      <c r="AF223" s="49"/>
      <c r="AG223" s="49"/>
      <c r="AH223" s="49"/>
      <c r="AI223" s="59" t="str">
        <f t="shared" si="28"/>
        <v>A</v>
      </c>
      <c r="AJ223" s="49">
        <v>3</v>
      </c>
      <c r="AK223" s="49">
        <v>3</v>
      </c>
      <c r="AL223" s="49"/>
      <c r="AM223" s="49">
        <v>2</v>
      </c>
      <c r="AN223" s="49"/>
      <c r="AO223" s="59">
        <f t="shared" si="29"/>
        <v>3</v>
      </c>
      <c r="AP223" s="49">
        <v>2</v>
      </c>
      <c r="AQ223" s="49"/>
      <c r="AR223" s="49"/>
      <c r="AS223" s="49"/>
      <c r="AT223" s="49"/>
      <c r="AU223" s="59">
        <f t="shared" si="30"/>
        <v>2</v>
      </c>
      <c r="AV223" s="49"/>
      <c r="AW223" s="49"/>
      <c r="AX223" s="49"/>
      <c r="AY223" s="49">
        <v>2</v>
      </c>
      <c r="AZ223" s="49">
        <v>2</v>
      </c>
      <c r="BA223" s="59">
        <f t="shared" si="31"/>
        <v>2</v>
      </c>
    </row>
    <row r="224" spans="1:53" ht="23.1" customHeight="1" x14ac:dyDescent="0.3">
      <c r="A224" s="7">
        <v>222</v>
      </c>
      <c r="B224" s="7" t="s">
        <v>477</v>
      </c>
      <c r="C224" s="7" t="s">
        <v>478</v>
      </c>
      <c r="D224" s="7" t="s">
        <v>450</v>
      </c>
      <c r="E224" s="7" t="s">
        <v>289</v>
      </c>
      <c r="F224" s="49">
        <v>3</v>
      </c>
      <c r="G224" s="49">
        <v>3</v>
      </c>
      <c r="H224" s="49">
        <v>3</v>
      </c>
      <c r="I224" s="49">
        <v>2</v>
      </c>
      <c r="J224" s="7"/>
      <c r="K224" s="59">
        <f t="shared" si="24"/>
        <v>2.75</v>
      </c>
      <c r="L224" s="49">
        <v>2</v>
      </c>
      <c r="M224" s="49">
        <v>3</v>
      </c>
      <c r="N224" s="49">
        <v>3</v>
      </c>
      <c r="O224" s="49">
        <v>4</v>
      </c>
      <c r="P224" s="49">
        <v>2</v>
      </c>
      <c r="Q224" s="59">
        <f t="shared" si="25"/>
        <v>2.8</v>
      </c>
      <c r="R224" s="49"/>
      <c r="S224" s="49">
        <v>4</v>
      </c>
      <c r="T224" s="7"/>
      <c r="U224" s="49"/>
      <c r="V224" s="7"/>
      <c r="W224" s="59">
        <f t="shared" si="26"/>
        <v>4</v>
      </c>
      <c r="X224" s="49"/>
      <c r="Y224" s="49"/>
      <c r="Z224" s="7"/>
      <c r="AA224" s="7"/>
      <c r="AB224" s="7"/>
      <c r="AC224" s="59" t="str">
        <f t="shared" si="27"/>
        <v>A</v>
      </c>
      <c r="AD224" s="49"/>
      <c r="AE224" s="7"/>
      <c r="AF224" s="49"/>
      <c r="AG224" s="7"/>
      <c r="AH224" s="7"/>
      <c r="AI224" s="59" t="str">
        <f t="shared" si="28"/>
        <v>A</v>
      </c>
      <c r="AJ224" s="49">
        <v>3</v>
      </c>
      <c r="AK224" s="49">
        <v>2</v>
      </c>
      <c r="AL224" s="7"/>
      <c r="AM224" s="49">
        <v>2</v>
      </c>
      <c r="AN224" s="7"/>
      <c r="AO224" s="59">
        <f t="shared" si="29"/>
        <v>2.5</v>
      </c>
      <c r="AP224" s="49">
        <v>3</v>
      </c>
      <c r="AQ224" s="49"/>
      <c r="AR224" s="49"/>
      <c r="AS224" s="7"/>
      <c r="AT224" s="7"/>
      <c r="AU224" s="59">
        <f t="shared" si="30"/>
        <v>3</v>
      </c>
      <c r="AV224" s="7"/>
      <c r="AW224" s="7"/>
      <c r="AX224" s="49"/>
      <c r="AY224" s="49">
        <v>3</v>
      </c>
      <c r="AZ224" s="49">
        <v>3</v>
      </c>
      <c r="BA224" s="59">
        <f t="shared" si="31"/>
        <v>3</v>
      </c>
    </row>
    <row r="225" spans="1:53" ht="23.1" customHeight="1" x14ac:dyDescent="0.3">
      <c r="A225" s="49">
        <v>223</v>
      </c>
      <c r="B225" s="49" t="s">
        <v>479</v>
      </c>
      <c r="C225" s="49" t="s">
        <v>480</v>
      </c>
      <c r="D225" s="49" t="s">
        <v>450</v>
      </c>
      <c r="E225" s="49" t="s">
        <v>289</v>
      </c>
      <c r="F225" s="49">
        <v>1</v>
      </c>
      <c r="G225" s="49">
        <v>2</v>
      </c>
      <c r="H225" s="49">
        <v>1</v>
      </c>
      <c r="I225" s="49">
        <v>1</v>
      </c>
      <c r="J225" s="49"/>
      <c r="K225" s="59">
        <f t="shared" si="24"/>
        <v>1.25</v>
      </c>
      <c r="L225" s="49">
        <v>1</v>
      </c>
      <c r="M225" s="49">
        <v>1</v>
      </c>
      <c r="N225" s="49">
        <v>2</v>
      </c>
      <c r="O225" s="49">
        <v>3</v>
      </c>
      <c r="P225" s="49">
        <v>2</v>
      </c>
      <c r="Q225" s="59">
        <f t="shared" si="25"/>
        <v>1.8</v>
      </c>
      <c r="R225" s="49"/>
      <c r="S225" s="49">
        <v>1</v>
      </c>
      <c r="T225" s="49"/>
      <c r="U225" s="49"/>
      <c r="V225" s="49"/>
      <c r="W225" s="59">
        <f t="shared" si="26"/>
        <v>1</v>
      </c>
      <c r="X225" s="49"/>
      <c r="Y225" s="49"/>
      <c r="Z225" s="49"/>
      <c r="AA225" s="49"/>
      <c r="AB225" s="49"/>
      <c r="AC225" s="59" t="str">
        <f t="shared" si="27"/>
        <v>A</v>
      </c>
      <c r="AD225" s="49"/>
      <c r="AE225" s="49"/>
      <c r="AF225" s="49"/>
      <c r="AG225" s="49"/>
      <c r="AH225" s="49"/>
      <c r="AI225" s="59" t="str">
        <f t="shared" si="28"/>
        <v>A</v>
      </c>
      <c r="AJ225" s="49">
        <v>1</v>
      </c>
      <c r="AK225" s="49">
        <v>2</v>
      </c>
      <c r="AL225" s="49"/>
      <c r="AM225" s="49">
        <v>1</v>
      </c>
      <c r="AN225" s="49"/>
      <c r="AO225" s="59">
        <f t="shared" si="29"/>
        <v>1.5</v>
      </c>
      <c r="AP225" s="49">
        <v>4</v>
      </c>
      <c r="AQ225" s="49"/>
      <c r="AR225" s="49"/>
      <c r="AS225" s="49"/>
      <c r="AT225" s="49"/>
      <c r="AU225" s="59">
        <f t="shared" si="30"/>
        <v>4</v>
      </c>
      <c r="AV225" s="49"/>
      <c r="AW225" s="49"/>
      <c r="AX225" s="49"/>
      <c r="AY225" s="49">
        <v>1</v>
      </c>
      <c r="AZ225" s="49">
        <v>1</v>
      </c>
      <c r="BA225" s="59">
        <f t="shared" si="31"/>
        <v>1</v>
      </c>
    </row>
    <row r="226" spans="1:53" ht="23.1" customHeight="1" x14ac:dyDescent="0.3">
      <c r="A226" s="7">
        <v>224</v>
      </c>
      <c r="B226" s="7" t="s">
        <v>481</v>
      </c>
      <c r="C226" s="7" t="s">
        <v>482</v>
      </c>
      <c r="D226" s="7" t="s">
        <v>450</v>
      </c>
      <c r="E226" s="7" t="s">
        <v>289</v>
      </c>
      <c r="F226" s="49">
        <v>2</v>
      </c>
      <c r="G226" s="49">
        <v>3</v>
      </c>
      <c r="H226" s="49">
        <v>0</v>
      </c>
      <c r="I226" s="49">
        <v>3</v>
      </c>
      <c r="J226" s="7"/>
      <c r="K226" s="59">
        <f t="shared" si="24"/>
        <v>2</v>
      </c>
      <c r="L226" s="49">
        <v>4</v>
      </c>
      <c r="M226" s="49">
        <v>2</v>
      </c>
      <c r="N226" s="49">
        <v>3</v>
      </c>
      <c r="O226" s="49">
        <v>2</v>
      </c>
      <c r="P226" s="49">
        <v>2</v>
      </c>
      <c r="Q226" s="59">
        <f t="shared" si="25"/>
        <v>2.6</v>
      </c>
      <c r="R226" s="49"/>
      <c r="S226" s="49">
        <v>2</v>
      </c>
      <c r="T226" s="7"/>
      <c r="U226" s="49"/>
      <c r="V226" s="7"/>
      <c r="W226" s="59">
        <f t="shared" si="26"/>
        <v>2</v>
      </c>
      <c r="X226" s="49"/>
      <c r="Y226" s="49"/>
      <c r="Z226" s="7"/>
      <c r="AA226" s="7"/>
      <c r="AB226" s="7"/>
      <c r="AC226" s="59" t="str">
        <f t="shared" si="27"/>
        <v>A</v>
      </c>
      <c r="AD226" s="49"/>
      <c r="AE226" s="7"/>
      <c r="AF226" s="49"/>
      <c r="AG226" s="7"/>
      <c r="AH226" s="7"/>
      <c r="AI226" s="59" t="str">
        <f t="shared" si="28"/>
        <v>A</v>
      </c>
      <c r="AJ226" s="49">
        <v>3</v>
      </c>
      <c r="AK226" s="49">
        <v>2</v>
      </c>
      <c r="AL226" s="7"/>
      <c r="AM226" s="49">
        <v>2</v>
      </c>
      <c r="AN226" s="7"/>
      <c r="AO226" s="59">
        <f t="shared" si="29"/>
        <v>2.5</v>
      </c>
      <c r="AP226" s="49">
        <v>2</v>
      </c>
      <c r="AQ226" s="49"/>
      <c r="AR226" s="49"/>
      <c r="AS226" s="7"/>
      <c r="AT226" s="7"/>
      <c r="AU226" s="59">
        <f t="shared" si="30"/>
        <v>2</v>
      </c>
      <c r="AV226" s="7"/>
      <c r="AW226" s="7"/>
      <c r="AX226" s="49"/>
      <c r="AY226" s="49">
        <v>3</v>
      </c>
      <c r="AZ226" s="49">
        <v>3</v>
      </c>
      <c r="BA226" s="59">
        <f t="shared" si="31"/>
        <v>3</v>
      </c>
    </row>
    <row r="227" spans="1:53" ht="23.1" customHeight="1" x14ac:dyDescent="0.3">
      <c r="A227" s="49">
        <v>225</v>
      </c>
      <c r="B227" s="49" t="s">
        <v>483</v>
      </c>
      <c r="C227" s="49" t="s">
        <v>540</v>
      </c>
      <c r="D227" s="49" t="s">
        <v>450</v>
      </c>
      <c r="E227" s="49" t="s">
        <v>289</v>
      </c>
      <c r="F227" s="49">
        <v>2</v>
      </c>
      <c r="G227" s="49">
        <v>4</v>
      </c>
      <c r="H227" s="49">
        <v>4</v>
      </c>
      <c r="I227" s="49">
        <v>3</v>
      </c>
      <c r="J227" s="49"/>
      <c r="K227" s="59">
        <f t="shared" si="24"/>
        <v>3.25</v>
      </c>
      <c r="L227" s="49">
        <v>3</v>
      </c>
      <c r="M227" s="49">
        <v>4</v>
      </c>
      <c r="N227" s="49">
        <v>2</v>
      </c>
      <c r="O227" s="49">
        <v>4</v>
      </c>
      <c r="P227" s="49">
        <v>2</v>
      </c>
      <c r="Q227" s="59">
        <f t="shared" si="25"/>
        <v>3</v>
      </c>
      <c r="R227" s="49"/>
      <c r="S227" s="49">
        <v>2</v>
      </c>
      <c r="T227" s="49"/>
      <c r="U227" s="49"/>
      <c r="V227" s="49"/>
      <c r="W227" s="59">
        <f t="shared" si="26"/>
        <v>2</v>
      </c>
      <c r="X227" s="49"/>
      <c r="Y227" s="49"/>
      <c r="Z227" s="49"/>
      <c r="AA227" s="49"/>
      <c r="AB227" s="49"/>
      <c r="AC227" s="59" t="str">
        <f t="shared" si="27"/>
        <v>A</v>
      </c>
      <c r="AD227" s="49"/>
      <c r="AE227" s="49"/>
      <c r="AF227" s="49"/>
      <c r="AG227" s="49"/>
      <c r="AH227" s="49"/>
      <c r="AI227" s="59" t="str">
        <f t="shared" si="28"/>
        <v>A</v>
      </c>
      <c r="AJ227" s="49">
        <v>2</v>
      </c>
      <c r="AK227" s="49">
        <v>3</v>
      </c>
      <c r="AL227" s="49"/>
      <c r="AM227" s="49">
        <v>3</v>
      </c>
      <c r="AN227" s="49"/>
      <c r="AO227" s="59">
        <f t="shared" si="29"/>
        <v>2.5</v>
      </c>
      <c r="AP227" s="49">
        <v>3</v>
      </c>
      <c r="AQ227" s="49"/>
      <c r="AR227" s="49"/>
      <c r="AS227" s="49"/>
      <c r="AT227" s="49"/>
      <c r="AU227" s="59">
        <f t="shared" si="30"/>
        <v>3</v>
      </c>
      <c r="AV227" s="49"/>
      <c r="AW227" s="49"/>
      <c r="AX227" s="49"/>
      <c r="AY227" s="49">
        <v>4</v>
      </c>
      <c r="AZ227" s="49">
        <v>3</v>
      </c>
      <c r="BA227" s="59">
        <f t="shared" si="31"/>
        <v>3.5</v>
      </c>
    </row>
    <row r="228" spans="1:53" ht="23.1" customHeight="1" x14ac:dyDescent="0.3">
      <c r="A228" s="7">
        <v>226</v>
      </c>
      <c r="B228" s="7" t="s">
        <v>484</v>
      </c>
      <c r="C228" s="7" t="s">
        <v>485</v>
      </c>
      <c r="D228" s="7" t="s">
        <v>450</v>
      </c>
      <c r="E228" s="7" t="s">
        <v>289</v>
      </c>
      <c r="F228" s="49">
        <v>2</v>
      </c>
      <c r="G228" s="49">
        <v>3</v>
      </c>
      <c r="H228" s="49">
        <v>2</v>
      </c>
      <c r="I228" s="49">
        <v>2</v>
      </c>
      <c r="J228" s="7"/>
      <c r="K228" s="59">
        <f t="shared" si="24"/>
        <v>2.25</v>
      </c>
      <c r="L228" s="49">
        <v>3</v>
      </c>
      <c r="M228" s="49">
        <v>3</v>
      </c>
      <c r="N228" s="49">
        <v>3</v>
      </c>
      <c r="O228" s="49">
        <v>4</v>
      </c>
      <c r="P228" s="49">
        <v>2</v>
      </c>
      <c r="Q228" s="59">
        <f t="shared" si="25"/>
        <v>3</v>
      </c>
      <c r="R228" s="49"/>
      <c r="S228" s="49">
        <v>2</v>
      </c>
      <c r="T228" s="7"/>
      <c r="U228" s="49"/>
      <c r="V228" s="7"/>
      <c r="W228" s="59">
        <f t="shared" si="26"/>
        <v>2</v>
      </c>
      <c r="X228" s="49"/>
      <c r="Y228" s="49"/>
      <c r="Z228" s="7"/>
      <c r="AA228" s="7"/>
      <c r="AB228" s="7"/>
      <c r="AC228" s="59" t="str">
        <f t="shared" si="27"/>
        <v>A</v>
      </c>
      <c r="AD228" s="49"/>
      <c r="AE228" s="7"/>
      <c r="AF228" s="49"/>
      <c r="AG228" s="7"/>
      <c r="AH228" s="7"/>
      <c r="AI228" s="59" t="str">
        <f t="shared" si="28"/>
        <v>A</v>
      </c>
      <c r="AJ228" s="49">
        <v>2</v>
      </c>
      <c r="AK228" s="49">
        <v>2</v>
      </c>
      <c r="AL228" s="7"/>
      <c r="AM228" s="49">
        <v>2</v>
      </c>
      <c r="AN228" s="7"/>
      <c r="AO228" s="59">
        <f t="shared" si="29"/>
        <v>2</v>
      </c>
      <c r="AP228" s="49">
        <v>2</v>
      </c>
      <c r="AQ228" s="49"/>
      <c r="AR228" s="49"/>
      <c r="AS228" s="7"/>
      <c r="AT228" s="7"/>
      <c r="AU228" s="59">
        <f t="shared" si="30"/>
        <v>2</v>
      </c>
      <c r="AV228" s="7"/>
      <c r="AW228" s="7"/>
      <c r="AX228" s="49"/>
      <c r="AY228" s="49">
        <v>3</v>
      </c>
      <c r="AZ228" s="49">
        <v>2</v>
      </c>
      <c r="BA228" s="59">
        <f t="shared" si="31"/>
        <v>2.5</v>
      </c>
    </row>
    <row r="229" spans="1:53" ht="23.1" customHeight="1" x14ac:dyDescent="0.3">
      <c r="A229" s="49">
        <v>227</v>
      </c>
      <c r="B229" s="49" t="s">
        <v>486</v>
      </c>
      <c r="C229" s="49" t="s">
        <v>487</v>
      </c>
      <c r="D229" s="49" t="s">
        <v>450</v>
      </c>
      <c r="E229" s="49" t="s">
        <v>289</v>
      </c>
      <c r="F229" s="49">
        <v>0</v>
      </c>
      <c r="G229" s="49">
        <v>0</v>
      </c>
      <c r="H229" s="49">
        <v>0</v>
      </c>
      <c r="I229" s="49">
        <v>0</v>
      </c>
      <c r="J229" s="49"/>
      <c r="K229" s="59">
        <f t="shared" si="24"/>
        <v>0</v>
      </c>
      <c r="L229" s="49">
        <v>0</v>
      </c>
      <c r="M229" s="49">
        <v>0</v>
      </c>
      <c r="N229" s="49">
        <v>0</v>
      </c>
      <c r="O229" s="49">
        <v>0</v>
      </c>
      <c r="P229" s="49">
        <v>0</v>
      </c>
      <c r="Q229" s="59">
        <f t="shared" si="25"/>
        <v>0</v>
      </c>
      <c r="R229" s="49"/>
      <c r="S229" s="49">
        <v>0</v>
      </c>
      <c r="T229" s="49"/>
      <c r="U229" s="49"/>
      <c r="V229" s="49"/>
      <c r="W229" s="59">
        <f t="shared" si="26"/>
        <v>0</v>
      </c>
      <c r="X229" s="49"/>
      <c r="Y229" s="49"/>
      <c r="Z229" s="49"/>
      <c r="AA229" s="49"/>
      <c r="AB229" s="49"/>
      <c r="AC229" s="59" t="str">
        <f t="shared" si="27"/>
        <v>A</v>
      </c>
      <c r="AD229" s="49"/>
      <c r="AE229" s="49"/>
      <c r="AF229" s="49"/>
      <c r="AG229" s="49"/>
      <c r="AH229" s="49"/>
      <c r="AI229" s="59" t="str">
        <f t="shared" si="28"/>
        <v>A</v>
      </c>
      <c r="AJ229" s="49">
        <v>0</v>
      </c>
      <c r="AK229" s="49">
        <v>0</v>
      </c>
      <c r="AL229" s="49"/>
      <c r="AM229" s="49">
        <v>0</v>
      </c>
      <c r="AN229" s="49"/>
      <c r="AO229" s="59">
        <f t="shared" si="29"/>
        <v>0</v>
      </c>
      <c r="AP229" s="49">
        <v>0</v>
      </c>
      <c r="AQ229" s="49"/>
      <c r="AR229" s="49"/>
      <c r="AS229" s="49"/>
      <c r="AT229" s="49"/>
      <c r="AU229" s="59">
        <f t="shared" si="30"/>
        <v>0</v>
      </c>
      <c r="AV229" s="49"/>
      <c r="AW229" s="49"/>
      <c r="AX229" s="49"/>
      <c r="AY229" s="49">
        <v>0</v>
      </c>
      <c r="AZ229" s="49">
        <v>0</v>
      </c>
      <c r="BA229" s="59">
        <f t="shared" si="31"/>
        <v>0</v>
      </c>
    </row>
    <row r="230" spans="1:53" ht="23.1" customHeight="1" x14ac:dyDescent="0.3">
      <c r="A230" s="7">
        <v>228</v>
      </c>
      <c r="B230" s="7" t="s">
        <v>541</v>
      </c>
      <c r="C230" s="7" t="s">
        <v>488</v>
      </c>
      <c r="D230" s="7" t="s">
        <v>545</v>
      </c>
      <c r="E230" s="7" t="s">
        <v>289</v>
      </c>
      <c r="F230" s="49">
        <v>1</v>
      </c>
      <c r="G230" s="49">
        <v>1</v>
      </c>
      <c r="H230" s="49">
        <v>1</v>
      </c>
      <c r="I230" s="49">
        <v>1</v>
      </c>
      <c r="J230" s="7"/>
      <c r="K230" s="59">
        <f t="shared" si="24"/>
        <v>1</v>
      </c>
      <c r="L230" s="49">
        <v>1</v>
      </c>
      <c r="M230" s="49">
        <v>1</v>
      </c>
      <c r="N230" s="49">
        <v>1</v>
      </c>
      <c r="O230" s="49">
        <v>1</v>
      </c>
      <c r="P230" s="49">
        <v>1</v>
      </c>
      <c r="Q230" s="59">
        <f t="shared" si="25"/>
        <v>1</v>
      </c>
      <c r="R230" s="49"/>
      <c r="S230" s="49">
        <v>1</v>
      </c>
      <c r="T230" s="7"/>
      <c r="U230" s="49"/>
      <c r="V230" s="7"/>
      <c r="W230" s="59">
        <f t="shared" si="26"/>
        <v>1</v>
      </c>
      <c r="X230" s="49"/>
      <c r="Y230" s="49"/>
      <c r="Z230" s="7"/>
      <c r="AA230" s="7"/>
      <c r="AB230" s="7"/>
      <c r="AC230" s="59" t="str">
        <f t="shared" si="27"/>
        <v>A</v>
      </c>
      <c r="AD230" s="49"/>
      <c r="AE230" s="7"/>
      <c r="AF230" s="49"/>
      <c r="AG230" s="7"/>
      <c r="AH230" s="7"/>
      <c r="AI230" s="59" t="str">
        <f t="shared" si="28"/>
        <v>A</v>
      </c>
      <c r="AJ230" s="49">
        <v>1</v>
      </c>
      <c r="AK230" s="49">
        <v>1</v>
      </c>
      <c r="AL230" s="7"/>
      <c r="AM230" s="49">
        <v>1</v>
      </c>
      <c r="AN230" s="7"/>
      <c r="AO230" s="59">
        <f t="shared" si="29"/>
        <v>1</v>
      </c>
      <c r="AP230" s="49">
        <v>1</v>
      </c>
      <c r="AQ230" s="49"/>
      <c r="AR230" s="49"/>
      <c r="AS230" s="7"/>
      <c r="AT230" s="7"/>
      <c r="AU230" s="59">
        <f t="shared" si="30"/>
        <v>1</v>
      </c>
      <c r="AV230" s="7"/>
      <c r="AW230" s="7"/>
      <c r="AX230" s="49"/>
      <c r="AY230" s="49">
        <v>3</v>
      </c>
      <c r="AZ230" s="49">
        <v>3</v>
      </c>
      <c r="BA230" s="59">
        <f t="shared" si="31"/>
        <v>3</v>
      </c>
    </row>
    <row r="231" spans="1:53" x14ac:dyDescent="0.3">
      <c r="AJ231" s="113"/>
      <c r="AR231" s="114"/>
    </row>
    <row r="232" spans="1:53" x14ac:dyDescent="0.3">
      <c r="AR232" s="112"/>
    </row>
  </sheetData>
  <mergeCells count="21">
    <mergeCell ref="BA1:BA2"/>
    <mergeCell ref="R1:V1"/>
    <mergeCell ref="W1:W2"/>
    <mergeCell ref="X1:AB1"/>
    <mergeCell ref="AC1:AC2"/>
    <mergeCell ref="AD1:AH1"/>
    <mergeCell ref="AI1:AI2"/>
    <mergeCell ref="AJ1:AN1"/>
    <mergeCell ref="AO1:AO2"/>
    <mergeCell ref="AP1:AT1"/>
    <mergeCell ref="AU1:AU2"/>
    <mergeCell ref="AV1:AZ1"/>
    <mergeCell ref="Q1:Q2"/>
    <mergeCell ref="A1:A2"/>
    <mergeCell ref="B1:B2"/>
    <mergeCell ref="C1:C2"/>
    <mergeCell ref="D1:D2"/>
    <mergeCell ref="E1:E2"/>
    <mergeCell ref="F1:J1"/>
    <mergeCell ref="K1:K2"/>
    <mergeCell ref="L1:P1"/>
  </mergeCells>
  <conditionalFormatting sqref="K3:K230">
    <cfRule type="containsText" dxfId="83" priority="26" operator="containsText" text="A">
      <formula>NOT(ISERROR(SEARCH("A",K3)))</formula>
    </cfRule>
  </conditionalFormatting>
  <conditionalFormatting sqref="Q3:Q230">
    <cfRule type="containsText" dxfId="82" priority="1" operator="containsText" text="A">
      <formula>NOT(ISERROR(SEARCH("A",Q3)))</formula>
    </cfRule>
  </conditionalFormatting>
  <conditionalFormatting sqref="W3:W230">
    <cfRule type="containsText" dxfId="81" priority="11" operator="containsText" text="A">
      <formula>NOT(ISERROR(SEARCH("A",W3)))</formula>
    </cfRule>
  </conditionalFormatting>
  <conditionalFormatting sqref="AC3:AC230">
    <cfRule type="containsText" dxfId="80" priority="2" operator="containsText" text="A">
      <formula>NOT(ISERROR(SEARCH("A",AC3)))</formula>
    </cfRule>
  </conditionalFormatting>
  <conditionalFormatting sqref="AI3:AI230">
    <cfRule type="containsText" dxfId="79" priority="3" operator="containsText" text="A">
      <formula>NOT(ISERROR(SEARCH("A",AI3)))</formula>
    </cfRule>
  </conditionalFormatting>
  <conditionalFormatting sqref="AO3:AO230">
    <cfRule type="containsText" dxfId="78" priority="8" operator="containsText" text="A">
      <formula>NOT(ISERROR(SEARCH("A",AO3)))</formula>
    </cfRule>
  </conditionalFormatting>
  <conditionalFormatting sqref="AU3:AU230">
    <cfRule type="containsText" dxfId="77" priority="4" operator="containsText" text="A">
      <formula>NOT(ISERROR(SEARCH("A",AU3)))</formula>
    </cfRule>
  </conditionalFormatting>
  <conditionalFormatting sqref="BA3:BA230">
    <cfRule type="containsText" dxfId="76" priority="5" operator="containsText" text="A">
      <formula>NOT(ISERROR(SEARCH("A",BA3)))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5A074-E156-431D-B03F-DF885CC9BBA9}">
  <dimension ref="A1:BC232"/>
  <sheetViews>
    <sheetView topLeftCell="X1" zoomScale="99" zoomScaleNormal="99" workbookViewId="0">
      <selection activeCell="Q3" sqref="Q3:Q230"/>
    </sheetView>
  </sheetViews>
  <sheetFormatPr defaultRowHeight="15.6" x14ac:dyDescent="0.3"/>
  <cols>
    <col min="1" max="1" width="11.109375" style="110" customWidth="1"/>
    <col min="2" max="2" width="21.6640625" style="110" customWidth="1"/>
    <col min="3" max="3" width="22.77734375" style="108" customWidth="1"/>
    <col min="4" max="5" width="12.44140625" style="110" customWidth="1"/>
    <col min="6" max="8" width="11.109375" style="110" customWidth="1"/>
    <col min="9" max="10" width="12.21875" style="109" customWidth="1"/>
    <col min="11" max="11" width="12.77734375" style="111" customWidth="1"/>
    <col min="12" max="12" width="13" style="109" customWidth="1"/>
    <col min="13" max="16" width="12.21875" style="109" customWidth="1"/>
    <col min="17" max="17" width="12.77734375" style="111" customWidth="1"/>
    <col min="18" max="22" width="12.21875" style="109" customWidth="1"/>
    <col min="23" max="23" width="12.77734375" style="111" customWidth="1"/>
    <col min="24" max="28" width="12.21875" style="109" customWidth="1"/>
    <col min="29" max="29" width="12.77734375" style="111" customWidth="1"/>
    <col min="30" max="34" width="12.21875" style="109" customWidth="1"/>
    <col min="35" max="35" width="12.77734375" style="111" customWidth="1"/>
    <col min="36" max="40" width="12.21875" style="109" customWidth="1"/>
    <col min="41" max="41" width="12.77734375" style="111" customWidth="1"/>
    <col min="42" max="46" width="12.21875" style="109" customWidth="1"/>
    <col min="47" max="47" width="12.77734375" style="111" customWidth="1"/>
    <col min="48" max="52" width="12.21875" style="109" customWidth="1"/>
    <col min="53" max="53" width="12.77734375" style="111" customWidth="1"/>
    <col min="54" max="16384" width="8.88671875" style="109"/>
  </cols>
  <sheetData>
    <row r="1" spans="1:55" s="3" customFormat="1" ht="21.6" customHeight="1" x14ac:dyDescent="0.3">
      <c r="A1" s="127" t="s">
        <v>0</v>
      </c>
      <c r="B1" s="127" t="s">
        <v>26</v>
      </c>
      <c r="C1" s="129" t="s">
        <v>27</v>
      </c>
      <c r="D1" s="127" t="s">
        <v>489</v>
      </c>
      <c r="E1" s="127" t="s">
        <v>25</v>
      </c>
      <c r="F1" s="121" t="s">
        <v>495</v>
      </c>
      <c r="G1" s="121"/>
      <c r="H1" s="121"/>
      <c r="I1" s="121"/>
      <c r="J1" s="121"/>
      <c r="K1" s="123" t="s">
        <v>28</v>
      </c>
      <c r="L1" s="121" t="s">
        <v>496</v>
      </c>
      <c r="M1" s="121"/>
      <c r="N1" s="121"/>
      <c r="O1" s="121"/>
      <c r="P1" s="121"/>
      <c r="Q1" s="123" t="s">
        <v>28</v>
      </c>
      <c r="R1" s="121" t="s">
        <v>497</v>
      </c>
      <c r="S1" s="121"/>
      <c r="T1" s="121"/>
      <c r="U1" s="121"/>
      <c r="V1" s="121"/>
      <c r="W1" s="123" t="s">
        <v>28</v>
      </c>
      <c r="X1" s="121" t="s">
        <v>498</v>
      </c>
      <c r="Y1" s="121"/>
      <c r="Z1" s="121"/>
      <c r="AA1" s="121"/>
      <c r="AB1" s="121"/>
      <c r="AC1" s="123" t="s">
        <v>28</v>
      </c>
      <c r="AD1" s="121" t="s">
        <v>499</v>
      </c>
      <c r="AE1" s="121"/>
      <c r="AF1" s="121"/>
      <c r="AG1" s="121"/>
      <c r="AH1" s="121"/>
      <c r="AI1" s="123" t="s">
        <v>28</v>
      </c>
      <c r="AJ1" s="121" t="s">
        <v>500</v>
      </c>
      <c r="AK1" s="121"/>
      <c r="AL1" s="121"/>
      <c r="AM1" s="121"/>
      <c r="AN1" s="121"/>
      <c r="AO1" s="123" t="s">
        <v>28</v>
      </c>
      <c r="AP1" s="121" t="s">
        <v>501</v>
      </c>
      <c r="AQ1" s="121"/>
      <c r="AR1" s="121"/>
      <c r="AS1" s="121"/>
      <c r="AT1" s="121"/>
      <c r="AU1" s="123" t="s">
        <v>28</v>
      </c>
      <c r="AV1" s="121" t="s">
        <v>29</v>
      </c>
      <c r="AW1" s="121"/>
      <c r="AX1" s="121"/>
      <c r="AY1" s="121"/>
      <c r="AZ1" s="121"/>
      <c r="BA1" s="123" t="s">
        <v>28</v>
      </c>
    </row>
    <row r="2" spans="1:55" s="3" customFormat="1" ht="20.100000000000001" customHeight="1" x14ac:dyDescent="0.3">
      <c r="A2" s="128"/>
      <c r="B2" s="128"/>
      <c r="C2" s="130"/>
      <c r="D2" s="128"/>
      <c r="E2" s="128"/>
      <c r="F2" s="100" t="s">
        <v>502</v>
      </c>
      <c r="G2" s="100" t="s">
        <v>503</v>
      </c>
      <c r="H2" s="100" t="s">
        <v>504</v>
      </c>
      <c r="I2" s="100" t="s">
        <v>505</v>
      </c>
      <c r="J2" s="100" t="s">
        <v>506</v>
      </c>
      <c r="K2" s="133"/>
      <c r="L2" s="100" t="s">
        <v>507</v>
      </c>
      <c r="M2" s="100" t="s">
        <v>508</v>
      </c>
      <c r="N2" s="100" t="s">
        <v>509</v>
      </c>
      <c r="O2" s="100" t="s">
        <v>510</v>
      </c>
      <c r="P2" s="100" t="s">
        <v>511</v>
      </c>
      <c r="Q2" s="133"/>
      <c r="R2" s="100" t="s">
        <v>512</v>
      </c>
      <c r="S2" s="100" t="s">
        <v>513</v>
      </c>
      <c r="T2" s="100" t="s">
        <v>514</v>
      </c>
      <c r="U2" s="100" t="s">
        <v>515</v>
      </c>
      <c r="V2" s="100" t="s">
        <v>516</v>
      </c>
      <c r="W2" s="133"/>
      <c r="X2" s="100" t="s">
        <v>517</v>
      </c>
      <c r="Y2" s="100" t="s">
        <v>518</v>
      </c>
      <c r="Z2" s="100" t="s">
        <v>519</v>
      </c>
      <c r="AA2" s="100" t="s">
        <v>520</v>
      </c>
      <c r="AB2" s="100" t="s">
        <v>521</v>
      </c>
      <c r="AC2" s="133"/>
      <c r="AD2" s="100" t="s">
        <v>522</v>
      </c>
      <c r="AE2" s="100" t="s">
        <v>523</v>
      </c>
      <c r="AF2" s="100" t="s">
        <v>524</v>
      </c>
      <c r="AG2" s="100" t="s">
        <v>525</v>
      </c>
      <c r="AH2" s="100" t="s">
        <v>526</v>
      </c>
      <c r="AI2" s="133"/>
      <c r="AJ2" s="100" t="s">
        <v>527</v>
      </c>
      <c r="AK2" s="100" t="s">
        <v>528</v>
      </c>
      <c r="AL2" s="100" t="s">
        <v>529</v>
      </c>
      <c r="AM2" s="100" t="s">
        <v>530</v>
      </c>
      <c r="AN2" s="100" t="s">
        <v>531</v>
      </c>
      <c r="AO2" s="133"/>
      <c r="AP2" s="100" t="s">
        <v>532</v>
      </c>
      <c r="AQ2" s="100" t="s">
        <v>533</v>
      </c>
      <c r="AR2" s="100" t="s">
        <v>534</v>
      </c>
      <c r="AS2" s="100" t="s">
        <v>535</v>
      </c>
      <c r="AT2" s="100" t="s">
        <v>536</v>
      </c>
      <c r="AU2" s="133"/>
      <c r="AV2" s="100" t="s">
        <v>30</v>
      </c>
      <c r="AW2" s="100" t="s">
        <v>31</v>
      </c>
      <c r="AX2" s="100" t="s">
        <v>32</v>
      </c>
      <c r="AY2" s="100" t="s">
        <v>33</v>
      </c>
      <c r="AZ2" s="100" t="s">
        <v>34</v>
      </c>
      <c r="BA2" s="133"/>
      <c r="BC2" s="109"/>
    </row>
    <row r="3" spans="1:55" ht="23.1" customHeight="1" x14ac:dyDescent="0.3">
      <c r="A3" s="49">
        <v>1</v>
      </c>
      <c r="B3" s="49" t="s">
        <v>36</v>
      </c>
      <c r="C3" s="49" t="s">
        <v>37</v>
      </c>
      <c r="D3" s="49" t="s">
        <v>542</v>
      </c>
      <c r="E3" s="49" t="s">
        <v>35</v>
      </c>
      <c r="F3" s="49"/>
      <c r="G3" s="49"/>
      <c r="H3" s="49">
        <f>IFERROR(VLOOKUP(B3,[1]Debate!$A$5:$O$262,3,FALSE),"0")</f>
        <v>3</v>
      </c>
      <c r="I3" s="49"/>
      <c r="J3" s="49"/>
      <c r="K3" s="59">
        <f>H3</f>
        <v>3</v>
      </c>
      <c r="L3" s="49">
        <v>3</v>
      </c>
      <c r="M3" s="49">
        <v>4</v>
      </c>
      <c r="N3" s="49">
        <v>3</v>
      </c>
      <c r="O3" s="49">
        <v>0.5</v>
      </c>
      <c r="P3" s="49">
        <v>4</v>
      </c>
      <c r="Q3" s="59">
        <f>IFERROR(AVERAGE(M3,N3,L3,O3,P3),"0")</f>
        <v>2.9</v>
      </c>
      <c r="R3" s="49"/>
      <c r="S3" s="49"/>
      <c r="T3" s="49"/>
      <c r="U3" s="49"/>
      <c r="V3" s="49"/>
      <c r="W3" s="59" t="str">
        <f>IFERROR(AVERAGE(R3,S3,U3),"A")</f>
        <v>A</v>
      </c>
      <c r="X3" s="49">
        <v>3</v>
      </c>
      <c r="Y3" s="49"/>
      <c r="Z3" s="49"/>
      <c r="AA3" s="49"/>
      <c r="AB3" s="49"/>
      <c r="AC3" s="59">
        <f>X3</f>
        <v>3</v>
      </c>
      <c r="AD3" s="49"/>
      <c r="AE3" s="49"/>
      <c r="AF3" s="49"/>
      <c r="AG3" s="49"/>
      <c r="AH3" s="49"/>
      <c r="AI3" s="59" t="str">
        <f>IFERROR(AVERAGE(AF3,AD3),"A")</f>
        <v>A</v>
      </c>
      <c r="AJ3" s="49">
        <v>4</v>
      </c>
      <c r="AK3" s="49">
        <v>3</v>
      </c>
      <c r="AL3" s="49"/>
      <c r="AM3" s="49">
        <v>4</v>
      </c>
      <c r="AN3" s="49"/>
      <c r="AO3" s="59">
        <f>IFERROR(AVERAGE(AJ3,AK3,AL3,AM3),"0")</f>
        <v>3.6666666666666665</v>
      </c>
      <c r="AP3" s="49">
        <v>3</v>
      </c>
      <c r="AQ3" s="49"/>
      <c r="AR3" s="49"/>
      <c r="AS3" s="49"/>
      <c r="AT3" s="49"/>
      <c r="AU3" s="59">
        <f>AP3</f>
        <v>3</v>
      </c>
      <c r="AV3" s="49"/>
      <c r="AW3" s="49"/>
      <c r="AX3" s="49"/>
      <c r="AY3" s="49">
        <v>3</v>
      </c>
      <c r="AZ3" s="49">
        <v>4</v>
      </c>
      <c r="BA3" s="59">
        <f>IFERROR(AVERAGE(AY3,AZ3),"0")</f>
        <v>3.5</v>
      </c>
    </row>
    <row r="4" spans="1:55" ht="23.1" customHeight="1" x14ac:dyDescent="0.3">
      <c r="A4" s="7">
        <v>2</v>
      </c>
      <c r="B4" s="7" t="s">
        <v>75</v>
      </c>
      <c r="C4" s="7" t="s">
        <v>76</v>
      </c>
      <c r="D4" s="7" t="s">
        <v>450</v>
      </c>
      <c r="E4" s="7" t="s">
        <v>35</v>
      </c>
      <c r="F4" s="7"/>
      <c r="G4" s="7"/>
      <c r="H4" s="49">
        <f>IFERROR(VLOOKUP(B4,[1]Debate!$A$5:$O$262,3,FALSE),"0")</f>
        <v>3</v>
      </c>
      <c r="I4" s="7"/>
      <c r="J4" s="7"/>
      <c r="K4" s="59">
        <f t="shared" ref="K4:K67" si="0">H4</f>
        <v>3</v>
      </c>
      <c r="L4" s="49">
        <v>3</v>
      </c>
      <c r="M4" s="49">
        <v>2</v>
      </c>
      <c r="N4" s="49">
        <v>4</v>
      </c>
      <c r="O4" s="49">
        <v>1.5</v>
      </c>
      <c r="P4" s="49">
        <v>2</v>
      </c>
      <c r="Q4" s="59">
        <f t="shared" ref="Q4:Q67" si="1">IFERROR(AVERAGE(M4,N4,L4,O4,P4),"0")</f>
        <v>2.5</v>
      </c>
      <c r="R4" s="49"/>
      <c r="S4" s="49"/>
      <c r="T4" s="7"/>
      <c r="U4" s="49"/>
      <c r="V4" s="7"/>
      <c r="W4" s="59" t="str">
        <f t="shared" ref="W4:W67" si="2">IFERROR(AVERAGE(R4,S4,U4),"A")</f>
        <v>A</v>
      </c>
      <c r="X4" s="49">
        <v>3</v>
      </c>
      <c r="Y4" s="49"/>
      <c r="Z4" s="7"/>
      <c r="AA4" s="7"/>
      <c r="AB4" s="7"/>
      <c r="AC4" s="59">
        <f t="shared" ref="AC4:AC67" si="3">X4</f>
        <v>3</v>
      </c>
      <c r="AD4" s="49"/>
      <c r="AE4" s="7"/>
      <c r="AF4" s="49"/>
      <c r="AG4" s="7"/>
      <c r="AH4" s="7"/>
      <c r="AI4" s="59" t="str">
        <f t="shared" ref="AI4:AI67" si="4">IFERROR(AVERAGE(AF4,AD4),"A")</f>
        <v>A</v>
      </c>
      <c r="AJ4" s="49">
        <v>3</v>
      </c>
      <c r="AK4" s="49">
        <v>2</v>
      </c>
      <c r="AL4" s="7"/>
      <c r="AM4" s="49">
        <v>3</v>
      </c>
      <c r="AN4" s="7"/>
      <c r="AO4" s="59">
        <f t="shared" ref="AO4:AO67" si="5">IFERROR(AVERAGE(AJ4,AK4,AL4,AM4),"0")</f>
        <v>2.6666666666666665</v>
      </c>
      <c r="AP4" s="49">
        <v>3</v>
      </c>
      <c r="AQ4" s="49"/>
      <c r="AR4" s="49"/>
      <c r="AS4" s="7"/>
      <c r="AT4" s="7"/>
      <c r="AU4" s="59">
        <f t="shared" ref="AU4:AU67" si="6">AP4</f>
        <v>3</v>
      </c>
      <c r="AV4" s="7"/>
      <c r="AW4" s="7"/>
      <c r="AX4" s="49"/>
      <c r="AY4" s="49">
        <v>4</v>
      </c>
      <c r="AZ4" s="49">
        <v>3</v>
      </c>
      <c r="BA4" s="59">
        <f t="shared" ref="BA4:BA67" si="7">IFERROR(AVERAGE(AY4,AZ4),"0")</f>
        <v>3.5</v>
      </c>
    </row>
    <row r="5" spans="1:55" ht="23.1" customHeight="1" x14ac:dyDescent="0.3">
      <c r="A5" s="49">
        <v>3</v>
      </c>
      <c r="B5" s="49" t="s">
        <v>64</v>
      </c>
      <c r="C5" s="49" t="s">
        <v>65</v>
      </c>
      <c r="D5" s="49" t="s">
        <v>542</v>
      </c>
      <c r="E5" s="49" t="s">
        <v>35</v>
      </c>
      <c r="F5" s="49"/>
      <c r="G5" s="49"/>
      <c r="H5" s="49">
        <f>IFERROR(VLOOKUP(B5,[1]Debate!$A$5:$O$262,3,FALSE),"0")</f>
        <v>3</v>
      </c>
      <c r="I5" s="49"/>
      <c r="J5" s="49"/>
      <c r="K5" s="59">
        <f t="shared" si="0"/>
        <v>3</v>
      </c>
      <c r="L5" s="49">
        <v>3</v>
      </c>
      <c r="M5" s="49">
        <v>3</v>
      </c>
      <c r="N5" s="49">
        <v>3</v>
      </c>
      <c r="O5" s="49">
        <v>2</v>
      </c>
      <c r="P5" s="49">
        <v>2</v>
      </c>
      <c r="Q5" s="59">
        <f t="shared" si="1"/>
        <v>2.6</v>
      </c>
      <c r="R5" s="49"/>
      <c r="S5" s="49"/>
      <c r="T5" s="49"/>
      <c r="U5" s="49"/>
      <c r="V5" s="49"/>
      <c r="W5" s="59" t="str">
        <f t="shared" si="2"/>
        <v>A</v>
      </c>
      <c r="X5" s="49">
        <v>3</v>
      </c>
      <c r="Y5" s="49"/>
      <c r="Z5" s="49"/>
      <c r="AA5" s="49"/>
      <c r="AB5" s="49"/>
      <c r="AC5" s="59">
        <f t="shared" si="3"/>
        <v>3</v>
      </c>
      <c r="AD5" s="49"/>
      <c r="AE5" s="49"/>
      <c r="AF5" s="49"/>
      <c r="AG5" s="49"/>
      <c r="AH5" s="49"/>
      <c r="AI5" s="59" t="str">
        <f t="shared" si="4"/>
        <v>A</v>
      </c>
      <c r="AJ5" s="49">
        <v>2</v>
      </c>
      <c r="AK5" s="49">
        <v>3</v>
      </c>
      <c r="AL5" s="49"/>
      <c r="AM5" s="49">
        <v>3</v>
      </c>
      <c r="AN5" s="49"/>
      <c r="AO5" s="59">
        <f t="shared" si="5"/>
        <v>2.6666666666666665</v>
      </c>
      <c r="AP5" s="49">
        <v>3</v>
      </c>
      <c r="AQ5" s="49"/>
      <c r="AR5" s="49"/>
      <c r="AS5" s="49"/>
      <c r="AT5" s="49"/>
      <c r="AU5" s="59">
        <f t="shared" si="6"/>
        <v>3</v>
      </c>
      <c r="AV5" s="49"/>
      <c r="AW5" s="49"/>
      <c r="AX5" s="49"/>
      <c r="AY5" s="49">
        <v>3</v>
      </c>
      <c r="AZ5" s="49">
        <v>3</v>
      </c>
      <c r="BA5" s="59">
        <f t="shared" si="7"/>
        <v>3</v>
      </c>
    </row>
    <row r="6" spans="1:55" ht="23.1" customHeight="1" x14ac:dyDescent="0.3">
      <c r="A6" s="7">
        <v>4</v>
      </c>
      <c r="B6" s="7" t="s">
        <v>99</v>
      </c>
      <c r="C6" s="7" t="s">
        <v>100</v>
      </c>
      <c r="D6" s="7" t="s">
        <v>450</v>
      </c>
      <c r="E6" s="7" t="s">
        <v>35</v>
      </c>
      <c r="F6" s="7"/>
      <c r="G6" s="7"/>
      <c r="H6" s="49">
        <f>IFERROR(VLOOKUP(B6,[1]Debate!$A$5:$O$262,3,FALSE),"0")</f>
        <v>3</v>
      </c>
      <c r="I6" s="7"/>
      <c r="J6" s="7"/>
      <c r="K6" s="59">
        <f t="shared" si="0"/>
        <v>3</v>
      </c>
      <c r="L6" s="49">
        <v>3</v>
      </c>
      <c r="M6" s="49">
        <v>2</v>
      </c>
      <c r="N6" s="49">
        <v>4</v>
      </c>
      <c r="O6" s="49">
        <v>3</v>
      </c>
      <c r="P6" s="49">
        <v>2</v>
      </c>
      <c r="Q6" s="59">
        <f t="shared" si="1"/>
        <v>2.8</v>
      </c>
      <c r="R6" s="49"/>
      <c r="S6" s="49"/>
      <c r="T6" s="7"/>
      <c r="U6" s="49"/>
      <c r="V6" s="7"/>
      <c r="W6" s="59" t="str">
        <f t="shared" si="2"/>
        <v>A</v>
      </c>
      <c r="X6" s="49">
        <v>4</v>
      </c>
      <c r="Y6" s="49"/>
      <c r="Z6" s="7"/>
      <c r="AA6" s="7"/>
      <c r="AB6" s="7"/>
      <c r="AC6" s="59">
        <f t="shared" si="3"/>
        <v>4</v>
      </c>
      <c r="AD6" s="49"/>
      <c r="AE6" s="7"/>
      <c r="AF6" s="49"/>
      <c r="AG6" s="7"/>
      <c r="AH6" s="7"/>
      <c r="AI6" s="59" t="str">
        <f t="shared" si="4"/>
        <v>A</v>
      </c>
      <c r="AJ6" s="49">
        <v>3</v>
      </c>
      <c r="AK6" s="49">
        <v>3</v>
      </c>
      <c r="AL6" s="7"/>
      <c r="AM6" s="49">
        <v>4</v>
      </c>
      <c r="AN6" s="7"/>
      <c r="AO6" s="59">
        <f t="shared" si="5"/>
        <v>3.3333333333333335</v>
      </c>
      <c r="AP6" s="49">
        <v>3</v>
      </c>
      <c r="AQ6" s="49"/>
      <c r="AR6" s="49"/>
      <c r="AS6" s="7"/>
      <c r="AT6" s="7"/>
      <c r="AU6" s="59">
        <f t="shared" si="6"/>
        <v>3</v>
      </c>
      <c r="AV6" s="7"/>
      <c r="AW6" s="7"/>
      <c r="AX6" s="49"/>
      <c r="AY6" s="49">
        <v>3</v>
      </c>
      <c r="AZ6" s="49">
        <v>3</v>
      </c>
      <c r="BA6" s="59">
        <f t="shared" si="7"/>
        <v>3</v>
      </c>
    </row>
    <row r="7" spans="1:55" ht="23.1" customHeight="1" x14ac:dyDescent="0.3">
      <c r="A7" s="49">
        <v>5</v>
      </c>
      <c r="B7" s="49" t="s">
        <v>290</v>
      </c>
      <c r="C7" s="49" t="s">
        <v>538</v>
      </c>
      <c r="D7" s="49" t="s">
        <v>450</v>
      </c>
      <c r="E7" s="49" t="s">
        <v>289</v>
      </c>
      <c r="F7" s="49"/>
      <c r="G7" s="49"/>
      <c r="H7" s="49">
        <f>IFERROR(VLOOKUP(B7,[1]Debate!$A$5:$O$262,3,FALSE),"0")</f>
        <v>1</v>
      </c>
      <c r="I7" s="49"/>
      <c r="J7" s="49"/>
      <c r="K7" s="59">
        <f t="shared" si="0"/>
        <v>1</v>
      </c>
      <c r="L7" s="49">
        <v>1</v>
      </c>
      <c r="M7" s="49">
        <v>1</v>
      </c>
      <c r="N7" s="49">
        <v>1</v>
      </c>
      <c r="O7" s="49">
        <v>1</v>
      </c>
      <c r="P7" s="49">
        <v>1</v>
      </c>
      <c r="Q7" s="59">
        <f t="shared" si="1"/>
        <v>1</v>
      </c>
      <c r="R7" s="49"/>
      <c r="S7" s="49"/>
      <c r="T7" s="49"/>
      <c r="U7" s="49"/>
      <c r="V7" s="49"/>
      <c r="W7" s="59" t="str">
        <f t="shared" si="2"/>
        <v>A</v>
      </c>
      <c r="X7" s="49">
        <v>1</v>
      </c>
      <c r="Y7" s="49"/>
      <c r="Z7" s="49"/>
      <c r="AA7" s="49"/>
      <c r="AB7" s="49"/>
      <c r="AC7" s="59">
        <f t="shared" si="3"/>
        <v>1</v>
      </c>
      <c r="AD7" s="49"/>
      <c r="AE7" s="49"/>
      <c r="AF7" s="49"/>
      <c r="AG7" s="49"/>
      <c r="AH7" s="49"/>
      <c r="AI7" s="59" t="str">
        <f t="shared" si="4"/>
        <v>A</v>
      </c>
      <c r="AJ7" s="49">
        <v>1</v>
      </c>
      <c r="AK7" s="49">
        <v>1</v>
      </c>
      <c r="AL7" s="49"/>
      <c r="AM7" s="49">
        <v>1</v>
      </c>
      <c r="AN7" s="49"/>
      <c r="AO7" s="59">
        <f t="shared" si="5"/>
        <v>1</v>
      </c>
      <c r="AP7" s="49">
        <v>1</v>
      </c>
      <c r="AQ7" s="49"/>
      <c r="AR7" s="49"/>
      <c r="AS7" s="49"/>
      <c r="AT7" s="49"/>
      <c r="AU7" s="59">
        <f t="shared" si="6"/>
        <v>1</v>
      </c>
      <c r="AV7" s="49"/>
      <c r="AW7" s="49"/>
      <c r="AX7" s="49"/>
      <c r="AY7" s="49">
        <v>1</v>
      </c>
      <c r="AZ7" s="49">
        <v>1</v>
      </c>
      <c r="BA7" s="59">
        <f t="shared" si="7"/>
        <v>1</v>
      </c>
    </row>
    <row r="8" spans="1:55" ht="23.1" customHeight="1" x14ac:dyDescent="0.3">
      <c r="A8" s="7">
        <v>6</v>
      </c>
      <c r="B8" s="7" t="s">
        <v>101</v>
      </c>
      <c r="C8" s="7" t="s">
        <v>102</v>
      </c>
      <c r="D8" s="7" t="s">
        <v>450</v>
      </c>
      <c r="E8" s="7" t="s">
        <v>35</v>
      </c>
      <c r="F8" s="7"/>
      <c r="G8" s="7"/>
      <c r="H8" s="49">
        <f>IFERROR(VLOOKUP(B8,[1]Debate!$A$5:$O$262,3,FALSE),"0")</f>
        <v>3</v>
      </c>
      <c r="I8" s="7"/>
      <c r="J8" s="7"/>
      <c r="K8" s="59">
        <f t="shared" si="0"/>
        <v>3</v>
      </c>
      <c r="L8" s="49">
        <v>2</v>
      </c>
      <c r="M8" s="49">
        <v>3</v>
      </c>
      <c r="N8" s="49">
        <v>3</v>
      </c>
      <c r="O8" s="49">
        <v>3</v>
      </c>
      <c r="P8" s="49">
        <v>4</v>
      </c>
      <c r="Q8" s="59">
        <f t="shared" si="1"/>
        <v>3</v>
      </c>
      <c r="R8" s="49"/>
      <c r="S8" s="49"/>
      <c r="T8" s="7"/>
      <c r="U8" s="49"/>
      <c r="V8" s="7"/>
      <c r="W8" s="59" t="str">
        <f t="shared" si="2"/>
        <v>A</v>
      </c>
      <c r="X8" s="49">
        <v>3</v>
      </c>
      <c r="Y8" s="49"/>
      <c r="Z8" s="7"/>
      <c r="AA8" s="7"/>
      <c r="AB8" s="7"/>
      <c r="AC8" s="59">
        <f t="shared" si="3"/>
        <v>3</v>
      </c>
      <c r="AD8" s="49"/>
      <c r="AE8" s="7"/>
      <c r="AF8" s="49"/>
      <c r="AG8" s="7"/>
      <c r="AH8" s="7"/>
      <c r="AI8" s="59" t="str">
        <f t="shared" si="4"/>
        <v>A</v>
      </c>
      <c r="AJ8" s="49">
        <v>4</v>
      </c>
      <c r="AK8" s="49">
        <v>3</v>
      </c>
      <c r="AL8" s="7"/>
      <c r="AM8" s="49">
        <v>3</v>
      </c>
      <c r="AN8" s="7"/>
      <c r="AO8" s="59">
        <f t="shared" si="5"/>
        <v>3.3333333333333335</v>
      </c>
      <c r="AP8" s="49">
        <v>3</v>
      </c>
      <c r="AQ8" s="49"/>
      <c r="AR8" s="49"/>
      <c r="AS8" s="7"/>
      <c r="AT8" s="7"/>
      <c r="AU8" s="59">
        <f t="shared" si="6"/>
        <v>3</v>
      </c>
      <c r="AV8" s="7"/>
      <c r="AW8" s="7"/>
      <c r="AX8" s="49"/>
      <c r="AY8" s="49">
        <v>4</v>
      </c>
      <c r="AZ8" s="49">
        <v>4</v>
      </c>
      <c r="BA8" s="59">
        <f t="shared" si="7"/>
        <v>4</v>
      </c>
    </row>
    <row r="9" spans="1:55" ht="23.1" customHeight="1" x14ac:dyDescent="0.3">
      <c r="A9" s="49">
        <v>7</v>
      </c>
      <c r="B9" s="49" t="s">
        <v>72</v>
      </c>
      <c r="C9" s="49" t="s">
        <v>73</v>
      </c>
      <c r="D9" s="49" t="s">
        <v>450</v>
      </c>
      <c r="E9" s="49" t="s">
        <v>35</v>
      </c>
      <c r="F9" s="49"/>
      <c r="G9" s="49"/>
      <c r="H9" s="49">
        <f>IFERROR(VLOOKUP(B9,[1]Debate!$A$5:$O$262,3,FALSE),"0")</f>
        <v>2</v>
      </c>
      <c r="I9" s="49"/>
      <c r="J9" s="49"/>
      <c r="K9" s="59">
        <f t="shared" si="0"/>
        <v>2</v>
      </c>
      <c r="L9" s="49">
        <v>3</v>
      </c>
      <c r="M9" s="49">
        <v>3</v>
      </c>
      <c r="N9" s="49">
        <v>3</v>
      </c>
      <c r="O9" s="49">
        <v>2.5</v>
      </c>
      <c r="P9" s="49">
        <v>2</v>
      </c>
      <c r="Q9" s="59">
        <f t="shared" si="1"/>
        <v>2.7</v>
      </c>
      <c r="R9" s="49"/>
      <c r="S9" s="49"/>
      <c r="T9" s="49"/>
      <c r="U9" s="49"/>
      <c r="V9" s="49"/>
      <c r="W9" s="59" t="str">
        <f t="shared" si="2"/>
        <v>A</v>
      </c>
      <c r="X9" s="49">
        <v>3</v>
      </c>
      <c r="Y9" s="49"/>
      <c r="Z9" s="49"/>
      <c r="AA9" s="49"/>
      <c r="AB9" s="49"/>
      <c r="AC9" s="59">
        <f t="shared" si="3"/>
        <v>3</v>
      </c>
      <c r="AD9" s="49"/>
      <c r="AE9" s="49"/>
      <c r="AF9" s="49"/>
      <c r="AG9" s="49"/>
      <c r="AH9" s="49"/>
      <c r="AI9" s="59" t="str">
        <f t="shared" si="4"/>
        <v>A</v>
      </c>
      <c r="AJ9" s="49">
        <v>3</v>
      </c>
      <c r="AK9" s="49">
        <v>2</v>
      </c>
      <c r="AL9" s="49"/>
      <c r="AM9" s="49">
        <v>2</v>
      </c>
      <c r="AN9" s="49"/>
      <c r="AO9" s="59">
        <f t="shared" si="5"/>
        <v>2.3333333333333335</v>
      </c>
      <c r="AP9" s="49">
        <v>3</v>
      </c>
      <c r="AQ9" s="49"/>
      <c r="AR9" s="49"/>
      <c r="AS9" s="49"/>
      <c r="AT9" s="49"/>
      <c r="AU9" s="59">
        <f t="shared" si="6"/>
        <v>3</v>
      </c>
      <c r="AV9" s="49"/>
      <c r="AW9" s="49"/>
      <c r="AX9" s="49"/>
      <c r="AY9" s="49">
        <v>4</v>
      </c>
      <c r="AZ9" s="49">
        <v>3</v>
      </c>
      <c r="BA9" s="59">
        <f t="shared" si="7"/>
        <v>3.5</v>
      </c>
    </row>
    <row r="10" spans="1:55" ht="23.1" customHeight="1" x14ac:dyDescent="0.3">
      <c r="A10" s="7">
        <v>8</v>
      </c>
      <c r="B10" s="7" t="s">
        <v>291</v>
      </c>
      <c r="C10" s="7" t="s">
        <v>292</v>
      </c>
      <c r="D10" s="7" t="s">
        <v>450</v>
      </c>
      <c r="E10" s="7" t="s">
        <v>493</v>
      </c>
      <c r="F10" s="7"/>
      <c r="G10" s="7"/>
      <c r="H10" s="49">
        <f>IFERROR(VLOOKUP(B10,[1]Debate!$A$5:$O$262,3,FALSE),"0")</f>
        <v>3</v>
      </c>
      <c r="I10" s="7"/>
      <c r="J10" s="7"/>
      <c r="K10" s="59">
        <f t="shared" si="0"/>
        <v>3</v>
      </c>
      <c r="L10" s="49">
        <v>3</v>
      </c>
      <c r="M10" s="49">
        <v>4</v>
      </c>
      <c r="N10" s="49">
        <v>3</v>
      </c>
      <c r="O10" s="49">
        <v>2.5</v>
      </c>
      <c r="P10" s="49">
        <v>2</v>
      </c>
      <c r="Q10" s="59">
        <f t="shared" si="1"/>
        <v>2.9</v>
      </c>
      <c r="R10" s="49"/>
      <c r="S10" s="49"/>
      <c r="T10" s="7"/>
      <c r="U10" s="49"/>
      <c r="V10" s="7"/>
      <c r="W10" s="59" t="str">
        <f t="shared" si="2"/>
        <v>A</v>
      </c>
      <c r="X10" s="49">
        <v>4</v>
      </c>
      <c r="Y10" s="49"/>
      <c r="Z10" s="7"/>
      <c r="AA10" s="7"/>
      <c r="AB10" s="7"/>
      <c r="AC10" s="59">
        <f t="shared" si="3"/>
        <v>4</v>
      </c>
      <c r="AD10" s="49"/>
      <c r="AE10" s="7"/>
      <c r="AF10" s="49"/>
      <c r="AG10" s="7"/>
      <c r="AH10" s="7"/>
      <c r="AI10" s="59" t="str">
        <f t="shared" si="4"/>
        <v>A</v>
      </c>
      <c r="AJ10" s="49">
        <v>4</v>
      </c>
      <c r="AK10" s="49">
        <v>2</v>
      </c>
      <c r="AL10" s="7"/>
      <c r="AM10" s="49">
        <v>3</v>
      </c>
      <c r="AN10" s="7"/>
      <c r="AO10" s="59">
        <f t="shared" si="5"/>
        <v>3</v>
      </c>
      <c r="AP10" s="49">
        <v>3</v>
      </c>
      <c r="AQ10" s="49"/>
      <c r="AR10" s="49"/>
      <c r="AS10" s="7"/>
      <c r="AT10" s="7"/>
      <c r="AU10" s="59">
        <f t="shared" si="6"/>
        <v>3</v>
      </c>
      <c r="AV10" s="7"/>
      <c r="AW10" s="7"/>
      <c r="AX10" s="49"/>
      <c r="AY10" s="49">
        <v>3</v>
      </c>
      <c r="AZ10" s="49">
        <v>4</v>
      </c>
      <c r="BA10" s="59">
        <f t="shared" si="7"/>
        <v>3.5</v>
      </c>
    </row>
    <row r="11" spans="1:55" ht="23.1" customHeight="1" x14ac:dyDescent="0.3">
      <c r="A11" s="49">
        <v>9</v>
      </c>
      <c r="B11" s="49" t="s">
        <v>103</v>
      </c>
      <c r="C11" s="49" t="s">
        <v>104</v>
      </c>
      <c r="D11" s="49" t="s">
        <v>542</v>
      </c>
      <c r="E11" s="49" t="s">
        <v>35</v>
      </c>
      <c r="F11" s="49"/>
      <c r="G11" s="49"/>
      <c r="H11" s="49">
        <f>IFERROR(VLOOKUP(B11,[1]Debate!$A$5:$O$262,3,FALSE),"0")</f>
        <v>3</v>
      </c>
      <c r="I11" s="49"/>
      <c r="J11" s="49"/>
      <c r="K11" s="59">
        <f t="shared" si="0"/>
        <v>3</v>
      </c>
      <c r="L11" s="49">
        <v>3</v>
      </c>
      <c r="M11" s="49">
        <v>3.5</v>
      </c>
      <c r="N11" s="49">
        <v>3.5</v>
      </c>
      <c r="O11" s="49">
        <v>3.25</v>
      </c>
      <c r="P11" s="49">
        <v>3</v>
      </c>
      <c r="Q11" s="59">
        <f t="shared" si="1"/>
        <v>3.25</v>
      </c>
      <c r="R11" s="49"/>
      <c r="S11" s="49"/>
      <c r="T11" s="49"/>
      <c r="U11" s="49"/>
      <c r="V11" s="49"/>
      <c r="W11" s="59" t="str">
        <f t="shared" si="2"/>
        <v>A</v>
      </c>
      <c r="X11" s="49">
        <v>3.5</v>
      </c>
      <c r="Y11" s="49"/>
      <c r="Z11" s="49"/>
      <c r="AA11" s="49"/>
      <c r="AB11" s="49"/>
      <c r="AC11" s="59">
        <f t="shared" si="3"/>
        <v>3.5</v>
      </c>
      <c r="AD11" s="49"/>
      <c r="AE11" s="49"/>
      <c r="AF11" s="49"/>
      <c r="AG11" s="49"/>
      <c r="AH11" s="49"/>
      <c r="AI11" s="59" t="str">
        <f t="shared" si="4"/>
        <v>A</v>
      </c>
      <c r="AJ11" s="49">
        <v>3.5</v>
      </c>
      <c r="AK11" s="49">
        <v>3.5</v>
      </c>
      <c r="AL11" s="49"/>
      <c r="AM11" s="49">
        <v>3.5</v>
      </c>
      <c r="AN11" s="49"/>
      <c r="AO11" s="59">
        <f t="shared" si="5"/>
        <v>3.5</v>
      </c>
      <c r="AP11" s="49">
        <v>3.5</v>
      </c>
      <c r="AQ11" s="49"/>
      <c r="AR11" s="49"/>
      <c r="AS11" s="49"/>
      <c r="AT11" s="49"/>
      <c r="AU11" s="59">
        <f t="shared" si="6"/>
        <v>3.5</v>
      </c>
      <c r="AV11" s="49"/>
      <c r="AW11" s="49"/>
      <c r="AX11" s="49"/>
      <c r="AY11" s="49">
        <v>3.5</v>
      </c>
      <c r="AZ11" s="49">
        <v>3.5</v>
      </c>
      <c r="BA11" s="59">
        <f t="shared" si="7"/>
        <v>3.5</v>
      </c>
    </row>
    <row r="12" spans="1:55" ht="23.1" customHeight="1" x14ac:dyDescent="0.3">
      <c r="A12" s="7">
        <v>10</v>
      </c>
      <c r="B12" s="7" t="s">
        <v>68</v>
      </c>
      <c r="C12" s="7" t="s">
        <v>69</v>
      </c>
      <c r="D12" s="7" t="s">
        <v>450</v>
      </c>
      <c r="E12" s="7" t="s">
        <v>35</v>
      </c>
      <c r="F12" s="7"/>
      <c r="G12" s="7"/>
      <c r="H12" s="49">
        <f>IFERROR(VLOOKUP(B12,[1]Debate!$A$5:$O$262,3,FALSE),"0")</f>
        <v>3</v>
      </c>
      <c r="I12" s="7"/>
      <c r="J12" s="7"/>
      <c r="K12" s="59">
        <f t="shared" si="0"/>
        <v>3</v>
      </c>
      <c r="L12" s="49">
        <v>3</v>
      </c>
      <c r="M12" s="49">
        <v>4</v>
      </c>
      <c r="N12" s="49">
        <v>3</v>
      </c>
      <c r="O12" s="49">
        <v>1.5</v>
      </c>
      <c r="P12" s="49">
        <v>4</v>
      </c>
      <c r="Q12" s="59">
        <f t="shared" si="1"/>
        <v>3.1</v>
      </c>
      <c r="R12" s="49"/>
      <c r="S12" s="49"/>
      <c r="T12" s="7"/>
      <c r="U12" s="49"/>
      <c r="V12" s="7"/>
      <c r="W12" s="59" t="str">
        <f t="shared" si="2"/>
        <v>A</v>
      </c>
      <c r="X12" s="49">
        <v>4</v>
      </c>
      <c r="Y12" s="49"/>
      <c r="Z12" s="7"/>
      <c r="AA12" s="7"/>
      <c r="AB12" s="7"/>
      <c r="AC12" s="59">
        <f t="shared" si="3"/>
        <v>4</v>
      </c>
      <c r="AD12" s="49"/>
      <c r="AE12" s="7"/>
      <c r="AF12" s="49"/>
      <c r="AG12" s="7"/>
      <c r="AH12" s="7"/>
      <c r="AI12" s="59" t="str">
        <f t="shared" si="4"/>
        <v>A</v>
      </c>
      <c r="AJ12" s="49">
        <v>4</v>
      </c>
      <c r="AK12" s="49">
        <v>3</v>
      </c>
      <c r="AL12" s="7"/>
      <c r="AM12" s="49">
        <v>3</v>
      </c>
      <c r="AN12" s="7"/>
      <c r="AO12" s="59">
        <f t="shared" si="5"/>
        <v>3.3333333333333335</v>
      </c>
      <c r="AP12" s="49">
        <v>3</v>
      </c>
      <c r="AQ12" s="49"/>
      <c r="AR12" s="49"/>
      <c r="AS12" s="7"/>
      <c r="AT12" s="7"/>
      <c r="AU12" s="59">
        <f t="shared" si="6"/>
        <v>3</v>
      </c>
      <c r="AV12" s="7"/>
      <c r="AW12" s="7"/>
      <c r="AX12" s="49"/>
      <c r="AY12" s="49">
        <v>4</v>
      </c>
      <c r="AZ12" s="49">
        <v>4</v>
      </c>
      <c r="BA12" s="59">
        <f t="shared" si="7"/>
        <v>4</v>
      </c>
    </row>
    <row r="13" spans="1:55" ht="23.1" customHeight="1" x14ac:dyDescent="0.3">
      <c r="A13" s="49">
        <v>11</v>
      </c>
      <c r="B13" s="49" t="s">
        <v>162</v>
      </c>
      <c r="C13" s="49" t="s">
        <v>163</v>
      </c>
      <c r="D13" s="49" t="s">
        <v>450</v>
      </c>
      <c r="E13" s="49" t="s">
        <v>161</v>
      </c>
      <c r="F13" s="49"/>
      <c r="G13" s="49"/>
      <c r="H13" s="49">
        <f>IFERROR(VLOOKUP(B13,[1]Debate!$A$5:$O$262,3,FALSE),"0")</f>
        <v>3</v>
      </c>
      <c r="I13" s="49"/>
      <c r="J13" s="49"/>
      <c r="K13" s="59">
        <f t="shared" si="0"/>
        <v>3</v>
      </c>
      <c r="L13" s="49">
        <v>3</v>
      </c>
      <c r="M13" s="49">
        <v>4</v>
      </c>
      <c r="N13" s="49">
        <v>2</v>
      </c>
      <c r="O13" s="49">
        <v>3.5</v>
      </c>
      <c r="P13" s="49">
        <v>2</v>
      </c>
      <c r="Q13" s="59">
        <f t="shared" si="1"/>
        <v>2.9</v>
      </c>
      <c r="R13" s="49"/>
      <c r="S13" s="49"/>
      <c r="T13" s="49"/>
      <c r="U13" s="49"/>
      <c r="V13" s="49"/>
      <c r="W13" s="59" t="str">
        <f t="shared" si="2"/>
        <v>A</v>
      </c>
      <c r="X13" s="49">
        <v>3</v>
      </c>
      <c r="Y13" s="49"/>
      <c r="Z13" s="49"/>
      <c r="AA13" s="49"/>
      <c r="AB13" s="49"/>
      <c r="AC13" s="59">
        <f t="shared" si="3"/>
        <v>3</v>
      </c>
      <c r="AD13" s="49"/>
      <c r="AE13" s="49"/>
      <c r="AF13" s="49"/>
      <c r="AG13" s="49"/>
      <c r="AH13" s="49"/>
      <c r="AI13" s="59" t="str">
        <f t="shared" si="4"/>
        <v>A</v>
      </c>
      <c r="AJ13" s="49">
        <v>3</v>
      </c>
      <c r="AK13" s="49">
        <v>3</v>
      </c>
      <c r="AL13" s="49"/>
      <c r="AM13" s="49">
        <v>2</v>
      </c>
      <c r="AN13" s="49"/>
      <c r="AO13" s="59">
        <f t="shared" si="5"/>
        <v>2.6666666666666665</v>
      </c>
      <c r="AP13" s="49">
        <v>3</v>
      </c>
      <c r="AQ13" s="49"/>
      <c r="AR13" s="49"/>
      <c r="AS13" s="49"/>
      <c r="AT13" s="49"/>
      <c r="AU13" s="59">
        <f t="shared" si="6"/>
        <v>3</v>
      </c>
      <c r="AV13" s="49"/>
      <c r="AW13" s="49"/>
      <c r="AX13" s="49"/>
      <c r="AY13" s="49">
        <v>3</v>
      </c>
      <c r="AZ13" s="49">
        <v>3</v>
      </c>
      <c r="BA13" s="59">
        <f t="shared" si="7"/>
        <v>3</v>
      </c>
    </row>
    <row r="14" spans="1:55" ht="23.1" customHeight="1" x14ac:dyDescent="0.3">
      <c r="A14" s="7">
        <v>12</v>
      </c>
      <c r="B14" s="7" t="s">
        <v>178</v>
      </c>
      <c r="C14" s="7" t="s">
        <v>179</v>
      </c>
      <c r="D14" s="7" t="s">
        <v>450</v>
      </c>
      <c r="E14" s="7" t="s">
        <v>161</v>
      </c>
      <c r="F14" s="7"/>
      <c r="G14" s="7"/>
      <c r="H14" s="49">
        <f>IFERROR(VLOOKUP(B14,[1]Debate!$A$5:$O$262,3,FALSE),"0")</f>
        <v>3</v>
      </c>
      <c r="I14" s="7"/>
      <c r="J14" s="7"/>
      <c r="K14" s="59">
        <f t="shared" si="0"/>
        <v>3</v>
      </c>
      <c r="L14" s="49">
        <v>3</v>
      </c>
      <c r="M14" s="49">
        <v>3</v>
      </c>
      <c r="N14" s="49">
        <v>3</v>
      </c>
      <c r="O14" s="49">
        <v>3</v>
      </c>
      <c r="P14" s="49">
        <v>3</v>
      </c>
      <c r="Q14" s="59">
        <f t="shared" si="1"/>
        <v>3</v>
      </c>
      <c r="R14" s="49"/>
      <c r="S14" s="49"/>
      <c r="T14" s="7"/>
      <c r="U14" s="49"/>
      <c r="V14" s="7"/>
      <c r="W14" s="59" t="str">
        <f t="shared" si="2"/>
        <v>A</v>
      </c>
      <c r="X14" s="49">
        <v>3</v>
      </c>
      <c r="Y14" s="49"/>
      <c r="Z14" s="7"/>
      <c r="AA14" s="7"/>
      <c r="AB14" s="7"/>
      <c r="AC14" s="59">
        <f t="shared" si="3"/>
        <v>3</v>
      </c>
      <c r="AD14" s="49"/>
      <c r="AE14" s="7"/>
      <c r="AF14" s="49"/>
      <c r="AG14" s="7"/>
      <c r="AH14" s="7"/>
      <c r="AI14" s="59" t="str">
        <f t="shared" si="4"/>
        <v>A</v>
      </c>
      <c r="AJ14" s="49">
        <v>3</v>
      </c>
      <c r="AK14" s="49">
        <v>2.5</v>
      </c>
      <c r="AL14" s="7"/>
      <c r="AM14" s="49">
        <v>3</v>
      </c>
      <c r="AN14" s="7"/>
      <c r="AO14" s="59">
        <f t="shared" si="5"/>
        <v>2.8333333333333335</v>
      </c>
      <c r="AP14" s="49">
        <v>3</v>
      </c>
      <c r="AQ14" s="49"/>
      <c r="AR14" s="49"/>
      <c r="AS14" s="7"/>
      <c r="AT14" s="7"/>
      <c r="AU14" s="59">
        <f t="shared" si="6"/>
        <v>3</v>
      </c>
      <c r="AV14" s="7"/>
      <c r="AW14" s="7"/>
      <c r="AX14" s="49"/>
      <c r="AY14" s="49">
        <v>3</v>
      </c>
      <c r="AZ14" s="49">
        <v>3</v>
      </c>
      <c r="BA14" s="59">
        <f t="shared" si="7"/>
        <v>3</v>
      </c>
    </row>
    <row r="15" spans="1:55" ht="23.1" customHeight="1" x14ac:dyDescent="0.3">
      <c r="A15" s="49">
        <v>13</v>
      </c>
      <c r="B15" s="49" t="s">
        <v>87</v>
      </c>
      <c r="C15" s="49" t="s">
        <v>88</v>
      </c>
      <c r="D15" s="49" t="s">
        <v>450</v>
      </c>
      <c r="E15" s="49" t="s">
        <v>35</v>
      </c>
      <c r="F15" s="49"/>
      <c r="G15" s="49"/>
      <c r="H15" s="49">
        <f>IFERROR(VLOOKUP(B15,[1]Debate!$A$5:$O$262,3,FALSE),"0")</f>
        <v>3</v>
      </c>
      <c r="I15" s="49"/>
      <c r="J15" s="49"/>
      <c r="K15" s="59">
        <f t="shared" si="0"/>
        <v>3</v>
      </c>
      <c r="L15" s="49">
        <v>4</v>
      </c>
      <c r="M15" s="49">
        <v>4</v>
      </c>
      <c r="N15" s="49">
        <v>4</v>
      </c>
      <c r="O15" s="49">
        <v>4</v>
      </c>
      <c r="P15" s="49">
        <v>3</v>
      </c>
      <c r="Q15" s="59">
        <f t="shared" si="1"/>
        <v>3.8</v>
      </c>
      <c r="R15" s="49"/>
      <c r="S15" s="49"/>
      <c r="T15" s="49"/>
      <c r="U15" s="49"/>
      <c r="V15" s="49"/>
      <c r="W15" s="59" t="str">
        <f t="shared" si="2"/>
        <v>A</v>
      </c>
      <c r="X15" s="49">
        <v>4</v>
      </c>
      <c r="Y15" s="49"/>
      <c r="Z15" s="49"/>
      <c r="AA15" s="49"/>
      <c r="AB15" s="49"/>
      <c r="AC15" s="59">
        <f t="shared" si="3"/>
        <v>4</v>
      </c>
      <c r="AD15" s="49"/>
      <c r="AE15" s="49"/>
      <c r="AF15" s="49"/>
      <c r="AG15" s="49"/>
      <c r="AH15" s="49"/>
      <c r="AI15" s="59" t="str">
        <f t="shared" si="4"/>
        <v>A</v>
      </c>
      <c r="AJ15" s="49">
        <v>4</v>
      </c>
      <c r="AK15" s="49">
        <v>4</v>
      </c>
      <c r="AL15" s="49"/>
      <c r="AM15" s="49">
        <v>3</v>
      </c>
      <c r="AN15" s="49"/>
      <c r="AO15" s="59">
        <f t="shared" si="5"/>
        <v>3.6666666666666665</v>
      </c>
      <c r="AP15" s="49">
        <v>3</v>
      </c>
      <c r="AQ15" s="49"/>
      <c r="AR15" s="49"/>
      <c r="AS15" s="49"/>
      <c r="AT15" s="49"/>
      <c r="AU15" s="59">
        <f t="shared" si="6"/>
        <v>3</v>
      </c>
      <c r="AV15" s="49"/>
      <c r="AW15" s="49"/>
      <c r="AX15" s="49"/>
      <c r="AY15" s="49">
        <v>4</v>
      </c>
      <c r="AZ15" s="49">
        <v>4</v>
      </c>
      <c r="BA15" s="59">
        <f t="shared" si="7"/>
        <v>4</v>
      </c>
    </row>
    <row r="16" spans="1:55" ht="23.1" customHeight="1" x14ac:dyDescent="0.3">
      <c r="A16" s="7">
        <v>14</v>
      </c>
      <c r="B16" s="7" t="s">
        <v>194</v>
      </c>
      <c r="C16" s="7" t="s">
        <v>195</v>
      </c>
      <c r="D16" s="7" t="s">
        <v>542</v>
      </c>
      <c r="E16" s="7" t="s">
        <v>161</v>
      </c>
      <c r="F16" s="7"/>
      <c r="G16" s="7"/>
      <c r="H16" s="49">
        <f>IFERROR(VLOOKUP(B16,[1]Debate!$A$5:$O$262,3,FALSE),"0")</f>
        <v>3.5</v>
      </c>
      <c r="I16" s="7"/>
      <c r="J16" s="7"/>
      <c r="K16" s="59">
        <f t="shared" si="0"/>
        <v>3.5</v>
      </c>
      <c r="L16" s="49">
        <v>3.5</v>
      </c>
      <c r="M16" s="49">
        <v>4</v>
      </c>
      <c r="N16" s="49">
        <v>3</v>
      </c>
      <c r="O16" s="49">
        <v>3.75</v>
      </c>
      <c r="P16" s="49">
        <v>3.5</v>
      </c>
      <c r="Q16" s="59">
        <f t="shared" si="1"/>
        <v>3.55</v>
      </c>
      <c r="R16" s="49"/>
      <c r="S16" s="49"/>
      <c r="T16" s="7"/>
      <c r="U16" s="49"/>
      <c r="V16" s="7"/>
      <c r="W16" s="59" t="str">
        <f t="shared" si="2"/>
        <v>A</v>
      </c>
      <c r="X16" s="49">
        <v>4</v>
      </c>
      <c r="Y16" s="49"/>
      <c r="Z16" s="7"/>
      <c r="AA16" s="7"/>
      <c r="AB16" s="7"/>
      <c r="AC16" s="59">
        <f t="shared" si="3"/>
        <v>4</v>
      </c>
      <c r="AD16" s="49"/>
      <c r="AE16" s="7"/>
      <c r="AF16" s="49"/>
      <c r="AG16" s="7"/>
      <c r="AH16" s="7"/>
      <c r="AI16" s="59" t="str">
        <f t="shared" si="4"/>
        <v>A</v>
      </c>
      <c r="AJ16" s="49">
        <v>4</v>
      </c>
      <c r="AK16" s="49">
        <v>3.5</v>
      </c>
      <c r="AL16" s="7"/>
      <c r="AM16" s="49">
        <v>3</v>
      </c>
      <c r="AN16" s="7"/>
      <c r="AO16" s="59">
        <f t="shared" si="5"/>
        <v>3.5</v>
      </c>
      <c r="AP16" s="49">
        <v>4</v>
      </c>
      <c r="AQ16" s="49"/>
      <c r="AR16" s="49"/>
      <c r="AS16" s="7"/>
      <c r="AT16" s="7"/>
      <c r="AU16" s="59">
        <f t="shared" si="6"/>
        <v>4</v>
      </c>
      <c r="AV16" s="7"/>
      <c r="AW16" s="7"/>
      <c r="AX16" s="49"/>
      <c r="AY16" s="49">
        <v>4</v>
      </c>
      <c r="AZ16" s="49">
        <v>4</v>
      </c>
      <c r="BA16" s="59">
        <f t="shared" si="7"/>
        <v>4</v>
      </c>
    </row>
    <row r="17" spans="1:53" ht="23.1" customHeight="1" x14ac:dyDescent="0.3">
      <c r="A17" s="49">
        <v>15</v>
      </c>
      <c r="B17" s="49" t="s">
        <v>293</v>
      </c>
      <c r="C17" s="49" t="s">
        <v>294</v>
      </c>
      <c r="D17" s="49" t="s">
        <v>542</v>
      </c>
      <c r="E17" s="49" t="s">
        <v>493</v>
      </c>
      <c r="F17" s="49"/>
      <c r="G17" s="49"/>
      <c r="H17" s="49" t="str">
        <f>IFERROR(VLOOKUP(B17,[1]Debate!$A$5:$O$262,3,FALSE),"0")</f>
        <v>0</v>
      </c>
      <c r="I17" s="49"/>
      <c r="J17" s="49"/>
      <c r="K17" s="59" t="str">
        <f t="shared" si="0"/>
        <v>0</v>
      </c>
      <c r="L17" s="49" t="s">
        <v>581</v>
      </c>
      <c r="M17" s="49" t="s">
        <v>581</v>
      </c>
      <c r="N17" s="49" t="s">
        <v>581</v>
      </c>
      <c r="O17" s="49" t="s">
        <v>581</v>
      </c>
      <c r="P17" s="49" t="s">
        <v>581</v>
      </c>
      <c r="Q17" s="59" t="str">
        <f t="shared" si="1"/>
        <v>0</v>
      </c>
      <c r="R17" s="49"/>
      <c r="S17" s="49"/>
      <c r="T17" s="49"/>
      <c r="U17" s="49"/>
      <c r="V17" s="49"/>
      <c r="W17" s="59" t="str">
        <f t="shared" si="2"/>
        <v>A</v>
      </c>
      <c r="X17" s="49" t="s">
        <v>581</v>
      </c>
      <c r="Y17" s="49"/>
      <c r="Z17" s="49"/>
      <c r="AA17" s="49"/>
      <c r="AB17" s="49"/>
      <c r="AC17" s="59" t="str">
        <f t="shared" si="3"/>
        <v>0</v>
      </c>
      <c r="AD17" s="49"/>
      <c r="AE17" s="49"/>
      <c r="AF17" s="49"/>
      <c r="AG17" s="49"/>
      <c r="AH17" s="49"/>
      <c r="AI17" s="59" t="str">
        <f t="shared" si="4"/>
        <v>A</v>
      </c>
      <c r="AJ17" s="49" t="s">
        <v>581</v>
      </c>
      <c r="AK17" s="49" t="s">
        <v>581</v>
      </c>
      <c r="AL17" s="49"/>
      <c r="AM17" s="49" t="s">
        <v>581</v>
      </c>
      <c r="AN17" s="49"/>
      <c r="AO17" s="59" t="str">
        <f t="shared" si="5"/>
        <v>0</v>
      </c>
      <c r="AP17" s="49">
        <v>0</v>
      </c>
      <c r="AQ17" s="49"/>
      <c r="AR17" s="49"/>
      <c r="AS17" s="49"/>
      <c r="AT17" s="49"/>
      <c r="AU17" s="59">
        <f t="shared" si="6"/>
        <v>0</v>
      </c>
      <c r="AV17" s="49"/>
      <c r="AW17" s="49"/>
      <c r="AX17" s="49"/>
      <c r="AY17" s="49">
        <v>0</v>
      </c>
      <c r="AZ17" s="49">
        <v>0</v>
      </c>
      <c r="BA17" s="59">
        <f t="shared" si="7"/>
        <v>0</v>
      </c>
    </row>
    <row r="18" spans="1:53" ht="23.1" customHeight="1" x14ac:dyDescent="0.3">
      <c r="A18" s="7">
        <v>16</v>
      </c>
      <c r="B18" s="7" t="s">
        <v>105</v>
      </c>
      <c r="C18" s="7" t="s">
        <v>106</v>
      </c>
      <c r="D18" s="7" t="s">
        <v>450</v>
      </c>
      <c r="E18" s="7" t="s">
        <v>35</v>
      </c>
      <c r="F18" s="7"/>
      <c r="G18" s="7"/>
      <c r="H18" s="49">
        <f>IFERROR(VLOOKUP(B18,[1]Debate!$A$5:$O$262,3,FALSE),"0")</f>
        <v>0</v>
      </c>
      <c r="I18" s="7"/>
      <c r="J18" s="7"/>
      <c r="K18" s="59">
        <f t="shared" si="0"/>
        <v>0</v>
      </c>
      <c r="L18" s="49">
        <v>0</v>
      </c>
      <c r="M18" s="49">
        <v>0</v>
      </c>
      <c r="N18" s="49">
        <v>0</v>
      </c>
      <c r="O18" s="49">
        <v>0</v>
      </c>
      <c r="P18" s="49">
        <v>0</v>
      </c>
      <c r="Q18" s="59">
        <f t="shared" si="1"/>
        <v>0</v>
      </c>
      <c r="R18" s="49"/>
      <c r="S18" s="49"/>
      <c r="T18" s="7"/>
      <c r="U18" s="49"/>
      <c r="V18" s="7"/>
      <c r="W18" s="59" t="str">
        <f t="shared" si="2"/>
        <v>A</v>
      </c>
      <c r="X18" s="49">
        <v>0</v>
      </c>
      <c r="Y18" s="49"/>
      <c r="Z18" s="7"/>
      <c r="AA18" s="7"/>
      <c r="AB18" s="7"/>
      <c r="AC18" s="59">
        <f t="shared" si="3"/>
        <v>0</v>
      </c>
      <c r="AD18" s="49"/>
      <c r="AE18" s="7"/>
      <c r="AF18" s="49"/>
      <c r="AG18" s="7"/>
      <c r="AH18" s="7"/>
      <c r="AI18" s="59" t="str">
        <f t="shared" si="4"/>
        <v>A</v>
      </c>
      <c r="AJ18" s="49">
        <v>0</v>
      </c>
      <c r="AK18" s="49">
        <v>0</v>
      </c>
      <c r="AL18" s="7"/>
      <c r="AM18" s="49">
        <v>0</v>
      </c>
      <c r="AN18" s="7"/>
      <c r="AO18" s="59">
        <f t="shared" si="5"/>
        <v>0</v>
      </c>
      <c r="AP18" s="49">
        <v>0</v>
      </c>
      <c r="AQ18" s="49"/>
      <c r="AR18" s="49"/>
      <c r="AS18" s="7"/>
      <c r="AT18" s="7"/>
      <c r="AU18" s="59">
        <f t="shared" si="6"/>
        <v>0</v>
      </c>
      <c r="AV18" s="7"/>
      <c r="AW18" s="7"/>
      <c r="AX18" s="49"/>
      <c r="AY18" s="49">
        <v>0</v>
      </c>
      <c r="AZ18" s="49">
        <v>0</v>
      </c>
      <c r="BA18" s="59">
        <f t="shared" si="7"/>
        <v>0</v>
      </c>
    </row>
    <row r="19" spans="1:53" ht="23.1" customHeight="1" x14ac:dyDescent="0.3">
      <c r="A19" s="49">
        <v>17</v>
      </c>
      <c r="B19" s="49" t="s">
        <v>295</v>
      </c>
      <c r="C19" s="49" t="s">
        <v>296</v>
      </c>
      <c r="D19" s="49" t="s">
        <v>542</v>
      </c>
      <c r="E19" s="49" t="s">
        <v>493</v>
      </c>
      <c r="F19" s="49"/>
      <c r="G19" s="49"/>
      <c r="H19" s="49">
        <f>IFERROR(VLOOKUP(B19,[1]Debate!$A$5:$O$262,3,FALSE),"0")</f>
        <v>2</v>
      </c>
      <c r="I19" s="49"/>
      <c r="J19" s="49"/>
      <c r="K19" s="59">
        <f t="shared" si="0"/>
        <v>2</v>
      </c>
      <c r="L19" s="49">
        <v>4</v>
      </c>
      <c r="M19" s="49">
        <v>4</v>
      </c>
      <c r="N19" s="49">
        <v>4</v>
      </c>
      <c r="O19" s="49">
        <v>3</v>
      </c>
      <c r="P19" s="49">
        <v>4</v>
      </c>
      <c r="Q19" s="59">
        <f t="shared" si="1"/>
        <v>3.8</v>
      </c>
      <c r="R19" s="49"/>
      <c r="S19" s="49"/>
      <c r="T19" s="49"/>
      <c r="U19" s="49"/>
      <c r="V19" s="49"/>
      <c r="W19" s="59" t="str">
        <f t="shared" si="2"/>
        <v>A</v>
      </c>
      <c r="X19" s="49">
        <v>4</v>
      </c>
      <c r="Y19" s="49"/>
      <c r="Z19" s="49"/>
      <c r="AA19" s="49"/>
      <c r="AB19" s="49"/>
      <c r="AC19" s="59">
        <f t="shared" si="3"/>
        <v>4</v>
      </c>
      <c r="AD19" s="49"/>
      <c r="AE19" s="49"/>
      <c r="AF19" s="49"/>
      <c r="AG19" s="49"/>
      <c r="AH19" s="49"/>
      <c r="AI19" s="59" t="str">
        <f t="shared" si="4"/>
        <v>A</v>
      </c>
      <c r="AJ19" s="49">
        <v>4</v>
      </c>
      <c r="AK19" s="49">
        <v>4</v>
      </c>
      <c r="AL19" s="49"/>
      <c r="AM19" s="49">
        <v>4</v>
      </c>
      <c r="AN19" s="49"/>
      <c r="AO19" s="59">
        <f t="shared" si="5"/>
        <v>4</v>
      </c>
      <c r="AP19" s="49">
        <v>3</v>
      </c>
      <c r="AQ19" s="49"/>
      <c r="AR19" s="49"/>
      <c r="AS19" s="49"/>
      <c r="AT19" s="49"/>
      <c r="AU19" s="59">
        <f t="shared" si="6"/>
        <v>3</v>
      </c>
      <c r="AV19" s="49"/>
      <c r="AW19" s="49"/>
      <c r="AX19" s="49"/>
      <c r="AY19" s="49">
        <v>3</v>
      </c>
      <c r="AZ19" s="49">
        <v>3</v>
      </c>
      <c r="BA19" s="59">
        <f t="shared" si="7"/>
        <v>3</v>
      </c>
    </row>
    <row r="20" spans="1:53" ht="23.1" customHeight="1" x14ac:dyDescent="0.3">
      <c r="A20" s="7">
        <v>18</v>
      </c>
      <c r="B20" s="7" t="s">
        <v>107</v>
      </c>
      <c r="C20" s="7" t="s">
        <v>108</v>
      </c>
      <c r="D20" s="7" t="s">
        <v>543</v>
      </c>
      <c r="E20" s="7" t="s">
        <v>35</v>
      </c>
      <c r="F20" s="7"/>
      <c r="G20" s="7"/>
      <c r="H20" s="49">
        <f>IFERROR(VLOOKUP(B20,[1]Debate!$A$5:$O$262,3,FALSE),"0")</f>
        <v>3</v>
      </c>
      <c r="I20" s="7"/>
      <c r="J20" s="7"/>
      <c r="K20" s="59">
        <f t="shared" si="0"/>
        <v>3</v>
      </c>
      <c r="L20" s="49">
        <v>2</v>
      </c>
      <c r="M20" s="49">
        <v>2</v>
      </c>
      <c r="N20" s="49">
        <v>3</v>
      </c>
      <c r="O20" s="49">
        <v>3.5</v>
      </c>
      <c r="P20" s="49">
        <v>2</v>
      </c>
      <c r="Q20" s="59">
        <f t="shared" si="1"/>
        <v>2.5</v>
      </c>
      <c r="R20" s="49"/>
      <c r="S20" s="49"/>
      <c r="T20" s="7"/>
      <c r="U20" s="49"/>
      <c r="V20" s="7"/>
      <c r="W20" s="59" t="str">
        <f t="shared" si="2"/>
        <v>A</v>
      </c>
      <c r="X20" s="49">
        <v>3</v>
      </c>
      <c r="Y20" s="49"/>
      <c r="Z20" s="7"/>
      <c r="AA20" s="7"/>
      <c r="AB20" s="7"/>
      <c r="AC20" s="59">
        <f t="shared" si="3"/>
        <v>3</v>
      </c>
      <c r="AD20" s="49"/>
      <c r="AE20" s="7"/>
      <c r="AF20" s="49"/>
      <c r="AG20" s="7"/>
      <c r="AH20" s="7"/>
      <c r="AI20" s="59" t="str">
        <f t="shared" si="4"/>
        <v>A</v>
      </c>
      <c r="AJ20" s="49">
        <v>3</v>
      </c>
      <c r="AK20" s="49">
        <v>2</v>
      </c>
      <c r="AL20" s="7"/>
      <c r="AM20" s="49">
        <v>4</v>
      </c>
      <c r="AN20" s="7"/>
      <c r="AO20" s="59">
        <f t="shared" si="5"/>
        <v>3</v>
      </c>
      <c r="AP20" s="49">
        <v>3</v>
      </c>
      <c r="AQ20" s="49"/>
      <c r="AR20" s="49"/>
      <c r="AS20" s="7"/>
      <c r="AT20" s="7"/>
      <c r="AU20" s="59">
        <f t="shared" si="6"/>
        <v>3</v>
      </c>
      <c r="AV20" s="7"/>
      <c r="AW20" s="7"/>
      <c r="AX20" s="49"/>
      <c r="AY20" s="49">
        <v>2</v>
      </c>
      <c r="AZ20" s="49">
        <v>3</v>
      </c>
      <c r="BA20" s="59">
        <f t="shared" si="7"/>
        <v>2.5</v>
      </c>
    </row>
    <row r="21" spans="1:53" ht="23.1" customHeight="1" x14ac:dyDescent="0.3">
      <c r="A21" s="49">
        <v>19</v>
      </c>
      <c r="B21" s="49" t="s">
        <v>50</v>
      </c>
      <c r="C21" s="49" t="s">
        <v>51</v>
      </c>
      <c r="D21" s="49" t="s">
        <v>542</v>
      </c>
      <c r="E21" s="49" t="s">
        <v>35</v>
      </c>
      <c r="F21" s="49"/>
      <c r="G21" s="49"/>
      <c r="H21" s="49">
        <f>IFERROR(VLOOKUP(B21,[1]Debate!$A$5:$O$262,3,FALSE),"0")</f>
        <v>4</v>
      </c>
      <c r="I21" s="49"/>
      <c r="J21" s="49"/>
      <c r="K21" s="59">
        <f t="shared" si="0"/>
        <v>4</v>
      </c>
      <c r="L21" s="49">
        <v>3.5</v>
      </c>
      <c r="M21" s="49">
        <v>4</v>
      </c>
      <c r="N21" s="49">
        <v>4</v>
      </c>
      <c r="O21" s="49">
        <v>3.75</v>
      </c>
      <c r="P21" s="49">
        <v>3.5</v>
      </c>
      <c r="Q21" s="59">
        <f t="shared" si="1"/>
        <v>3.75</v>
      </c>
      <c r="R21" s="49"/>
      <c r="S21" s="49"/>
      <c r="T21" s="49"/>
      <c r="U21" s="49"/>
      <c r="V21" s="49"/>
      <c r="W21" s="59" t="str">
        <f t="shared" si="2"/>
        <v>A</v>
      </c>
      <c r="X21" s="49">
        <v>3.5</v>
      </c>
      <c r="Y21" s="49"/>
      <c r="Z21" s="49"/>
      <c r="AA21" s="49"/>
      <c r="AB21" s="49"/>
      <c r="AC21" s="59">
        <f t="shared" si="3"/>
        <v>3.5</v>
      </c>
      <c r="AD21" s="49"/>
      <c r="AE21" s="49"/>
      <c r="AF21" s="49"/>
      <c r="AG21" s="49"/>
      <c r="AH21" s="49"/>
      <c r="AI21" s="59" t="str">
        <f t="shared" si="4"/>
        <v>A</v>
      </c>
      <c r="AJ21" s="49">
        <v>3.5</v>
      </c>
      <c r="AK21" s="49">
        <v>4</v>
      </c>
      <c r="AL21" s="49"/>
      <c r="AM21" s="49">
        <v>3.5</v>
      </c>
      <c r="AN21" s="49"/>
      <c r="AO21" s="59">
        <f t="shared" si="5"/>
        <v>3.6666666666666665</v>
      </c>
      <c r="AP21" s="49">
        <v>3.5</v>
      </c>
      <c r="AQ21" s="49"/>
      <c r="AR21" s="49"/>
      <c r="AS21" s="49"/>
      <c r="AT21" s="49"/>
      <c r="AU21" s="59">
        <f t="shared" si="6"/>
        <v>3.5</v>
      </c>
      <c r="AV21" s="49"/>
      <c r="AW21" s="49"/>
      <c r="AX21" s="49"/>
      <c r="AY21" s="49">
        <v>4</v>
      </c>
      <c r="AZ21" s="49">
        <v>4</v>
      </c>
      <c r="BA21" s="59">
        <f t="shared" si="7"/>
        <v>4</v>
      </c>
    </row>
    <row r="22" spans="1:53" ht="23.1" customHeight="1" x14ac:dyDescent="0.3">
      <c r="A22" s="7">
        <v>20</v>
      </c>
      <c r="B22" s="7" t="s">
        <v>196</v>
      </c>
      <c r="C22" s="7" t="s">
        <v>537</v>
      </c>
      <c r="D22" s="7" t="s">
        <v>450</v>
      </c>
      <c r="E22" s="7" t="s">
        <v>161</v>
      </c>
      <c r="F22" s="7"/>
      <c r="G22" s="7"/>
      <c r="H22" s="49">
        <f>IFERROR(VLOOKUP(B22,[1]Debate!$A$5:$O$262,3,FALSE),"0")</f>
        <v>4</v>
      </c>
      <c r="I22" s="7"/>
      <c r="J22" s="7"/>
      <c r="K22" s="59">
        <f t="shared" si="0"/>
        <v>4</v>
      </c>
      <c r="L22" s="49">
        <v>4</v>
      </c>
      <c r="M22" s="49">
        <v>4</v>
      </c>
      <c r="N22" s="49">
        <v>4</v>
      </c>
      <c r="O22" s="49">
        <v>3.5</v>
      </c>
      <c r="P22" s="49">
        <v>4</v>
      </c>
      <c r="Q22" s="59">
        <f t="shared" si="1"/>
        <v>3.9</v>
      </c>
      <c r="R22" s="49"/>
      <c r="S22" s="49"/>
      <c r="T22" s="7"/>
      <c r="U22" s="49"/>
      <c r="V22" s="7"/>
      <c r="W22" s="59" t="str">
        <f t="shared" si="2"/>
        <v>A</v>
      </c>
      <c r="X22" s="49">
        <v>3</v>
      </c>
      <c r="Y22" s="49"/>
      <c r="Z22" s="7"/>
      <c r="AA22" s="7"/>
      <c r="AB22" s="7"/>
      <c r="AC22" s="59">
        <f t="shared" si="3"/>
        <v>3</v>
      </c>
      <c r="AD22" s="49"/>
      <c r="AE22" s="7"/>
      <c r="AF22" s="49"/>
      <c r="AG22" s="7"/>
      <c r="AH22" s="7"/>
      <c r="AI22" s="59" t="str">
        <f t="shared" si="4"/>
        <v>A</v>
      </c>
      <c r="AJ22" s="49">
        <v>4</v>
      </c>
      <c r="AK22" s="49">
        <v>4</v>
      </c>
      <c r="AL22" s="7"/>
      <c r="AM22" s="49">
        <v>4</v>
      </c>
      <c r="AN22" s="7"/>
      <c r="AO22" s="59">
        <f t="shared" si="5"/>
        <v>4</v>
      </c>
      <c r="AP22" s="49">
        <v>3</v>
      </c>
      <c r="AQ22" s="49"/>
      <c r="AR22" s="49"/>
      <c r="AS22" s="7"/>
      <c r="AT22" s="7"/>
      <c r="AU22" s="59">
        <f t="shared" si="6"/>
        <v>3</v>
      </c>
      <c r="AV22" s="7"/>
      <c r="AW22" s="7"/>
      <c r="AX22" s="49"/>
      <c r="AY22" s="49">
        <v>4</v>
      </c>
      <c r="AZ22" s="49">
        <v>3</v>
      </c>
      <c r="BA22" s="59">
        <f t="shared" si="7"/>
        <v>3.5</v>
      </c>
    </row>
    <row r="23" spans="1:53" ht="23.1" customHeight="1" x14ac:dyDescent="0.3">
      <c r="A23" s="49">
        <v>21</v>
      </c>
      <c r="B23" s="49" t="s">
        <v>209</v>
      </c>
      <c r="C23" s="49" t="s">
        <v>210</v>
      </c>
      <c r="D23" s="49" t="s">
        <v>450</v>
      </c>
      <c r="E23" s="49" t="s">
        <v>161</v>
      </c>
      <c r="F23" s="49"/>
      <c r="G23" s="49"/>
      <c r="H23" s="49">
        <f>IFERROR(VLOOKUP(B23,[1]Debate!$A$5:$O$262,3,FALSE),"0")</f>
        <v>2</v>
      </c>
      <c r="I23" s="49"/>
      <c r="J23" s="49"/>
      <c r="K23" s="59">
        <f t="shared" si="0"/>
        <v>2</v>
      </c>
      <c r="L23" s="49">
        <v>2</v>
      </c>
      <c r="M23" s="49">
        <v>3</v>
      </c>
      <c r="N23" s="49">
        <v>3</v>
      </c>
      <c r="O23" s="49">
        <v>2.5</v>
      </c>
      <c r="P23" s="49">
        <v>4</v>
      </c>
      <c r="Q23" s="59">
        <f t="shared" si="1"/>
        <v>2.9</v>
      </c>
      <c r="R23" s="49"/>
      <c r="S23" s="49"/>
      <c r="T23" s="49"/>
      <c r="U23" s="49"/>
      <c r="V23" s="49"/>
      <c r="W23" s="59" t="str">
        <f t="shared" si="2"/>
        <v>A</v>
      </c>
      <c r="X23" s="49">
        <v>2</v>
      </c>
      <c r="Y23" s="49"/>
      <c r="Z23" s="49"/>
      <c r="AA23" s="49"/>
      <c r="AB23" s="49"/>
      <c r="AC23" s="59">
        <f t="shared" si="3"/>
        <v>2</v>
      </c>
      <c r="AD23" s="49"/>
      <c r="AE23" s="49"/>
      <c r="AF23" s="49"/>
      <c r="AG23" s="49"/>
      <c r="AH23" s="49"/>
      <c r="AI23" s="59" t="str">
        <f t="shared" si="4"/>
        <v>A</v>
      </c>
      <c r="AJ23" s="49">
        <v>2</v>
      </c>
      <c r="AK23" s="49">
        <v>2</v>
      </c>
      <c r="AL23" s="49"/>
      <c r="AM23" s="49">
        <v>2</v>
      </c>
      <c r="AN23" s="49"/>
      <c r="AO23" s="59">
        <f t="shared" si="5"/>
        <v>2</v>
      </c>
      <c r="AP23" s="49">
        <v>3</v>
      </c>
      <c r="AQ23" s="49"/>
      <c r="AR23" s="49"/>
      <c r="AS23" s="49"/>
      <c r="AT23" s="49"/>
      <c r="AU23" s="59">
        <f t="shared" si="6"/>
        <v>3</v>
      </c>
      <c r="AV23" s="49"/>
      <c r="AW23" s="49"/>
      <c r="AX23" s="49"/>
      <c r="AY23" s="49">
        <v>3</v>
      </c>
      <c r="AZ23" s="49">
        <v>3</v>
      </c>
      <c r="BA23" s="59">
        <f t="shared" si="7"/>
        <v>3</v>
      </c>
    </row>
    <row r="24" spans="1:53" ht="23.1" customHeight="1" x14ac:dyDescent="0.3">
      <c r="A24" s="7">
        <v>22</v>
      </c>
      <c r="B24" s="7" t="s">
        <v>58</v>
      </c>
      <c r="C24" s="7" t="s">
        <v>59</v>
      </c>
      <c r="D24" s="7" t="s">
        <v>450</v>
      </c>
      <c r="E24" s="7" t="s">
        <v>35</v>
      </c>
      <c r="F24" s="7"/>
      <c r="G24" s="7"/>
      <c r="H24" s="49">
        <f>IFERROR(VLOOKUP(B24,[1]Debate!$A$5:$O$262,3,FALSE),"0")</f>
        <v>3</v>
      </c>
      <c r="I24" s="7"/>
      <c r="J24" s="7"/>
      <c r="K24" s="59">
        <f t="shared" si="0"/>
        <v>3</v>
      </c>
      <c r="L24" s="49">
        <v>3</v>
      </c>
      <c r="M24" s="49">
        <v>3</v>
      </c>
      <c r="N24" s="49">
        <v>3</v>
      </c>
      <c r="O24" s="49">
        <v>3</v>
      </c>
      <c r="P24" s="49">
        <v>3</v>
      </c>
      <c r="Q24" s="59">
        <f t="shared" si="1"/>
        <v>3</v>
      </c>
      <c r="R24" s="49"/>
      <c r="S24" s="49"/>
      <c r="T24" s="7"/>
      <c r="U24" s="49"/>
      <c r="V24" s="7"/>
      <c r="W24" s="59" t="str">
        <f t="shared" si="2"/>
        <v>A</v>
      </c>
      <c r="X24" s="49">
        <v>3</v>
      </c>
      <c r="Y24" s="49"/>
      <c r="Z24" s="7"/>
      <c r="AA24" s="7"/>
      <c r="AB24" s="7"/>
      <c r="AC24" s="59">
        <f t="shared" si="3"/>
        <v>3</v>
      </c>
      <c r="AD24" s="49"/>
      <c r="AE24" s="7"/>
      <c r="AF24" s="49"/>
      <c r="AG24" s="7"/>
      <c r="AH24" s="7"/>
      <c r="AI24" s="59" t="str">
        <f t="shared" si="4"/>
        <v>A</v>
      </c>
      <c r="AJ24" s="49">
        <v>3</v>
      </c>
      <c r="AK24" s="49">
        <v>3</v>
      </c>
      <c r="AL24" s="7"/>
      <c r="AM24" s="49">
        <v>3</v>
      </c>
      <c r="AN24" s="7"/>
      <c r="AO24" s="59">
        <f t="shared" si="5"/>
        <v>3</v>
      </c>
      <c r="AP24" s="49">
        <v>3</v>
      </c>
      <c r="AQ24" s="49"/>
      <c r="AR24" s="49"/>
      <c r="AS24" s="7"/>
      <c r="AT24" s="7"/>
      <c r="AU24" s="59">
        <f t="shared" si="6"/>
        <v>3</v>
      </c>
      <c r="AV24" s="7"/>
      <c r="AW24" s="7"/>
      <c r="AX24" s="49"/>
      <c r="AY24" s="49">
        <v>3</v>
      </c>
      <c r="AZ24" s="49">
        <v>4</v>
      </c>
      <c r="BA24" s="59">
        <f t="shared" si="7"/>
        <v>3.5</v>
      </c>
    </row>
    <row r="25" spans="1:53" ht="23.1" customHeight="1" x14ac:dyDescent="0.3">
      <c r="A25" s="49">
        <v>23</v>
      </c>
      <c r="B25" s="49" t="s">
        <v>225</v>
      </c>
      <c r="C25" s="49" t="s">
        <v>226</v>
      </c>
      <c r="D25" s="49" t="s">
        <v>450</v>
      </c>
      <c r="E25" s="49" t="s">
        <v>161</v>
      </c>
      <c r="F25" s="49"/>
      <c r="G25" s="49"/>
      <c r="H25" s="49">
        <f>IFERROR(VLOOKUP(B25,[1]Debate!$A$5:$O$262,3,FALSE),"0")</f>
        <v>2.5</v>
      </c>
      <c r="I25" s="49"/>
      <c r="J25" s="49"/>
      <c r="K25" s="59">
        <f t="shared" si="0"/>
        <v>2.5</v>
      </c>
      <c r="L25" s="49">
        <v>2.5</v>
      </c>
      <c r="M25" s="49">
        <v>3</v>
      </c>
      <c r="N25" s="49">
        <v>3</v>
      </c>
      <c r="O25" s="49">
        <v>2.75</v>
      </c>
      <c r="P25" s="49">
        <v>2.5</v>
      </c>
      <c r="Q25" s="59">
        <f t="shared" si="1"/>
        <v>2.75</v>
      </c>
      <c r="R25" s="49"/>
      <c r="S25" s="49"/>
      <c r="T25" s="49"/>
      <c r="U25" s="49"/>
      <c r="V25" s="49"/>
      <c r="W25" s="59" t="str">
        <f t="shared" si="2"/>
        <v>A</v>
      </c>
      <c r="X25" s="49">
        <v>3</v>
      </c>
      <c r="Y25" s="49"/>
      <c r="Z25" s="49"/>
      <c r="AA25" s="49"/>
      <c r="AB25" s="49"/>
      <c r="AC25" s="59">
        <f t="shared" si="3"/>
        <v>3</v>
      </c>
      <c r="AD25" s="49"/>
      <c r="AE25" s="49"/>
      <c r="AF25" s="49"/>
      <c r="AG25" s="49"/>
      <c r="AH25" s="49"/>
      <c r="AI25" s="59" t="str">
        <f t="shared" si="4"/>
        <v>A</v>
      </c>
      <c r="AJ25" s="49">
        <v>3</v>
      </c>
      <c r="AK25" s="49">
        <v>3</v>
      </c>
      <c r="AL25" s="49"/>
      <c r="AM25" s="49">
        <v>3</v>
      </c>
      <c r="AN25" s="49"/>
      <c r="AO25" s="59">
        <f t="shared" si="5"/>
        <v>3</v>
      </c>
      <c r="AP25" s="49">
        <v>3</v>
      </c>
      <c r="AQ25" s="49"/>
      <c r="AR25" s="49"/>
      <c r="AS25" s="49"/>
      <c r="AT25" s="49"/>
      <c r="AU25" s="59">
        <f t="shared" si="6"/>
        <v>3</v>
      </c>
      <c r="AV25" s="49"/>
      <c r="AW25" s="49"/>
      <c r="AX25" s="49"/>
      <c r="AY25" s="49">
        <v>3</v>
      </c>
      <c r="AZ25" s="49">
        <v>3</v>
      </c>
      <c r="BA25" s="59">
        <f t="shared" si="7"/>
        <v>3</v>
      </c>
    </row>
    <row r="26" spans="1:53" ht="23.1" customHeight="1" x14ac:dyDescent="0.3">
      <c r="A26" s="7">
        <v>24</v>
      </c>
      <c r="B26" s="7" t="s">
        <v>297</v>
      </c>
      <c r="C26" s="7" t="s">
        <v>109</v>
      </c>
      <c r="D26" s="7" t="s">
        <v>450</v>
      </c>
      <c r="E26" s="7" t="s">
        <v>35</v>
      </c>
      <c r="F26" s="7"/>
      <c r="G26" s="7"/>
      <c r="H26" s="49">
        <f>IFERROR(VLOOKUP(B26,[1]Debate!$A$5:$O$262,3,FALSE),"0")</f>
        <v>1</v>
      </c>
      <c r="I26" s="7"/>
      <c r="J26" s="7"/>
      <c r="K26" s="59">
        <f t="shared" si="0"/>
        <v>1</v>
      </c>
      <c r="L26" s="49">
        <v>3</v>
      </c>
      <c r="M26" s="49">
        <v>2</v>
      </c>
      <c r="N26" s="49">
        <v>2</v>
      </c>
      <c r="O26" s="49">
        <v>3</v>
      </c>
      <c r="P26" s="49">
        <v>1</v>
      </c>
      <c r="Q26" s="59">
        <f t="shared" si="1"/>
        <v>2.2000000000000002</v>
      </c>
      <c r="R26" s="49"/>
      <c r="S26" s="49"/>
      <c r="T26" s="7"/>
      <c r="U26" s="49"/>
      <c r="V26" s="7"/>
      <c r="W26" s="59" t="str">
        <f t="shared" si="2"/>
        <v>A</v>
      </c>
      <c r="X26" s="49">
        <v>2</v>
      </c>
      <c r="Y26" s="49"/>
      <c r="Z26" s="7"/>
      <c r="AA26" s="7"/>
      <c r="AB26" s="7"/>
      <c r="AC26" s="59">
        <f t="shared" si="3"/>
        <v>2</v>
      </c>
      <c r="AD26" s="49"/>
      <c r="AE26" s="7"/>
      <c r="AF26" s="49"/>
      <c r="AG26" s="7"/>
      <c r="AH26" s="7"/>
      <c r="AI26" s="59" t="str">
        <f t="shared" si="4"/>
        <v>A</v>
      </c>
      <c r="AJ26" s="49">
        <v>2</v>
      </c>
      <c r="AK26" s="49">
        <v>2</v>
      </c>
      <c r="AL26" s="7"/>
      <c r="AM26" s="49">
        <v>2</v>
      </c>
      <c r="AN26" s="7"/>
      <c r="AO26" s="59">
        <f t="shared" si="5"/>
        <v>2</v>
      </c>
      <c r="AP26" s="49">
        <v>3</v>
      </c>
      <c r="AQ26" s="49"/>
      <c r="AR26" s="49"/>
      <c r="AS26" s="7"/>
      <c r="AT26" s="7"/>
      <c r="AU26" s="59">
        <f t="shared" si="6"/>
        <v>3</v>
      </c>
      <c r="AV26" s="7"/>
      <c r="AW26" s="7"/>
      <c r="AX26" s="49"/>
      <c r="AY26" s="49">
        <v>1</v>
      </c>
      <c r="AZ26" s="49">
        <v>2</v>
      </c>
      <c r="BA26" s="59">
        <f t="shared" si="7"/>
        <v>1.5</v>
      </c>
    </row>
    <row r="27" spans="1:53" ht="23.1" customHeight="1" x14ac:dyDescent="0.3">
      <c r="A27" s="49">
        <v>25</v>
      </c>
      <c r="B27" s="49" t="s">
        <v>241</v>
      </c>
      <c r="C27" s="49" t="s">
        <v>242</v>
      </c>
      <c r="D27" s="49" t="s">
        <v>450</v>
      </c>
      <c r="E27" s="49" t="s">
        <v>161</v>
      </c>
      <c r="F27" s="49"/>
      <c r="G27" s="49"/>
      <c r="H27" s="49">
        <f>IFERROR(VLOOKUP(B27,[1]Debate!$A$5:$O$262,3,FALSE),"0")</f>
        <v>3</v>
      </c>
      <c r="I27" s="49"/>
      <c r="J27" s="49"/>
      <c r="K27" s="59">
        <f t="shared" si="0"/>
        <v>3</v>
      </c>
      <c r="L27" s="49">
        <v>3</v>
      </c>
      <c r="M27" s="49">
        <v>3</v>
      </c>
      <c r="N27" s="49">
        <v>3</v>
      </c>
      <c r="O27" s="49">
        <v>1.5</v>
      </c>
      <c r="P27" s="49">
        <v>3</v>
      </c>
      <c r="Q27" s="59">
        <f t="shared" si="1"/>
        <v>2.7</v>
      </c>
      <c r="R27" s="49"/>
      <c r="S27" s="49"/>
      <c r="T27" s="49"/>
      <c r="U27" s="49"/>
      <c r="V27" s="49"/>
      <c r="W27" s="59" t="str">
        <f t="shared" si="2"/>
        <v>A</v>
      </c>
      <c r="X27" s="49">
        <v>3</v>
      </c>
      <c r="Y27" s="49"/>
      <c r="Z27" s="49"/>
      <c r="AA27" s="49"/>
      <c r="AB27" s="49"/>
      <c r="AC27" s="59">
        <f t="shared" si="3"/>
        <v>3</v>
      </c>
      <c r="AD27" s="49"/>
      <c r="AE27" s="49"/>
      <c r="AF27" s="49"/>
      <c r="AG27" s="49"/>
      <c r="AH27" s="49"/>
      <c r="AI27" s="59" t="str">
        <f t="shared" si="4"/>
        <v>A</v>
      </c>
      <c r="AJ27" s="49">
        <v>4</v>
      </c>
      <c r="AK27" s="49">
        <v>4</v>
      </c>
      <c r="AL27" s="49"/>
      <c r="AM27" s="49">
        <v>4</v>
      </c>
      <c r="AN27" s="49"/>
      <c r="AO27" s="59">
        <f t="shared" si="5"/>
        <v>4</v>
      </c>
      <c r="AP27" s="49">
        <v>3</v>
      </c>
      <c r="AQ27" s="49"/>
      <c r="AR27" s="49"/>
      <c r="AS27" s="49"/>
      <c r="AT27" s="49"/>
      <c r="AU27" s="59">
        <f t="shared" si="6"/>
        <v>3</v>
      </c>
      <c r="AV27" s="49"/>
      <c r="AW27" s="49"/>
      <c r="AX27" s="49"/>
      <c r="AY27" s="49">
        <v>3</v>
      </c>
      <c r="AZ27" s="49">
        <v>3</v>
      </c>
      <c r="BA27" s="59">
        <f t="shared" si="7"/>
        <v>3</v>
      </c>
    </row>
    <row r="28" spans="1:53" ht="23.1" customHeight="1" x14ac:dyDescent="0.3">
      <c r="A28" s="7">
        <v>26</v>
      </c>
      <c r="B28" s="7" t="s">
        <v>298</v>
      </c>
      <c r="C28" s="7" t="s">
        <v>299</v>
      </c>
      <c r="D28" s="7" t="s">
        <v>542</v>
      </c>
      <c r="E28" s="7" t="s">
        <v>493</v>
      </c>
      <c r="F28" s="7"/>
      <c r="G28" s="7"/>
      <c r="H28" s="49">
        <f>IFERROR(VLOOKUP(B28,[1]Debate!$A$5:$O$262,3,FALSE),"0")</f>
        <v>3</v>
      </c>
      <c r="I28" s="7"/>
      <c r="J28" s="7"/>
      <c r="K28" s="59">
        <f t="shared" si="0"/>
        <v>3</v>
      </c>
      <c r="L28" s="49">
        <v>3</v>
      </c>
      <c r="M28" s="49">
        <v>2</v>
      </c>
      <c r="N28" s="49">
        <v>3</v>
      </c>
      <c r="O28" s="49">
        <v>2</v>
      </c>
      <c r="P28" s="49">
        <v>2</v>
      </c>
      <c r="Q28" s="59">
        <f t="shared" si="1"/>
        <v>2.4</v>
      </c>
      <c r="R28" s="49"/>
      <c r="S28" s="49"/>
      <c r="T28" s="7"/>
      <c r="U28" s="49"/>
      <c r="V28" s="7"/>
      <c r="W28" s="59" t="str">
        <f t="shared" si="2"/>
        <v>A</v>
      </c>
      <c r="X28" s="49">
        <v>2</v>
      </c>
      <c r="Y28" s="49"/>
      <c r="Z28" s="7"/>
      <c r="AA28" s="7"/>
      <c r="AB28" s="7"/>
      <c r="AC28" s="59">
        <f t="shared" si="3"/>
        <v>2</v>
      </c>
      <c r="AD28" s="49"/>
      <c r="AE28" s="7"/>
      <c r="AF28" s="49"/>
      <c r="AG28" s="7"/>
      <c r="AH28" s="7"/>
      <c r="AI28" s="59" t="str">
        <f t="shared" si="4"/>
        <v>A</v>
      </c>
      <c r="AJ28" s="49">
        <v>2</v>
      </c>
      <c r="AK28" s="49">
        <v>3</v>
      </c>
      <c r="AL28" s="7"/>
      <c r="AM28" s="49">
        <v>2</v>
      </c>
      <c r="AN28" s="7"/>
      <c r="AO28" s="59">
        <f t="shared" si="5"/>
        <v>2.3333333333333335</v>
      </c>
      <c r="AP28" s="49">
        <v>3</v>
      </c>
      <c r="AQ28" s="49"/>
      <c r="AR28" s="49"/>
      <c r="AS28" s="7"/>
      <c r="AT28" s="7"/>
      <c r="AU28" s="59">
        <f t="shared" si="6"/>
        <v>3</v>
      </c>
      <c r="AV28" s="7"/>
      <c r="AW28" s="7"/>
      <c r="AX28" s="49"/>
      <c r="AY28" s="49">
        <v>3</v>
      </c>
      <c r="AZ28" s="49">
        <v>3</v>
      </c>
      <c r="BA28" s="59">
        <f t="shared" si="7"/>
        <v>3</v>
      </c>
    </row>
    <row r="29" spans="1:53" ht="23.1" customHeight="1" x14ac:dyDescent="0.3">
      <c r="A29" s="49">
        <v>27</v>
      </c>
      <c r="B29" s="49" t="s">
        <v>257</v>
      </c>
      <c r="C29" s="49" t="s">
        <v>258</v>
      </c>
      <c r="D29" s="49" t="s">
        <v>450</v>
      </c>
      <c r="E29" s="49" t="s">
        <v>161</v>
      </c>
      <c r="F29" s="49"/>
      <c r="G29" s="49"/>
      <c r="H29" s="49">
        <f>IFERROR(VLOOKUP(B29,[1]Debate!$A$5:$O$262,3,FALSE),"0")</f>
        <v>4</v>
      </c>
      <c r="I29" s="49"/>
      <c r="J29" s="49"/>
      <c r="K29" s="59">
        <f t="shared" si="0"/>
        <v>4</v>
      </c>
      <c r="L29" s="49">
        <v>4</v>
      </c>
      <c r="M29" s="49">
        <v>4</v>
      </c>
      <c r="N29" s="49">
        <v>4</v>
      </c>
      <c r="O29" s="49">
        <v>4</v>
      </c>
      <c r="P29" s="49">
        <v>4</v>
      </c>
      <c r="Q29" s="59">
        <f t="shared" si="1"/>
        <v>4</v>
      </c>
      <c r="R29" s="49"/>
      <c r="S29" s="49"/>
      <c r="T29" s="49"/>
      <c r="U29" s="49"/>
      <c r="V29" s="49"/>
      <c r="W29" s="59" t="str">
        <f t="shared" si="2"/>
        <v>A</v>
      </c>
      <c r="X29" s="49">
        <v>4</v>
      </c>
      <c r="Y29" s="49"/>
      <c r="Z29" s="49"/>
      <c r="AA29" s="49"/>
      <c r="AB29" s="49"/>
      <c r="AC29" s="59">
        <f t="shared" si="3"/>
        <v>4</v>
      </c>
      <c r="AD29" s="49"/>
      <c r="AE29" s="49"/>
      <c r="AF29" s="49"/>
      <c r="AG29" s="49"/>
      <c r="AH29" s="49"/>
      <c r="AI29" s="59" t="str">
        <f t="shared" si="4"/>
        <v>A</v>
      </c>
      <c r="AJ29" s="49">
        <v>4</v>
      </c>
      <c r="AK29" s="49">
        <v>3.5</v>
      </c>
      <c r="AL29" s="49"/>
      <c r="AM29" s="49">
        <v>4</v>
      </c>
      <c r="AN29" s="49"/>
      <c r="AO29" s="59">
        <f t="shared" si="5"/>
        <v>3.8333333333333335</v>
      </c>
      <c r="AP29" s="49">
        <v>4</v>
      </c>
      <c r="AQ29" s="49"/>
      <c r="AR29" s="49"/>
      <c r="AS29" s="49"/>
      <c r="AT29" s="49"/>
      <c r="AU29" s="59">
        <f t="shared" si="6"/>
        <v>4</v>
      </c>
      <c r="AV29" s="49"/>
      <c r="AW29" s="49"/>
      <c r="AX29" s="49"/>
      <c r="AY29" s="49">
        <v>4</v>
      </c>
      <c r="AZ29" s="49">
        <v>4</v>
      </c>
      <c r="BA29" s="59">
        <f t="shared" si="7"/>
        <v>4</v>
      </c>
    </row>
    <row r="30" spans="1:53" ht="23.1" customHeight="1" x14ac:dyDescent="0.3">
      <c r="A30" s="7">
        <v>28</v>
      </c>
      <c r="B30" s="7" t="s">
        <v>66</v>
      </c>
      <c r="C30" s="7" t="s">
        <v>67</v>
      </c>
      <c r="D30" s="7" t="s">
        <v>450</v>
      </c>
      <c r="E30" s="7" t="s">
        <v>35</v>
      </c>
      <c r="F30" s="7"/>
      <c r="G30" s="7"/>
      <c r="H30" s="49">
        <f>IFERROR(VLOOKUP(B30,[1]Debate!$A$5:$O$262,3,FALSE),"0")</f>
        <v>2</v>
      </c>
      <c r="I30" s="7"/>
      <c r="J30" s="7"/>
      <c r="K30" s="59">
        <f t="shared" si="0"/>
        <v>2</v>
      </c>
      <c r="L30" s="49">
        <v>3</v>
      </c>
      <c r="M30" s="49">
        <v>2</v>
      </c>
      <c r="N30" s="49">
        <v>2</v>
      </c>
      <c r="O30" s="49">
        <v>1.5</v>
      </c>
      <c r="P30" s="49">
        <v>2</v>
      </c>
      <c r="Q30" s="59">
        <f t="shared" si="1"/>
        <v>2.1</v>
      </c>
      <c r="R30" s="49"/>
      <c r="S30" s="49"/>
      <c r="T30" s="7"/>
      <c r="U30" s="49"/>
      <c r="V30" s="7"/>
      <c r="W30" s="59" t="str">
        <f t="shared" si="2"/>
        <v>A</v>
      </c>
      <c r="X30" s="49">
        <v>3</v>
      </c>
      <c r="Y30" s="49"/>
      <c r="Z30" s="7"/>
      <c r="AA30" s="7"/>
      <c r="AB30" s="7"/>
      <c r="AC30" s="59">
        <f t="shared" si="3"/>
        <v>3</v>
      </c>
      <c r="AD30" s="49"/>
      <c r="AE30" s="7"/>
      <c r="AF30" s="49"/>
      <c r="AG30" s="7"/>
      <c r="AH30" s="7"/>
      <c r="AI30" s="59" t="str">
        <f t="shared" si="4"/>
        <v>A</v>
      </c>
      <c r="AJ30" s="49">
        <v>3</v>
      </c>
      <c r="AK30" s="49">
        <v>2</v>
      </c>
      <c r="AL30" s="7"/>
      <c r="AM30" s="49">
        <v>3</v>
      </c>
      <c r="AN30" s="7"/>
      <c r="AO30" s="59">
        <f t="shared" si="5"/>
        <v>2.6666666666666665</v>
      </c>
      <c r="AP30" s="49">
        <v>3</v>
      </c>
      <c r="AQ30" s="49"/>
      <c r="AR30" s="49"/>
      <c r="AS30" s="7"/>
      <c r="AT30" s="7"/>
      <c r="AU30" s="59">
        <f t="shared" si="6"/>
        <v>3</v>
      </c>
      <c r="AV30" s="7"/>
      <c r="AW30" s="7"/>
      <c r="AX30" s="49"/>
      <c r="AY30" s="49">
        <v>2</v>
      </c>
      <c r="AZ30" s="49">
        <v>3</v>
      </c>
      <c r="BA30" s="59">
        <f t="shared" si="7"/>
        <v>2.5</v>
      </c>
    </row>
    <row r="31" spans="1:53" ht="23.1" customHeight="1" x14ac:dyDescent="0.3">
      <c r="A31" s="49">
        <v>29</v>
      </c>
      <c r="B31" s="49" t="s">
        <v>300</v>
      </c>
      <c r="C31" s="49" t="s">
        <v>301</v>
      </c>
      <c r="D31" s="49" t="s">
        <v>450</v>
      </c>
      <c r="E31" s="49" t="s">
        <v>493</v>
      </c>
      <c r="F31" s="49"/>
      <c r="G31" s="49"/>
      <c r="H31" s="49">
        <f>IFERROR(VLOOKUP(B31,[1]Debate!$A$5:$O$262,3,FALSE),"0")</f>
        <v>2</v>
      </c>
      <c r="I31" s="49"/>
      <c r="J31" s="49"/>
      <c r="K31" s="59">
        <f t="shared" si="0"/>
        <v>2</v>
      </c>
      <c r="L31" s="49">
        <v>2</v>
      </c>
      <c r="M31" s="49">
        <v>2</v>
      </c>
      <c r="N31" s="49">
        <v>2</v>
      </c>
      <c r="O31" s="49">
        <v>2</v>
      </c>
      <c r="P31" s="49">
        <v>2</v>
      </c>
      <c r="Q31" s="59">
        <f t="shared" si="1"/>
        <v>2</v>
      </c>
      <c r="R31" s="49"/>
      <c r="S31" s="49"/>
      <c r="T31" s="49"/>
      <c r="U31" s="49"/>
      <c r="V31" s="49"/>
      <c r="W31" s="59" t="str">
        <f t="shared" si="2"/>
        <v>A</v>
      </c>
      <c r="X31" s="49">
        <v>2</v>
      </c>
      <c r="Y31" s="49"/>
      <c r="Z31" s="49"/>
      <c r="AA31" s="49"/>
      <c r="AB31" s="49"/>
      <c r="AC31" s="59">
        <f t="shared" si="3"/>
        <v>2</v>
      </c>
      <c r="AD31" s="49"/>
      <c r="AE31" s="49"/>
      <c r="AF31" s="49"/>
      <c r="AG31" s="49"/>
      <c r="AH31" s="49"/>
      <c r="AI31" s="59" t="str">
        <f t="shared" si="4"/>
        <v>A</v>
      </c>
      <c r="AJ31" s="49">
        <v>2</v>
      </c>
      <c r="AK31" s="49">
        <v>2</v>
      </c>
      <c r="AL31" s="49"/>
      <c r="AM31" s="49">
        <v>1</v>
      </c>
      <c r="AN31" s="49"/>
      <c r="AO31" s="59">
        <f t="shared" si="5"/>
        <v>1.6666666666666667</v>
      </c>
      <c r="AP31" s="49">
        <v>2</v>
      </c>
      <c r="AQ31" s="49"/>
      <c r="AR31" s="49"/>
      <c r="AS31" s="49"/>
      <c r="AT31" s="49"/>
      <c r="AU31" s="59">
        <f t="shared" si="6"/>
        <v>2</v>
      </c>
      <c r="AV31" s="49"/>
      <c r="AW31" s="49"/>
      <c r="AX31" s="49"/>
      <c r="AY31" s="49">
        <v>2</v>
      </c>
      <c r="AZ31" s="49">
        <v>2</v>
      </c>
      <c r="BA31" s="59">
        <f t="shared" si="7"/>
        <v>2</v>
      </c>
    </row>
    <row r="32" spans="1:53" ht="23.1" customHeight="1" x14ac:dyDescent="0.3">
      <c r="A32" s="7">
        <v>30</v>
      </c>
      <c r="B32" s="7" t="s">
        <v>40</v>
      </c>
      <c r="C32" s="7" t="s">
        <v>41</v>
      </c>
      <c r="D32" s="7" t="s">
        <v>450</v>
      </c>
      <c r="E32" s="7" t="s">
        <v>35</v>
      </c>
      <c r="F32" s="7"/>
      <c r="G32" s="7"/>
      <c r="H32" s="49">
        <f>IFERROR(VLOOKUP(B32,[1]Debate!$A$5:$O$262,3,FALSE),"0")</f>
        <v>3</v>
      </c>
      <c r="I32" s="7"/>
      <c r="J32" s="7"/>
      <c r="K32" s="59">
        <f t="shared" si="0"/>
        <v>3</v>
      </c>
      <c r="L32" s="49">
        <v>3</v>
      </c>
      <c r="M32" s="49">
        <v>3</v>
      </c>
      <c r="N32" s="49">
        <v>2</v>
      </c>
      <c r="O32" s="49">
        <v>2</v>
      </c>
      <c r="P32" s="49">
        <v>3</v>
      </c>
      <c r="Q32" s="59">
        <f t="shared" si="1"/>
        <v>2.6</v>
      </c>
      <c r="R32" s="49"/>
      <c r="S32" s="49"/>
      <c r="T32" s="7"/>
      <c r="U32" s="49"/>
      <c r="V32" s="7"/>
      <c r="W32" s="59" t="str">
        <f t="shared" si="2"/>
        <v>A</v>
      </c>
      <c r="X32" s="49">
        <v>3</v>
      </c>
      <c r="Y32" s="49"/>
      <c r="Z32" s="7"/>
      <c r="AA32" s="7"/>
      <c r="AB32" s="7"/>
      <c r="AC32" s="59">
        <f t="shared" si="3"/>
        <v>3</v>
      </c>
      <c r="AD32" s="49"/>
      <c r="AE32" s="7"/>
      <c r="AF32" s="49"/>
      <c r="AG32" s="7"/>
      <c r="AH32" s="7"/>
      <c r="AI32" s="59" t="str">
        <f t="shared" si="4"/>
        <v>A</v>
      </c>
      <c r="AJ32" s="49">
        <v>4</v>
      </c>
      <c r="AK32" s="49">
        <v>3</v>
      </c>
      <c r="AL32" s="7"/>
      <c r="AM32" s="49">
        <v>4</v>
      </c>
      <c r="AN32" s="7"/>
      <c r="AO32" s="59">
        <f t="shared" si="5"/>
        <v>3.6666666666666665</v>
      </c>
      <c r="AP32" s="49">
        <v>3</v>
      </c>
      <c r="AQ32" s="49"/>
      <c r="AR32" s="49"/>
      <c r="AS32" s="7"/>
      <c r="AT32" s="7"/>
      <c r="AU32" s="59">
        <f t="shared" si="6"/>
        <v>3</v>
      </c>
      <c r="AV32" s="7"/>
      <c r="AW32" s="7"/>
      <c r="AX32" s="49"/>
      <c r="AY32" s="49">
        <v>2</v>
      </c>
      <c r="AZ32" s="49">
        <v>3</v>
      </c>
      <c r="BA32" s="59">
        <f t="shared" si="7"/>
        <v>2.5</v>
      </c>
    </row>
    <row r="33" spans="1:53" ht="23.1" customHeight="1" x14ac:dyDescent="0.3">
      <c r="A33" s="49">
        <v>31</v>
      </c>
      <c r="B33" s="49" t="s">
        <v>110</v>
      </c>
      <c r="C33" s="49" t="s">
        <v>111</v>
      </c>
      <c r="D33" s="49" t="s">
        <v>450</v>
      </c>
      <c r="E33" s="49" t="s">
        <v>35</v>
      </c>
      <c r="F33" s="49"/>
      <c r="G33" s="49"/>
      <c r="H33" s="49">
        <f>IFERROR(VLOOKUP(B33,[1]Debate!$A$5:$O$262,3,FALSE),"0")</f>
        <v>3</v>
      </c>
      <c r="I33" s="49"/>
      <c r="J33" s="49"/>
      <c r="K33" s="59">
        <f t="shared" si="0"/>
        <v>3</v>
      </c>
      <c r="L33" s="49">
        <v>3</v>
      </c>
      <c r="M33" s="49">
        <v>3</v>
      </c>
      <c r="N33" s="49">
        <v>3</v>
      </c>
      <c r="O33" s="49">
        <v>3</v>
      </c>
      <c r="P33" s="49">
        <v>4</v>
      </c>
      <c r="Q33" s="59">
        <f t="shared" si="1"/>
        <v>3.2</v>
      </c>
      <c r="R33" s="49"/>
      <c r="S33" s="49"/>
      <c r="T33" s="49"/>
      <c r="U33" s="49"/>
      <c r="V33" s="49"/>
      <c r="W33" s="59" t="str">
        <f t="shared" si="2"/>
        <v>A</v>
      </c>
      <c r="X33" s="49">
        <v>3</v>
      </c>
      <c r="Y33" s="49"/>
      <c r="Z33" s="49"/>
      <c r="AA33" s="49"/>
      <c r="AB33" s="49"/>
      <c r="AC33" s="59">
        <f t="shared" si="3"/>
        <v>3</v>
      </c>
      <c r="AD33" s="49"/>
      <c r="AE33" s="49"/>
      <c r="AF33" s="49"/>
      <c r="AG33" s="49"/>
      <c r="AH33" s="49"/>
      <c r="AI33" s="59" t="str">
        <f t="shared" si="4"/>
        <v>A</v>
      </c>
      <c r="AJ33" s="49">
        <v>3</v>
      </c>
      <c r="AK33" s="49">
        <v>4</v>
      </c>
      <c r="AL33" s="49"/>
      <c r="AM33" s="49">
        <v>3</v>
      </c>
      <c r="AN33" s="49"/>
      <c r="AO33" s="59">
        <f t="shared" si="5"/>
        <v>3.3333333333333335</v>
      </c>
      <c r="AP33" s="49">
        <v>3</v>
      </c>
      <c r="AQ33" s="49"/>
      <c r="AR33" s="49"/>
      <c r="AS33" s="49"/>
      <c r="AT33" s="49"/>
      <c r="AU33" s="59">
        <f t="shared" si="6"/>
        <v>3</v>
      </c>
      <c r="AV33" s="49"/>
      <c r="AW33" s="49"/>
      <c r="AX33" s="49"/>
      <c r="AY33" s="49">
        <v>3</v>
      </c>
      <c r="AZ33" s="49">
        <v>3</v>
      </c>
      <c r="BA33" s="59">
        <f t="shared" si="7"/>
        <v>3</v>
      </c>
    </row>
    <row r="34" spans="1:53" ht="23.1" customHeight="1" x14ac:dyDescent="0.3">
      <c r="A34" s="7">
        <v>32</v>
      </c>
      <c r="B34" s="7" t="s">
        <v>243</v>
      </c>
      <c r="C34" s="7" t="s">
        <v>244</v>
      </c>
      <c r="D34" s="7" t="s">
        <v>542</v>
      </c>
      <c r="E34" s="7" t="s">
        <v>161</v>
      </c>
      <c r="F34" s="7"/>
      <c r="G34" s="7"/>
      <c r="H34" s="49">
        <f>IFERROR(VLOOKUP(B34,[1]Debate!$A$5:$O$262,3,FALSE),"0")</f>
        <v>3</v>
      </c>
      <c r="I34" s="7"/>
      <c r="J34" s="7"/>
      <c r="K34" s="59">
        <f t="shared" si="0"/>
        <v>3</v>
      </c>
      <c r="L34" s="49">
        <v>3</v>
      </c>
      <c r="M34" s="49">
        <v>3</v>
      </c>
      <c r="N34" s="49">
        <v>3</v>
      </c>
      <c r="O34" s="49">
        <v>3</v>
      </c>
      <c r="P34" s="49">
        <v>3</v>
      </c>
      <c r="Q34" s="59">
        <f t="shared" si="1"/>
        <v>3</v>
      </c>
      <c r="R34" s="49"/>
      <c r="S34" s="49"/>
      <c r="T34" s="7"/>
      <c r="U34" s="49"/>
      <c r="V34" s="7"/>
      <c r="W34" s="59" t="str">
        <f t="shared" si="2"/>
        <v>A</v>
      </c>
      <c r="X34" s="49">
        <v>3</v>
      </c>
      <c r="Y34" s="49"/>
      <c r="Z34" s="7"/>
      <c r="AA34" s="7"/>
      <c r="AB34" s="7"/>
      <c r="AC34" s="59">
        <f t="shared" si="3"/>
        <v>3</v>
      </c>
      <c r="AD34" s="49"/>
      <c r="AE34" s="7"/>
      <c r="AF34" s="49"/>
      <c r="AG34" s="7"/>
      <c r="AH34" s="7"/>
      <c r="AI34" s="59" t="str">
        <f t="shared" si="4"/>
        <v>A</v>
      </c>
      <c r="AJ34" s="49">
        <v>2</v>
      </c>
      <c r="AK34" s="49">
        <v>3</v>
      </c>
      <c r="AL34" s="7"/>
      <c r="AM34" s="49">
        <v>4</v>
      </c>
      <c r="AN34" s="7"/>
      <c r="AO34" s="59">
        <f t="shared" si="5"/>
        <v>3</v>
      </c>
      <c r="AP34" s="49">
        <v>3</v>
      </c>
      <c r="AQ34" s="49"/>
      <c r="AR34" s="49"/>
      <c r="AS34" s="7"/>
      <c r="AT34" s="7"/>
      <c r="AU34" s="59">
        <f t="shared" si="6"/>
        <v>3</v>
      </c>
      <c r="AV34" s="7"/>
      <c r="AW34" s="7"/>
      <c r="AX34" s="49"/>
      <c r="AY34" s="49">
        <v>3</v>
      </c>
      <c r="AZ34" s="49">
        <v>3</v>
      </c>
      <c r="BA34" s="59">
        <f t="shared" si="7"/>
        <v>3</v>
      </c>
    </row>
    <row r="35" spans="1:53" ht="23.1" customHeight="1" x14ac:dyDescent="0.3">
      <c r="A35" s="49">
        <v>33</v>
      </c>
      <c r="B35" s="49" t="s">
        <v>211</v>
      </c>
      <c r="C35" s="49" t="s">
        <v>212</v>
      </c>
      <c r="D35" s="49" t="s">
        <v>542</v>
      </c>
      <c r="E35" s="49" t="s">
        <v>161</v>
      </c>
      <c r="F35" s="49"/>
      <c r="G35" s="49"/>
      <c r="H35" s="49">
        <f>IFERROR(VLOOKUP(B35,[1]Debate!$A$5:$O$262,3,FALSE),"0")</f>
        <v>3</v>
      </c>
      <c r="I35" s="49"/>
      <c r="J35" s="49"/>
      <c r="K35" s="59">
        <f t="shared" si="0"/>
        <v>3</v>
      </c>
      <c r="L35" s="49">
        <v>3</v>
      </c>
      <c r="M35" s="49">
        <v>3</v>
      </c>
      <c r="N35" s="49">
        <v>2.5</v>
      </c>
      <c r="O35" s="49">
        <v>3</v>
      </c>
      <c r="P35" s="49">
        <v>3</v>
      </c>
      <c r="Q35" s="59">
        <f t="shared" si="1"/>
        <v>2.9</v>
      </c>
      <c r="R35" s="49"/>
      <c r="S35" s="49"/>
      <c r="T35" s="49"/>
      <c r="U35" s="49"/>
      <c r="V35" s="49"/>
      <c r="W35" s="59" t="str">
        <f t="shared" si="2"/>
        <v>A</v>
      </c>
      <c r="X35" s="49">
        <v>3</v>
      </c>
      <c r="Y35" s="49"/>
      <c r="Z35" s="49"/>
      <c r="AA35" s="49"/>
      <c r="AB35" s="49"/>
      <c r="AC35" s="59">
        <f t="shared" si="3"/>
        <v>3</v>
      </c>
      <c r="AD35" s="49"/>
      <c r="AE35" s="49"/>
      <c r="AF35" s="49"/>
      <c r="AG35" s="49"/>
      <c r="AH35" s="49"/>
      <c r="AI35" s="59" t="str">
        <f t="shared" si="4"/>
        <v>A</v>
      </c>
      <c r="AJ35" s="49">
        <v>3</v>
      </c>
      <c r="AK35" s="49">
        <v>3</v>
      </c>
      <c r="AL35" s="49"/>
      <c r="AM35" s="49">
        <v>2.5</v>
      </c>
      <c r="AN35" s="49"/>
      <c r="AO35" s="59">
        <f t="shared" si="5"/>
        <v>2.8333333333333335</v>
      </c>
      <c r="AP35" s="49">
        <v>3</v>
      </c>
      <c r="AQ35" s="49"/>
      <c r="AR35" s="49"/>
      <c r="AS35" s="49"/>
      <c r="AT35" s="49"/>
      <c r="AU35" s="59">
        <f t="shared" si="6"/>
        <v>3</v>
      </c>
      <c r="AV35" s="49"/>
      <c r="AW35" s="49"/>
      <c r="AX35" s="49"/>
      <c r="AY35" s="49">
        <v>3</v>
      </c>
      <c r="AZ35" s="49">
        <v>3</v>
      </c>
      <c r="BA35" s="59">
        <f t="shared" si="7"/>
        <v>3</v>
      </c>
    </row>
    <row r="36" spans="1:53" ht="23.1" customHeight="1" x14ac:dyDescent="0.3">
      <c r="A36" s="7">
        <v>34</v>
      </c>
      <c r="B36" s="7" t="s">
        <v>95</v>
      </c>
      <c r="C36" s="7" t="s">
        <v>96</v>
      </c>
      <c r="D36" s="7" t="s">
        <v>542</v>
      </c>
      <c r="E36" s="7" t="s">
        <v>35</v>
      </c>
      <c r="F36" s="7"/>
      <c r="G36" s="7"/>
      <c r="H36" s="49">
        <f>IFERROR(VLOOKUP(B36,[1]Debate!$A$5:$O$262,3,FALSE),"0")</f>
        <v>3</v>
      </c>
      <c r="I36" s="7"/>
      <c r="J36" s="7"/>
      <c r="K36" s="59">
        <f t="shared" si="0"/>
        <v>3</v>
      </c>
      <c r="L36" s="49">
        <v>5</v>
      </c>
      <c r="M36" s="49">
        <v>4</v>
      </c>
      <c r="N36" s="49">
        <v>3</v>
      </c>
      <c r="O36" s="49">
        <v>2.5</v>
      </c>
      <c r="P36" s="49">
        <v>3</v>
      </c>
      <c r="Q36" s="59">
        <f t="shared" si="1"/>
        <v>3.5</v>
      </c>
      <c r="R36" s="49"/>
      <c r="S36" s="49"/>
      <c r="T36" s="7"/>
      <c r="U36" s="49"/>
      <c r="V36" s="7"/>
      <c r="W36" s="59" t="str">
        <f t="shared" si="2"/>
        <v>A</v>
      </c>
      <c r="X36" s="49">
        <v>3</v>
      </c>
      <c r="Y36" s="49"/>
      <c r="Z36" s="7"/>
      <c r="AA36" s="7"/>
      <c r="AB36" s="7"/>
      <c r="AC36" s="59">
        <f t="shared" si="3"/>
        <v>3</v>
      </c>
      <c r="AD36" s="49"/>
      <c r="AE36" s="7"/>
      <c r="AF36" s="49"/>
      <c r="AG36" s="7"/>
      <c r="AH36" s="7"/>
      <c r="AI36" s="59" t="str">
        <f t="shared" si="4"/>
        <v>A</v>
      </c>
      <c r="AJ36" s="49">
        <v>4</v>
      </c>
      <c r="AK36" s="49">
        <v>4</v>
      </c>
      <c r="AL36" s="7"/>
      <c r="AM36" s="49">
        <v>3</v>
      </c>
      <c r="AN36" s="7"/>
      <c r="AO36" s="59">
        <f t="shared" si="5"/>
        <v>3.6666666666666665</v>
      </c>
      <c r="AP36" s="49">
        <v>3</v>
      </c>
      <c r="AQ36" s="49"/>
      <c r="AR36" s="49"/>
      <c r="AS36" s="7"/>
      <c r="AT36" s="7"/>
      <c r="AU36" s="59">
        <f t="shared" si="6"/>
        <v>3</v>
      </c>
      <c r="AV36" s="7"/>
      <c r="AW36" s="7"/>
      <c r="AX36" s="49"/>
      <c r="AY36" s="49">
        <v>3</v>
      </c>
      <c r="AZ36" s="49">
        <v>3</v>
      </c>
      <c r="BA36" s="59">
        <f t="shared" si="7"/>
        <v>3</v>
      </c>
    </row>
    <row r="37" spans="1:53" ht="23.1" customHeight="1" x14ac:dyDescent="0.3">
      <c r="A37" s="49">
        <v>35</v>
      </c>
      <c r="B37" s="49" t="s">
        <v>273</v>
      </c>
      <c r="C37" s="49" t="s">
        <v>274</v>
      </c>
      <c r="D37" s="49" t="s">
        <v>450</v>
      </c>
      <c r="E37" s="49" t="s">
        <v>161</v>
      </c>
      <c r="F37" s="49"/>
      <c r="G37" s="49"/>
      <c r="H37" s="49">
        <f>IFERROR(VLOOKUP(B37,[1]Debate!$A$5:$O$262,3,FALSE),"0")</f>
        <v>2</v>
      </c>
      <c r="I37" s="49"/>
      <c r="J37" s="49"/>
      <c r="K37" s="59">
        <f t="shared" si="0"/>
        <v>2</v>
      </c>
      <c r="L37" s="49">
        <v>3</v>
      </c>
      <c r="M37" s="49">
        <v>2</v>
      </c>
      <c r="N37" s="49">
        <v>4</v>
      </c>
      <c r="O37" s="49">
        <v>3.5</v>
      </c>
      <c r="P37" s="49">
        <v>2</v>
      </c>
      <c r="Q37" s="59">
        <f t="shared" si="1"/>
        <v>2.9</v>
      </c>
      <c r="R37" s="49"/>
      <c r="S37" s="49"/>
      <c r="T37" s="49"/>
      <c r="U37" s="49"/>
      <c r="V37" s="49"/>
      <c r="W37" s="59" t="str">
        <f t="shared" si="2"/>
        <v>A</v>
      </c>
      <c r="X37" s="49">
        <v>2</v>
      </c>
      <c r="Y37" s="49"/>
      <c r="Z37" s="49"/>
      <c r="AA37" s="49"/>
      <c r="AB37" s="49"/>
      <c r="AC37" s="59">
        <f t="shared" si="3"/>
        <v>2</v>
      </c>
      <c r="AD37" s="49"/>
      <c r="AE37" s="49"/>
      <c r="AF37" s="49"/>
      <c r="AG37" s="49"/>
      <c r="AH37" s="49"/>
      <c r="AI37" s="59" t="str">
        <f t="shared" si="4"/>
        <v>A</v>
      </c>
      <c r="AJ37" s="49">
        <v>3</v>
      </c>
      <c r="AK37" s="49">
        <v>4</v>
      </c>
      <c r="AL37" s="49"/>
      <c r="AM37" s="49">
        <v>3</v>
      </c>
      <c r="AN37" s="49"/>
      <c r="AO37" s="59">
        <f t="shared" si="5"/>
        <v>3.3333333333333335</v>
      </c>
      <c r="AP37" s="49">
        <v>3</v>
      </c>
      <c r="AQ37" s="49"/>
      <c r="AR37" s="49"/>
      <c r="AS37" s="49"/>
      <c r="AT37" s="49"/>
      <c r="AU37" s="59">
        <f t="shared" si="6"/>
        <v>3</v>
      </c>
      <c r="AV37" s="49"/>
      <c r="AW37" s="49"/>
      <c r="AX37" s="49"/>
      <c r="AY37" s="49">
        <v>3</v>
      </c>
      <c r="AZ37" s="49">
        <v>3</v>
      </c>
      <c r="BA37" s="59">
        <f t="shared" si="7"/>
        <v>3</v>
      </c>
    </row>
    <row r="38" spans="1:53" ht="23.1" customHeight="1" x14ac:dyDescent="0.3">
      <c r="A38" s="7">
        <v>36</v>
      </c>
      <c r="B38" s="7" t="s">
        <v>112</v>
      </c>
      <c r="C38" s="7" t="s">
        <v>113</v>
      </c>
      <c r="D38" s="7" t="s">
        <v>450</v>
      </c>
      <c r="E38" s="7" t="s">
        <v>35</v>
      </c>
      <c r="F38" s="7"/>
      <c r="G38" s="7"/>
      <c r="H38" s="49">
        <f>IFERROR(VLOOKUP(B38,[1]Debate!$A$5:$O$262,3,FALSE),"0")</f>
        <v>3</v>
      </c>
      <c r="I38" s="7"/>
      <c r="J38" s="7"/>
      <c r="K38" s="59">
        <f t="shared" si="0"/>
        <v>3</v>
      </c>
      <c r="L38" s="49">
        <v>3</v>
      </c>
      <c r="M38" s="49">
        <v>3</v>
      </c>
      <c r="N38" s="49">
        <v>3</v>
      </c>
      <c r="O38" s="49">
        <v>3</v>
      </c>
      <c r="P38" s="49">
        <v>3</v>
      </c>
      <c r="Q38" s="59">
        <f t="shared" si="1"/>
        <v>3</v>
      </c>
      <c r="R38" s="49"/>
      <c r="S38" s="49"/>
      <c r="T38" s="7"/>
      <c r="U38" s="49"/>
      <c r="V38" s="7"/>
      <c r="W38" s="59" t="str">
        <f t="shared" si="2"/>
        <v>A</v>
      </c>
      <c r="X38" s="49">
        <v>3</v>
      </c>
      <c r="Y38" s="49"/>
      <c r="Z38" s="7"/>
      <c r="AA38" s="7"/>
      <c r="AB38" s="7"/>
      <c r="AC38" s="59">
        <f t="shared" si="3"/>
        <v>3</v>
      </c>
      <c r="AD38" s="49"/>
      <c r="AE38" s="7"/>
      <c r="AF38" s="49"/>
      <c r="AG38" s="7"/>
      <c r="AH38" s="7"/>
      <c r="AI38" s="59" t="str">
        <f t="shared" si="4"/>
        <v>A</v>
      </c>
      <c r="AJ38" s="49">
        <v>3</v>
      </c>
      <c r="AK38" s="49">
        <v>3</v>
      </c>
      <c r="AL38" s="7"/>
      <c r="AM38" s="49">
        <v>3</v>
      </c>
      <c r="AN38" s="7"/>
      <c r="AO38" s="59">
        <f t="shared" si="5"/>
        <v>3</v>
      </c>
      <c r="AP38" s="49">
        <v>3</v>
      </c>
      <c r="AQ38" s="49"/>
      <c r="AR38" s="49"/>
      <c r="AS38" s="7"/>
      <c r="AT38" s="7"/>
      <c r="AU38" s="59">
        <f t="shared" si="6"/>
        <v>3</v>
      </c>
      <c r="AV38" s="7"/>
      <c r="AW38" s="7"/>
      <c r="AX38" s="49"/>
      <c r="AY38" s="49">
        <v>4</v>
      </c>
      <c r="AZ38" s="49">
        <v>3</v>
      </c>
      <c r="BA38" s="59">
        <f t="shared" si="7"/>
        <v>3.5</v>
      </c>
    </row>
    <row r="39" spans="1:53" ht="23.1" customHeight="1" x14ac:dyDescent="0.3">
      <c r="A39" s="49">
        <v>37</v>
      </c>
      <c r="B39" s="49" t="s">
        <v>302</v>
      </c>
      <c r="C39" s="49" t="s">
        <v>303</v>
      </c>
      <c r="D39" s="49" t="s">
        <v>450</v>
      </c>
      <c r="E39" s="49" t="s">
        <v>493</v>
      </c>
      <c r="F39" s="49"/>
      <c r="G39" s="49"/>
      <c r="H39" s="49">
        <f>IFERROR(VLOOKUP(B39,[1]Debate!$A$5:$O$262,3,FALSE),"0")</f>
        <v>3</v>
      </c>
      <c r="I39" s="49"/>
      <c r="J39" s="49"/>
      <c r="K39" s="59">
        <f t="shared" si="0"/>
        <v>3</v>
      </c>
      <c r="L39" s="49">
        <v>3</v>
      </c>
      <c r="M39" s="49">
        <v>4</v>
      </c>
      <c r="N39" s="49">
        <v>3</v>
      </c>
      <c r="O39" s="49">
        <v>2.5</v>
      </c>
      <c r="P39" s="49">
        <v>2</v>
      </c>
      <c r="Q39" s="59">
        <f t="shared" si="1"/>
        <v>2.9</v>
      </c>
      <c r="R39" s="49"/>
      <c r="S39" s="49"/>
      <c r="T39" s="49"/>
      <c r="U39" s="49"/>
      <c r="V39" s="49"/>
      <c r="W39" s="59" t="str">
        <f t="shared" si="2"/>
        <v>A</v>
      </c>
      <c r="X39" s="49">
        <v>4</v>
      </c>
      <c r="Y39" s="49"/>
      <c r="Z39" s="49"/>
      <c r="AA39" s="49"/>
      <c r="AB39" s="49"/>
      <c r="AC39" s="59">
        <f t="shared" si="3"/>
        <v>4</v>
      </c>
      <c r="AD39" s="49"/>
      <c r="AE39" s="49"/>
      <c r="AF39" s="49"/>
      <c r="AG39" s="49"/>
      <c r="AH39" s="49"/>
      <c r="AI39" s="59" t="str">
        <f t="shared" si="4"/>
        <v>A</v>
      </c>
      <c r="AJ39" s="49">
        <v>4</v>
      </c>
      <c r="AK39" s="49">
        <v>2</v>
      </c>
      <c r="AL39" s="49"/>
      <c r="AM39" s="49">
        <v>3</v>
      </c>
      <c r="AN39" s="49"/>
      <c r="AO39" s="59">
        <f t="shared" si="5"/>
        <v>3</v>
      </c>
      <c r="AP39" s="49">
        <v>3</v>
      </c>
      <c r="AQ39" s="49"/>
      <c r="AR39" s="49"/>
      <c r="AS39" s="49"/>
      <c r="AT39" s="49"/>
      <c r="AU39" s="59">
        <f t="shared" si="6"/>
        <v>3</v>
      </c>
      <c r="AV39" s="49"/>
      <c r="AW39" s="49"/>
      <c r="AX39" s="49"/>
      <c r="AY39" s="49">
        <v>3</v>
      </c>
      <c r="AZ39" s="49">
        <v>4</v>
      </c>
      <c r="BA39" s="59">
        <f t="shared" si="7"/>
        <v>3.5</v>
      </c>
    </row>
    <row r="40" spans="1:53" ht="23.1" customHeight="1" x14ac:dyDescent="0.3">
      <c r="A40" s="7">
        <v>38</v>
      </c>
      <c r="B40" s="7" t="s">
        <v>227</v>
      </c>
      <c r="C40" s="7" t="s">
        <v>228</v>
      </c>
      <c r="D40" s="7" t="s">
        <v>542</v>
      </c>
      <c r="E40" s="7" t="s">
        <v>161</v>
      </c>
      <c r="F40" s="7"/>
      <c r="G40" s="7"/>
      <c r="H40" s="49">
        <f>IFERROR(VLOOKUP(B40,[1]Debate!$A$5:$O$262,3,FALSE),"0")</f>
        <v>3.5</v>
      </c>
      <c r="I40" s="7"/>
      <c r="J40" s="7"/>
      <c r="K40" s="59">
        <f t="shared" si="0"/>
        <v>3.5</v>
      </c>
      <c r="L40" s="49">
        <v>2.5</v>
      </c>
      <c r="M40" s="49">
        <v>3.5</v>
      </c>
      <c r="N40" s="49">
        <v>3</v>
      </c>
      <c r="O40" s="49">
        <v>3</v>
      </c>
      <c r="P40" s="49">
        <v>2.5</v>
      </c>
      <c r="Q40" s="59">
        <f t="shared" si="1"/>
        <v>2.9</v>
      </c>
      <c r="R40" s="49"/>
      <c r="S40" s="49"/>
      <c r="T40" s="7"/>
      <c r="U40" s="49"/>
      <c r="V40" s="7"/>
      <c r="W40" s="59" t="str">
        <f t="shared" si="2"/>
        <v>A</v>
      </c>
      <c r="X40" s="49">
        <v>2.5</v>
      </c>
      <c r="Y40" s="49"/>
      <c r="Z40" s="7"/>
      <c r="AA40" s="7"/>
      <c r="AB40" s="7"/>
      <c r="AC40" s="59">
        <f t="shared" si="3"/>
        <v>2.5</v>
      </c>
      <c r="AD40" s="49"/>
      <c r="AE40" s="7"/>
      <c r="AF40" s="49"/>
      <c r="AG40" s="7"/>
      <c r="AH40" s="7"/>
      <c r="AI40" s="59" t="str">
        <f t="shared" si="4"/>
        <v>A</v>
      </c>
      <c r="AJ40" s="49">
        <v>3</v>
      </c>
      <c r="AK40" s="49">
        <v>3.5</v>
      </c>
      <c r="AL40" s="7"/>
      <c r="AM40" s="49">
        <v>2.5</v>
      </c>
      <c r="AN40" s="7"/>
      <c r="AO40" s="59">
        <f t="shared" si="5"/>
        <v>3</v>
      </c>
      <c r="AP40" s="49">
        <v>3</v>
      </c>
      <c r="AQ40" s="49"/>
      <c r="AR40" s="49"/>
      <c r="AS40" s="7"/>
      <c r="AT40" s="7"/>
      <c r="AU40" s="59">
        <f t="shared" si="6"/>
        <v>3</v>
      </c>
      <c r="AV40" s="7"/>
      <c r="AW40" s="7"/>
      <c r="AX40" s="49"/>
      <c r="AY40" s="49">
        <v>3.5</v>
      </c>
      <c r="AZ40" s="49">
        <v>3.5</v>
      </c>
      <c r="BA40" s="59">
        <f t="shared" si="7"/>
        <v>3.5</v>
      </c>
    </row>
    <row r="41" spans="1:53" ht="23.1" customHeight="1" x14ac:dyDescent="0.3">
      <c r="A41" s="49">
        <v>39</v>
      </c>
      <c r="B41" s="49" t="s">
        <v>304</v>
      </c>
      <c r="C41" s="49" t="s">
        <v>305</v>
      </c>
      <c r="D41" s="49" t="s">
        <v>542</v>
      </c>
      <c r="E41" s="49" t="s">
        <v>493</v>
      </c>
      <c r="F41" s="49"/>
      <c r="G41" s="49"/>
      <c r="H41" s="49">
        <f>IFERROR(VLOOKUP(B41,[1]Debate!$A$5:$O$262,3,FALSE),"0")</f>
        <v>4</v>
      </c>
      <c r="I41" s="49"/>
      <c r="J41" s="49"/>
      <c r="K41" s="59">
        <f t="shared" si="0"/>
        <v>4</v>
      </c>
      <c r="L41" s="49">
        <v>3</v>
      </c>
      <c r="M41" s="49">
        <v>4</v>
      </c>
      <c r="N41" s="49">
        <v>3.5</v>
      </c>
      <c r="O41" s="49">
        <v>3.5</v>
      </c>
      <c r="P41" s="49">
        <v>3</v>
      </c>
      <c r="Q41" s="59">
        <f t="shared" si="1"/>
        <v>3.4</v>
      </c>
      <c r="R41" s="49"/>
      <c r="S41" s="49"/>
      <c r="T41" s="49"/>
      <c r="U41" s="49"/>
      <c r="V41" s="49"/>
      <c r="W41" s="59" t="str">
        <f t="shared" si="2"/>
        <v>A</v>
      </c>
      <c r="X41" s="49">
        <v>3</v>
      </c>
      <c r="Y41" s="49"/>
      <c r="Z41" s="49"/>
      <c r="AA41" s="49"/>
      <c r="AB41" s="49"/>
      <c r="AC41" s="59">
        <f t="shared" si="3"/>
        <v>3</v>
      </c>
      <c r="AD41" s="49"/>
      <c r="AE41" s="49"/>
      <c r="AF41" s="49"/>
      <c r="AG41" s="49"/>
      <c r="AH41" s="49"/>
      <c r="AI41" s="59" t="str">
        <f t="shared" si="4"/>
        <v>A</v>
      </c>
      <c r="AJ41" s="49">
        <v>3.5</v>
      </c>
      <c r="AK41" s="49">
        <v>4</v>
      </c>
      <c r="AL41" s="49"/>
      <c r="AM41" s="49">
        <v>3</v>
      </c>
      <c r="AN41" s="49"/>
      <c r="AO41" s="59">
        <f t="shared" si="5"/>
        <v>3.5</v>
      </c>
      <c r="AP41" s="49">
        <v>3.5</v>
      </c>
      <c r="AQ41" s="49"/>
      <c r="AR41" s="49"/>
      <c r="AS41" s="49"/>
      <c r="AT41" s="49"/>
      <c r="AU41" s="59">
        <f t="shared" si="6"/>
        <v>3.5</v>
      </c>
      <c r="AV41" s="49"/>
      <c r="AW41" s="49"/>
      <c r="AX41" s="49"/>
      <c r="AY41" s="49">
        <v>4</v>
      </c>
      <c r="AZ41" s="49">
        <v>4</v>
      </c>
      <c r="BA41" s="59">
        <f t="shared" si="7"/>
        <v>4</v>
      </c>
    </row>
    <row r="42" spans="1:53" ht="23.1" customHeight="1" x14ac:dyDescent="0.3">
      <c r="A42" s="7">
        <v>40</v>
      </c>
      <c r="B42" s="7" t="s">
        <v>89</v>
      </c>
      <c r="C42" s="7" t="s">
        <v>90</v>
      </c>
      <c r="D42" s="7" t="s">
        <v>450</v>
      </c>
      <c r="E42" s="7" t="s">
        <v>35</v>
      </c>
      <c r="F42" s="7"/>
      <c r="G42" s="7"/>
      <c r="H42" s="49">
        <f>IFERROR(VLOOKUP(B42,[1]Debate!$A$5:$O$262,3,FALSE),"0")</f>
        <v>4</v>
      </c>
      <c r="I42" s="7"/>
      <c r="J42" s="7"/>
      <c r="K42" s="59">
        <f t="shared" si="0"/>
        <v>4</v>
      </c>
      <c r="L42" s="49">
        <v>4</v>
      </c>
      <c r="M42" s="49">
        <v>3</v>
      </c>
      <c r="N42" s="49">
        <v>4</v>
      </c>
      <c r="O42" s="49">
        <v>4</v>
      </c>
      <c r="P42" s="49">
        <v>4</v>
      </c>
      <c r="Q42" s="59">
        <f t="shared" si="1"/>
        <v>3.8</v>
      </c>
      <c r="R42" s="49"/>
      <c r="S42" s="49"/>
      <c r="T42" s="7"/>
      <c r="U42" s="49"/>
      <c r="V42" s="7"/>
      <c r="W42" s="59" t="str">
        <f t="shared" si="2"/>
        <v>A</v>
      </c>
      <c r="X42" s="49">
        <v>4</v>
      </c>
      <c r="Y42" s="49"/>
      <c r="Z42" s="7"/>
      <c r="AA42" s="7"/>
      <c r="AB42" s="7"/>
      <c r="AC42" s="59">
        <f t="shared" si="3"/>
        <v>4</v>
      </c>
      <c r="AD42" s="49"/>
      <c r="AE42" s="7"/>
      <c r="AF42" s="49"/>
      <c r="AG42" s="7"/>
      <c r="AH42" s="7"/>
      <c r="AI42" s="59" t="str">
        <f t="shared" si="4"/>
        <v>A</v>
      </c>
      <c r="AJ42" s="49">
        <v>3</v>
      </c>
      <c r="AK42" s="49">
        <v>4</v>
      </c>
      <c r="AL42" s="7"/>
      <c r="AM42" s="49">
        <v>3</v>
      </c>
      <c r="AN42" s="7"/>
      <c r="AO42" s="59">
        <f t="shared" si="5"/>
        <v>3.3333333333333335</v>
      </c>
      <c r="AP42" s="49">
        <v>4</v>
      </c>
      <c r="AQ42" s="49"/>
      <c r="AR42" s="49"/>
      <c r="AS42" s="7"/>
      <c r="AT42" s="7"/>
      <c r="AU42" s="59">
        <f t="shared" si="6"/>
        <v>4</v>
      </c>
      <c r="AV42" s="7"/>
      <c r="AW42" s="7"/>
      <c r="AX42" s="49"/>
      <c r="AY42" s="49">
        <v>4</v>
      </c>
      <c r="AZ42" s="49">
        <v>4</v>
      </c>
      <c r="BA42" s="59">
        <f t="shared" si="7"/>
        <v>4</v>
      </c>
    </row>
    <row r="43" spans="1:53" ht="23.1" customHeight="1" x14ac:dyDescent="0.3">
      <c r="A43" s="49">
        <v>41</v>
      </c>
      <c r="B43" s="49" t="s">
        <v>306</v>
      </c>
      <c r="C43" s="49" t="s">
        <v>307</v>
      </c>
      <c r="D43" s="49" t="s">
        <v>542</v>
      </c>
      <c r="E43" s="49" t="s">
        <v>493</v>
      </c>
      <c r="F43" s="49"/>
      <c r="G43" s="49"/>
      <c r="H43" s="49">
        <f>IFERROR(VLOOKUP(B43,[1]Debate!$A$5:$O$262,3,FALSE),"0")</f>
        <v>3</v>
      </c>
      <c r="I43" s="49"/>
      <c r="J43" s="49"/>
      <c r="K43" s="59">
        <f t="shared" si="0"/>
        <v>3</v>
      </c>
      <c r="L43" s="49">
        <v>3</v>
      </c>
      <c r="M43" s="49">
        <v>3</v>
      </c>
      <c r="N43" s="49">
        <v>3.5</v>
      </c>
      <c r="O43" s="49">
        <v>3</v>
      </c>
      <c r="P43" s="49">
        <v>3</v>
      </c>
      <c r="Q43" s="59">
        <f t="shared" si="1"/>
        <v>3.1</v>
      </c>
      <c r="R43" s="49"/>
      <c r="S43" s="49"/>
      <c r="T43" s="49"/>
      <c r="U43" s="49"/>
      <c r="V43" s="49"/>
      <c r="W43" s="59" t="str">
        <f t="shared" si="2"/>
        <v>A</v>
      </c>
      <c r="X43" s="49">
        <v>3</v>
      </c>
      <c r="Y43" s="49"/>
      <c r="Z43" s="49"/>
      <c r="AA43" s="49"/>
      <c r="AB43" s="49"/>
      <c r="AC43" s="59">
        <f t="shared" si="3"/>
        <v>3</v>
      </c>
      <c r="AD43" s="49"/>
      <c r="AE43" s="49"/>
      <c r="AF43" s="49"/>
      <c r="AG43" s="49"/>
      <c r="AH43" s="49"/>
      <c r="AI43" s="59" t="str">
        <f t="shared" si="4"/>
        <v>A</v>
      </c>
      <c r="AJ43" s="49">
        <v>3</v>
      </c>
      <c r="AK43" s="49">
        <v>3</v>
      </c>
      <c r="AL43" s="49"/>
      <c r="AM43" s="49">
        <v>3</v>
      </c>
      <c r="AN43" s="49"/>
      <c r="AO43" s="59">
        <f t="shared" si="5"/>
        <v>3</v>
      </c>
      <c r="AP43" s="49">
        <v>3</v>
      </c>
      <c r="AQ43" s="49"/>
      <c r="AR43" s="49"/>
      <c r="AS43" s="49"/>
      <c r="AT43" s="49"/>
      <c r="AU43" s="59">
        <f t="shared" si="6"/>
        <v>3</v>
      </c>
      <c r="AV43" s="49"/>
      <c r="AW43" s="49"/>
      <c r="AX43" s="49"/>
      <c r="AY43" s="49">
        <v>3</v>
      </c>
      <c r="AZ43" s="49">
        <v>3</v>
      </c>
      <c r="BA43" s="59">
        <f t="shared" si="7"/>
        <v>3</v>
      </c>
    </row>
    <row r="44" spans="1:53" ht="23.1" customHeight="1" x14ac:dyDescent="0.3">
      <c r="A44" s="7">
        <v>42</v>
      </c>
      <c r="B44" s="7" t="s">
        <v>245</v>
      </c>
      <c r="C44" s="7" t="s">
        <v>246</v>
      </c>
      <c r="D44" s="7" t="s">
        <v>542</v>
      </c>
      <c r="E44" s="7" t="s">
        <v>161</v>
      </c>
      <c r="F44" s="7"/>
      <c r="G44" s="7"/>
      <c r="H44" s="49">
        <f>IFERROR(VLOOKUP(B44,[1]Debate!$A$5:$O$262,3,FALSE),"0")</f>
        <v>3</v>
      </c>
      <c r="I44" s="7"/>
      <c r="J44" s="7"/>
      <c r="K44" s="59">
        <f t="shared" si="0"/>
        <v>3</v>
      </c>
      <c r="L44" s="49">
        <v>2.5</v>
      </c>
      <c r="M44" s="49">
        <v>3</v>
      </c>
      <c r="N44" s="49">
        <v>3</v>
      </c>
      <c r="O44" s="49">
        <v>2.75</v>
      </c>
      <c r="P44" s="49">
        <v>2.5</v>
      </c>
      <c r="Q44" s="59">
        <f t="shared" si="1"/>
        <v>2.75</v>
      </c>
      <c r="R44" s="49"/>
      <c r="S44" s="49"/>
      <c r="T44" s="7"/>
      <c r="U44" s="49"/>
      <c r="V44" s="7"/>
      <c r="W44" s="59" t="str">
        <f t="shared" si="2"/>
        <v>A</v>
      </c>
      <c r="X44" s="49">
        <v>2.5</v>
      </c>
      <c r="Y44" s="49"/>
      <c r="Z44" s="7"/>
      <c r="AA44" s="7"/>
      <c r="AB44" s="7"/>
      <c r="AC44" s="59">
        <f t="shared" si="3"/>
        <v>2.5</v>
      </c>
      <c r="AD44" s="49"/>
      <c r="AE44" s="7"/>
      <c r="AF44" s="49"/>
      <c r="AG44" s="7"/>
      <c r="AH44" s="7"/>
      <c r="AI44" s="59" t="str">
        <f t="shared" si="4"/>
        <v>A</v>
      </c>
      <c r="AJ44" s="49">
        <v>2.5</v>
      </c>
      <c r="AK44" s="49">
        <v>3</v>
      </c>
      <c r="AL44" s="7"/>
      <c r="AM44" s="49">
        <v>2.5</v>
      </c>
      <c r="AN44" s="7"/>
      <c r="AO44" s="59">
        <f t="shared" si="5"/>
        <v>2.6666666666666665</v>
      </c>
      <c r="AP44" s="49">
        <v>2.5</v>
      </c>
      <c r="AQ44" s="49"/>
      <c r="AR44" s="49"/>
      <c r="AS44" s="7"/>
      <c r="AT44" s="7"/>
      <c r="AU44" s="59">
        <f t="shared" si="6"/>
        <v>2.5</v>
      </c>
      <c r="AV44" s="7"/>
      <c r="AW44" s="7"/>
      <c r="AX44" s="49"/>
      <c r="AY44" s="49">
        <v>3</v>
      </c>
      <c r="AZ44" s="49">
        <v>3</v>
      </c>
      <c r="BA44" s="59">
        <f t="shared" si="7"/>
        <v>3</v>
      </c>
    </row>
    <row r="45" spans="1:53" ht="23.1" customHeight="1" x14ac:dyDescent="0.3">
      <c r="A45" s="49">
        <v>43</v>
      </c>
      <c r="B45" s="49" t="s">
        <v>114</v>
      </c>
      <c r="C45" s="49" t="s">
        <v>115</v>
      </c>
      <c r="D45" s="49" t="s">
        <v>450</v>
      </c>
      <c r="E45" s="49" t="s">
        <v>35</v>
      </c>
      <c r="F45" s="49"/>
      <c r="G45" s="49"/>
      <c r="H45" s="49">
        <f>IFERROR(VLOOKUP(B45,[1]Debate!$A$5:$O$262,3,FALSE),"0")</f>
        <v>3</v>
      </c>
      <c r="I45" s="49"/>
      <c r="J45" s="49"/>
      <c r="K45" s="59">
        <f t="shared" si="0"/>
        <v>3</v>
      </c>
      <c r="L45" s="49">
        <v>4</v>
      </c>
      <c r="M45" s="49">
        <v>4</v>
      </c>
      <c r="N45" s="49">
        <v>4</v>
      </c>
      <c r="O45" s="49">
        <v>3</v>
      </c>
      <c r="P45" s="49">
        <v>4</v>
      </c>
      <c r="Q45" s="59">
        <f t="shared" si="1"/>
        <v>3.8</v>
      </c>
      <c r="R45" s="49"/>
      <c r="S45" s="49"/>
      <c r="T45" s="49"/>
      <c r="U45" s="49"/>
      <c r="V45" s="49"/>
      <c r="W45" s="59" t="str">
        <f t="shared" si="2"/>
        <v>A</v>
      </c>
      <c r="X45" s="49">
        <v>3</v>
      </c>
      <c r="Y45" s="49"/>
      <c r="Z45" s="49"/>
      <c r="AA45" s="49"/>
      <c r="AB45" s="49"/>
      <c r="AC45" s="59">
        <f t="shared" si="3"/>
        <v>3</v>
      </c>
      <c r="AD45" s="49"/>
      <c r="AE45" s="49"/>
      <c r="AF45" s="49"/>
      <c r="AG45" s="49"/>
      <c r="AH45" s="49"/>
      <c r="AI45" s="59" t="str">
        <f t="shared" si="4"/>
        <v>A</v>
      </c>
      <c r="AJ45" s="49">
        <v>4</v>
      </c>
      <c r="AK45" s="49">
        <v>4</v>
      </c>
      <c r="AL45" s="49"/>
      <c r="AM45" s="49">
        <v>4</v>
      </c>
      <c r="AN45" s="49"/>
      <c r="AO45" s="59">
        <f t="shared" si="5"/>
        <v>4</v>
      </c>
      <c r="AP45" s="49">
        <v>3</v>
      </c>
      <c r="AQ45" s="49"/>
      <c r="AR45" s="49"/>
      <c r="AS45" s="49"/>
      <c r="AT45" s="49"/>
      <c r="AU45" s="59">
        <f t="shared" si="6"/>
        <v>3</v>
      </c>
      <c r="AV45" s="49"/>
      <c r="AW45" s="49"/>
      <c r="AX45" s="49"/>
      <c r="AY45" s="49">
        <v>4</v>
      </c>
      <c r="AZ45" s="49">
        <v>2</v>
      </c>
      <c r="BA45" s="59">
        <f t="shared" si="7"/>
        <v>3</v>
      </c>
    </row>
    <row r="46" spans="1:53" ht="23.1" customHeight="1" x14ac:dyDescent="0.3">
      <c r="A46" s="7">
        <v>44</v>
      </c>
      <c r="B46" s="7" t="s">
        <v>116</v>
      </c>
      <c r="C46" s="7" t="s">
        <v>117</v>
      </c>
      <c r="D46" s="7" t="s">
        <v>542</v>
      </c>
      <c r="E46" s="7" t="s">
        <v>35</v>
      </c>
      <c r="F46" s="7"/>
      <c r="G46" s="7"/>
      <c r="H46" s="49">
        <f>IFERROR(VLOOKUP(B46,[1]Debate!$A$5:$O$262,3,FALSE),"0")</f>
        <v>4</v>
      </c>
      <c r="I46" s="7"/>
      <c r="J46" s="7"/>
      <c r="K46" s="59">
        <f t="shared" si="0"/>
        <v>4</v>
      </c>
      <c r="L46" s="49">
        <v>4</v>
      </c>
      <c r="M46" s="49">
        <v>3</v>
      </c>
      <c r="N46" s="49">
        <v>2</v>
      </c>
      <c r="O46" s="49">
        <v>3.5</v>
      </c>
      <c r="P46" s="49">
        <v>3</v>
      </c>
      <c r="Q46" s="59">
        <f t="shared" si="1"/>
        <v>3.1</v>
      </c>
      <c r="R46" s="49"/>
      <c r="S46" s="49"/>
      <c r="T46" s="7"/>
      <c r="U46" s="49"/>
      <c r="V46" s="7"/>
      <c r="W46" s="59" t="str">
        <f t="shared" si="2"/>
        <v>A</v>
      </c>
      <c r="X46" s="49">
        <v>4</v>
      </c>
      <c r="Y46" s="49"/>
      <c r="Z46" s="7"/>
      <c r="AA46" s="7"/>
      <c r="AB46" s="7"/>
      <c r="AC46" s="59">
        <f t="shared" si="3"/>
        <v>4</v>
      </c>
      <c r="AD46" s="49"/>
      <c r="AE46" s="7"/>
      <c r="AF46" s="49"/>
      <c r="AG46" s="7"/>
      <c r="AH46" s="7"/>
      <c r="AI46" s="59" t="str">
        <f t="shared" si="4"/>
        <v>A</v>
      </c>
      <c r="AJ46" s="49">
        <v>3</v>
      </c>
      <c r="AK46" s="49">
        <v>4</v>
      </c>
      <c r="AL46" s="7"/>
      <c r="AM46" s="49">
        <v>4</v>
      </c>
      <c r="AN46" s="7"/>
      <c r="AO46" s="59">
        <f t="shared" si="5"/>
        <v>3.6666666666666665</v>
      </c>
      <c r="AP46" s="49">
        <v>3</v>
      </c>
      <c r="AQ46" s="49"/>
      <c r="AR46" s="49"/>
      <c r="AS46" s="7"/>
      <c r="AT46" s="7"/>
      <c r="AU46" s="59">
        <f t="shared" si="6"/>
        <v>3</v>
      </c>
      <c r="AV46" s="7"/>
      <c r="AW46" s="7"/>
      <c r="AX46" s="49"/>
      <c r="AY46" s="49">
        <v>3</v>
      </c>
      <c r="AZ46" s="49">
        <v>3</v>
      </c>
      <c r="BA46" s="59">
        <f t="shared" si="7"/>
        <v>3</v>
      </c>
    </row>
    <row r="47" spans="1:53" ht="23.1" customHeight="1" x14ac:dyDescent="0.3">
      <c r="A47" s="49">
        <v>45</v>
      </c>
      <c r="B47" s="49" t="s">
        <v>180</v>
      </c>
      <c r="C47" s="49" t="s">
        <v>181</v>
      </c>
      <c r="D47" s="49" t="s">
        <v>450</v>
      </c>
      <c r="E47" s="49" t="s">
        <v>161</v>
      </c>
      <c r="F47" s="49"/>
      <c r="G47" s="49"/>
      <c r="H47" s="49" t="str">
        <f>IFERROR(VLOOKUP(B47,[1]Debate!$A$5:$O$262,3,FALSE),"0")</f>
        <v>0</v>
      </c>
      <c r="I47" s="49"/>
      <c r="J47" s="49"/>
      <c r="K47" s="59" t="str">
        <f t="shared" si="0"/>
        <v>0</v>
      </c>
      <c r="L47" s="49" t="s">
        <v>581</v>
      </c>
      <c r="M47" s="49" t="s">
        <v>581</v>
      </c>
      <c r="N47" s="49" t="s">
        <v>581</v>
      </c>
      <c r="O47" s="49" t="s">
        <v>581</v>
      </c>
      <c r="P47" s="49" t="s">
        <v>581</v>
      </c>
      <c r="Q47" s="59" t="str">
        <f t="shared" si="1"/>
        <v>0</v>
      </c>
      <c r="R47" s="49"/>
      <c r="S47" s="49"/>
      <c r="T47" s="49"/>
      <c r="U47" s="49"/>
      <c r="V47" s="49"/>
      <c r="W47" s="59" t="str">
        <f t="shared" si="2"/>
        <v>A</v>
      </c>
      <c r="X47" s="49" t="s">
        <v>581</v>
      </c>
      <c r="Y47" s="49"/>
      <c r="Z47" s="49"/>
      <c r="AA47" s="49"/>
      <c r="AB47" s="49"/>
      <c r="AC47" s="59" t="str">
        <f t="shared" si="3"/>
        <v>0</v>
      </c>
      <c r="AD47" s="49"/>
      <c r="AE47" s="49"/>
      <c r="AF47" s="49"/>
      <c r="AG47" s="49"/>
      <c r="AH47" s="49"/>
      <c r="AI47" s="59" t="str">
        <f t="shared" si="4"/>
        <v>A</v>
      </c>
      <c r="AJ47" s="49" t="s">
        <v>581</v>
      </c>
      <c r="AK47" s="49" t="s">
        <v>581</v>
      </c>
      <c r="AL47" s="49"/>
      <c r="AM47" s="49" t="s">
        <v>581</v>
      </c>
      <c r="AN47" s="49"/>
      <c r="AO47" s="59" t="str">
        <f t="shared" si="5"/>
        <v>0</v>
      </c>
      <c r="AP47" s="49">
        <v>0</v>
      </c>
      <c r="AQ47" s="49"/>
      <c r="AR47" s="49"/>
      <c r="AS47" s="49"/>
      <c r="AT47" s="49"/>
      <c r="AU47" s="59">
        <f t="shared" si="6"/>
        <v>0</v>
      </c>
      <c r="AV47" s="49"/>
      <c r="AW47" s="49"/>
      <c r="AX47" s="49"/>
      <c r="AY47" s="49">
        <v>0</v>
      </c>
      <c r="AZ47" s="49">
        <v>0</v>
      </c>
      <c r="BA47" s="59">
        <f t="shared" si="7"/>
        <v>0</v>
      </c>
    </row>
    <row r="48" spans="1:53" ht="23.1" customHeight="1" x14ac:dyDescent="0.3">
      <c r="A48" s="7">
        <v>46</v>
      </c>
      <c r="B48" s="7" t="s">
        <v>308</v>
      </c>
      <c r="C48" s="7" t="s">
        <v>309</v>
      </c>
      <c r="D48" s="7" t="s">
        <v>542</v>
      </c>
      <c r="E48" s="7" t="s">
        <v>493</v>
      </c>
      <c r="F48" s="7"/>
      <c r="G48" s="7"/>
      <c r="H48" s="49">
        <f>IFERROR(VLOOKUP(B48,[1]Debate!$A$5:$O$262,3,FALSE),"0")</f>
        <v>2</v>
      </c>
      <c r="I48" s="7"/>
      <c r="J48" s="7"/>
      <c r="K48" s="59">
        <f t="shared" si="0"/>
        <v>2</v>
      </c>
      <c r="L48" s="49">
        <v>3</v>
      </c>
      <c r="M48" s="49">
        <v>2</v>
      </c>
      <c r="N48" s="49">
        <v>3</v>
      </c>
      <c r="O48" s="49">
        <v>2</v>
      </c>
      <c r="P48" s="49">
        <v>2</v>
      </c>
      <c r="Q48" s="59">
        <f t="shared" si="1"/>
        <v>2.4</v>
      </c>
      <c r="R48" s="49"/>
      <c r="S48" s="49"/>
      <c r="T48" s="7"/>
      <c r="U48" s="49"/>
      <c r="V48" s="7"/>
      <c r="W48" s="59" t="str">
        <f t="shared" si="2"/>
        <v>A</v>
      </c>
      <c r="X48" s="49">
        <v>3</v>
      </c>
      <c r="Y48" s="49"/>
      <c r="Z48" s="7"/>
      <c r="AA48" s="7"/>
      <c r="AB48" s="7"/>
      <c r="AC48" s="59">
        <f t="shared" si="3"/>
        <v>3</v>
      </c>
      <c r="AD48" s="49"/>
      <c r="AE48" s="7"/>
      <c r="AF48" s="49"/>
      <c r="AG48" s="7"/>
      <c r="AH48" s="7"/>
      <c r="AI48" s="59" t="str">
        <f t="shared" si="4"/>
        <v>A</v>
      </c>
      <c r="AJ48" s="49">
        <v>3</v>
      </c>
      <c r="AK48" s="49">
        <v>2</v>
      </c>
      <c r="AL48" s="7"/>
      <c r="AM48" s="49">
        <v>2</v>
      </c>
      <c r="AN48" s="7"/>
      <c r="AO48" s="59">
        <f t="shared" si="5"/>
        <v>2.3333333333333335</v>
      </c>
      <c r="AP48" s="49">
        <v>3</v>
      </c>
      <c r="AQ48" s="49"/>
      <c r="AR48" s="49"/>
      <c r="AS48" s="7"/>
      <c r="AT48" s="7"/>
      <c r="AU48" s="59">
        <f t="shared" si="6"/>
        <v>3</v>
      </c>
      <c r="AV48" s="7"/>
      <c r="AW48" s="7"/>
      <c r="AX48" s="49"/>
      <c r="AY48" s="49">
        <v>3</v>
      </c>
      <c r="AZ48" s="49">
        <v>3</v>
      </c>
      <c r="BA48" s="59">
        <f t="shared" si="7"/>
        <v>3</v>
      </c>
    </row>
    <row r="49" spans="1:53" ht="23.1" customHeight="1" x14ac:dyDescent="0.3">
      <c r="A49" s="49">
        <v>47</v>
      </c>
      <c r="B49" s="49" t="s">
        <v>118</v>
      </c>
      <c r="C49" s="49" t="s">
        <v>119</v>
      </c>
      <c r="D49" s="49" t="s">
        <v>450</v>
      </c>
      <c r="E49" s="49" t="s">
        <v>35</v>
      </c>
      <c r="F49" s="49"/>
      <c r="G49" s="49"/>
      <c r="H49" s="49">
        <f>IFERROR(VLOOKUP(B49,[1]Debate!$A$5:$O$262,3,FALSE),"0")</f>
        <v>2</v>
      </c>
      <c r="I49" s="49"/>
      <c r="J49" s="49"/>
      <c r="K49" s="59">
        <f t="shared" si="0"/>
        <v>2</v>
      </c>
      <c r="L49" s="49">
        <v>3</v>
      </c>
      <c r="M49" s="49">
        <v>2</v>
      </c>
      <c r="N49" s="49">
        <v>2</v>
      </c>
      <c r="O49" s="49">
        <v>1.5</v>
      </c>
      <c r="P49" s="49">
        <v>2</v>
      </c>
      <c r="Q49" s="59">
        <f t="shared" si="1"/>
        <v>2.1</v>
      </c>
      <c r="R49" s="49"/>
      <c r="S49" s="49"/>
      <c r="T49" s="49"/>
      <c r="U49" s="49"/>
      <c r="V49" s="49"/>
      <c r="W49" s="59" t="str">
        <f t="shared" si="2"/>
        <v>A</v>
      </c>
      <c r="X49" s="49">
        <v>3</v>
      </c>
      <c r="Y49" s="49"/>
      <c r="Z49" s="49"/>
      <c r="AA49" s="49"/>
      <c r="AB49" s="49"/>
      <c r="AC49" s="59">
        <f t="shared" si="3"/>
        <v>3</v>
      </c>
      <c r="AD49" s="49"/>
      <c r="AE49" s="49"/>
      <c r="AF49" s="49"/>
      <c r="AG49" s="49"/>
      <c r="AH49" s="49"/>
      <c r="AI49" s="59" t="str">
        <f t="shared" si="4"/>
        <v>A</v>
      </c>
      <c r="AJ49" s="49">
        <v>2</v>
      </c>
      <c r="AK49" s="49">
        <v>2</v>
      </c>
      <c r="AL49" s="49"/>
      <c r="AM49" s="49">
        <v>2</v>
      </c>
      <c r="AN49" s="49"/>
      <c r="AO49" s="59">
        <f t="shared" si="5"/>
        <v>2</v>
      </c>
      <c r="AP49" s="49">
        <v>3</v>
      </c>
      <c r="AQ49" s="49"/>
      <c r="AR49" s="49"/>
      <c r="AS49" s="49"/>
      <c r="AT49" s="49"/>
      <c r="AU49" s="59">
        <f t="shared" si="6"/>
        <v>3</v>
      </c>
      <c r="AV49" s="49"/>
      <c r="AW49" s="49"/>
      <c r="AX49" s="49"/>
      <c r="AY49" s="49">
        <v>2</v>
      </c>
      <c r="AZ49" s="49">
        <v>3</v>
      </c>
      <c r="BA49" s="59">
        <f t="shared" si="7"/>
        <v>2.5</v>
      </c>
    </row>
    <row r="50" spans="1:53" ht="23.1" customHeight="1" x14ac:dyDescent="0.3">
      <c r="A50" s="7">
        <v>48</v>
      </c>
      <c r="B50" s="7" t="s">
        <v>197</v>
      </c>
      <c r="C50" s="7" t="s">
        <v>198</v>
      </c>
      <c r="D50" s="7" t="s">
        <v>450</v>
      </c>
      <c r="E50" s="7" t="s">
        <v>161</v>
      </c>
      <c r="F50" s="7"/>
      <c r="G50" s="7"/>
      <c r="H50" s="49">
        <f>IFERROR(VLOOKUP(B50,[1]Debate!$A$5:$O$262,3,FALSE),"0")</f>
        <v>2.5</v>
      </c>
      <c r="I50" s="7"/>
      <c r="J50" s="7"/>
      <c r="K50" s="59">
        <f t="shared" si="0"/>
        <v>2.5</v>
      </c>
      <c r="L50" s="49">
        <v>2.5</v>
      </c>
      <c r="M50" s="49">
        <v>2.5</v>
      </c>
      <c r="N50" s="49">
        <v>3</v>
      </c>
      <c r="O50" s="49">
        <v>2.75</v>
      </c>
      <c r="P50" s="49">
        <v>2.5</v>
      </c>
      <c r="Q50" s="59">
        <f t="shared" si="1"/>
        <v>2.65</v>
      </c>
      <c r="R50" s="49"/>
      <c r="S50" s="49"/>
      <c r="T50" s="7"/>
      <c r="U50" s="49"/>
      <c r="V50" s="7"/>
      <c r="W50" s="59" t="str">
        <f t="shared" si="2"/>
        <v>A</v>
      </c>
      <c r="X50" s="49">
        <v>2.5</v>
      </c>
      <c r="Y50" s="49"/>
      <c r="Z50" s="7"/>
      <c r="AA50" s="7"/>
      <c r="AB50" s="7"/>
      <c r="AC50" s="59">
        <f t="shared" si="3"/>
        <v>2.5</v>
      </c>
      <c r="AD50" s="49"/>
      <c r="AE50" s="7"/>
      <c r="AF50" s="49"/>
      <c r="AG50" s="7"/>
      <c r="AH50" s="7"/>
      <c r="AI50" s="59" t="str">
        <f t="shared" si="4"/>
        <v>A</v>
      </c>
      <c r="AJ50" s="49">
        <v>2</v>
      </c>
      <c r="AK50" s="49">
        <v>2.5</v>
      </c>
      <c r="AL50" s="7"/>
      <c r="AM50" s="49">
        <v>3</v>
      </c>
      <c r="AN50" s="7"/>
      <c r="AO50" s="59">
        <f t="shared" si="5"/>
        <v>2.5</v>
      </c>
      <c r="AP50" s="49">
        <v>2</v>
      </c>
      <c r="AQ50" s="49"/>
      <c r="AR50" s="49"/>
      <c r="AS50" s="7"/>
      <c r="AT50" s="7"/>
      <c r="AU50" s="59">
        <f t="shared" si="6"/>
        <v>2</v>
      </c>
      <c r="AV50" s="7"/>
      <c r="AW50" s="7"/>
      <c r="AX50" s="49"/>
      <c r="AY50" s="49">
        <v>2.5</v>
      </c>
      <c r="AZ50" s="49">
        <v>2.5</v>
      </c>
      <c r="BA50" s="59">
        <f t="shared" si="7"/>
        <v>2.5</v>
      </c>
    </row>
    <row r="51" spans="1:53" ht="23.1" customHeight="1" x14ac:dyDescent="0.3">
      <c r="A51" s="49">
        <v>49</v>
      </c>
      <c r="B51" s="49" t="s">
        <v>310</v>
      </c>
      <c r="C51" s="49" t="s">
        <v>311</v>
      </c>
      <c r="D51" s="49" t="s">
        <v>450</v>
      </c>
      <c r="E51" s="49" t="s">
        <v>493</v>
      </c>
      <c r="F51" s="49"/>
      <c r="G51" s="49"/>
      <c r="H51" s="49">
        <f>IFERROR(VLOOKUP(B51,[1]Debate!$A$5:$O$262,3,FALSE),"0")</f>
        <v>5</v>
      </c>
      <c r="I51" s="49"/>
      <c r="J51" s="49"/>
      <c r="K51" s="59">
        <f t="shared" si="0"/>
        <v>5</v>
      </c>
      <c r="L51" s="49">
        <v>5</v>
      </c>
      <c r="M51" s="49">
        <v>5</v>
      </c>
      <c r="N51" s="49">
        <v>5</v>
      </c>
      <c r="O51" s="49">
        <v>5</v>
      </c>
      <c r="P51" s="49">
        <v>4</v>
      </c>
      <c r="Q51" s="59">
        <f t="shared" si="1"/>
        <v>4.8</v>
      </c>
      <c r="R51" s="49"/>
      <c r="S51" s="49"/>
      <c r="T51" s="49"/>
      <c r="U51" s="49"/>
      <c r="V51" s="49"/>
      <c r="W51" s="59" t="str">
        <f t="shared" si="2"/>
        <v>A</v>
      </c>
      <c r="X51" s="49">
        <v>5</v>
      </c>
      <c r="Y51" s="49"/>
      <c r="Z51" s="49"/>
      <c r="AA51" s="49"/>
      <c r="AB51" s="49"/>
      <c r="AC51" s="59">
        <f t="shared" si="3"/>
        <v>5</v>
      </c>
      <c r="AD51" s="49"/>
      <c r="AE51" s="49"/>
      <c r="AF51" s="49"/>
      <c r="AG51" s="49"/>
      <c r="AH51" s="49"/>
      <c r="AI51" s="59" t="str">
        <f t="shared" si="4"/>
        <v>A</v>
      </c>
      <c r="AJ51" s="49">
        <v>4</v>
      </c>
      <c r="AK51" s="49">
        <v>5</v>
      </c>
      <c r="AL51" s="49"/>
      <c r="AM51" s="49">
        <v>5</v>
      </c>
      <c r="AN51" s="49"/>
      <c r="AO51" s="59">
        <f t="shared" si="5"/>
        <v>4.666666666666667</v>
      </c>
      <c r="AP51" s="49">
        <v>5</v>
      </c>
      <c r="AQ51" s="49"/>
      <c r="AR51" s="49"/>
      <c r="AS51" s="49"/>
      <c r="AT51" s="49"/>
      <c r="AU51" s="59">
        <f t="shared" si="6"/>
        <v>5</v>
      </c>
      <c r="AV51" s="49"/>
      <c r="AW51" s="49"/>
      <c r="AX51" s="49"/>
      <c r="AY51" s="49">
        <v>4</v>
      </c>
      <c r="AZ51" s="49">
        <v>4</v>
      </c>
      <c r="BA51" s="59">
        <f t="shared" si="7"/>
        <v>4</v>
      </c>
    </row>
    <row r="52" spans="1:53" ht="23.1" customHeight="1" x14ac:dyDescent="0.3">
      <c r="A52" s="7">
        <v>50</v>
      </c>
      <c r="B52" s="7" t="s">
        <v>122</v>
      </c>
      <c r="C52" s="7" t="s">
        <v>123</v>
      </c>
      <c r="D52" s="7" t="s">
        <v>450</v>
      </c>
      <c r="E52" s="7" t="s">
        <v>35</v>
      </c>
      <c r="F52" s="7"/>
      <c r="G52" s="7"/>
      <c r="H52" s="49">
        <f>IFERROR(VLOOKUP(B52,[1]Debate!$A$5:$O$262,3,FALSE),"0")</f>
        <v>2</v>
      </c>
      <c r="I52" s="7"/>
      <c r="J52" s="7"/>
      <c r="K52" s="59">
        <f t="shared" si="0"/>
        <v>2</v>
      </c>
      <c r="L52" s="49">
        <v>2</v>
      </c>
      <c r="M52" s="49">
        <v>2.5</v>
      </c>
      <c r="N52" s="49">
        <v>1.5</v>
      </c>
      <c r="O52" s="49">
        <v>2.25</v>
      </c>
      <c r="P52" s="49">
        <v>2</v>
      </c>
      <c r="Q52" s="59">
        <f t="shared" si="1"/>
        <v>2.0499999999999998</v>
      </c>
      <c r="R52" s="49"/>
      <c r="S52" s="49"/>
      <c r="T52" s="7"/>
      <c r="U52" s="49"/>
      <c r="V52" s="7"/>
      <c r="W52" s="59" t="str">
        <f t="shared" si="2"/>
        <v>A</v>
      </c>
      <c r="X52" s="49">
        <v>2.5</v>
      </c>
      <c r="Y52" s="49"/>
      <c r="Z52" s="7"/>
      <c r="AA52" s="7"/>
      <c r="AB52" s="7"/>
      <c r="AC52" s="59">
        <f t="shared" si="3"/>
        <v>2.5</v>
      </c>
      <c r="AD52" s="49"/>
      <c r="AE52" s="7"/>
      <c r="AF52" s="49"/>
      <c r="AG52" s="7"/>
      <c r="AH52" s="7"/>
      <c r="AI52" s="59" t="str">
        <f t="shared" si="4"/>
        <v>A</v>
      </c>
      <c r="AJ52" s="49">
        <v>2.5</v>
      </c>
      <c r="AK52" s="49">
        <v>2</v>
      </c>
      <c r="AL52" s="7"/>
      <c r="AM52" s="49">
        <v>1.5</v>
      </c>
      <c r="AN52" s="7"/>
      <c r="AO52" s="59">
        <f t="shared" si="5"/>
        <v>2</v>
      </c>
      <c r="AP52" s="49">
        <v>2.5</v>
      </c>
      <c r="AQ52" s="49"/>
      <c r="AR52" s="49"/>
      <c r="AS52" s="7"/>
      <c r="AT52" s="7"/>
      <c r="AU52" s="59">
        <f t="shared" si="6"/>
        <v>2.5</v>
      </c>
      <c r="AV52" s="7"/>
      <c r="AW52" s="7"/>
      <c r="AX52" s="49"/>
      <c r="AY52" s="49">
        <v>2.5</v>
      </c>
      <c r="AZ52" s="49">
        <v>2.5</v>
      </c>
      <c r="BA52" s="59">
        <f t="shared" si="7"/>
        <v>2.5</v>
      </c>
    </row>
    <row r="53" spans="1:53" ht="23.1" customHeight="1" x14ac:dyDescent="0.3">
      <c r="A53" s="49">
        <v>51</v>
      </c>
      <c r="B53" s="49" t="s">
        <v>259</v>
      </c>
      <c r="C53" s="49" t="s">
        <v>260</v>
      </c>
      <c r="D53" s="49" t="s">
        <v>542</v>
      </c>
      <c r="E53" s="49" t="s">
        <v>161</v>
      </c>
      <c r="F53" s="49"/>
      <c r="G53" s="49"/>
      <c r="H53" s="49">
        <f>IFERROR(VLOOKUP(B53,[1]Debate!$A$5:$O$262,3,FALSE),"0")</f>
        <v>3</v>
      </c>
      <c r="I53" s="49"/>
      <c r="J53" s="49"/>
      <c r="K53" s="59">
        <f t="shared" si="0"/>
        <v>3</v>
      </c>
      <c r="L53" s="49">
        <v>3</v>
      </c>
      <c r="M53" s="49">
        <v>3</v>
      </c>
      <c r="N53" s="49">
        <v>3</v>
      </c>
      <c r="O53" s="49">
        <v>3.5</v>
      </c>
      <c r="P53" s="49">
        <v>2</v>
      </c>
      <c r="Q53" s="59">
        <f t="shared" si="1"/>
        <v>2.9</v>
      </c>
      <c r="R53" s="49"/>
      <c r="S53" s="49"/>
      <c r="T53" s="49"/>
      <c r="U53" s="49"/>
      <c r="V53" s="49"/>
      <c r="W53" s="59" t="str">
        <f t="shared" si="2"/>
        <v>A</v>
      </c>
      <c r="X53" s="49">
        <v>4</v>
      </c>
      <c r="Y53" s="49"/>
      <c r="Z53" s="49"/>
      <c r="AA53" s="49"/>
      <c r="AB53" s="49"/>
      <c r="AC53" s="59">
        <f t="shared" si="3"/>
        <v>4</v>
      </c>
      <c r="AD53" s="49"/>
      <c r="AE53" s="49"/>
      <c r="AF53" s="49"/>
      <c r="AG53" s="49"/>
      <c r="AH53" s="49"/>
      <c r="AI53" s="59" t="str">
        <f t="shared" si="4"/>
        <v>A</v>
      </c>
      <c r="AJ53" s="49">
        <v>3</v>
      </c>
      <c r="AK53" s="49">
        <v>3</v>
      </c>
      <c r="AL53" s="49"/>
      <c r="AM53" s="49">
        <v>3</v>
      </c>
      <c r="AN53" s="49"/>
      <c r="AO53" s="59">
        <f t="shared" si="5"/>
        <v>3</v>
      </c>
      <c r="AP53" s="49">
        <v>3</v>
      </c>
      <c r="AQ53" s="49"/>
      <c r="AR53" s="49"/>
      <c r="AS53" s="49"/>
      <c r="AT53" s="49"/>
      <c r="AU53" s="59">
        <f t="shared" si="6"/>
        <v>3</v>
      </c>
      <c r="AV53" s="49"/>
      <c r="AW53" s="49"/>
      <c r="AX53" s="49"/>
      <c r="AY53" s="49">
        <v>4</v>
      </c>
      <c r="AZ53" s="49">
        <v>4</v>
      </c>
      <c r="BA53" s="59">
        <f t="shared" si="7"/>
        <v>4</v>
      </c>
    </row>
    <row r="54" spans="1:53" ht="23.1" customHeight="1" x14ac:dyDescent="0.3">
      <c r="A54" s="7">
        <v>52</v>
      </c>
      <c r="B54" s="7" t="s">
        <v>213</v>
      </c>
      <c r="C54" s="7" t="s">
        <v>214</v>
      </c>
      <c r="D54" s="7" t="s">
        <v>450</v>
      </c>
      <c r="E54" s="7" t="s">
        <v>161</v>
      </c>
      <c r="F54" s="7"/>
      <c r="G54" s="7"/>
      <c r="H54" s="49">
        <f>IFERROR(VLOOKUP(B54,[1]Debate!$A$5:$O$262,3,FALSE),"0")</f>
        <v>3</v>
      </c>
      <c r="I54" s="7"/>
      <c r="J54" s="7"/>
      <c r="K54" s="59">
        <f t="shared" si="0"/>
        <v>3</v>
      </c>
      <c r="L54" s="49">
        <v>4</v>
      </c>
      <c r="M54" s="49">
        <v>3</v>
      </c>
      <c r="N54" s="49">
        <v>3</v>
      </c>
      <c r="O54" s="49">
        <v>3</v>
      </c>
      <c r="P54" s="49">
        <v>3</v>
      </c>
      <c r="Q54" s="59">
        <f t="shared" si="1"/>
        <v>3.2</v>
      </c>
      <c r="R54" s="49"/>
      <c r="S54" s="49"/>
      <c r="T54" s="7"/>
      <c r="U54" s="49"/>
      <c r="V54" s="7"/>
      <c r="W54" s="59" t="str">
        <f t="shared" si="2"/>
        <v>A</v>
      </c>
      <c r="X54" s="49">
        <v>3</v>
      </c>
      <c r="Y54" s="49"/>
      <c r="Z54" s="7"/>
      <c r="AA54" s="7"/>
      <c r="AB54" s="7"/>
      <c r="AC54" s="59">
        <f t="shared" si="3"/>
        <v>3</v>
      </c>
      <c r="AD54" s="49"/>
      <c r="AE54" s="7"/>
      <c r="AF54" s="49"/>
      <c r="AG54" s="7"/>
      <c r="AH54" s="7"/>
      <c r="AI54" s="59" t="str">
        <f t="shared" si="4"/>
        <v>A</v>
      </c>
      <c r="AJ54" s="49">
        <v>3</v>
      </c>
      <c r="AK54" s="49">
        <v>4</v>
      </c>
      <c r="AL54" s="7"/>
      <c r="AM54" s="49">
        <v>3</v>
      </c>
      <c r="AN54" s="7"/>
      <c r="AO54" s="59">
        <f t="shared" si="5"/>
        <v>3.3333333333333335</v>
      </c>
      <c r="AP54" s="49">
        <v>3</v>
      </c>
      <c r="AQ54" s="49"/>
      <c r="AR54" s="49"/>
      <c r="AS54" s="7"/>
      <c r="AT54" s="7"/>
      <c r="AU54" s="59">
        <f t="shared" si="6"/>
        <v>3</v>
      </c>
      <c r="AV54" s="7"/>
      <c r="AW54" s="7"/>
      <c r="AX54" s="49"/>
      <c r="AY54" s="49">
        <v>3</v>
      </c>
      <c r="AZ54" s="49">
        <v>3</v>
      </c>
      <c r="BA54" s="59">
        <f t="shared" si="7"/>
        <v>3</v>
      </c>
    </row>
    <row r="55" spans="1:53" ht="23.1" customHeight="1" x14ac:dyDescent="0.3">
      <c r="A55" s="49">
        <v>53</v>
      </c>
      <c r="B55" s="49" t="s">
        <v>229</v>
      </c>
      <c r="C55" s="49" t="s">
        <v>230</v>
      </c>
      <c r="D55" s="49" t="s">
        <v>450</v>
      </c>
      <c r="E55" s="49" t="s">
        <v>161</v>
      </c>
      <c r="F55" s="49"/>
      <c r="G55" s="49"/>
      <c r="H55" s="49">
        <f>IFERROR(VLOOKUP(B55,[1]Debate!$A$5:$O$262,3,FALSE),"0")</f>
        <v>2</v>
      </c>
      <c r="I55" s="49"/>
      <c r="J55" s="49"/>
      <c r="K55" s="59">
        <f t="shared" si="0"/>
        <v>2</v>
      </c>
      <c r="L55" s="49">
        <v>2</v>
      </c>
      <c r="M55" s="49">
        <v>3</v>
      </c>
      <c r="N55" s="49">
        <v>1</v>
      </c>
      <c r="O55" s="49">
        <v>1.5</v>
      </c>
      <c r="P55" s="49">
        <v>1</v>
      </c>
      <c r="Q55" s="59">
        <f t="shared" si="1"/>
        <v>1.7</v>
      </c>
      <c r="R55" s="49"/>
      <c r="S55" s="49"/>
      <c r="T55" s="49"/>
      <c r="U55" s="49"/>
      <c r="V55" s="49"/>
      <c r="W55" s="59" t="str">
        <f t="shared" si="2"/>
        <v>A</v>
      </c>
      <c r="X55" s="49">
        <v>2</v>
      </c>
      <c r="Y55" s="49"/>
      <c r="Z55" s="49"/>
      <c r="AA55" s="49"/>
      <c r="AB55" s="49"/>
      <c r="AC55" s="59">
        <f t="shared" si="3"/>
        <v>2</v>
      </c>
      <c r="AD55" s="49"/>
      <c r="AE55" s="49"/>
      <c r="AF55" s="49"/>
      <c r="AG55" s="49"/>
      <c r="AH55" s="49"/>
      <c r="AI55" s="59" t="str">
        <f t="shared" si="4"/>
        <v>A</v>
      </c>
      <c r="AJ55" s="49">
        <v>4</v>
      </c>
      <c r="AK55" s="49">
        <v>2</v>
      </c>
      <c r="AL55" s="49"/>
      <c r="AM55" s="49">
        <v>2</v>
      </c>
      <c r="AN55" s="49"/>
      <c r="AO55" s="59">
        <f t="shared" si="5"/>
        <v>2.6666666666666665</v>
      </c>
      <c r="AP55" s="49">
        <v>3</v>
      </c>
      <c r="AQ55" s="49"/>
      <c r="AR55" s="49"/>
      <c r="AS55" s="49"/>
      <c r="AT55" s="49"/>
      <c r="AU55" s="59">
        <f t="shared" si="6"/>
        <v>3</v>
      </c>
      <c r="AV55" s="49"/>
      <c r="AW55" s="49"/>
      <c r="AX55" s="49"/>
      <c r="AY55" s="49">
        <v>3</v>
      </c>
      <c r="AZ55" s="49">
        <v>3</v>
      </c>
      <c r="BA55" s="59">
        <f t="shared" si="7"/>
        <v>3</v>
      </c>
    </row>
    <row r="56" spans="1:53" ht="23.1" customHeight="1" x14ac:dyDescent="0.3">
      <c r="A56" s="7">
        <v>54</v>
      </c>
      <c r="B56" s="7" t="s">
        <v>312</v>
      </c>
      <c r="C56" s="7" t="s">
        <v>313</v>
      </c>
      <c r="D56" s="7" t="s">
        <v>450</v>
      </c>
      <c r="E56" s="7" t="s">
        <v>493</v>
      </c>
      <c r="F56" s="7"/>
      <c r="G56" s="7"/>
      <c r="H56" s="49">
        <f>IFERROR(VLOOKUP(B56,[1]Debate!$A$5:$O$262,3,FALSE),"0")</f>
        <v>2</v>
      </c>
      <c r="I56" s="7"/>
      <c r="J56" s="7"/>
      <c r="K56" s="59">
        <f t="shared" si="0"/>
        <v>2</v>
      </c>
      <c r="L56" s="49">
        <v>2</v>
      </c>
      <c r="M56" s="49">
        <v>2</v>
      </c>
      <c r="N56" s="49">
        <v>2</v>
      </c>
      <c r="O56" s="49">
        <v>3</v>
      </c>
      <c r="P56" s="49">
        <v>1</v>
      </c>
      <c r="Q56" s="59">
        <f t="shared" si="1"/>
        <v>2</v>
      </c>
      <c r="R56" s="49"/>
      <c r="S56" s="49"/>
      <c r="T56" s="7"/>
      <c r="U56" s="49"/>
      <c r="V56" s="7"/>
      <c r="W56" s="59" t="str">
        <f t="shared" si="2"/>
        <v>A</v>
      </c>
      <c r="X56" s="49">
        <v>2</v>
      </c>
      <c r="Y56" s="49"/>
      <c r="Z56" s="7"/>
      <c r="AA56" s="7"/>
      <c r="AB56" s="7"/>
      <c r="AC56" s="59">
        <f t="shared" si="3"/>
        <v>2</v>
      </c>
      <c r="AD56" s="49"/>
      <c r="AE56" s="7"/>
      <c r="AF56" s="49"/>
      <c r="AG56" s="7"/>
      <c r="AH56" s="7"/>
      <c r="AI56" s="59" t="str">
        <f t="shared" si="4"/>
        <v>A</v>
      </c>
      <c r="AJ56" s="49">
        <v>3</v>
      </c>
      <c r="AK56" s="49">
        <v>4</v>
      </c>
      <c r="AL56" s="7"/>
      <c r="AM56" s="49">
        <v>3</v>
      </c>
      <c r="AN56" s="7"/>
      <c r="AO56" s="59">
        <f t="shared" si="5"/>
        <v>3.3333333333333335</v>
      </c>
      <c r="AP56" s="49">
        <v>3</v>
      </c>
      <c r="AQ56" s="49"/>
      <c r="AR56" s="49"/>
      <c r="AS56" s="7"/>
      <c r="AT56" s="7"/>
      <c r="AU56" s="59">
        <f t="shared" si="6"/>
        <v>3</v>
      </c>
      <c r="AV56" s="7"/>
      <c r="AW56" s="7"/>
      <c r="AX56" s="49"/>
      <c r="AY56" s="49">
        <v>2</v>
      </c>
      <c r="AZ56" s="49">
        <v>3</v>
      </c>
      <c r="BA56" s="59">
        <f t="shared" si="7"/>
        <v>2.5</v>
      </c>
    </row>
    <row r="57" spans="1:53" ht="23.1" customHeight="1" x14ac:dyDescent="0.3">
      <c r="A57" s="49">
        <v>55</v>
      </c>
      <c r="B57" s="49" t="s">
        <v>247</v>
      </c>
      <c r="C57" s="49" t="s">
        <v>248</v>
      </c>
      <c r="D57" s="49" t="s">
        <v>450</v>
      </c>
      <c r="E57" s="49" t="s">
        <v>161</v>
      </c>
      <c r="F57" s="49"/>
      <c r="G57" s="49"/>
      <c r="H57" s="49">
        <f>IFERROR(VLOOKUP(B57,[1]Debate!$A$5:$O$262,3,FALSE),"0")</f>
        <v>2</v>
      </c>
      <c r="I57" s="49"/>
      <c r="J57" s="49"/>
      <c r="K57" s="59">
        <f t="shared" si="0"/>
        <v>2</v>
      </c>
      <c r="L57" s="49">
        <v>4</v>
      </c>
      <c r="M57" s="49">
        <v>2</v>
      </c>
      <c r="N57" s="49">
        <v>4</v>
      </c>
      <c r="O57" s="49">
        <v>2.5</v>
      </c>
      <c r="P57" s="49">
        <v>2</v>
      </c>
      <c r="Q57" s="59">
        <f t="shared" si="1"/>
        <v>2.9</v>
      </c>
      <c r="R57" s="49"/>
      <c r="S57" s="49"/>
      <c r="T57" s="49"/>
      <c r="U57" s="49"/>
      <c r="V57" s="49"/>
      <c r="W57" s="59" t="str">
        <f t="shared" si="2"/>
        <v>A</v>
      </c>
      <c r="X57" s="49">
        <v>2</v>
      </c>
      <c r="Y57" s="49"/>
      <c r="Z57" s="49"/>
      <c r="AA57" s="49"/>
      <c r="AB57" s="49"/>
      <c r="AC57" s="59">
        <f t="shared" si="3"/>
        <v>2</v>
      </c>
      <c r="AD57" s="49"/>
      <c r="AE57" s="49"/>
      <c r="AF57" s="49"/>
      <c r="AG57" s="49"/>
      <c r="AH57" s="49"/>
      <c r="AI57" s="59" t="str">
        <f t="shared" si="4"/>
        <v>A</v>
      </c>
      <c r="AJ57" s="49">
        <v>4</v>
      </c>
      <c r="AK57" s="49">
        <v>4</v>
      </c>
      <c r="AL57" s="49"/>
      <c r="AM57" s="49">
        <v>3</v>
      </c>
      <c r="AN57" s="49"/>
      <c r="AO57" s="59">
        <f t="shared" si="5"/>
        <v>3.6666666666666665</v>
      </c>
      <c r="AP57" s="49">
        <v>3</v>
      </c>
      <c r="AQ57" s="49"/>
      <c r="AR57" s="49"/>
      <c r="AS57" s="49"/>
      <c r="AT57" s="49"/>
      <c r="AU57" s="59">
        <f t="shared" si="6"/>
        <v>3</v>
      </c>
      <c r="AV57" s="49"/>
      <c r="AW57" s="49"/>
      <c r="AX57" s="49"/>
      <c r="AY57" s="49">
        <v>3</v>
      </c>
      <c r="AZ57" s="49">
        <v>3</v>
      </c>
      <c r="BA57" s="59">
        <f t="shared" si="7"/>
        <v>3</v>
      </c>
    </row>
    <row r="58" spans="1:53" ht="23.1" customHeight="1" x14ac:dyDescent="0.3">
      <c r="A58" s="7">
        <v>56</v>
      </c>
      <c r="B58" s="7" t="s">
        <v>124</v>
      </c>
      <c r="C58" s="7" t="s">
        <v>125</v>
      </c>
      <c r="D58" s="7" t="s">
        <v>542</v>
      </c>
      <c r="E58" s="7" t="s">
        <v>35</v>
      </c>
      <c r="F58" s="7"/>
      <c r="G58" s="7"/>
      <c r="H58" s="49">
        <f>IFERROR(VLOOKUP(B58,[1]Debate!$A$5:$O$262,3,FALSE),"0")</f>
        <v>3</v>
      </c>
      <c r="I58" s="7"/>
      <c r="J58" s="7"/>
      <c r="K58" s="59">
        <f t="shared" si="0"/>
        <v>3</v>
      </c>
      <c r="L58" s="49">
        <v>3</v>
      </c>
      <c r="M58" s="49">
        <v>2</v>
      </c>
      <c r="N58" s="49">
        <v>4</v>
      </c>
      <c r="O58" s="49">
        <v>3</v>
      </c>
      <c r="P58" s="49">
        <v>2</v>
      </c>
      <c r="Q58" s="59">
        <f t="shared" si="1"/>
        <v>2.8</v>
      </c>
      <c r="R58" s="49"/>
      <c r="S58" s="49"/>
      <c r="T58" s="7"/>
      <c r="U58" s="49"/>
      <c r="V58" s="7"/>
      <c r="W58" s="59" t="str">
        <f t="shared" si="2"/>
        <v>A</v>
      </c>
      <c r="X58" s="49">
        <v>4</v>
      </c>
      <c r="Y58" s="49"/>
      <c r="Z58" s="7"/>
      <c r="AA58" s="7"/>
      <c r="AB58" s="7"/>
      <c r="AC58" s="59">
        <f t="shared" si="3"/>
        <v>4</v>
      </c>
      <c r="AD58" s="49"/>
      <c r="AE58" s="7"/>
      <c r="AF58" s="49"/>
      <c r="AG58" s="7"/>
      <c r="AH58" s="7"/>
      <c r="AI58" s="59" t="str">
        <f t="shared" si="4"/>
        <v>A</v>
      </c>
      <c r="AJ58" s="49">
        <v>3</v>
      </c>
      <c r="AK58" s="49">
        <v>3</v>
      </c>
      <c r="AL58" s="7"/>
      <c r="AM58" s="49">
        <v>4</v>
      </c>
      <c r="AN58" s="7"/>
      <c r="AO58" s="59">
        <f t="shared" si="5"/>
        <v>3.3333333333333335</v>
      </c>
      <c r="AP58" s="49">
        <v>3</v>
      </c>
      <c r="AQ58" s="49"/>
      <c r="AR58" s="49"/>
      <c r="AS58" s="7"/>
      <c r="AT58" s="7"/>
      <c r="AU58" s="59">
        <f t="shared" si="6"/>
        <v>3</v>
      </c>
      <c r="AV58" s="7"/>
      <c r="AW58" s="7"/>
      <c r="AX58" s="49"/>
      <c r="AY58" s="49">
        <v>3</v>
      </c>
      <c r="AZ58" s="49">
        <v>3</v>
      </c>
      <c r="BA58" s="59">
        <f t="shared" si="7"/>
        <v>3</v>
      </c>
    </row>
    <row r="59" spans="1:53" ht="23.1" customHeight="1" x14ac:dyDescent="0.3">
      <c r="A59" s="49">
        <v>57</v>
      </c>
      <c r="B59" s="49" t="s">
        <v>314</v>
      </c>
      <c r="C59" s="49" t="s">
        <v>315</v>
      </c>
      <c r="D59" s="49" t="s">
        <v>542</v>
      </c>
      <c r="E59" s="49" t="s">
        <v>493</v>
      </c>
      <c r="F59" s="49"/>
      <c r="G59" s="49"/>
      <c r="H59" s="49">
        <f>IFERROR(VLOOKUP(B59,[1]Debate!$A$5:$O$262,3,FALSE),"0")</f>
        <v>3</v>
      </c>
      <c r="I59" s="49"/>
      <c r="J59" s="49"/>
      <c r="K59" s="59">
        <f t="shared" si="0"/>
        <v>3</v>
      </c>
      <c r="L59" s="49">
        <v>3</v>
      </c>
      <c r="M59" s="49">
        <v>2</v>
      </c>
      <c r="N59" s="49">
        <v>4</v>
      </c>
      <c r="O59" s="49">
        <v>1.5</v>
      </c>
      <c r="P59" s="49">
        <v>2</v>
      </c>
      <c r="Q59" s="59">
        <f t="shared" si="1"/>
        <v>2.5</v>
      </c>
      <c r="R59" s="49"/>
      <c r="S59" s="49"/>
      <c r="T59" s="49"/>
      <c r="U59" s="49"/>
      <c r="V59" s="49"/>
      <c r="W59" s="59" t="str">
        <f t="shared" si="2"/>
        <v>A</v>
      </c>
      <c r="X59" s="49">
        <v>3</v>
      </c>
      <c r="Y59" s="49"/>
      <c r="Z59" s="49"/>
      <c r="AA59" s="49"/>
      <c r="AB59" s="49"/>
      <c r="AC59" s="59">
        <f t="shared" si="3"/>
        <v>3</v>
      </c>
      <c r="AD59" s="49"/>
      <c r="AE59" s="49"/>
      <c r="AF59" s="49"/>
      <c r="AG59" s="49"/>
      <c r="AH59" s="49"/>
      <c r="AI59" s="59" t="str">
        <f t="shared" si="4"/>
        <v>A</v>
      </c>
      <c r="AJ59" s="49">
        <v>3</v>
      </c>
      <c r="AK59" s="49">
        <v>2</v>
      </c>
      <c r="AL59" s="49"/>
      <c r="AM59" s="49">
        <v>3</v>
      </c>
      <c r="AN59" s="49"/>
      <c r="AO59" s="59">
        <f t="shared" si="5"/>
        <v>2.6666666666666665</v>
      </c>
      <c r="AP59" s="49">
        <v>3</v>
      </c>
      <c r="AQ59" s="49"/>
      <c r="AR59" s="49"/>
      <c r="AS59" s="49"/>
      <c r="AT59" s="49"/>
      <c r="AU59" s="59">
        <f t="shared" si="6"/>
        <v>3</v>
      </c>
      <c r="AV59" s="49"/>
      <c r="AW59" s="49"/>
      <c r="AX59" s="49"/>
      <c r="AY59" s="49">
        <v>4</v>
      </c>
      <c r="AZ59" s="49">
        <v>3</v>
      </c>
      <c r="BA59" s="59">
        <f t="shared" si="7"/>
        <v>3.5</v>
      </c>
    </row>
    <row r="60" spans="1:53" ht="23.1" customHeight="1" x14ac:dyDescent="0.3">
      <c r="A60" s="7">
        <v>58</v>
      </c>
      <c r="B60" s="7" t="s">
        <v>316</v>
      </c>
      <c r="C60" s="7" t="s">
        <v>317</v>
      </c>
      <c r="D60" s="7" t="s">
        <v>450</v>
      </c>
      <c r="E60" s="7" t="s">
        <v>493</v>
      </c>
      <c r="F60" s="7"/>
      <c r="G60" s="7"/>
      <c r="H60" s="49">
        <f>IFERROR(VLOOKUP(B60,[1]Debate!$A$5:$O$262,3,FALSE),"0")</f>
        <v>2</v>
      </c>
      <c r="I60" s="7"/>
      <c r="J60" s="7"/>
      <c r="K60" s="59">
        <f t="shared" si="0"/>
        <v>2</v>
      </c>
      <c r="L60" s="49">
        <v>2</v>
      </c>
      <c r="M60" s="49">
        <v>2</v>
      </c>
      <c r="N60" s="49">
        <v>2</v>
      </c>
      <c r="O60" s="49">
        <v>2</v>
      </c>
      <c r="P60" s="49">
        <v>2</v>
      </c>
      <c r="Q60" s="59">
        <f t="shared" si="1"/>
        <v>2</v>
      </c>
      <c r="R60" s="49"/>
      <c r="S60" s="49"/>
      <c r="T60" s="7"/>
      <c r="U60" s="49"/>
      <c r="V60" s="7"/>
      <c r="W60" s="59" t="str">
        <f t="shared" si="2"/>
        <v>A</v>
      </c>
      <c r="X60" s="49">
        <v>2</v>
      </c>
      <c r="Y60" s="49"/>
      <c r="Z60" s="7"/>
      <c r="AA60" s="7"/>
      <c r="AB60" s="7"/>
      <c r="AC60" s="59">
        <f t="shared" si="3"/>
        <v>2</v>
      </c>
      <c r="AD60" s="49"/>
      <c r="AE60" s="7"/>
      <c r="AF60" s="49"/>
      <c r="AG60" s="7"/>
      <c r="AH60" s="7"/>
      <c r="AI60" s="59" t="str">
        <f t="shared" si="4"/>
        <v>A</v>
      </c>
      <c r="AJ60" s="49">
        <v>2</v>
      </c>
      <c r="AK60" s="49">
        <v>2</v>
      </c>
      <c r="AL60" s="7"/>
      <c r="AM60" s="49">
        <v>2</v>
      </c>
      <c r="AN60" s="7"/>
      <c r="AO60" s="59">
        <f t="shared" si="5"/>
        <v>2</v>
      </c>
      <c r="AP60" s="49">
        <v>2</v>
      </c>
      <c r="AQ60" s="49"/>
      <c r="AR60" s="49"/>
      <c r="AS60" s="7"/>
      <c r="AT60" s="7"/>
      <c r="AU60" s="59">
        <f t="shared" si="6"/>
        <v>2</v>
      </c>
      <c r="AV60" s="7"/>
      <c r="AW60" s="7"/>
      <c r="AX60" s="49"/>
      <c r="AY60" s="49">
        <v>3</v>
      </c>
      <c r="AZ60" s="49">
        <v>3</v>
      </c>
      <c r="BA60" s="59">
        <f t="shared" si="7"/>
        <v>3</v>
      </c>
    </row>
    <row r="61" spans="1:53" ht="23.1" customHeight="1" x14ac:dyDescent="0.3">
      <c r="A61" s="49">
        <v>59</v>
      </c>
      <c r="B61" s="49" t="s">
        <v>126</v>
      </c>
      <c r="C61" s="49" t="s">
        <v>127</v>
      </c>
      <c r="D61" s="49" t="s">
        <v>450</v>
      </c>
      <c r="E61" s="49" t="s">
        <v>35</v>
      </c>
      <c r="F61" s="49"/>
      <c r="G61" s="49"/>
      <c r="H61" s="49">
        <f>IFERROR(VLOOKUP(B61,[1]Debate!$A$5:$O$262,3,FALSE),"0")</f>
        <v>3</v>
      </c>
      <c r="I61" s="49"/>
      <c r="J61" s="49"/>
      <c r="K61" s="59">
        <f t="shared" si="0"/>
        <v>3</v>
      </c>
      <c r="L61" s="49">
        <v>4</v>
      </c>
      <c r="M61" s="49">
        <v>3</v>
      </c>
      <c r="N61" s="49">
        <v>2</v>
      </c>
      <c r="O61" s="49">
        <v>2.5</v>
      </c>
      <c r="P61" s="49">
        <v>3</v>
      </c>
      <c r="Q61" s="59">
        <f t="shared" si="1"/>
        <v>2.9</v>
      </c>
      <c r="R61" s="49"/>
      <c r="S61" s="49"/>
      <c r="T61" s="49"/>
      <c r="U61" s="49"/>
      <c r="V61" s="49"/>
      <c r="W61" s="59" t="str">
        <f t="shared" si="2"/>
        <v>A</v>
      </c>
      <c r="X61" s="49">
        <v>3</v>
      </c>
      <c r="Y61" s="49"/>
      <c r="Z61" s="49"/>
      <c r="AA61" s="49"/>
      <c r="AB61" s="49"/>
      <c r="AC61" s="59">
        <f t="shared" si="3"/>
        <v>3</v>
      </c>
      <c r="AD61" s="49"/>
      <c r="AE61" s="49"/>
      <c r="AF61" s="49"/>
      <c r="AG61" s="49"/>
      <c r="AH61" s="49"/>
      <c r="AI61" s="59" t="str">
        <f t="shared" si="4"/>
        <v>A</v>
      </c>
      <c r="AJ61" s="49">
        <v>4</v>
      </c>
      <c r="AK61" s="49">
        <v>3</v>
      </c>
      <c r="AL61" s="49"/>
      <c r="AM61" s="49">
        <v>4</v>
      </c>
      <c r="AN61" s="49"/>
      <c r="AO61" s="59">
        <f t="shared" si="5"/>
        <v>3.6666666666666665</v>
      </c>
      <c r="AP61" s="49">
        <v>3</v>
      </c>
      <c r="AQ61" s="49"/>
      <c r="AR61" s="49"/>
      <c r="AS61" s="49"/>
      <c r="AT61" s="49"/>
      <c r="AU61" s="59">
        <f t="shared" si="6"/>
        <v>3</v>
      </c>
      <c r="AV61" s="49"/>
      <c r="AW61" s="49"/>
      <c r="AX61" s="49"/>
      <c r="AY61" s="49">
        <v>2</v>
      </c>
      <c r="AZ61" s="49">
        <v>4</v>
      </c>
      <c r="BA61" s="59">
        <f t="shared" si="7"/>
        <v>3</v>
      </c>
    </row>
    <row r="62" spans="1:53" ht="23.1" customHeight="1" x14ac:dyDescent="0.3">
      <c r="A62" s="7">
        <v>60</v>
      </c>
      <c r="B62" s="7" t="s">
        <v>42</v>
      </c>
      <c r="C62" s="7" t="s">
        <v>43</v>
      </c>
      <c r="D62" s="7" t="s">
        <v>450</v>
      </c>
      <c r="E62" s="7" t="s">
        <v>35</v>
      </c>
      <c r="F62" s="7"/>
      <c r="G62" s="7"/>
      <c r="H62" s="49">
        <f>IFERROR(VLOOKUP(B62,[1]Debate!$A$5:$O$262,3,FALSE),"0")</f>
        <v>2.5</v>
      </c>
      <c r="I62" s="7"/>
      <c r="J62" s="7"/>
      <c r="K62" s="59">
        <f t="shared" si="0"/>
        <v>2.5</v>
      </c>
      <c r="L62" s="49">
        <v>2.5</v>
      </c>
      <c r="M62" s="49">
        <v>3</v>
      </c>
      <c r="N62" s="49">
        <v>3</v>
      </c>
      <c r="O62" s="49">
        <v>2.75</v>
      </c>
      <c r="P62" s="49">
        <v>2.5</v>
      </c>
      <c r="Q62" s="59">
        <f t="shared" si="1"/>
        <v>2.75</v>
      </c>
      <c r="R62" s="49"/>
      <c r="S62" s="49"/>
      <c r="T62" s="7"/>
      <c r="U62" s="49"/>
      <c r="V62" s="7"/>
      <c r="W62" s="59" t="str">
        <f t="shared" si="2"/>
        <v>A</v>
      </c>
      <c r="X62" s="49">
        <v>3</v>
      </c>
      <c r="Y62" s="49"/>
      <c r="Z62" s="7"/>
      <c r="AA62" s="7"/>
      <c r="AB62" s="7"/>
      <c r="AC62" s="59">
        <f t="shared" si="3"/>
        <v>3</v>
      </c>
      <c r="AD62" s="49"/>
      <c r="AE62" s="7"/>
      <c r="AF62" s="49"/>
      <c r="AG62" s="7"/>
      <c r="AH62" s="7"/>
      <c r="AI62" s="59" t="str">
        <f t="shared" si="4"/>
        <v>A</v>
      </c>
      <c r="AJ62" s="49">
        <v>3</v>
      </c>
      <c r="AK62" s="49">
        <v>3</v>
      </c>
      <c r="AL62" s="7"/>
      <c r="AM62" s="49">
        <v>3</v>
      </c>
      <c r="AN62" s="7"/>
      <c r="AO62" s="59">
        <f t="shared" si="5"/>
        <v>3</v>
      </c>
      <c r="AP62" s="49">
        <v>3</v>
      </c>
      <c r="AQ62" s="49"/>
      <c r="AR62" s="49"/>
      <c r="AS62" s="7"/>
      <c r="AT62" s="7"/>
      <c r="AU62" s="59">
        <f t="shared" si="6"/>
        <v>3</v>
      </c>
      <c r="AV62" s="7"/>
      <c r="AW62" s="7"/>
      <c r="AX62" s="49"/>
      <c r="AY62" s="49">
        <v>3</v>
      </c>
      <c r="AZ62" s="49">
        <v>3</v>
      </c>
      <c r="BA62" s="59">
        <f t="shared" si="7"/>
        <v>3</v>
      </c>
    </row>
    <row r="63" spans="1:53" ht="23.1" customHeight="1" x14ac:dyDescent="0.3">
      <c r="A63" s="49">
        <v>61</v>
      </c>
      <c r="B63" s="49" t="s">
        <v>128</v>
      </c>
      <c r="C63" s="49" t="s">
        <v>129</v>
      </c>
      <c r="D63" s="49" t="s">
        <v>450</v>
      </c>
      <c r="E63" s="49" t="s">
        <v>35</v>
      </c>
      <c r="F63" s="49"/>
      <c r="G63" s="49"/>
      <c r="H63" s="49">
        <f>IFERROR(VLOOKUP(B63,[1]Debate!$A$5:$O$262,3,FALSE),"0")</f>
        <v>2</v>
      </c>
      <c r="I63" s="49"/>
      <c r="J63" s="49"/>
      <c r="K63" s="59">
        <f t="shared" si="0"/>
        <v>2</v>
      </c>
      <c r="L63" s="49">
        <v>3</v>
      </c>
      <c r="M63" s="49">
        <v>3</v>
      </c>
      <c r="N63" s="49">
        <v>3</v>
      </c>
      <c r="O63" s="49">
        <v>2</v>
      </c>
      <c r="P63" s="49">
        <v>3</v>
      </c>
      <c r="Q63" s="59">
        <f t="shared" si="1"/>
        <v>2.8</v>
      </c>
      <c r="R63" s="49"/>
      <c r="S63" s="49"/>
      <c r="T63" s="49"/>
      <c r="U63" s="49"/>
      <c r="V63" s="49"/>
      <c r="W63" s="59" t="str">
        <f t="shared" si="2"/>
        <v>A</v>
      </c>
      <c r="X63" s="49">
        <v>3</v>
      </c>
      <c r="Y63" s="49"/>
      <c r="Z63" s="49"/>
      <c r="AA63" s="49"/>
      <c r="AB63" s="49"/>
      <c r="AC63" s="59">
        <f t="shared" si="3"/>
        <v>3</v>
      </c>
      <c r="AD63" s="49"/>
      <c r="AE63" s="49"/>
      <c r="AF63" s="49"/>
      <c r="AG63" s="49"/>
      <c r="AH63" s="49"/>
      <c r="AI63" s="59" t="str">
        <f t="shared" si="4"/>
        <v>A</v>
      </c>
      <c r="AJ63" s="49">
        <v>2</v>
      </c>
      <c r="AK63" s="49">
        <v>2</v>
      </c>
      <c r="AL63" s="49"/>
      <c r="AM63" s="49">
        <v>2</v>
      </c>
      <c r="AN63" s="49"/>
      <c r="AO63" s="59">
        <f t="shared" si="5"/>
        <v>2</v>
      </c>
      <c r="AP63" s="49">
        <v>3</v>
      </c>
      <c r="AQ63" s="49"/>
      <c r="AR63" s="49"/>
      <c r="AS63" s="49"/>
      <c r="AT63" s="49"/>
      <c r="AU63" s="59">
        <f t="shared" si="6"/>
        <v>3</v>
      </c>
      <c r="AV63" s="49"/>
      <c r="AW63" s="49"/>
      <c r="AX63" s="49"/>
      <c r="AY63" s="49">
        <v>3</v>
      </c>
      <c r="AZ63" s="49">
        <v>3</v>
      </c>
      <c r="BA63" s="59">
        <f t="shared" si="7"/>
        <v>3</v>
      </c>
    </row>
    <row r="64" spans="1:53" ht="23.1" customHeight="1" x14ac:dyDescent="0.3">
      <c r="A64" s="7">
        <v>62</v>
      </c>
      <c r="B64" s="7" t="s">
        <v>275</v>
      </c>
      <c r="C64" s="7" t="s">
        <v>276</v>
      </c>
      <c r="D64" s="7" t="s">
        <v>542</v>
      </c>
      <c r="E64" s="7" t="s">
        <v>161</v>
      </c>
      <c r="F64" s="7"/>
      <c r="G64" s="7"/>
      <c r="H64" s="49">
        <f>IFERROR(VLOOKUP(B64,[1]Debate!$A$5:$O$262,3,FALSE),"0")</f>
        <v>2</v>
      </c>
      <c r="I64" s="7"/>
      <c r="J64" s="7"/>
      <c r="K64" s="59">
        <f t="shared" si="0"/>
        <v>2</v>
      </c>
      <c r="L64" s="49">
        <v>2</v>
      </c>
      <c r="M64" s="49">
        <v>3</v>
      </c>
      <c r="N64" s="49">
        <v>1</v>
      </c>
      <c r="O64" s="49">
        <v>2.5</v>
      </c>
      <c r="P64" s="49">
        <v>1</v>
      </c>
      <c r="Q64" s="59">
        <f t="shared" si="1"/>
        <v>1.9</v>
      </c>
      <c r="R64" s="49"/>
      <c r="S64" s="49"/>
      <c r="T64" s="7"/>
      <c r="U64" s="49"/>
      <c r="V64" s="7"/>
      <c r="W64" s="59" t="str">
        <f t="shared" si="2"/>
        <v>A</v>
      </c>
      <c r="X64" s="49">
        <v>2</v>
      </c>
      <c r="Y64" s="49"/>
      <c r="Z64" s="7"/>
      <c r="AA64" s="7"/>
      <c r="AB64" s="7"/>
      <c r="AC64" s="59">
        <f t="shared" si="3"/>
        <v>2</v>
      </c>
      <c r="AD64" s="49"/>
      <c r="AE64" s="7"/>
      <c r="AF64" s="49"/>
      <c r="AG64" s="7"/>
      <c r="AH64" s="7"/>
      <c r="AI64" s="59" t="str">
        <f t="shared" si="4"/>
        <v>A</v>
      </c>
      <c r="AJ64" s="49">
        <v>4</v>
      </c>
      <c r="AK64" s="49">
        <v>2</v>
      </c>
      <c r="AL64" s="7"/>
      <c r="AM64" s="49">
        <v>2</v>
      </c>
      <c r="AN64" s="7"/>
      <c r="AO64" s="59">
        <f t="shared" si="5"/>
        <v>2.6666666666666665</v>
      </c>
      <c r="AP64" s="49">
        <v>3</v>
      </c>
      <c r="AQ64" s="49"/>
      <c r="AR64" s="49"/>
      <c r="AS64" s="7"/>
      <c r="AT64" s="7"/>
      <c r="AU64" s="59">
        <f t="shared" si="6"/>
        <v>3</v>
      </c>
      <c r="AV64" s="7"/>
      <c r="AW64" s="7"/>
      <c r="AX64" s="49"/>
      <c r="AY64" s="49">
        <v>3</v>
      </c>
      <c r="AZ64" s="49">
        <v>3</v>
      </c>
      <c r="BA64" s="59">
        <f t="shared" si="7"/>
        <v>3</v>
      </c>
    </row>
    <row r="65" spans="1:53" ht="23.1" customHeight="1" x14ac:dyDescent="0.3">
      <c r="A65" s="49">
        <v>63</v>
      </c>
      <c r="B65" s="49" t="s">
        <v>60</v>
      </c>
      <c r="C65" s="49" t="s">
        <v>61</v>
      </c>
      <c r="D65" s="49" t="s">
        <v>450</v>
      </c>
      <c r="E65" s="49" t="s">
        <v>35</v>
      </c>
      <c r="F65" s="49"/>
      <c r="G65" s="49"/>
      <c r="H65" s="49">
        <f>IFERROR(VLOOKUP(B65,[1]Debate!$A$5:$O$262,3,FALSE),"0")</f>
        <v>2</v>
      </c>
      <c r="I65" s="49"/>
      <c r="J65" s="49"/>
      <c r="K65" s="59">
        <f t="shared" si="0"/>
        <v>2</v>
      </c>
      <c r="L65" s="49">
        <v>3</v>
      </c>
      <c r="M65" s="49">
        <v>3</v>
      </c>
      <c r="N65" s="49">
        <v>2</v>
      </c>
      <c r="O65" s="49">
        <v>5</v>
      </c>
      <c r="P65" s="49">
        <v>2</v>
      </c>
      <c r="Q65" s="59">
        <f t="shared" si="1"/>
        <v>3</v>
      </c>
      <c r="R65" s="49"/>
      <c r="S65" s="49"/>
      <c r="T65" s="49"/>
      <c r="U65" s="49"/>
      <c r="V65" s="49"/>
      <c r="W65" s="59" t="str">
        <f t="shared" si="2"/>
        <v>A</v>
      </c>
      <c r="X65" s="49">
        <v>3</v>
      </c>
      <c r="Y65" s="49"/>
      <c r="Z65" s="49"/>
      <c r="AA65" s="49"/>
      <c r="AB65" s="49"/>
      <c r="AC65" s="59">
        <f t="shared" si="3"/>
        <v>3</v>
      </c>
      <c r="AD65" s="49"/>
      <c r="AE65" s="49"/>
      <c r="AF65" s="49"/>
      <c r="AG65" s="49"/>
      <c r="AH65" s="49"/>
      <c r="AI65" s="59" t="str">
        <f t="shared" si="4"/>
        <v>A</v>
      </c>
      <c r="AJ65" s="49">
        <v>3</v>
      </c>
      <c r="AK65" s="49">
        <v>3</v>
      </c>
      <c r="AL65" s="49"/>
      <c r="AM65" s="49">
        <v>3</v>
      </c>
      <c r="AN65" s="49"/>
      <c r="AO65" s="59">
        <f t="shared" si="5"/>
        <v>3</v>
      </c>
      <c r="AP65" s="49">
        <v>3</v>
      </c>
      <c r="AQ65" s="49"/>
      <c r="AR65" s="49"/>
      <c r="AS65" s="49"/>
      <c r="AT65" s="49"/>
      <c r="AU65" s="59">
        <f t="shared" si="6"/>
        <v>3</v>
      </c>
      <c r="AV65" s="49"/>
      <c r="AW65" s="49"/>
      <c r="AX65" s="49"/>
      <c r="AY65" s="49">
        <v>4</v>
      </c>
      <c r="AZ65" s="49">
        <v>4</v>
      </c>
      <c r="BA65" s="59">
        <f t="shared" si="7"/>
        <v>4</v>
      </c>
    </row>
    <row r="66" spans="1:53" ht="23.1" customHeight="1" x14ac:dyDescent="0.3">
      <c r="A66" s="7">
        <v>64</v>
      </c>
      <c r="B66" s="7" t="s">
        <v>318</v>
      </c>
      <c r="C66" s="7" t="s">
        <v>319</v>
      </c>
      <c r="D66" s="7" t="s">
        <v>450</v>
      </c>
      <c r="E66" s="7" t="s">
        <v>493</v>
      </c>
      <c r="F66" s="7"/>
      <c r="G66" s="7"/>
      <c r="H66" s="49">
        <f>IFERROR(VLOOKUP(B66,[1]Debate!$A$5:$O$262,3,FALSE),"0")</f>
        <v>2</v>
      </c>
      <c r="I66" s="7"/>
      <c r="J66" s="7"/>
      <c r="K66" s="59">
        <f t="shared" si="0"/>
        <v>2</v>
      </c>
      <c r="L66" s="49">
        <v>2</v>
      </c>
      <c r="M66" s="49">
        <v>2</v>
      </c>
      <c r="N66" s="49">
        <v>2</v>
      </c>
      <c r="O66" s="49">
        <v>1</v>
      </c>
      <c r="P66" s="49">
        <v>2</v>
      </c>
      <c r="Q66" s="59">
        <f t="shared" si="1"/>
        <v>1.8</v>
      </c>
      <c r="R66" s="49"/>
      <c r="S66" s="49"/>
      <c r="T66" s="7"/>
      <c r="U66" s="49"/>
      <c r="V66" s="7"/>
      <c r="W66" s="59" t="str">
        <f t="shared" si="2"/>
        <v>A</v>
      </c>
      <c r="X66" s="49">
        <v>2</v>
      </c>
      <c r="Y66" s="49"/>
      <c r="Z66" s="7"/>
      <c r="AA66" s="7"/>
      <c r="AB66" s="7"/>
      <c r="AC66" s="59">
        <f t="shared" si="3"/>
        <v>2</v>
      </c>
      <c r="AD66" s="49"/>
      <c r="AE66" s="7"/>
      <c r="AF66" s="49"/>
      <c r="AG66" s="7"/>
      <c r="AH66" s="7"/>
      <c r="AI66" s="59" t="str">
        <f t="shared" si="4"/>
        <v>A</v>
      </c>
      <c r="AJ66" s="49">
        <v>2</v>
      </c>
      <c r="AK66" s="49">
        <v>2</v>
      </c>
      <c r="AL66" s="7"/>
      <c r="AM66" s="49">
        <v>2</v>
      </c>
      <c r="AN66" s="7"/>
      <c r="AO66" s="59">
        <f t="shared" si="5"/>
        <v>2</v>
      </c>
      <c r="AP66" s="49">
        <v>2</v>
      </c>
      <c r="AQ66" s="49"/>
      <c r="AR66" s="49"/>
      <c r="AS66" s="7"/>
      <c r="AT66" s="7"/>
      <c r="AU66" s="59">
        <f t="shared" si="6"/>
        <v>2</v>
      </c>
      <c r="AV66" s="7"/>
      <c r="AW66" s="7"/>
      <c r="AX66" s="49"/>
      <c r="AY66" s="49">
        <v>2</v>
      </c>
      <c r="AZ66" s="49">
        <v>2</v>
      </c>
      <c r="BA66" s="59">
        <f t="shared" si="7"/>
        <v>2</v>
      </c>
    </row>
    <row r="67" spans="1:53" ht="23.1" customHeight="1" x14ac:dyDescent="0.3">
      <c r="A67" s="49">
        <v>65</v>
      </c>
      <c r="B67" s="49" t="s">
        <v>91</v>
      </c>
      <c r="C67" s="49" t="s">
        <v>92</v>
      </c>
      <c r="D67" s="49" t="s">
        <v>450</v>
      </c>
      <c r="E67" s="49" t="s">
        <v>35</v>
      </c>
      <c r="F67" s="49"/>
      <c r="G67" s="49"/>
      <c r="H67" s="49">
        <f>IFERROR(VLOOKUP(B67,[1]Debate!$A$5:$O$262,3,FALSE),"0")</f>
        <v>3</v>
      </c>
      <c r="I67" s="49"/>
      <c r="J67" s="49"/>
      <c r="K67" s="59">
        <f t="shared" si="0"/>
        <v>3</v>
      </c>
      <c r="L67" s="49">
        <v>5</v>
      </c>
      <c r="M67" s="49">
        <v>4</v>
      </c>
      <c r="N67" s="49">
        <v>4</v>
      </c>
      <c r="O67" s="49">
        <v>2</v>
      </c>
      <c r="P67" s="49">
        <v>5</v>
      </c>
      <c r="Q67" s="59">
        <f t="shared" si="1"/>
        <v>4</v>
      </c>
      <c r="R67" s="49"/>
      <c r="S67" s="49"/>
      <c r="T67" s="49"/>
      <c r="U67" s="49"/>
      <c r="V67" s="49"/>
      <c r="W67" s="59" t="str">
        <f t="shared" si="2"/>
        <v>A</v>
      </c>
      <c r="X67" s="49">
        <v>3</v>
      </c>
      <c r="Y67" s="49"/>
      <c r="Z67" s="49"/>
      <c r="AA67" s="49"/>
      <c r="AB67" s="49"/>
      <c r="AC67" s="59">
        <f t="shared" si="3"/>
        <v>3</v>
      </c>
      <c r="AD67" s="49"/>
      <c r="AE67" s="49"/>
      <c r="AF67" s="49"/>
      <c r="AG67" s="49"/>
      <c r="AH67" s="49"/>
      <c r="AI67" s="59" t="str">
        <f t="shared" si="4"/>
        <v>A</v>
      </c>
      <c r="AJ67" s="49">
        <v>3</v>
      </c>
      <c r="AK67" s="49">
        <v>3</v>
      </c>
      <c r="AL67" s="49"/>
      <c r="AM67" s="49">
        <v>3</v>
      </c>
      <c r="AN67" s="49"/>
      <c r="AO67" s="59">
        <f t="shared" si="5"/>
        <v>3</v>
      </c>
      <c r="AP67" s="49">
        <v>3</v>
      </c>
      <c r="AQ67" s="49"/>
      <c r="AR67" s="49"/>
      <c r="AS67" s="49"/>
      <c r="AT67" s="49"/>
      <c r="AU67" s="59">
        <f t="shared" si="6"/>
        <v>3</v>
      </c>
      <c r="AV67" s="49"/>
      <c r="AW67" s="49"/>
      <c r="AX67" s="49"/>
      <c r="AY67" s="49">
        <v>4</v>
      </c>
      <c r="AZ67" s="49">
        <v>4</v>
      </c>
      <c r="BA67" s="59">
        <f t="shared" si="7"/>
        <v>4</v>
      </c>
    </row>
    <row r="68" spans="1:53" ht="23.1" customHeight="1" x14ac:dyDescent="0.3">
      <c r="A68" s="7">
        <v>66</v>
      </c>
      <c r="B68" s="7" t="s">
        <v>261</v>
      </c>
      <c r="C68" s="7" t="s">
        <v>262</v>
      </c>
      <c r="D68" s="7" t="s">
        <v>450</v>
      </c>
      <c r="E68" s="7" t="s">
        <v>161</v>
      </c>
      <c r="F68" s="7"/>
      <c r="G68" s="7"/>
      <c r="H68" s="49" t="str">
        <f>IFERROR(VLOOKUP(B68,[1]Debate!$A$5:$O$262,3,FALSE),"0")</f>
        <v>0</v>
      </c>
      <c r="I68" s="7"/>
      <c r="J68" s="7"/>
      <c r="K68" s="59" t="str">
        <f t="shared" ref="K68:K131" si="8">H68</f>
        <v>0</v>
      </c>
      <c r="L68" s="49" t="s">
        <v>581</v>
      </c>
      <c r="M68" s="49" t="s">
        <v>581</v>
      </c>
      <c r="N68" s="49" t="s">
        <v>581</v>
      </c>
      <c r="O68" s="49" t="s">
        <v>581</v>
      </c>
      <c r="P68" s="49" t="s">
        <v>581</v>
      </c>
      <c r="Q68" s="59" t="str">
        <f t="shared" ref="Q68:Q131" si="9">IFERROR(AVERAGE(M68,N68,L68,O68,P68),"0")</f>
        <v>0</v>
      </c>
      <c r="R68" s="49"/>
      <c r="S68" s="49"/>
      <c r="T68" s="7"/>
      <c r="U68" s="49"/>
      <c r="V68" s="7"/>
      <c r="W68" s="59" t="str">
        <f t="shared" ref="W68:W131" si="10">IFERROR(AVERAGE(R68,S68,U68),"A")</f>
        <v>A</v>
      </c>
      <c r="X68" s="49" t="s">
        <v>581</v>
      </c>
      <c r="Y68" s="49"/>
      <c r="Z68" s="7"/>
      <c r="AA68" s="7"/>
      <c r="AB68" s="7"/>
      <c r="AC68" s="59" t="str">
        <f t="shared" ref="AC68:AC131" si="11">X68</f>
        <v>0</v>
      </c>
      <c r="AD68" s="49"/>
      <c r="AE68" s="7"/>
      <c r="AF68" s="49"/>
      <c r="AG68" s="7"/>
      <c r="AH68" s="7"/>
      <c r="AI68" s="59" t="str">
        <f t="shared" ref="AI68:AI131" si="12">IFERROR(AVERAGE(AF68,AD68),"A")</f>
        <v>A</v>
      </c>
      <c r="AJ68" s="49" t="s">
        <v>581</v>
      </c>
      <c r="AK68" s="49" t="s">
        <v>581</v>
      </c>
      <c r="AL68" s="7"/>
      <c r="AM68" s="49" t="s">
        <v>581</v>
      </c>
      <c r="AN68" s="7"/>
      <c r="AO68" s="59" t="str">
        <f t="shared" ref="AO68:AO131" si="13">IFERROR(AVERAGE(AJ68,AK68,AL68,AM68),"0")</f>
        <v>0</v>
      </c>
      <c r="AP68" s="49">
        <v>0</v>
      </c>
      <c r="AQ68" s="49"/>
      <c r="AR68" s="49"/>
      <c r="AS68" s="7"/>
      <c r="AT68" s="7"/>
      <c r="AU68" s="59">
        <f t="shared" ref="AU68:AU131" si="14">AP68</f>
        <v>0</v>
      </c>
      <c r="AV68" s="7"/>
      <c r="AW68" s="7"/>
      <c r="AX68" s="49"/>
      <c r="AY68" s="49">
        <v>0</v>
      </c>
      <c r="AZ68" s="49">
        <v>0</v>
      </c>
      <c r="BA68" s="59">
        <f t="shared" ref="BA68:BA131" si="15">IFERROR(AVERAGE(AY68,AZ68),"0")</f>
        <v>0</v>
      </c>
    </row>
    <row r="69" spans="1:53" ht="23.1" customHeight="1" x14ac:dyDescent="0.3">
      <c r="A69" s="49">
        <v>67</v>
      </c>
      <c r="B69" s="49" t="s">
        <v>277</v>
      </c>
      <c r="C69" s="49" t="s">
        <v>278</v>
      </c>
      <c r="D69" s="49" t="s">
        <v>450</v>
      </c>
      <c r="E69" s="49" t="s">
        <v>161</v>
      </c>
      <c r="F69" s="49"/>
      <c r="G69" s="49"/>
      <c r="H69" s="49">
        <f>IFERROR(VLOOKUP(B69,[1]Debate!$A$5:$O$262,3,FALSE),"0")</f>
        <v>3</v>
      </c>
      <c r="I69" s="49"/>
      <c r="J69" s="49"/>
      <c r="K69" s="59">
        <f t="shared" si="8"/>
        <v>3</v>
      </c>
      <c r="L69" s="49">
        <v>4</v>
      </c>
      <c r="M69" s="49">
        <v>4</v>
      </c>
      <c r="N69" s="49">
        <v>4</v>
      </c>
      <c r="O69" s="49">
        <v>3</v>
      </c>
      <c r="P69" s="49">
        <v>3</v>
      </c>
      <c r="Q69" s="59">
        <f t="shared" si="9"/>
        <v>3.6</v>
      </c>
      <c r="R69" s="49"/>
      <c r="S69" s="49"/>
      <c r="T69" s="49"/>
      <c r="U69" s="49"/>
      <c r="V69" s="49"/>
      <c r="W69" s="59" t="str">
        <f t="shared" si="10"/>
        <v>A</v>
      </c>
      <c r="X69" s="49">
        <v>4</v>
      </c>
      <c r="Y69" s="49"/>
      <c r="Z69" s="49"/>
      <c r="AA69" s="49"/>
      <c r="AB69" s="49"/>
      <c r="AC69" s="59">
        <f t="shared" si="11"/>
        <v>4</v>
      </c>
      <c r="AD69" s="49"/>
      <c r="AE69" s="49"/>
      <c r="AF69" s="49"/>
      <c r="AG69" s="49"/>
      <c r="AH69" s="49"/>
      <c r="AI69" s="59" t="str">
        <f t="shared" si="12"/>
        <v>A</v>
      </c>
      <c r="AJ69" s="49">
        <v>3</v>
      </c>
      <c r="AK69" s="49">
        <v>2</v>
      </c>
      <c r="AL69" s="49"/>
      <c r="AM69" s="49">
        <v>3</v>
      </c>
      <c r="AN69" s="49"/>
      <c r="AO69" s="59">
        <f t="shared" si="13"/>
        <v>2.6666666666666665</v>
      </c>
      <c r="AP69" s="49">
        <v>3</v>
      </c>
      <c r="AQ69" s="49"/>
      <c r="AR69" s="49"/>
      <c r="AS69" s="49"/>
      <c r="AT69" s="49"/>
      <c r="AU69" s="59">
        <f t="shared" si="14"/>
        <v>3</v>
      </c>
      <c r="AV69" s="49"/>
      <c r="AW69" s="49"/>
      <c r="AX69" s="49"/>
      <c r="AY69" s="49">
        <v>4</v>
      </c>
      <c r="AZ69" s="49">
        <v>4</v>
      </c>
      <c r="BA69" s="59">
        <f t="shared" si="15"/>
        <v>4</v>
      </c>
    </row>
    <row r="70" spans="1:53" ht="23.1" customHeight="1" x14ac:dyDescent="0.3">
      <c r="A70" s="7">
        <v>68</v>
      </c>
      <c r="B70" s="7" t="s">
        <v>164</v>
      </c>
      <c r="C70" s="7" t="s">
        <v>165</v>
      </c>
      <c r="D70" s="7" t="s">
        <v>450</v>
      </c>
      <c r="E70" s="7" t="s">
        <v>161</v>
      </c>
      <c r="F70" s="7"/>
      <c r="G70" s="7"/>
      <c r="H70" s="49">
        <f>IFERROR(VLOOKUP(B70,[1]Debate!$A$5:$O$262,3,FALSE),"0")</f>
        <v>2</v>
      </c>
      <c r="I70" s="7"/>
      <c r="J70" s="7"/>
      <c r="K70" s="59">
        <f t="shared" si="8"/>
        <v>2</v>
      </c>
      <c r="L70" s="49">
        <v>3</v>
      </c>
      <c r="M70" s="49">
        <v>2</v>
      </c>
      <c r="N70" s="49">
        <v>3</v>
      </c>
      <c r="O70" s="49">
        <v>2.5</v>
      </c>
      <c r="P70" s="49">
        <v>2</v>
      </c>
      <c r="Q70" s="59">
        <f t="shared" si="9"/>
        <v>2.5</v>
      </c>
      <c r="R70" s="49"/>
      <c r="S70" s="49"/>
      <c r="T70" s="7"/>
      <c r="U70" s="49"/>
      <c r="V70" s="7"/>
      <c r="W70" s="59" t="str">
        <f t="shared" si="10"/>
        <v>A</v>
      </c>
      <c r="X70" s="49">
        <v>2</v>
      </c>
      <c r="Y70" s="49"/>
      <c r="Z70" s="7"/>
      <c r="AA70" s="7"/>
      <c r="AB70" s="7"/>
      <c r="AC70" s="59">
        <f t="shared" si="11"/>
        <v>2</v>
      </c>
      <c r="AD70" s="49"/>
      <c r="AE70" s="7"/>
      <c r="AF70" s="49"/>
      <c r="AG70" s="7"/>
      <c r="AH70" s="7"/>
      <c r="AI70" s="59" t="str">
        <f t="shared" si="12"/>
        <v>A</v>
      </c>
      <c r="AJ70" s="49">
        <v>3</v>
      </c>
      <c r="AK70" s="49">
        <v>4</v>
      </c>
      <c r="AL70" s="7"/>
      <c r="AM70" s="49">
        <v>3</v>
      </c>
      <c r="AN70" s="7"/>
      <c r="AO70" s="59">
        <f t="shared" si="13"/>
        <v>3.3333333333333335</v>
      </c>
      <c r="AP70" s="49">
        <v>3</v>
      </c>
      <c r="AQ70" s="49"/>
      <c r="AR70" s="49"/>
      <c r="AS70" s="7"/>
      <c r="AT70" s="7"/>
      <c r="AU70" s="59">
        <f t="shared" si="14"/>
        <v>3</v>
      </c>
      <c r="AV70" s="7"/>
      <c r="AW70" s="7"/>
      <c r="AX70" s="49"/>
      <c r="AY70" s="49">
        <v>2</v>
      </c>
      <c r="AZ70" s="49">
        <v>2</v>
      </c>
      <c r="BA70" s="59">
        <f t="shared" si="15"/>
        <v>2</v>
      </c>
    </row>
    <row r="71" spans="1:53" ht="23.1" customHeight="1" x14ac:dyDescent="0.3">
      <c r="A71" s="49">
        <v>69</v>
      </c>
      <c r="B71" s="49" t="s">
        <v>130</v>
      </c>
      <c r="C71" s="49" t="s">
        <v>131</v>
      </c>
      <c r="D71" s="49" t="s">
        <v>542</v>
      </c>
      <c r="E71" s="49" t="s">
        <v>35</v>
      </c>
      <c r="F71" s="49"/>
      <c r="G71" s="49"/>
      <c r="H71" s="49">
        <f>IFERROR(VLOOKUP(B71,[1]Debate!$A$5:$O$262,3,FALSE),"0")</f>
        <v>3</v>
      </c>
      <c r="I71" s="49"/>
      <c r="J71" s="49"/>
      <c r="K71" s="59">
        <f t="shared" si="8"/>
        <v>3</v>
      </c>
      <c r="L71" s="49">
        <v>3</v>
      </c>
      <c r="M71" s="49">
        <v>3</v>
      </c>
      <c r="N71" s="49">
        <v>3</v>
      </c>
      <c r="O71" s="49">
        <v>2</v>
      </c>
      <c r="P71" s="49">
        <v>2</v>
      </c>
      <c r="Q71" s="59">
        <f t="shared" si="9"/>
        <v>2.6</v>
      </c>
      <c r="R71" s="49"/>
      <c r="S71" s="49"/>
      <c r="T71" s="49"/>
      <c r="U71" s="49"/>
      <c r="V71" s="49"/>
      <c r="W71" s="59" t="str">
        <f t="shared" si="10"/>
        <v>A</v>
      </c>
      <c r="X71" s="49">
        <v>3</v>
      </c>
      <c r="Y71" s="49"/>
      <c r="Z71" s="49"/>
      <c r="AA71" s="49"/>
      <c r="AB71" s="49"/>
      <c r="AC71" s="59">
        <f t="shared" si="11"/>
        <v>3</v>
      </c>
      <c r="AD71" s="49"/>
      <c r="AE71" s="49"/>
      <c r="AF71" s="49"/>
      <c r="AG71" s="49"/>
      <c r="AH71" s="49"/>
      <c r="AI71" s="59" t="str">
        <f t="shared" si="12"/>
        <v>A</v>
      </c>
      <c r="AJ71" s="49">
        <v>3</v>
      </c>
      <c r="AK71" s="49">
        <v>4</v>
      </c>
      <c r="AL71" s="49"/>
      <c r="AM71" s="49">
        <v>2</v>
      </c>
      <c r="AN71" s="49"/>
      <c r="AO71" s="59">
        <f t="shared" si="13"/>
        <v>3</v>
      </c>
      <c r="AP71" s="49">
        <v>3</v>
      </c>
      <c r="AQ71" s="49"/>
      <c r="AR71" s="49"/>
      <c r="AS71" s="49"/>
      <c r="AT71" s="49"/>
      <c r="AU71" s="59">
        <f t="shared" si="14"/>
        <v>3</v>
      </c>
      <c r="AV71" s="49"/>
      <c r="AW71" s="49"/>
      <c r="AX71" s="49"/>
      <c r="AY71" s="49">
        <v>3</v>
      </c>
      <c r="AZ71" s="49">
        <v>2</v>
      </c>
      <c r="BA71" s="59">
        <f t="shared" si="15"/>
        <v>2.5</v>
      </c>
    </row>
    <row r="72" spans="1:53" ht="23.1" customHeight="1" x14ac:dyDescent="0.3">
      <c r="A72" s="7">
        <v>70</v>
      </c>
      <c r="B72" s="7" t="s">
        <v>320</v>
      </c>
      <c r="C72" s="7" t="s">
        <v>321</v>
      </c>
      <c r="D72" s="7" t="s">
        <v>542</v>
      </c>
      <c r="E72" s="7" t="s">
        <v>493</v>
      </c>
      <c r="F72" s="7"/>
      <c r="G72" s="7"/>
      <c r="H72" s="49">
        <f>IFERROR(VLOOKUP(B72,[1]Debate!$A$5:$O$262,3,FALSE),"0")</f>
        <v>2</v>
      </c>
      <c r="I72" s="7"/>
      <c r="J72" s="7"/>
      <c r="K72" s="59">
        <f t="shared" si="8"/>
        <v>2</v>
      </c>
      <c r="L72" s="49">
        <v>3</v>
      </c>
      <c r="M72" s="49">
        <v>3</v>
      </c>
      <c r="N72" s="49">
        <v>3</v>
      </c>
      <c r="O72" s="49">
        <v>4.5</v>
      </c>
      <c r="P72" s="49">
        <v>2</v>
      </c>
      <c r="Q72" s="59">
        <f t="shared" si="9"/>
        <v>3.1</v>
      </c>
      <c r="R72" s="49"/>
      <c r="S72" s="49"/>
      <c r="T72" s="7"/>
      <c r="U72" s="49"/>
      <c r="V72" s="7"/>
      <c r="W72" s="59" t="str">
        <f t="shared" si="10"/>
        <v>A</v>
      </c>
      <c r="X72" s="49">
        <v>2</v>
      </c>
      <c r="Y72" s="49"/>
      <c r="Z72" s="7"/>
      <c r="AA72" s="7"/>
      <c r="AB72" s="7"/>
      <c r="AC72" s="59">
        <f t="shared" si="11"/>
        <v>2</v>
      </c>
      <c r="AD72" s="49"/>
      <c r="AE72" s="7"/>
      <c r="AF72" s="49"/>
      <c r="AG72" s="7"/>
      <c r="AH72" s="7"/>
      <c r="AI72" s="59" t="str">
        <f t="shared" si="12"/>
        <v>A</v>
      </c>
      <c r="AJ72" s="49">
        <v>2</v>
      </c>
      <c r="AK72" s="49">
        <v>3</v>
      </c>
      <c r="AL72" s="7"/>
      <c r="AM72" s="49">
        <v>1</v>
      </c>
      <c r="AN72" s="7"/>
      <c r="AO72" s="59">
        <f t="shared" si="13"/>
        <v>2</v>
      </c>
      <c r="AP72" s="49">
        <v>3</v>
      </c>
      <c r="AQ72" s="49"/>
      <c r="AR72" s="49"/>
      <c r="AS72" s="7"/>
      <c r="AT72" s="7"/>
      <c r="AU72" s="59">
        <f t="shared" si="14"/>
        <v>3</v>
      </c>
      <c r="AV72" s="7"/>
      <c r="AW72" s="7"/>
      <c r="AX72" s="49"/>
      <c r="AY72" s="49">
        <v>3</v>
      </c>
      <c r="AZ72" s="49">
        <v>3</v>
      </c>
      <c r="BA72" s="59">
        <f t="shared" si="15"/>
        <v>3</v>
      </c>
    </row>
    <row r="73" spans="1:53" ht="23.1" customHeight="1" x14ac:dyDescent="0.3">
      <c r="A73" s="49">
        <v>71</v>
      </c>
      <c r="B73" s="49" t="s">
        <v>132</v>
      </c>
      <c r="C73" s="49" t="s">
        <v>133</v>
      </c>
      <c r="D73" s="49" t="s">
        <v>542</v>
      </c>
      <c r="E73" s="49" t="s">
        <v>35</v>
      </c>
      <c r="F73" s="49"/>
      <c r="G73" s="49"/>
      <c r="H73" s="49">
        <f>IFERROR(VLOOKUP(B73,[1]Debate!$A$5:$O$262,3,FALSE),"0")</f>
        <v>0</v>
      </c>
      <c r="I73" s="49"/>
      <c r="J73" s="49"/>
      <c r="K73" s="59">
        <f t="shared" si="8"/>
        <v>0</v>
      </c>
      <c r="L73" s="49">
        <v>0</v>
      </c>
      <c r="M73" s="49">
        <v>0</v>
      </c>
      <c r="N73" s="49">
        <v>0</v>
      </c>
      <c r="O73" s="49">
        <v>0</v>
      </c>
      <c r="P73" s="49">
        <v>0</v>
      </c>
      <c r="Q73" s="59">
        <f t="shared" si="9"/>
        <v>0</v>
      </c>
      <c r="R73" s="49"/>
      <c r="S73" s="49"/>
      <c r="T73" s="49"/>
      <c r="U73" s="49"/>
      <c r="V73" s="49"/>
      <c r="W73" s="59" t="str">
        <f t="shared" si="10"/>
        <v>A</v>
      </c>
      <c r="X73" s="49">
        <v>0</v>
      </c>
      <c r="Y73" s="49"/>
      <c r="Z73" s="49"/>
      <c r="AA73" s="49"/>
      <c r="AB73" s="49"/>
      <c r="AC73" s="59">
        <f t="shared" si="11"/>
        <v>0</v>
      </c>
      <c r="AD73" s="49"/>
      <c r="AE73" s="49"/>
      <c r="AF73" s="49"/>
      <c r="AG73" s="49"/>
      <c r="AH73" s="49"/>
      <c r="AI73" s="59" t="str">
        <f t="shared" si="12"/>
        <v>A</v>
      </c>
      <c r="AJ73" s="49">
        <v>0</v>
      </c>
      <c r="AK73" s="49">
        <v>0</v>
      </c>
      <c r="AL73" s="49"/>
      <c r="AM73" s="49">
        <v>0</v>
      </c>
      <c r="AN73" s="49"/>
      <c r="AO73" s="59">
        <f t="shared" si="13"/>
        <v>0</v>
      </c>
      <c r="AP73" s="49">
        <v>0</v>
      </c>
      <c r="AQ73" s="49"/>
      <c r="AR73" s="49"/>
      <c r="AS73" s="49"/>
      <c r="AT73" s="49"/>
      <c r="AU73" s="59">
        <f t="shared" si="14"/>
        <v>0</v>
      </c>
      <c r="AV73" s="49"/>
      <c r="AW73" s="49"/>
      <c r="AX73" s="49"/>
      <c r="AY73" s="49">
        <v>0</v>
      </c>
      <c r="AZ73" s="49">
        <v>0</v>
      </c>
      <c r="BA73" s="59">
        <f t="shared" si="15"/>
        <v>0</v>
      </c>
    </row>
    <row r="74" spans="1:53" ht="23.1" customHeight="1" x14ac:dyDescent="0.3">
      <c r="A74" s="7">
        <v>72</v>
      </c>
      <c r="B74" s="7" t="s">
        <v>166</v>
      </c>
      <c r="C74" s="7" t="s">
        <v>167</v>
      </c>
      <c r="D74" s="7" t="s">
        <v>542</v>
      </c>
      <c r="E74" s="7" t="s">
        <v>161</v>
      </c>
      <c r="F74" s="7"/>
      <c r="G74" s="7"/>
      <c r="H74" s="49">
        <f>IFERROR(VLOOKUP(B74,[1]Debate!$A$5:$O$262,3,FALSE),"0")</f>
        <v>2</v>
      </c>
      <c r="I74" s="7"/>
      <c r="J74" s="7"/>
      <c r="K74" s="59">
        <f t="shared" si="8"/>
        <v>2</v>
      </c>
      <c r="L74" s="49">
        <v>2</v>
      </c>
      <c r="M74" s="49">
        <v>2.5</v>
      </c>
      <c r="N74" s="49">
        <v>2</v>
      </c>
      <c r="O74" s="49">
        <v>2.25</v>
      </c>
      <c r="P74" s="49">
        <v>2</v>
      </c>
      <c r="Q74" s="59">
        <f t="shared" si="9"/>
        <v>2.15</v>
      </c>
      <c r="R74" s="49"/>
      <c r="S74" s="49"/>
      <c r="T74" s="7"/>
      <c r="U74" s="49"/>
      <c r="V74" s="7"/>
      <c r="W74" s="59" t="str">
        <f t="shared" si="10"/>
        <v>A</v>
      </c>
      <c r="X74" s="49">
        <v>2.5</v>
      </c>
      <c r="Y74" s="49"/>
      <c r="Z74" s="7"/>
      <c r="AA74" s="7"/>
      <c r="AB74" s="7"/>
      <c r="AC74" s="59">
        <f t="shared" si="11"/>
        <v>2.5</v>
      </c>
      <c r="AD74" s="49"/>
      <c r="AE74" s="7"/>
      <c r="AF74" s="49"/>
      <c r="AG74" s="7"/>
      <c r="AH74" s="7"/>
      <c r="AI74" s="59" t="str">
        <f t="shared" si="12"/>
        <v>A</v>
      </c>
      <c r="AJ74" s="49">
        <v>2.5</v>
      </c>
      <c r="AK74" s="49">
        <v>2</v>
      </c>
      <c r="AL74" s="7"/>
      <c r="AM74" s="49">
        <v>2</v>
      </c>
      <c r="AN74" s="7"/>
      <c r="AO74" s="59">
        <f t="shared" si="13"/>
        <v>2.1666666666666665</v>
      </c>
      <c r="AP74" s="49">
        <v>2.5</v>
      </c>
      <c r="AQ74" s="49"/>
      <c r="AR74" s="49"/>
      <c r="AS74" s="7"/>
      <c r="AT74" s="7"/>
      <c r="AU74" s="59">
        <f t="shared" si="14"/>
        <v>2.5</v>
      </c>
      <c r="AV74" s="7"/>
      <c r="AW74" s="7"/>
      <c r="AX74" s="49"/>
      <c r="AY74" s="49">
        <v>2.5</v>
      </c>
      <c r="AZ74" s="49">
        <v>2.5</v>
      </c>
      <c r="BA74" s="59">
        <f t="shared" si="15"/>
        <v>2.5</v>
      </c>
    </row>
    <row r="75" spans="1:53" ht="23.1" customHeight="1" x14ac:dyDescent="0.3">
      <c r="A75" s="49">
        <v>73</v>
      </c>
      <c r="B75" s="49" t="s">
        <v>182</v>
      </c>
      <c r="C75" s="49" t="s">
        <v>183</v>
      </c>
      <c r="D75" s="49" t="s">
        <v>450</v>
      </c>
      <c r="E75" s="49" t="s">
        <v>161</v>
      </c>
      <c r="F75" s="49"/>
      <c r="G75" s="49"/>
      <c r="H75" s="49">
        <f>IFERROR(VLOOKUP(B75,[1]Debate!$A$5:$O$262,3,FALSE),"0")</f>
        <v>3</v>
      </c>
      <c r="I75" s="49"/>
      <c r="J75" s="49"/>
      <c r="K75" s="59">
        <f t="shared" si="8"/>
        <v>3</v>
      </c>
      <c r="L75" s="49">
        <v>3</v>
      </c>
      <c r="M75" s="49">
        <v>3</v>
      </c>
      <c r="N75" s="49">
        <v>3</v>
      </c>
      <c r="O75" s="49">
        <v>3.5</v>
      </c>
      <c r="P75" s="49">
        <v>2</v>
      </c>
      <c r="Q75" s="59">
        <f t="shared" si="9"/>
        <v>2.9</v>
      </c>
      <c r="R75" s="49"/>
      <c r="S75" s="49"/>
      <c r="T75" s="49"/>
      <c r="U75" s="49"/>
      <c r="V75" s="49"/>
      <c r="W75" s="59" t="str">
        <f t="shared" si="10"/>
        <v>A</v>
      </c>
      <c r="X75" s="49">
        <v>4</v>
      </c>
      <c r="Y75" s="49"/>
      <c r="Z75" s="49"/>
      <c r="AA75" s="49"/>
      <c r="AB75" s="49"/>
      <c r="AC75" s="59">
        <f t="shared" si="11"/>
        <v>4</v>
      </c>
      <c r="AD75" s="49"/>
      <c r="AE75" s="49"/>
      <c r="AF75" s="49"/>
      <c r="AG75" s="49"/>
      <c r="AH75" s="49"/>
      <c r="AI75" s="59" t="str">
        <f t="shared" si="12"/>
        <v>A</v>
      </c>
      <c r="AJ75" s="49">
        <v>3</v>
      </c>
      <c r="AK75" s="49">
        <v>3</v>
      </c>
      <c r="AL75" s="49"/>
      <c r="AM75" s="49">
        <v>3</v>
      </c>
      <c r="AN75" s="49"/>
      <c r="AO75" s="59">
        <f t="shared" si="13"/>
        <v>3</v>
      </c>
      <c r="AP75" s="49">
        <v>3</v>
      </c>
      <c r="AQ75" s="49"/>
      <c r="AR75" s="49"/>
      <c r="AS75" s="49"/>
      <c r="AT75" s="49"/>
      <c r="AU75" s="59">
        <f t="shared" si="14"/>
        <v>3</v>
      </c>
      <c r="AV75" s="49"/>
      <c r="AW75" s="49"/>
      <c r="AX75" s="49"/>
      <c r="AY75" s="49">
        <v>4</v>
      </c>
      <c r="AZ75" s="49">
        <v>4</v>
      </c>
      <c r="BA75" s="59">
        <f t="shared" si="15"/>
        <v>4</v>
      </c>
    </row>
    <row r="76" spans="1:53" ht="23.1" customHeight="1" x14ac:dyDescent="0.3">
      <c r="A76" s="7">
        <v>74</v>
      </c>
      <c r="B76" s="7" t="s">
        <v>322</v>
      </c>
      <c r="C76" s="7" t="s">
        <v>323</v>
      </c>
      <c r="D76" s="7" t="s">
        <v>450</v>
      </c>
      <c r="E76" s="7" t="s">
        <v>493</v>
      </c>
      <c r="F76" s="7"/>
      <c r="G76" s="7"/>
      <c r="H76" s="49">
        <f>IFERROR(VLOOKUP(B76,[1]Debate!$A$5:$O$262,3,FALSE),"0")</f>
        <v>2</v>
      </c>
      <c r="I76" s="7"/>
      <c r="J76" s="7"/>
      <c r="K76" s="59">
        <f t="shared" si="8"/>
        <v>2</v>
      </c>
      <c r="L76" s="49">
        <v>2</v>
      </c>
      <c r="M76" s="49">
        <v>3</v>
      </c>
      <c r="N76" s="49">
        <v>3</v>
      </c>
      <c r="O76" s="49">
        <v>4</v>
      </c>
      <c r="P76" s="49">
        <v>3</v>
      </c>
      <c r="Q76" s="59">
        <f t="shared" si="9"/>
        <v>3</v>
      </c>
      <c r="R76" s="49"/>
      <c r="S76" s="49"/>
      <c r="T76" s="7"/>
      <c r="U76" s="49"/>
      <c r="V76" s="7"/>
      <c r="W76" s="59" t="str">
        <f t="shared" si="10"/>
        <v>A</v>
      </c>
      <c r="X76" s="49">
        <v>3</v>
      </c>
      <c r="Y76" s="49"/>
      <c r="Z76" s="7"/>
      <c r="AA76" s="7"/>
      <c r="AB76" s="7"/>
      <c r="AC76" s="59">
        <f t="shared" si="11"/>
        <v>3</v>
      </c>
      <c r="AD76" s="49"/>
      <c r="AE76" s="7"/>
      <c r="AF76" s="49"/>
      <c r="AG76" s="7"/>
      <c r="AH76" s="7"/>
      <c r="AI76" s="59" t="str">
        <f t="shared" si="12"/>
        <v>A</v>
      </c>
      <c r="AJ76" s="49">
        <v>3</v>
      </c>
      <c r="AK76" s="49">
        <v>2</v>
      </c>
      <c r="AL76" s="7"/>
      <c r="AM76" s="49">
        <v>2</v>
      </c>
      <c r="AN76" s="7"/>
      <c r="AO76" s="59">
        <f t="shared" si="13"/>
        <v>2.3333333333333335</v>
      </c>
      <c r="AP76" s="49">
        <v>3</v>
      </c>
      <c r="AQ76" s="49"/>
      <c r="AR76" s="49"/>
      <c r="AS76" s="7"/>
      <c r="AT76" s="7"/>
      <c r="AU76" s="59">
        <f t="shared" si="14"/>
        <v>3</v>
      </c>
      <c r="AV76" s="7"/>
      <c r="AW76" s="7"/>
      <c r="AX76" s="49"/>
      <c r="AY76" s="49">
        <v>3</v>
      </c>
      <c r="AZ76" s="49">
        <v>3</v>
      </c>
      <c r="BA76" s="59">
        <f t="shared" si="15"/>
        <v>3</v>
      </c>
    </row>
    <row r="77" spans="1:53" ht="23.1" customHeight="1" x14ac:dyDescent="0.3">
      <c r="A77" s="49">
        <v>75</v>
      </c>
      <c r="B77" s="49" t="s">
        <v>324</v>
      </c>
      <c r="C77" s="49" t="s">
        <v>325</v>
      </c>
      <c r="D77" s="49" t="s">
        <v>450</v>
      </c>
      <c r="E77" s="49" t="s">
        <v>493</v>
      </c>
      <c r="F77" s="49"/>
      <c r="G77" s="49"/>
      <c r="H77" s="49">
        <f>IFERROR(VLOOKUP(B77,[1]Debate!$A$5:$O$262,3,FALSE),"0")</f>
        <v>2.5</v>
      </c>
      <c r="I77" s="49"/>
      <c r="J77" s="49"/>
      <c r="K77" s="59">
        <f t="shared" si="8"/>
        <v>2.5</v>
      </c>
      <c r="L77" s="49">
        <v>2</v>
      </c>
      <c r="M77" s="49">
        <v>2.5</v>
      </c>
      <c r="N77" s="49">
        <v>2.5</v>
      </c>
      <c r="O77" s="49">
        <v>2.25</v>
      </c>
      <c r="P77" s="49">
        <v>2</v>
      </c>
      <c r="Q77" s="59">
        <f t="shared" si="9"/>
        <v>2.25</v>
      </c>
      <c r="R77" s="49"/>
      <c r="S77" s="49"/>
      <c r="T77" s="49"/>
      <c r="U77" s="49"/>
      <c r="V77" s="49"/>
      <c r="W77" s="59" t="str">
        <f t="shared" si="10"/>
        <v>A</v>
      </c>
      <c r="X77" s="49">
        <v>2</v>
      </c>
      <c r="Y77" s="49"/>
      <c r="Z77" s="49"/>
      <c r="AA77" s="49"/>
      <c r="AB77" s="49"/>
      <c r="AC77" s="59">
        <f t="shared" si="11"/>
        <v>2</v>
      </c>
      <c r="AD77" s="49"/>
      <c r="AE77" s="49"/>
      <c r="AF77" s="49"/>
      <c r="AG77" s="49"/>
      <c r="AH77" s="49"/>
      <c r="AI77" s="59" t="str">
        <f t="shared" si="12"/>
        <v>A</v>
      </c>
      <c r="AJ77" s="49">
        <v>2</v>
      </c>
      <c r="AK77" s="49">
        <v>2.5</v>
      </c>
      <c r="AL77" s="49"/>
      <c r="AM77" s="49">
        <v>2</v>
      </c>
      <c r="AN77" s="49"/>
      <c r="AO77" s="59">
        <f t="shared" si="13"/>
        <v>2.1666666666666665</v>
      </c>
      <c r="AP77" s="49">
        <v>2</v>
      </c>
      <c r="AQ77" s="49"/>
      <c r="AR77" s="49"/>
      <c r="AS77" s="49"/>
      <c r="AT77" s="49"/>
      <c r="AU77" s="59">
        <f t="shared" si="14"/>
        <v>2</v>
      </c>
      <c r="AV77" s="49"/>
      <c r="AW77" s="49"/>
      <c r="AX77" s="49"/>
      <c r="AY77" s="49">
        <v>2.5</v>
      </c>
      <c r="AZ77" s="49">
        <v>2.5</v>
      </c>
      <c r="BA77" s="59">
        <f t="shared" si="15"/>
        <v>2.5</v>
      </c>
    </row>
    <row r="78" spans="1:53" ht="23.1" customHeight="1" x14ac:dyDescent="0.3">
      <c r="A78" s="7">
        <v>76</v>
      </c>
      <c r="B78" s="7" t="s">
        <v>326</v>
      </c>
      <c r="C78" s="7" t="s">
        <v>327</v>
      </c>
      <c r="D78" s="7" t="s">
        <v>450</v>
      </c>
      <c r="E78" s="7" t="s">
        <v>493</v>
      </c>
      <c r="F78" s="7"/>
      <c r="G78" s="7"/>
      <c r="H78" s="49">
        <f>IFERROR(VLOOKUP(B78,[1]Debate!$A$5:$O$262,3,FALSE),"0")</f>
        <v>3</v>
      </c>
      <c r="I78" s="7"/>
      <c r="J78" s="7"/>
      <c r="K78" s="59">
        <f t="shared" si="8"/>
        <v>3</v>
      </c>
      <c r="L78" s="49">
        <v>5</v>
      </c>
      <c r="M78" s="49">
        <v>4</v>
      </c>
      <c r="N78" s="49">
        <v>4</v>
      </c>
      <c r="O78" s="49">
        <v>3</v>
      </c>
      <c r="P78" s="49">
        <v>4</v>
      </c>
      <c r="Q78" s="59">
        <f t="shared" si="9"/>
        <v>4</v>
      </c>
      <c r="R78" s="49"/>
      <c r="S78" s="49"/>
      <c r="T78" s="7"/>
      <c r="U78" s="49"/>
      <c r="V78" s="7"/>
      <c r="W78" s="59" t="str">
        <f t="shared" si="10"/>
        <v>A</v>
      </c>
      <c r="X78" s="49">
        <v>4</v>
      </c>
      <c r="Y78" s="49"/>
      <c r="Z78" s="7"/>
      <c r="AA78" s="7"/>
      <c r="AB78" s="7"/>
      <c r="AC78" s="59">
        <f t="shared" si="11"/>
        <v>4</v>
      </c>
      <c r="AD78" s="49"/>
      <c r="AE78" s="7"/>
      <c r="AF78" s="49"/>
      <c r="AG78" s="7"/>
      <c r="AH78" s="7"/>
      <c r="AI78" s="59" t="str">
        <f t="shared" si="12"/>
        <v>A</v>
      </c>
      <c r="AJ78" s="49">
        <v>4</v>
      </c>
      <c r="AK78" s="49">
        <v>4</v>
      </c>
      <c r="AL78" s="7"/>
      <c r="AM78" s="49">
        <v>4</v>
      </c>
      <c r="AN78" s="7"/>
      <c r="AO78" s="59">
        <f t="shared" si="13"/>
        <v>4</v>
      </c>
      <c r="AP78" s="49">
        <v>3</v>
      </c>
      <c r="AQ78" s="49"/>
      <c r="AR78" s="49"/>
      <c r="AS78" s="7"/>
      <c r="AT78" s="7"/>
      <c r="AU78" s="59">
        <f t="shared" si="14"/>
        <v>3</v>
      </c>
      <c r="AV78" s="7"/>
      <c r="AW78" s="7"/>
      <c r="AX78" s="49"/>
      <c r="AY78" s="49">
        <v>4</v>
      </c>
      <c r="AZ78" s="49">
        <v>4</v>
      </c>
      <c r="BA78" s="59">
        <f t="shared" si="15"/>
        <v>4</v>
      </c>
    </row>
    <row r="79" spans="1:53" ht="23.1" customHeight="1" x14ac:dyDescent="0.3">
      <c r="A79" s="49">
        <v>77</v>
      </c>
      <c r="B79" s="49" t="s">
        <v>328</v>
      </c>
      <c r="C79" s="49" t="s">
        <v>329</v>
      </c>
      <c r="D79" s="49" t="s">
        <v>450</v>
      </c>
      <c r="E79" s="49" t="s">
        <v>493</v>
      </c>
      <c r="F79" s="49"/>
      <c r="G79" s="49"/>
      <c r="H79" s="49">
        <f>IFERROR(VLOOKUP(B79,[1]Debate!$A$5:$O$262,3,FALSE),"0")</f>
        <v>3</v>
      </c>
      <c r="I79" s="49"/>
      <c r="J79" s="49"/>
      <c r="K79" s="59">
        <f t="shared" si="8"/>
        <v>3</v>
      </c>
      <c r="L79" s="49">
        <v>3</v>
      </c>
      <c r="M79" s="49">
        <v>2</v>
      </c>
      <c r="N79" s="49">
        <v>2</v>
      </c>
      <c r="O79" s="49">
        <v>3</v>
      </c>
      <c r="P79" s="49">
        <v>2</v>
      </c>
      <c r="Q79" s="59">
        <f t="shared" si="9"/>
        <v>2.4</v>
      </c>
      <c r="R79" s="49"/>
      <c r="S79" s="49"/>
      <c r="T79" s="49"/>
      <c r="U79" s="49"/>
      <c r="V79" s="49"/>
      <c r="W79" s="59" t="str">
        <f t="shared" si="10"/>
        <v>A</v>
      </c>
      <c r="X79" s="49">
        <v>3</v>
      </c>
      <c r="Y79" s="49"/>
      <c r="Z79" s="49"/>
      <c r="AA79" s="49"/>
      <c r="AB79" s="49"/>
      <c r="AC79" s="59">
        <f t="shared" si="11"/>
        <v>3</v>
      </c>
      <c r="AD79" s="49"/>
      <c r="AE79" s="49"/>
      <c r="AF79" s="49"/>
      <c r="AG79" s="49"/>
      <c r="AH79" s="49"/>
      <c r="AI79" s="59" t="str">
        <f t="shared" si="12"/>
        <v>A</v>
      </c>
      <c r="AJ79" s="49">
        <v>4</v>
      </c>
      <c r="AK79" s="49">
        <v>2</v>
      </c>
      <c r="AL79" s="49"/>
      <c r="AM79" s="49">
        <v>3</v>
      </c>
      <c r="AN79" s="49"/>
      <c r="AO79" s="59">
        <f t="shared" si="13"/>
        <v>3</v>
      </c>
      <c r="AP79" s="49">
        <v>3</v>
      </c>
      <c r="AQ79" s="49"/>
      <c r="AR79" s="49"/>
      <c r="AS79" s="49"/>
      <c r="AT79" s="49"/>
      <c r="AU79" s="59">
        <f t="shared" si="14"/>
        <v>3</v>
      </c>
      <c r="AV79" s="49"/>
      <c r="AW79" s="49"/>
      <c r="AX79" s="49"/>
      <c r="AY79" s="49">
        <v>3</v>
      </c>
      <c r="AZ79" s="49">
        <v>3</v>
      </c>
      <c r="BA79" s="59">
        <f t="shared" si="15"/>
        <v>3</v>
      </c>
    </row>
    <row r="80" spans="1:53" ht="23.1" customHeight="1" x14ac:dyDescent="0.3">
      <c r="A80" s="7">
        <v>78</v>
      </c>
      <c r="B80" s="7" t="s">
        <v>330</v>
      </c>
      <c r="C80" s="7" t="s">
        <v>331</v>
      </c>
      <c r="D80" s="7" t="s">
        <v>450</v>
      </c>
      <c r="E80" s="7" t="s">
        <v>493</v>
      </c>
      <c r="F80" s="7"/>
      <c r="G80" s="7"/>
      <c r="H80" s="49">
        <f>IFERROR(VLOOKUP(B80,[1]Debate!$A$5:$O$262,3,FALSE),"0")</f>
        <v>3</v>
      </c>
      <c r="I80" s="7"/>
      <c r="J80" s="7"/>
      <c r="K80" s="59">
        <f t="shared" si="8"/>
        <v>3</v>
      </c>
      <c r="L80" s="49">
        <v>3</v>
      </c>
      <c r="M80" s="49">
        <v>3</v>
      </c>
      <c r="N80" s="49">
        <v>3</v>
      </c>
      <c r="O80" s="49">
        <v>1.5</v>
      </c>
      <c r="P80" s="49">
        <v>3</v>
      </c>
      <c r="Q80" s="59">
        <f t="shared" si="9"/>
        <v>2.7</v>
      </c>
      <c r="R80" s="49"/>
      <c r="S80" s="49"/>
      <c r="T80" s="7"/>
      <c r="U80" s="49"/>
      <c r="V80" s="7"/>
      <c r="W80" s="59" t="str">
        <f t="shared" si="10"/>
        <v>A</v>
      </c>
      <c r="X80" s="49">
        <v>3</v>
      </c>
      <c r="Y80" s="49"/>
      <c r="Z80" s="7"/>
      <c r="AA80" s="7"/>
      <c r="AB80" s="7"/>
      <c r="AC80" s="59">
        <f t="shared" si="11"/>
        <v>3</v>
      </c>
      <c r="AD80" s="49"/>
      <c r="AE80" s="7"/>
      <c r="AF80" s="49"/>
      <c r="AG80" s="7"/>
      <c r="AH80" s="7"/>
      <c r="AI80" s="59" t="str">
        <f t="shared" si="12"/>
        <v>A</v>
      </c>
      <c r="AJ80" s="49">
        <v>3</v>
      </c>
      <c r="AK80" s="49">
        <v>3</v>
      </c>
      <c r="AL80" s="7"/>
      <c r="AM80" s="49">
        <v>3</v>
      </c>
      <c r="AN80" s="7"/>
      <c r="AO80" s="59">
        <f t="shared" si="13"/>
        <v>3</v>
      </c>
      <c r="AP80" s="49">
        <v>3</v>
      </c>
      <c r="AQ80" s="49"/>
      <c r="AR80" s="49"/>
      <c r="AS80" s="7"/>
      <c r="AT80" s="7"/>
      <c r="AU80" s="59">
        <f t="shared" si="14"/>
        <v>3</v>
      </c>
      <c r="AV80" s="7"/>
      <c r="AW80" s="7"/>
      <c r="AX80" s="49"/>
      <c r="AY80" s="49">
        <v>3</v>
      </c>
      <c r="AZ80" s="49">
        <v>3</v>
      </c>
      <c r="BA80" s="59">
        <f t="shared" si="15"/>
        <v>3</v>
      </c>
    </row>
    <row r="81" spans="1:53" ht="23.1" customHeight="1" x14ac:dyDescent="0.3">
      <c r="A81" s="49">
        <v>79</v>
      </c>
      <c r="B81" s="49" t="s">
        <v>199</v>
      </c>
      <c r="C81" s="49" t="s">
        <v>200</v>
      </c>
      <c r="D81" s="49" t="s">
        <v>450</v>
      </c>
      <c r="E81" s="49" t="s">
        <v>161</v>
      </c>
      <c r="F81" s="49"/>
      <c r="G81" s="49"/>
      <c r="H81" s="49">
        <f>IFERROR(VLOOKUP(B81,[1]Debate!$A$5:$O$262,3,FALSE),"0")</f>
        <v>2</v>
      </c>
      <c r="I81" s="49"/>
      <c r="J81" s="49"/>
      <c r="K81" s="59">
        <f t="shared" si="8"/>
        <v>2</v>
      </c>
      <c r="L81" s="49">
        <v>2</v>
      </c>
      <c r="M81" s="49">
        <v>2</v>
      </c>
      <c r="N81" s="49">
        <v>2</v>
      </c>
      <c r="O81" s="49">
        <v>3</v>
      </c>
      <c r="P81" s="49">
        <v>1</v>
      </c>
      <c r="Q81" s="59">
        <f t="shared" si="9"/>
        <v>2</v>
      </c>
      <c r="R81" s="49"/>
      <c r="S81" s="49"/>
      <c r="T81" s="49"/>
      <c r="U81" s="49"/>
      <c r="V81" s="49"/>
      <c r="W81" s="59" t="str">
        <f t="shared" si="10"/>
        <v>A</v>
      </c>
      <c r="X81" s="49">
        <v>2</v>
      </c>
      <c r="Y81" s="49"/>
      <c r="Z81" s="49"/>
      <c r="AA81" s="49"/>
      <c r="AB81" s="49"/>
      <c r="AC81" s="59">
        <f t="shared" si="11"/>
        <v>2</v>
      </c>
      <c r="AD81" s="49"/>
      <c r="AE81" s="49"/>
      <c r="AF81" s="49"/>
      <c r="AG81" s="49"/>
      <c r="AH81" s="49"/>
      <c r="AI81" s="59" t="str">
        <f t="shared" si="12"/>
        <v>A</v>
      </c>
      <c r="AJ81" s="49">
        <v>3</v>
      </c>
      <c r="AK81" s="49">
        <v>4</v>
      </c>
      <c r="AL81" s="49"/>
      <c r="AM81" s="49">
        <v>3</v>
      </c>
      <c r="AN81" s="49"/>
      <c r="AO81" s="59">
        <f t="shared" si="13"/>
        <v>3.3333333333333335</v>
      </c>
      <c r="AP81" s="49">
        <v>3</v>
      </c>
      <c r="AQ81" s="49"/>
      <c r="AR81" s="49"/>
      <c r="AS81" s="49"/>
      <c r="AT81" s="49"/>
      <c r="AU81" s="59">
        <f t="shared" si="14"/>
        <v>3</v>
      </c>
      <c r="AV81" s="49"/>
      <c r="AW81" s="49"/>
      <c r="AX81" s="49"/>
      <c r="AY81" s="49">
        <v>2</v>
      </c>
      <c r="AZ81" s="49">
        <v>3</v>
      </c>
      <c r="BA81" s="59">
        <f t="shared" si="15"/>
        <v>2.5</v>
      </c>
    </row>
    <row r="82" spans="1:53" ht="23.1" customHeight="1" x14ac:dyDescent="0.3">
      <c r="A82" s="7">
        <v>80</v>
      </c>
      <c r="B82" s="7" t="s">
        <v>332</v>
      </c>
      <c r="C82" s="7" t="s">
        <v>333</v>
      </c>
      <c r="D82" s="7" t="s">
        <v>450</v>
      </c>
      <c r="E82" s="7" t="s">
        <v>493</v>
      </c>
      <c r="F82" s="7"/>
      <c r="G82" s="7"/>
      <c r="H82" s="49">
        <f>IFERROR(VLOOKUP(B82,[1]Debate!$A$5:$O$262,3,FALSE),"0")</f>
        <v>3</v>
      </c>
      <c r="I82" s="7"/>
      <c r="J82" s="7"/>
      <c r="K82" s="59">
        <f t="shared" si="8"/>
        <v>3</v>
      </c>
      <c r="L82" s="49">
        <v>3</v>
      </c>
      <c r="M82" s="49">
        <v>4</v>
      </c>
      <c r="N82" s="49">
        <v>2</v>
      </c>
      <c r="O82" s="49">
        <v>3.5</v>
      </c>
      <c r="P82" s="49">
        <v>2</v>
      </c>
      <c r="Q82" s="59">
        <f t="shared" si="9"/>
        <v>2.9</v>
      </c>
      <c r="R82" s="49"/>
      <c r="S82" s="49"/>
      <c r="T82" s="7"/>
      <c r="U82" s="49"/>
      <c r="V82" s="7"/>
      <c r="W82" s="59" t="str">
        <f t="shared" si="10"/>
        <v>A</v>
      </c>
      <c r="X82" s="49">
        <v>3</v>
      </c>
      <c r="Y82" s="49"/>
      <c r="Z82" s="7"/>
      <c r="AA82" s="7"/>
      <c r="AB82" s="7"/>
      <c r="AC82" s="59">
        <f t="shared" si="11"/>
        <v>3</v>
      </c>
      <c r="AD82" s="49"/>
      <c r="AE82" s="7"/>
      <c r="AF82" s="49"/>
      <c r="AG82" s="7"/>
      <c r="AH82" s="7"/>
      <c r="AI82" s="59" t="str">
        <f t="shared" si="12"/>
        <v>A</v>
      </c>
      <c r="AJ82" s="49">
        <v>3</v>
      </c>
      <c r="AK82" s="49">
        <v>2</v>
      </c>
      <c r="AL82" s="7"/>
      <c r="AM82" s="49">
        <v>3</v>
      </c>
      <c r="AN82" s="7"/>
      <c r="AO82" s="59">
        <f t="shared" si="13"/>
        <v>2.6666666666666665</v>
      </c>
      <c r="AP82" s="49">
        <v>3</v>
      </c>
      <c r="AQ82" s="49"/>
      <c r="AR82" s="49"/>
      <c r="AS82" s="7"/>
      <c r="AT82" s="7"/>
      <c r="AU82" s="59">
        <f t="shared" si="14"/>
        <v>3</v>
      </c>
      <c r="AV82" s="7"/>
      <c r="AW82" s="7"/>
      <c r="AX82" s="49"/>
      <c r="AY82" s="49">
        <v>3</v>
      </c>
      <c r="AZ82" s="49">
        <v>3</v>
      </c>
      <c r="BA82" s="59">
        <f t="shared" si="15"/>
        <v>3</v>
      </c>
    </row>
    <row r="83" spans="1:53" ht="23.1" customHeight="1" x14ac:dyDescent="0.3">
      <c r="A83" s="49">
        <v>81</v>
      </c>
      <c r="B83" s="49" t="s">
        <v>334</v>
      </c>
      <c r="C83" s="49" t="s">
        <v>335</v>
      </c>
      <c r="D83" s="49" t="s">
        <v>542</v>
      </c>
      <c r="E83" s="49" t="s">
        <v>493</v>
      </c>
      <c r="F83" s="49"/>
      <c r="G83" s="49"/>
      <c r="H83" s="49">
        <f>IFERROR(VLOOKUP(B83,[1]Debate!$A$5:$O$262,3,FALSE),"0")</f>
        <v>2</v>
      </c>
      <c r="I83" s="49"/>
      <c r="J83" s="49"/>
      <c r="K83" s="59">
        <f t="shared" si="8"/>
        <v>2</v>
      </c>
      <c r="L83" s="49">
        <v>2</v>
      </c>
      <c r="M83" s="49">
        <v>2</v>
      </c>
      <c r="N83" s="49">
        <v>3</v>
      </c>
      <c r="O83" s="49">
        <v>4</v>
      </c>
      <c r="P83" s="49">
        <v>2</v>
      </c>
      <c r="Q83" s="59">
        <f t="shared" si="9"/>
        <v>2.6</v>
      </c>
      <c r="R83" s="49"/>
      <c r="S83" s="49"/>
      <c r="T83" s="49"/>
      <c r="U83" s="49"/>
      <c r="V83" s="49"/>
      <c r="W83" s="59" t="str">
        <f t="shared" si="10"/>
        <v>A</v>
      </c>
      <c r="X83" s="49">
        <v>2</v>
      </c>
      <c r="Y83" s="49"/>
      <c r="Z83" s="49"/>
      <c r="AA83" s="49"/>
      <c r="AB83" s="49"/>
      <c r="AC83" s="59">
        <f t="shared" si="11"/>
        <v>2</v>
      </c>
      <c r="AD83" s="49"/>
      <c r="AE83" s="49"/>
      <c r="AF83" s="49"/>
      <c r="AG83" s="49"/>
      <c r="AH83" s="49"/>
      <c r="AI83" s="59" t="str">
        <f t="shared" si="12"/>
        <v>A</v>
      </c>
      <c r="AJ83" s="49">
        <v>3</v>
      </c>
      <c r="AK83" s="49">
        <v>2</v>
      </c>
      <c r="AL83" s="49"/>
      <c r="AM83" s="49">
        <v>3</v>
      </c>
      <c r="AN83" s="49"/>
      <c r="AO83" s="59">
        <f t="shared" si="13"/>
        <v>2.6666666666666665</v>
      </c>
      <c r="AP83" s="49">
        <v>3</v>
      </c>
      <c r="AQ83" s="49"/>
      <c r="AR83" s="49"/>
      <c r="AS83" s="49"/>
      <c r="AT83" s="49"/>
      <c r="AU83" s="59">
        <f t="shared" si="14"/>
        <v>3</v>
      </c>
      <c r="AV83" s="49"/>
      <c r="AW83" s="49"/>
      <c r="AX83" s="49"/>
      <c r="AY83" s="49">
        <v>2</v>
      </c>
      <c r="AZ83" s="49">
        <v>3</v>
      </c>
      <c r="BA83" s="59">
        <f t="shared" si="15"/>
        <v>2.5</v>
      </c>
    </row>
    <row r="84" spans="1:53" ht="23.1" customHeight="1" x14ac:dyDescent="0.3">
      <c r="A84" s="7">
        <v>82</v>
      </c>
      <c r="B84" s="7" t="s">
        <v>81</v>
      </c>
      <c r="C84" s="7" t="s">
        <v>82</v>
      </c>
      <c r="D84" s="7" t="s">
        <v>542</v>
      </c>
      <c r="E84" s="7" t="s">
        <v>35</v>
      </c>
      <c r="F84" s="7"/>
      <c r="G84" s="7"/>
      <c r="H84" s="49">
        <f>IFERROR(VLOOKUP(B84,[1]Debate!$A$5:$O$262,3,FALSE),"0")</f>
        <v>4.5</v>
      </c>
      <c r="I84" s="7"/>
      <c r="J84" s="7"/>
      <c r="K84" s="59">
        <f t="shared" si="8"/>
        <v>4.5</v>
      </c>
      <c r="L84" s="49">
        <v>3</v>
      </c>
      <c r="M84" s="49">
        <v>4.5</v>
      </c>
      <c r="N84" s="49">
        <v>3.5</v>
      </c>
      <c r="O84" s="49">
        <v>3.5</v>
      </c>
      <c r="P84" s="49">
        <v>3</v>
      </c>
      <c r="Q84" s="59">
        <f t="shared" si="9"/>
        <v>3.5</v>
      </c>
      <c r="R84" s="49"/>
      <c r="S84" s="49"/>
      <c r="T84" s="7"/>
      <c r="U84" s="49"/>
      <c r="V84" s="7"/>
      <c r="W84" s="59" t="str">
        <f t="shared" si="10"/>
        <v>A</v>
      </c>
      <c r="X84" s="49">
        <v>3</v>
      </c>
      <c r="Y84" s="49"/>
      <c r="Z84" s="7"/>
      <c r="AA84" s="7"/>
      <c r="AB84" s="7"/>
      <c r="AC84" s="59">
        <f t="shared" si="11"/>
        <v>3</v>
      </c>
      <c r="AD84" s="49"/>
      <c r="AE84" s="7"/>
      <c r="AF84" s="49"/>
      <c r="AG84" s="7"/>
      <c r="AH84" s="7"/>
      <c r="AI84" s="59" t="str">
        <f t="shared" si="12"/>
        <v>A</v>
      </c>
      <c r="AJ84" s="49">
        <v>4</v>
      </c>
      <c r="AK84" s="49">
        <v>4.5</v>
      </c>
      <c r="AL84" s="7"/>
      <c r="AM84" s="49">
        <v>2.5</v>
      </c>
      <c r="AN84" s="7"/>
      <c r="AO84" s="59">
        <f t="shared" si="13"/>
        <v>3.6666666666666665</v>
      </c>
      <c r="AP84" s="49">
        <v>4</v>
      </c>
      <c r="AQ84" s="49"/>
      <c r="AR84" s="49"/>
      <c r="AS84" s="7"/>
      <c r="AT84" s="7"/>
      <c r="AU84" s="59">
        <f t="shared" si="14"/>
        <v>4</v>
      </c>
      <c r="AV84" s="7"/>
      <c r="AW84" s="7"/>
      <c r="AX84" s="49"/>
      <c r="AY84" s="49">
        <v>4.5</v>
      </c>
      <c r="AZ84" s="49">
        <v>4.5</v>
      </c>
      <c r="BA84" s="59">
        <f t="shared" si="15"/>
        <v>4.5</v>
      </c>
    </row>
    <row r="85" spans="1:53" ht="23.1" customHeight="1" x14ac:dyDescent="0.3">
      <c r="A85" s="49">
        <v>83</v>
      </c>
      <c r="B85" s="49" t="s">
        <v>70</v>
      </c>
      <c r="C85" s="49" t="s">
        <v>71</v>
      </c>
      <c r="D85" s="49" t="s">
        <v>450</v>
      </c>
      <c r="E85" s="49" t="s">
        <v>35</v>
      </c>
      <c r="F85" s="49"/>
      <c r="G85" s="49"/>
      <c r="H85" s="49">
        <f>IFERROR(VLOOKUP(B85,[1]Debate!$A$5:$O$262,3,FALSE),"0")</f>
        <v>3</v>
      </c>
      <c r="I85" s="49"/>
      <c r="J85" s="49"/>
      <c r="K85" s="59">
        <f t="shared" si="8"/>
        <v>3</v>
      </c>
      <c r="L85" s="49">
        <v>2</v>
      </c>
      <c r="M85" s="49">
        <v>2</v>
      </c>
      <c r="N85" s="49">
        <v>2</v>
      </c>
      <c r="O85" s="49">
        <v>2</v>
      </c>
      <c r="P85" s="49">
        <v>2</v>
      </c>
      <c r="Q85" s="59">
        <f t="shared" si="9"/>
        <v>2</v>
      </c>
      <c r="R85" s="49"/>
      <c r="S85" s="49"/>
      <c r="T85" s="49"/>
      <c r="U85" s="49"/>
      <c r="V85" s="49"/>
      <c r="W85" s="59" t="str">
        <f t="shared" si="10"/>
        <v>A</v>
      </c>
      <c r="X85" s="49">
        <v>3</v>
      </c>
      <c r="Y85" s="49"/>
      <c r="Z85" s="49"/>
      <c r="AA85" s="49"/>
      <c r="AB85" s="49"/>
      <c r="AC85" s="59">
        <f t="shared" si="11"/>
        <v>3</v>
      </c>
      <c r="AD85" s="49"/>
      <c r="AE85" s="49"/>
      <c r="AF85" s="49"/>
      <c r="AG85" s="49"/>
      <c r="AH85" s="49"/>
      <c r="AI85" s="59" t="str">
        <f t="shared" si="12"/>
        <v>A</v>
      </c>
      <c r="AJ85" s="49">
        <v>3</v>
      </c>
      <c r="AK85" s="49">
        <v>3</v>
      </c>
      <c r="AL85" s="49"/>
      <c r="AM85" s="49">
        <v>2</v>
      </c>
      <c r="AN85" s="49"/>
      <c r="AO85" s="59">
        <f t="shared" si="13"/>
        <v>2.6666666666666665</v>
      </c>
      <c r="AP85" s="49">
        <v>3</v>
      </c>
      <c r="AQ85" s="49"/>
      <c r="AR85" s="49"/>
      <c r="AS85" s="49"/>
      <c r="AT85" s="49"/>
      <c r="AU85" s="59">
        <f t="shared" si="14"/>
        <v>3</v>
      </c>
      <c r="AV85" s="49"/>
      <c r="AW85" s="49"/>
      <c r="AX85" s="49"/>
      <c r="AY85" s="49">
        <v>2</v>
      </c>
      <c r="AZ85" s="49">
        <v>2</v>
      </c>
      <c r="BA85" s="59">
        <f t="shared" si="15"/>
        <v>2</v>
      </c>
    </row>
    <row r="86" spans="1:53" ht="23.1" customHeight="1" x14ac:dyDescent="0.3">
      <c r="A86" s="7">
        <v>84</v>
      </c>
      <c r="B86" s="7" t="s">
        <v>336</v>
      </c>
      <c r="C86" s="7" t="s">
        <v>337</v>
      </c>
      <c r="D86" s="7" t="s">
        <v>450</v>
      </c>
      <c r="E86" s="7" t="s">
        <v>493</v>
      </c>
      <c r="F86" s="7"/>
      <c r="G86" s="7"/>
      <c r="H86" s="49">
        <f>IFERROR(VLOOKUP(B86,[1]Debate!$A$5:$O$262,3,FALSE),"0")</f>
        <v>3</v>
      </c>
      <c r="I86" s="7"/>
      <c r="J86" s="7"/>
      <c r="K86" s="59">
        <f t="shared" si="8"/>
        <v>3</v>
      </c>
      <c r="L86" s="49">
        <v>3</v>
      </c>
      <c r="M86" s="49">
        <v>3</v>
      </c>
      <c r="N86" s="49">
        <v>3</v>
      </c>
      <c r="O86" s="49">
        <v>3</v>
      </c>
      <c r="P86" s="49">
        <v>3</v>
      </c>
      <c r="Q86" s="59">
        <f t="shared" si="9"/>
        <v>3</v>
      </c>
      <c r="R86" s="49"/>
      <c r="S86" s="49"/>
      <c r="T86" s="7"/>
      <c r="U86" s="49"/>
      <c r="V86" s="7"/>
      <c r="W86" s="59" t="str">
        <f t="shared" si="10"/>
        <v>A</v>
      </c>
      <c r="X86" s="49">
        <v>3</v>
      </c>
      <c r="Y86" s="49"/>
      <c r="Z86" s="7"/>
      <c r="AA86" s="7"/>
      <c r="AB86" s="7"/>
      <c r="AC86" s="59">
        <f t="shared" si="11"/>
        <v>3</v>
      </c>
      <c r="AD86" s="49"/>
      <c r="AE86" s="7"/>
      <c r="AF86" s="49"/>
      <c r="AG86" s="7"/>
      <c r="AH86" s="7"/>
      <c r="AI86" s="59" t="str">
        <f t="shared" si="12"/>
        <v>A</v>
      </c>
      <c r="AJ86" s="49">
        <v>3</v>
      </c>
      <c r="AK86" s="49">
        <v>3</v>
      </c>
      <c r="AL86" s="7"/>
      <c r="AM86" s="49">
        <v>3</v>
      </c>
      <c r="AN86" s="7"/>
      <c r="AO86" s="59">
        <f t="shared" si="13"/>
        <v>3</v>
      </c>
      <c r="AP86" s="49">
        <v>3</v>
      </c>
      <c r="AQ86" s="49"/>
      <c r="AR86" s="49"/>
      <c r="AS86" s="7"/>
      <c r="AT86" s="7"/>
      <c r="AU86" s="59">
        <f t="shared" si="14"/>
        <v>3</v>
      </c>
      <c r="AV86" s="7"/>
      <c r="AW86" s="7"/>
      <c r="AX86" s="49"/>
      <c r="AY86" s="49">
        <v>3</v>
      </c>
      <c r="AZ86" s="49">
        <v>3</v>
      </c>
      <c r="BA86" s="59">
        <f t="shared" si="15"/>
        <v>3</v>
      </c>
    </row>
    <row r="87" spans="1:53" ht="23.1" customHeight="1" x14ac:dyDescent="0.3">
      <c r="A87" s="49">
        <v>85</v>
      </c>
      <c r="B87" s="49" t="s">
        <v>134</v>
      </c>
      <c r="C87" s="49" t="s">
        <v>135</v>
      </c>
      <c r="D87" s="49" t="s">
        <v>450</v>
      </c>
      <c r="E87" s="49" t="s">
        <v>35</v>
      </c>
      <c r="F87" s="49"/>
      <c r="G87" s="49"/>
      <c r="H87" s="49">
        <f>IFERROR(VLOOKUP(B87,[1]Debate!$A$5:$O$262,3,FALSE),"0")</f>
        <v>4</v>
      </c>
      <c r="I87" s="49"/>
      <c r="J87" s="49"/>
      <c r="K87" s="59">
        <f t="shared" si="8"/>
        <v>4</v>
      </c>
      <c r="L87" s="49">
        <v>4</v>
      </c>
      <c r="M87" s="49">
        <v>4</v>
      </c>
      <c r="N87" s="49">
        <v>4</v>
      </c>
      <c r="O87" s="49">
        <v>4</v>
      </c>
      <c r="P87" s="49">
        <v>4</v>
      </c>
      <c r="Q87" s="59">
        <f t="shared" si="9"/>
        <v>4</v>
      </c>
      <c r="R87" s="49"/>
      <c r="S87" s="49"/>
      <c r="T87" s="49"/>
      <c r="U87" s="49"/>
      <c r="V87" s="49"/>
      <c r="W87" s="59" t="str">
        <f t="shared" si="10"/>
        <v>A</v>
      </c>
      <c r="X87" s="49">
        <v>4</v>
      </c>
      <c r="Y87" s="49"/>
      <c r="Z87" s="49"/>
      <c r="AA87" s="49"/>
      <c r="AB87" s="49"/>
      <c r="AC87" s="59">
        <f t="shared" si="11"/>
        <v>4</v>
      </c>
      <c r="AD87" s="49"/>
      <c r="AE87" s="49"/>
      <c r="AF87" s="49"/>
      <c r="AG87" s="49"/>
      <c r="AH87" s="49"/>
      <c r="AI87" s="59" t="str">
        <f t="shared" si="12"/>
        <v>A</v>
      </c>
      <c r="AJ87" s="49">
        <v>4</v>
      </c>
      <c r="AK87" s="49">
        <v>4</v>
      </c>
      <c r="AL87" s="49"/>
      <c r="AM87" s="49">
        <v>4</v>
      </c>
      <c r="AN87" s="49"/>
      <c r="AO87" s="59">
        <f t="shared" si="13"/>
        <v>4</v>
      </c>
      <c r="AP87" s="49">
        <v>4</v>
      </c>
      <c r="AQ87" s="49"/>
      <c r="AR87" s="49"/>
      <c r="AS87" s="49"/>
      <c r="AT87" s="49"/>
      <c r="AU87" s="59">
        <f t="shared" si="14"/>
        <v>4</v>
      </c>
      <c r="AV87" s="49"/>
      <c r="AW87" s="49"/>
      <c r="AX87" s="49"/>
      <c r="AY87" s="49">
        <v>4</v>
      </c>
      <c r="AZ87" s="49">
        <v>4</v>
      </c>
      <c r="BA87" s="59">
        <f t="shared" si="15"/>
        <v>4</v>
      </c>
    </row>
    <row r="88" spans="1:53" ht="23.1" customHeight="1" x14ac:dyDescent="0.3">
      <c r="A88" s="7">
        <v>86</v>
      </c>
      <c r="B88" s="7" t="s">
        <v>215</v>
      </c>
      <c r="C88" s="7" t="s">
        <v>216</v>
      </c>
      <c r="D88" s="7" t="s">
        <v>450</v>
      </c>
      <c r="E88" s="7" t="s">
        <v>161</v>
      </c>
      <c r="F88" s="7"/>
      <c r="G88" s="7"/>
      <c r="H88" s="49">
        <f>IFERROR(VLOOKUP(B88,[1]Debate!$A$5:$O$262,3,FALSE),"0")</f>
        <v>2</v>
      </c>
      <c r="I88" s="7"/>
      <c r="J88" s="7"/>
      <c r="K88" s="59">
        <f t="shared" si="8"/>
        <v>2</v>
      </c>
      <c r="L88" s="49">
        <v>3</v>
      </c>
      <c r="M88" s="49">
        <v>3</v>
      </c>
      <c r="N88" s="49">
        <v>2</v>
      </c>
      <c r="O88" s="49">
        <v>0.5</v>
      </c>
      <c r="P88" s="49">
        <v>2</v>
      </c>
      <c r="Q88" s="59">
        <f t="shared" si="9"/>
        <v>2.1</v>
      </c>
      <c r="R88" s="49"/>
      <c r="S88" s="49"/>
      <c r="T88" s="7"/>
      <c r="U88" s="49"/>
      <c r="V88" s="7"/>
      <c r="W88" s="59" t="str">
        <f t="shared" si="10"/>
        <v>A</v>
      </c>
      <c r="X88" s="49">
        <v>2</v>
      </c>
      <c r="Y88" s="49"/>
      <c r="Z88" s="7"/>
      <c r="AA88" s="7"/>
      <c r="AB88" s="7"/>
      <c r="AC88" s="59">
        <f t="shared" si="11"/>
        <v>2</v>
      </c>
      <c r="AD88" s="49"/>
      <c r="AE88" s="7"/>
      <c r="AF88" s="49"/>
      <c r="AG88" s="7"/>
      <c r="AH88" s="7"/>
      <c r="AI88" s="59" t="str">
        <f t="shared" si="12"/>
        <v>A</v>
      </c>
      <c r="AJ88" s="49">
        <v>3</v>
      </c>
      <c r="AK88" s="49">
        <v>2</v>
      </c>
      <c r="AL88" s="7"/>
      <c r="AM88" s="49">
        <v>3</v>
      </c>
      <c r="AN88" s="7"/>
      <c r="AO88" s="59">
        <f t="shared" si="13"/>
        <v>2.6666666666666665</v>
      </c>
      <c r="AP88" s="49">
        <v>3</v>
      </c>
      <c r="AQ88" s="49"/>
      <c r="AR88" s="49"/>
      <c r="AS88" s="7"/>
      <c r="AT88" s="7"/>
      <c r="AU88" s="59">
        <f t="shared" si="14"/>
        <v>3</v>
      </c>
      <c r="AV88" s="7"/>
      <c r="AW88" s="7"/>
      <c r="AX88" s="49"/>
      <c r="AY88" s="49">
        <v>2</v>
      </c>
      <c r="AZ88" s="49">
        <v>4</v>
      </c>
      <c r="BA88" s="59">
        <f t="shared" si="15"/>
        <v>3</v>
      </c>
    </row>
    <row r="89" spans="1:53" ht="23.1" customHeight="1" x14ac:dyDescent="0.3">
      <c r="A89" s="49">
        <v>87</v>
      </c>
      <c r="B89" s="49" t="s">
        <v>338</v>
      </c>
      <c r="C89" s="49" t="s">
        <v>339</v>
      </c>
      <c r="D89" s="49" t="s">
        <v>542</v>
      </c>
      <c r="E89" s="49" t="s">
        <v>493</v>
      </c>
      <c r="F89" s="49"/>
      <c r="G89" s="49"/>
      <c r="H89" s="49">
        <f>IFERROR(VLOOKUP(B89,[1]Debate!$A$5:$O$262,3,FALSE),"0")</f>
        <v>4</v>
      </c>
      <c r="I89" s="49"/>
      <c r="J89" s="49"/>
      <c r="K89" s="59">
        <f t="shared" si="8"/>
        <v>4</v>
      </c>
      <c r="L89" s="49">
        <v>4</v>
      </c>
      <c r="M89" s="49">
        <v>3</v>
      </c>
      <c r="N89" s="49">
        <v>4</v>
      </c>
      <c r="O89" s="49">
        <v>2.5</v>
      </c>
      <c r="P89" s="49">
        <v>3</v>
      </c>
      <c r="Q89" s="59">
        <f t="shared" si="9"/>
        <v>3.3</v>
      </c>
      <c r="R89" s="49"/>
      <c r="S89" s="49"/>
      <c r="T89" s="49"/>
      <c r="U89" s="49"/>
      <c r="V89" s="49"/>
      <c r="W89" s="59" t="str">
        <f t="shared" si="10"/>
        <v>A</v>
      </c>
      <c r="X89" s="49">
        <v>4</v>
      </c>
      <c r="Y89" s="49"/>
      <c r="Z89" s="49"/>
      <c r="AA89" s="49"/>
      <c r="AB89" s="49"/>
      <c r="AC89" s="59">
        <f t="shared" si="11"/>
        <v>4</v>
      </c>
      <c r="AD89" s="49"/>
      <c r="AE89" s="49"/>
      <c r="AF89" s="49"/>
      <c r="AG89" s="49"/>
      <c r="AH89" s="49"/>
      <c r="AI89" s="59" t="str">
        <f t="shared" si="12"/>
        <v>A</v>
      </c>
      <c r="AJ89" s="49">
        <v>3</v>
      </c>
      <c r="AK89" s="49">
        <v>4</v>
      </c>
      <c r="AL89" s="49"/>
      <c r="AM89" s="49">
        <v>3</v>
      </c>
      <c r="AN89" s="49"/>
      <c r="AO89" s="59">
        <f t="shared" si="13"/>
        <v>3.3333333333333335</v>
      </c>
      <c r="AP89" s="49">
        <v>4</v>
      </c>
      <c r="AQ89" s="49"/>
      <c r="AR89" s="49"/>
      <c r="AS89" s="49"/>
      <c r="AT89" s="49"/>
      <c r="AU89" s="59">
        <f t="shared" si="14"/>
        <v>4</v>
      </c>
      <c r="AV89" s="49"/>
      <c r="AW89" s="49"/>
      <c r="AX89" s="49"/>
      <c r="AY89" s="49">
        <v>4</v>
      </c>
      <c r="AZ89" s="49">
        <v>4</v>
      </c>
      <c r="BA89" s="59">
        <f t="shared" si="15"/>
        <v>4</v>
      </c>
    </row>
    <row r="90" spans="1:53" ht="23.1" customHeight="1" x14ac:dyDescent="0.3">
      <c r="A90" s="7">
        <v>88</v>
      </c>
      <c r="B90" s="7" t="s">
        <v>136</v>
      </c>
      <c r="C90" s="7" t="s">
        <v>137</v>
      </c>
      <c r="D90" s="7" t="s">
        <v>542</v>
      </c>
      <c r="E90" s="7" t="s">
        <v>35</v>
      </c>
      <c r="F90" s="7"/>
      <c r="G90" s="7"/>
      <c r="H90" s="49">
        <f>IFERROR(VLOOKUP(B90,[1]Debate!$A$5:$O$262,3,FALSE),"0")</f>
        <v>3</v>
      </c>
      <c r="I90" s="7"/>
      <c r="J90" s="7"/>
      <c r="K90" s="59">
        <f t="shared" si="8"/>
        <v>3</v>
      </c>
      <c r="L90" s="49">
        <v>4</v>
      </c>
      <c r="M90" s="49">
        <v>3</v>
      </c>
      <c r="N90" s="49">
        <v>3</v>
      </c>
      <c r="O90" s="49">
        <v>2.5</v>
      </c>
      <c r="P90" s="49">
        <v>3</v>
      </c>
      <c r="Q90" s="59">
        <f t="shared" si="9"/>
        <v>3.1</v>
      </c>
      <c r="R90" s="49"/>
      <c r="S90" s="49"/>
      <c r="T90" s="7"/>
      <c r="U90" s="49"/>
      <c r="V90" s="7"/>
      <c r="W90" s="59" t="str">
        <f t="shared" si="10"/>
        <v>A</v>
      </c>
      <c r="X90" s="49">
        <v>4</v>
      </c>
      <c r="Y90" s="49"/>
      <c r="Z90" s="7"/>
      <c r="AA90" s="7"/>
      <c r="AB90" s="7"/>
      <c r="AC90" s="59">
        <f t="shared" si="11"/>
        <v>4</v>
      </c>
      <c r="AD90" s="49"/>
      <c r="AE90" s="7"/>
      <c r="AF90" s="49"/>
      <c r="AG90" s="7"/>
      <c r="AH90" s="7"/>
      <c r="AI90" s="59" t="str">
        <f t="shared" si="12"/>
        <v>A</v>
      </c>
      <c r="AJ90" s="49">
        <v>4</v>
      </c>
      <c r="AK90" s="49">
        <v>3</v>
      </c>
      <c r="AL90" s="7"/>
      <c r="AM90" s="49">
        <v>4</v>
      </c>
      <c r="AN90" s="7"/>
      <c r="AO90" s="59">
        <f t="shared" si="13"/>
        <v>3.6666666666666665</v>
      </c>
      <c r="AP90" s="49">
        <v>3</v>
      </c>
      <c r="AQ90" s="49"/>
      <c r="AR90" s="49"/>
      <c r="AS90" s="7"/>
      <c r="AT90" s="7"/>
      <c r="AU90" s="59">
        <f t="shared" si="14"/>
        <v>3</v>
      </c>
      <c r="AV90" s="7"/>
      <c r="AW90" s="7"/>
      <c r="AX90" s="49"/>
      <c r="AY90" s="49">
        <v>4</v>
      </c>
      <c r="AZ90" s="49">
        <v>3</v>
      </c>
      <c r="BA90" s="59">
        <f t="shared" si="15"/>
        <v>3.5</v>
      </c>
    </row>
    <row r="91" spans="1:53" ht="23.1" customHeight="1" x14ac:dyDescent="0.3">
      <c r="A91" s="49">
        <v>89</v>
      </c>
      <c r="B91" s="49" t="s">
        <v>62</v>
      </c>
      <c r="C91" s="49" t="s">
        <v>63</v>
      </c>
      <c r="D91" s="49" t="s">
        <v>542</v>
      </c>
      <c r="E91" s="49" t="s">
        <v>35</v>
      </c>
      <c r="F91" s="49"/>
      <c r="G91" s="49"/>
      <c r="H91" s="49">
        <f>IFERROR(VLOOKUP(B91,[1]Debate!$A$5:$O$262,3,FALSE),"0")</f>
        <v>4</v>
      </c>
      <c r="I91" s="49"/>
      <c r="J91" s="49"/>
      <c r="K91" s="59">
        <f t="shared" si="8"/>
        <v>4</v>
      </c>
      <c r="L91" s="49">
        <v>4</v>
      </c>
      <c r="M91" s="49">
        <v>4</v>
      </c>
      <c r="N91" s="49">
        <v>4</v>
      </c>
      <c r="O91" s="49">
        <v>4</v>
      </c>
      <c r="P91" s="49">
        <v>4</v>
      </c>
      <c r="Q91" s="59">
        <f t="shared" si="9"/>
        <v>4</v>
      </c>
      <c r="R91" s="49"/>
      <c r="S91" s="49"/>
      <c r="T91" s="49"/>
      <c r="U91" s="49"/>
      <c r="V91" s="49"/>
      <c r="W91" s="59" t="str">
        <f t="shared" si="10"/>
        <v>A</v>
      </c>
      <c r="X91" s="49">
        <v>4</v>
      </c>
      <c r="Y91" s="49"/>
      <c r="Z91" s="49"/>
      <c r="AA91" s="49"/>
      <c r="AB91" s="49"/>
      <c r="AC91" s="59">
        <f t="shared" si="11"/>
        <v>4</v>
      </c>
      <c r="AD91" s="49"/>
      <c r="AE91" s="49"/>
      <c r="AF91" s="49"/>
      <c r="AG91" s="49"/>
      <c r="AH91" s="49"/>
      <c r="AI91" s="59" t="str">
        <f t="shared" si="12"/>
        <v>A</v>
      </c>
      <c r="AJ91" s="49">
        <v>4</v>
      </c>
      <c r="AK91" s="49">
        <v>4</v>
      </c>
      <c r="AL91" s="49"/>
      <c r="AM91" s="49">
        <v>4</v>
      </c>
      <c r="AN91" s="49"/>
      <c r="AO91" s="59">
        <f t="shared" si="13"/>
        <v>4</v>
      </c>
      <c r="AP91" s="49">
        <v>4</v>
      </c>
      <c r="AQ91" s="49"/>
      <c r="AR91" s="49"/>
      <c r="AS91" s="49"/>
      <c r="AT91" s="49"/>
      <c r="AU91" s="59">
        <f t="shared" si="14"/>
        <v>4</v>
      </c>
      <c r="AV91" s="49"/>
      <c r="AW91" s="49"/>
      <c r="AX91" s="49"/>
      <c r="AY91" s="49">
        <v>4</v>
      </c>
      <c r="AZ91" s="49">
        <v>3</v>
      </c>
      <c r="BA91" s="59">
        <f t="shared" si="15"/>
        <v>3.5</v>
      </c>
    </row>
    <row r="92" spans="1:53" ht="23.1" customHeight="1" x14ac:dyDescent="0.3">
      <c r="A92" s="7">
        <v>90</v>
      </c>
      <c r="B92" s="7" t="s">
        <v>38</v>
      </c>
      <c r="C92" s="7" t="s">
        <v>39</v>
      </c>
      <c r="D92" s="7" t="s">
        <v>544</v>
      </c>
      <c r="E92" s="7" t="s">
        <v>35</v>
      </c>
      <c r="F92" s="7"/>
      <c r="G92" s="7"/>
      <c r="H92" s="49">
        <f>IFERROR(VLOOKUP(B92,[1]Debate!$A$5:$O$262,3,FALSE),"0")</f>
        <v>3</v>
      </c>
      <c r="I92" s="7"/>
      <c r="J92" s="7"/>
      <c r="K92" s="59">
        <f t="shared" si="8"/>
        <v>3</v>
      </c>
      <c r="L92" s="49">
        <v>3</v>
      </c>
      <c r="M92" s="49">
        <v>3</v>
      </c>
      <c r="N92" s="49">
        <v>3</v>
      </c>
      <c r="O92" s="49">
        <v>3.5</v>
      </c>
      <c r="P92" s="49">
        <v>3</v>
      </c>
      <c r="Q92" s="59">
        <f t="shared" si="9"/>
        <v>3.1</v>
      </c>
      <c r="R92" s="49"/>
      <c r="S92" s="49"/>
      <c r="T92" s="7"/>
      <c r="U92" s="49"/>
      <c r="V92" s="7"/>
      <c r="W92" s="59" t="str">
        <f t="shared" si="10"/>
        <v>A</v>
      </c>
      <c r="X92" s="49">
        <v>3</v>
      </c>
      <c r="Y92" s="49"/>
      <c r="Z92" s="7"/>
      <c r="AA92" s="7"/>
      <c r="AB92" s="7"/>
      <c r="AC92" s="59">
        <f t="shared" si="11"/>
        <v>3</v>
      </c>
      <c r="AD92" s="49"/>
      <c r="AE92" s="7"/>
      <c r="AF92" s="49"/>
      <c r="AG92" s="7"/>
      <c r="AH92" s="7"/>
      <c r="AI92" s="59" t="str">
        <f t="shared" si="12"/>
        <v>A</v>
      </c>
      <c r="AJ92" s="49">
        <v>2</v>
      </c>
      <c r="AK92" s="49">
        <v>3</v>
      </c>
      <c r="AL92" s="7"/>
      <c r="AM92" s="49">
        <v>2</v>
      </c>
      <c r="AN92" s="7"/>
      <c r="AO92" s="59">
        <f t="shared" si="13"/>
        <v>2.3333333333333335</v>
      </c>
      <c r="AP92" s="49">
        <v>3</v>
      </c>
      <c r="AQ92" s="49"/>
      <c r="AR92" s="49"/>
      <c r="AS92" s="7"/>
      <c r="AT92" s="7"/>
      <c r="AU92" s="59">
        <f t="shared" si="14"/>
        <v>3</v>
      </c>
      <c r="AV92" s="7"/>
      <c r="AW92" s="7"/>
      <c r="AX92" s="49"/>
      <c r="AY92" s="49">
        <v>3</v>
      </c>
      <c r="AZ92" s="49">
        <v>3</v>
      </c>
      <c r="BA92" s="59">
        <f t="shared" si="15"/>
        <v>3</v>
      </c>
    </row>
    <row r="93" spans="1:53" ht="23.1" customHeight="1" x14ac:dyDescent="0.3">
      <c r="A93" s="49">
        <v>91</v>
      </c>
      <c r="B93" s="49" t="s">
        <v>138</v>
      </c>
      <c r="C93" s="49" t="s">
        <v>139</v>
      </c>
      <c r="D93" s="49" t="s">
        <v>450</v>
      </c>
      <c r="E93" s="49" t="s">
        <v>35</v>
      </c>
      <c r="F93" s="49"/>
      <c r="G93" s="49"/>
      <c r="H93" s="49">
        <f>IFERROR(VLOOKUP(B93,[1]Debate!$A$5:$O$262,3,FALSE),"0")</f>
        <v>2</v>
      </c>
      <c r="I93" s="49"/>
      <c r="J93" s="49"/>
      <c r="K93" s="59">
        <f t="shared" si="8"/>
        <v>2</v>
      </c>
      <c r="L93" s="49">
        <v>3</v>
      </c>
      <c r="M93" s="49">
        <v>2</v>
      </c>
      <c r="N93" s="49">
        <v>1</v>
      </c>
      <c r="O93" s="49">
        <v>1</v>
      </c>
      <c r="P93" s="49">
        <v>2</v>
      </c>
      <c r="Q93" s="59">
        <f t="shared" si="9"/>
        <v>1.8</v>
      </c>
      <c r="R93" s="49"/>
      <c r="S93" s="49"/>
      <c r="T93" s="49"/>
      <c r="U93" s="49"/>
      <c r="V93" s="49"/>
      <c r="W93" s="59" t="str">
        <f t="shared" si="10"/>
        <v>A</v>
      </c>
      <c r="X93" s="49">
        <v>1</v>
      </c>
      <c r="Y93" s="49"/>
      <c r="Z93" s="49"/>
      <c r="AA93" s="49"/>
      <c r="AB93" s="49"/>
      <c r="AC93" s="59">
        <f t="shared" si="11"/>
        <v>1</v>
      </c>
      <c r="AD93" s="49"/>
      <c r="AE93" s="49"/>
      <c r="AF93" s="49"/>
      <c r="AG93" s="49"/>
      <c r="AH93" s="49"/>
      <c r="AI93" s="59" t="str">
        <f t="shared" si="12"/>
        <v>A</v>
      </c>
      <c r="AJ93" s="49">
        <v>1</v>
      </c>
      <c r="AK93" s="49">
        <v>1</v>
      </c>
      <c r="AL93" s="49"/>
      <c r="AM93" s="49">
        <v>1</v>
      </c>
      <c r="AN93" s="49"/>
      <c r="AO93" s="59">
        <f t="shared" si="13"/>
        <v>1</v>
      </c>
      <c r="AP93" s="49">
        <v>3</v>
      </c>
      <c r="AQ93" s="49"/>
      <c r="AR93" s="49"/>
      <c r="AS93" s="49"/>
      <c r="AT93" s="49"/>
      <c r="AU93" s="59">
        <f t="shared" si="14"/>
        <v>3</v>
      </c>
      <c r="AV93" s="49"/>
      <c r="AW93" s="49"/>
      <c r="AX93" s="49"/>
      <c r="AY93" s="49">
        <v>1</v>
      </c>
      <c r="AZ93" s="49">
        <v>1</v>
      </c>
      <c r="BA93" s="59">
        <f t="shared" si="15"/>
        <v>1</v>
      </c>
    </row>
    <row r="94" spans="1:53" ht="23.1" customHeight="1" x14ac:dyDescent="0.3">
      <c r="A94" s="7">
        <v>92</v>
      </c>
      <c r="B94" s="7" t="s">
        <v>231</v>
      </c>
      <c r="C94" s="7" t="s">
        <v>232</v>
      </c>
      <c r="D94" s="7" t="s">
        <v>450</v>
      </c>
      <c r="E94" s="7" t="s">
        <v>161</v>
      </c>
      <c r="F94" s="7"/>
      <c r="G94" s="7"/>
      <c r="H94" s="49">
        <f>IFERROR(VLOOKUP(B94,[1]Debate!$A$5:$O$262,3,FALSE),"0")</f>
        <v>3</v>
      </c>
      <c r="I94" s="7"/>
      <c r="J94" s="7"/>
      <c r="K94" s="59">
        <f t="shared" si="8"/>
        <v>3</v>
      </c>
      <c r="L94" s="49">
        <v>2</v>
      </c>
      <c r="M94" s="49">
        <v>2</v>
      </c>
      <c r="N94" s="49">
        <v>3</v>
      </c>
      <c r="O94" s="49">
        <v>3.5</v>
      </c>
      <c r="P94" s="49">
        <v>2</v>
      </c>
      <c r="Q94" s="59">
        <f t="shared" si="9"/>
        <v>2.5</v>
      </c>
      <c r="R94" s="49"/>
      <c r="S94" s="49"/>
      <c r="T94" s="7"/>
      <c r="U94" s="49"/>
      <c r="V94" s="7"/>
      <c r="W94" s="59" t="str">
        <f t="shared" si="10"/>
        <v>A</v>
      </c>
      <c r="X94" s="49">
        <v>3</v>
      </c>
      <c r="Y94" s="49"/>
      <c r="Z94" s="7"/>
      <c r="AA94" s="7"/>
      <c r="AB94" s="7"/>
      <c r="AC94" s="59">
        <f t="shared" si="11"/>
        <v>3</v>
      </c>
      <c r="AD94" s="49"/>
      <c r="AE94" s="7"/>
      <c r="AF94" s="49"/>
      <c r="AG94" s="7"/>
      <c r="AH94" s="7"/>
      <c r="AI94" s="59" t="str">
        <f t="shared" si="12"/>
        <v>A</v>
      </c>
      <c r="AJ94" s="49">
        <v>3</v>
      </c>
      <c r="AK94" s="49">
        <v>2</v>
      </c>
      <c r="AL94" s="7"/>
      <c r="AM94" s="49">
        <v>4</v>
      </c>
      <c r="AN94" s="7"/>
      <c r="AO94" s="59">
        <f t="shared" si="13"/>
        <v>3</v>
      </c>
      <c r="AP94" s="49">
        <v>3</v>
      </c>
      <c r="AQ94" s="49"/>
      <c r="AR94" s="49"/>
      <c r="AS94" s="7"/>
      <c r="AT94" s="7"/>
      <c r="AU94" s="59">
        <f t="shared" si="14"/>
        <v>3</v>
      </c>
      <c r="AV94" s="7"/>
      <c r="AW94" s="7"/>
      <c r="AX94" s="49"/>
      <c r="AY94" s="49">
        <v>2</v>
      </c>
      <c r="AZ94" s="49">
        <v>3</v>
      </c>
      <c r="BA94" s="59">
        <f t="shared" si="15"/>
        <v>2.5</v>
      </c>
    </row>
    <row r="95" spans="1:53" ht="23.1" customHeight="1" x14ac:dyDescent="0.3">
      <c r="A95" s="49">
        <v>93</v>
      </c>
      <c r="B95" s="49" t="s">
        <v>340</v>
      </c>
      <c r="C95" s="49" t="s">
        <v>341</v>
      </c>
      <c r="D95" s="49" t="s">
        <v>542</v>
      </c>
      <c r="E95" s="49" t="s">
        <v>493</v>
      </c>
      <c r="F95" s="49"/>
      <c r="G95" s="49"/>
      <c r="H95" s="49">
        <f>IFERROR(VLOOKUP(B95,[1]Debate!$A$5:$O$262,3,FALSE),"0")</f>
        <v>2</v>
      </c>
      <c r="I95" s="49"/>
      <c r="J95" s="49"/>
      <c r="K95" s="59">
        <f t="shared" si="8"/>
        <v>2</v>
      </c>
      <c r="L95" s="49">
        <v>2</v>
      </c>
      <c r="M95" s="49">
        <v>2</v>
      </c>
      <c r="N95" s="49">
        <v>2</v>
      </c>
      <c r="O95" s="49">
        <v>2</v>
      </c>
      <c r="P95" s="49">
        <v>3</v>
      </c>
      <c r="Q95" s="59">
        <f t="shared" si="9"/>
        <v>2.2000000000000002</v>
      </c>
      <c r="R95" s="49"/>
      <c r="S95" s="49"/>
      <c r="T95" s="49"/>
      <c r="U95" s="49"/>
      <c r="V95" s="49"/>
      <c r="W95" s="59" t="str">
        <f t="shared" si="10"/>
        <v>A</v>
      </c>
      <c r="X95" s="49">
        <v>2</v>
      </c>
      <c r="Y95" s="49"/>
      <c r="Z95" s="49"/>
      <c r="AA95" s="49"/>
      <c r="AB95" s="49"/>
      <c r="AC95" s="59">
        <f t="shared" si="11"/>
        <v>2</v>
      </c>
      <c r="AD95" s="49"/>
      <c r="AE95" s="49"/>
      <c r="AF95" s="49"/>
      <c r="AG95" s="49"/>
      <c r="AH95" s="49"/>
      <c r="AI95" s="59" t="str">
        <f t="shared" si="12"/>
        <v>A</v>
      </c>
      <c r="AJ95" s="49">
        <v>2</v>
      </c>
      <c r="AK95" s="49">
        <v>2</v>
      </c>
      <c r="AL95" s="49"/>
      <c r="AM95" s="49">
        <v>2</v>
      </c>
      <c r="AN95" s="49"/>
      <c r="AO95" s="59">
        <f t="shared" si="13"/>
        <v>2</v>
      </c>
      <c r="AP95" s="49">
        <v>3</v>
      </c>
      <c r="AQ95" s="49"/>
      <c r="AR95" s="49"/>
      <c r="AS95" s="49"/>
      <c r="AT95" s="49"/>
      <c r="AU95" s="59">
        <f t="shared" si="14"/>
        <v>3</v>
      </c>
      <c r="AV95" s="49"/>
      <c r="AW95" s="49"/>
      <c r="AX95" s="49"/>
      <c r="AY95" s="49">
        <v>2</v>
      </c>
      <c r="AZ95" s="49">
        <v>2</v>
      </c>
      <c r="BA95" s="59">
        <f t="shared" si="15"/>
        <v>2</v>
      </c>
    </row>
    <row r="96" spans="1:53" ht="23.1" customHeight="1" x14ac:dyDescent="0.3">
      <c r="A96" s="7">
        <v>94</v>
      </c>
      <c r="B96" s="7" t="s">
        <v>97</v>
      </c>
      <c r="C96" s="7" t="s">
        <v>98</v>
      </c>
      <c r="D96" s="7" t="s">
        <v>450</v>
      </c>
      <c r="E96" s="7" t="s">
        <v>35</v>
      </c>
      <c r="F96" s="7"/>
      <c r="G96" s="7"/>
      <c r="H96" s="49">
        <f>IFERROR(VLOOKUP(B96,[1]Debate!$A$5:$O$262,3,FALSE),"0")</f>
        <v>3</v>
      </c>
      <c r="I96" s="7"/>
      <c r="J96" s="7"/>
      <c r="K96" s="59">
        <f t="shared" si="8"/>
        <v>3</v>
      </c>
      <c r="L96" s="49">
        <v>4</v>
      </c>
      <c r="M96" s="49">
        <v>3</v>
      </c>
      <c r="N96" s="49">
        <v>2</v>
      </c>
      <c r="O96" s="49">
        <v>2</v>
      </c>
      <c r="P96" s="49">
        <v>3</v>
      </c>
      <c r="Q96" s="59">
        <f t="shared" si="9"/>
        <v>2.8</v>
      </c>
      <c r="R96" s="49"/>
      <c r="S96" s="49"/>
      <c r="T96" s="7"/>
      <c r="U96" s="49"/>
      <c r="V96" s="7"/>
      <c r="W96" s="59" t="str">
        <f t="shared" si="10"/>
        <v>A</v>
      </c>
      <c r="X96" s="49">
        <v>3</v>
      </c>
      <c r="Y96" s="49"/>
      <c r="Z96" s="7"/>
      <c r="AA96" s="7"/>
      <c r="AB96" s="7"/>
      <c r="AC96" s="59">
        <f t="shared" si="11"/>
        <v>3</v>
      </c>
      <c r="AD96" s="49"/>
      <c r="AE96" s="7"/>
      <c r="AF96" s="49"/>
      <c r="AG96" s="7"/>
      <c r="AH96" s="7"/>
      <c r="AI96" s="59" t="str">
        <f t="shared" si="12"/>
        <v>A</v>
      </c>
      <c r="AJ96" s="49">
        <v>4</v>
      </c>
      <c r="AK96" s="49">
        <v>3</v>
      </c>
      <c r="AL96" s="7"/>
      <c r="AM96" s="49">
        <v>3</v>
      </c>
      <c r="AN96" s="7"/>
      <c r="AO96" s="59">
        <f t="shared" si="13"/>
        <v>3.3333333333333335</v>
      </c>
      <c r="AP96" s="49">
        <v>3</v>
      </c>
      <c r="AQ96" s="49"/>
      <c r="AR96" s="49"/>
      <c r="AS96" s="7"/>
      <c r="AT96" s="7"/>
      <c r="AU96" s="59">
        <f t="shared" si="14"/>
        <v>3</v>
      </c>
      <c r="AV96" s="7"/>
      <c r="AW96" s="7"/>
      <c r="AX96" s="49"/>
      <c r="AY96" s="49">
        <v>2</v>
      </c>
      <c r="AZ96" s="49">
        <v>4</v>
      </c>
      <c r="BA96" s="59">
        <f t="shared" si="15"/>
        <v>3</v>
      </c>
    </row>
    <row r="97" spans="1:53" ht="23.1" customHeight="1" x14ac:dyDescent="0.3">
      <c r="A97" s="49">
        <v>95</v>
      </c>
      <c r="B97" s="49" t="s">
        <v>249</v>
      </c>
      <c r="C97" s="49" t="s">
        <v>250</v>
      </c>
      <c r="D97" s="49" t="s">
        <v>450</v>
      </c>
      <c r="E97" s="49" t="s">
        <v>161</v>
      </c>
      <c r="F97" s="49"/>
      <c r="G97" s="49"/>
      <c r="H97" s="49">
        <f>IFERROR(VLOOKUP(B97,[1]Debate!$A$5:$O$262,3,FALSE),"0")</f>
        <v>2</v>
      </c>
      <c r="I97" s="49"/>
      <c r="J97" s="49"/>
      <c r="K97" s="59">
        <f t="shared" si="8"/>
        <v>2</v>
      </c>
      <c r="L97" s="49">
        <v>3</v>
      </c>
      <c r="M97" s="49">
        <v>3</v>
      </c>
      <c r="N97" s="49">
        <v>3</v>
      </c>
      <c r="O97" s="49">
        <v>1.5</v>
      </c>
      <c r="P97" s="49">
        <v>3</v>
      </c>
      <c r="Q97" s="59">
        <f t="shared" si="9"/>
        <v>2.7</v>
      </c>
      <c r="R97" s="49"/>
      <c r="S97" s="49"/>
      <c r="T97" s="49"/>
      <c r="U97" s="49"/>
      <c r="V97" s="49"/>
      <c r="W97" s="59" t="str">
        <f t="shared" si="10"/>
        <v>A</v>
      </c>
      <c r="X97" s="49">
        <v>3</v>
      </c>
      <c r="Y97" s="49"/>
      <c r="Z97" s="49"/>
      <c r="AA97" s="49"/>
      <c r="AB97" s="49"/>
      <c r="AC97" s="59">
        <f t="shared" si="11"/>
        <v>3</v>
      </c>
      <c r="AD97" s="49"/>
      <c r="AE97" s="49"/>
      <c r="AF97" s="49"/>
      <c r="AG97" s="49"/>
      <c r="AH97" s="49"/>
      <c r="AI97" s="59" t="str">
        <f t="shared" si="12"/>
        <v>A</v>
      </c>
      <c r="AJ97" s="49">
        <v>3</v>
      </c>
      <c r="AK97" s="49">
        <v>3</v>
      </c>
      <c r="AL97" s="49"/>
      <c r="AM97" s="49">
        <v>3</v>
      </c>
      <c r="AN97" s="49"/>
      <c r="AO97" s="59">
        <f t="shared" si="13"/>
        <v>3</v>
      </c>
      <c r="AP97" s="49">
        <v>3</v>
      </c>
      <c r="AQ97" s="49"/>
      <c r="AR97" s="49"/>
      <c r="AS97" s="49"/>
      <c r="AT97" s="49"/>
      <c r="AU97" s="59">
        <f t="shared" si="14"/>
        <v>3</v>
      </c>
      <c r="AV97" s="49"/>
      <c r="AW97" s="49"/>
      <c r="AX97" s="49"/>
      <c r="AY97" s="49">
        <v>3</v>
      </c>
      <c r="AZ97" s="49">
        <v>3</v>
      </c>
      <c r="BA97" s="59">
        <f t="shared" si="15"/>
        <v>3</v>
      </c>
    </row>
    <row r="98" spans="1:53" ht="23.1" customHeight="1" x14ac:dyDescent="0.3">
      <c r="A98" s="7">
        <v>96</v>
      </c>
      <c r="B98" s="7" t="s">
        <v>342</v>
      </c>
      <c r="C98" s="7" t="s">
        <v>343</v>
      </c>
      <c r="D98" s="7" t="s">
        <v>450</v>
      </c>
      <c r="E98" s="7" t="s">
        <v>493</v>
      </c>
      <c r="F98" s="7"/>
      <c r="G98" s="7"/>
      <c r="H98" s="49">
        <f>IFERROR(VLOOKUP(B98,[1]Debate!$A$5:$O$262,3,FALSE),"0")</f>
        <v>2</v>
      </c>
      <c r="I98" s="7"/>
      <c r="J98" s="7"/>
      <c r="K98" s="59">
        <f t="shared" si="8"/>
        <v>2</v>
      </c>
      <c r="L98" s="49">
        <v>3</v>
      </c>
      <c r="M98" s="49">
        <v>2</v>
      </c>
      <c r="N98" s="49">
        <v>3</v>
      </c>
      <c r="O98" s="49">
        <v>2.5</v>
      </c>
      <c r="P98" s="49">
        <v>2</v>
      </c>
      <c r="Q98" s="59">
        <f t="shared" si="9"/>
        <v>2.5</v>
      </c>
      <c r="R98" s="49"/>
      <c r="S98" s="49"/>
      <c r="T98" s="7"/>
      <c r="U98" s="49"/>
      <c r="V98" s="7"/>
      <c r="W98" s="59" t="str">
        <f t="shared" si="10"/>
        <v>A</v>
      </c>
      <c r="X98" s="49">
        <v>2</v>
      </c>
      <c r="Y98" s="49"/>
      <c r="Z98" s="7"/>
      <c r="AA98" s="7"/>
      <c r="AB98" s="7"/>
      <c r="AC98" s="59">
        <f t="shared" si="11"/>
        <v>2</v>
      </c>
      <c r="AD98" s="49"/>
      <c r="AE98" s="7"/>
      <c r="AF98" s="49"/>
      <c r="AG98" s="7"/>
      <c r="AH98" s="7"/>
      <c r="AI98" s="59" t="str">
        <f t="shared" si="12"/>
        <v>A</v>
      </c>
      <c r="AJ98" s="49">
        <v>3</v>
      </c>
      <c r="AK98" s="49">
        <v>4</v>
      </c>
      <c r="AL98" s="7"/>
      <c r="AM98" s="49">
        <v>3</v>
      </c>
      <c r="AN98" s="7"/>
      <c r="AO98" s="59">
        <f t="shared" si="13"/>
        <v>3.3333333333333335</v>
      </c>
      <c r="AP98" s="49">
        <v>3</v>
      </c>
      <c r="AQ98" s="49"/>
      <c r="AR98" s="49"/>
      <c r="AS98" s="7"/>
      <c r="AT98" s="7"/>
      <c r="AU98" s="59">
        <f t="shared" si="14"/>
        <v>3</v>
      </c>
      <c r="AV98" s="7"/>
      <c r="AW98" s="7"/>
      <c r="AX98" s="49"/>
      <c r="AY98" s="49">
        <v>2</v>
      </c>
      <c r="AZ98" s="49">
        <v>2</v>
      </c>
      <c r="BA98" s="59">
        <f t="shared" si="15"/>
        <v>2</v>
      </c>
    </row>
    <row r="99" spans="1:53" ht="23.1" customHeight="1" x14ac:dyDescent="0.3">
      <c r="A99" s="49">
        <v>97</v>
      </c>
      <c r="B99" s="49" t="s">
        <v>184</v>
      </c>
      <c r="C99" s="49" t="s">
        <v>185</v>
      </c>
      <c r="D99" s="49" t="s">
        <v>542</v>
      </c>
      <c r="E99" s="49" t="s">
        <v>161</v>
      </c>
      <c r="F99" s="49"/>
      <c r="G99" s="49"/>
      <c r="H99" s="49">
        <f>IFERROR(VLOOKUP(B99,[1]Debate!$A$5:$O$262,3,FALSE),"0")</f>
        <v>3.5</v>
      </c>
      <c r="I99" s="49"/>
      <c r="J99" s="49"/>
      <c r="K99" s="59">
        <f t="shared" si="8"/>
        <v>3.5</v>
      </c>
      <c r="L99" s="49">
        <v>3</v>
      </c>
      <c r="M99" s="49">
        <v>3.5</v>
      </c>
      <c r="N99" s="49">
        <v>3.5</v>
      </c>
      <c r="O99" s="49">
        <v>3.25</v>
      </c>
      <c r="P99" s="49">
        <v>3</v>
      </c>
      <c r="Q99" s="59">
        <f t="shared" si="9"/>
        <v>3.25</v>
      </c>
      <c r="R99" s="49"/>
      <c r="S99" s="49"/>
      <c r="T99" s="49"/>
      <c r="U99" s="49"/>
      <c r="V99" s="49"/>
      <c r="W99" s="59" t="str">
        <f t="shared" si="10"/>
        <v>A</v>
      </c>
      <c r="X99" s="49">
        <v>3</v>
      </c>
      <c r="Y99" s="49"/>
      <c r="Z99" s="49"/>
      <c r="AA99" s="49"/>
      <c r="AB99" s="49"/>
      <c r="AC99" s="59">
        <f t="shared" si="11"/>
        <v>3</v>
      </c>
      <c r="AD99" s="49"/>
      <c r="AE99" s="49"/>
      <c r="AF99" s="49"/>
      <c r="AG99" s="49"/>
      <c r="AH99" s="49"/>
      <c r="AI99" s="59" t="str">
        <f t="shared" si="12"/>
        <v>A</v>
      </c>
      <c r="AJ99" s="49">
        <v>3</v>
      </c>
      <c r="AK99" s="49">
        <v>3.5</v>
      </c>
      <c r="AL99" s="49"/>
      <c r="AM99" s="49">
        <v>3</v>
      </c>
      <c r="AN99" s="49"/>
      <c r="AO99" s="59">
        <f t="shared" si="13"/>
        <v>3.1666666666666665</v>
      </c>
      <c r="AP99" s="49">
        <v>3</v>
      </c>
      <c r="AQ99" s="49"/>
      <c r="AR99" s="49"/>
      <c r="AS99" s="49"/>
      <c r="AT99" s="49"/>
      <c r="AU99" s="59">
        <f t="shared" si="14"/>
        <v>3</v>
      </c>
      <c r="AV99" s="49"/>
      <c r="AW99" s="49"/>
      <c r="AX99" s="49"/>
      <c r="AY99" s="49">
        <v>3.5</v>
      </c>
      <c r="AZ99" s="49">
        <v>3.5</v>
      </c>
      <c r="BA99" s="59">
        <f t="shared" si="15"/>
        <v>3.5</v>
      </c>
    </row>
    <row r="100" spans="1:53" ht="23.1" customHeight="1" x14ac:dyDescent="0.3">
      <c r="A100" s="7">
        <v>98</v>
      </c>
      <c r="B100" s="7" t="s">
        <v>344</v>
      </c>
      <c r="C100" s="7" t="s">
        <v>345</v>
      </c>
      <c r="D100" s="7" t="s">
        <v>542</v>
      </c>
      <c r="E100" s="7" t="s">
        <v>493</v>
      </c>
      <c r="F100" s="7"/>
      <c r="G100" s="7"/>
      <c r="H100" s="49">
        <f>IFERROR(VLOOKUP(B100,[1]Debate!$A$5:$O$262,3,FALSE),"0")</f>
        <v>3</v>
      </c>
      <c r="I100" s="7"/>
      <c r="J100" s="7"/>
      <c r="K100" s="59">
        <f t="shared" si="8"/>
        <v>3</v>
      </c>
      <c r="L100" s="49">
        <v>2</v>
      </c>
      <c r="M100" s="49">
        <v>3</v>
      </c>
      <c r="N100" s="49">
        <v>3</v>
      </c>
      <c r="O100" s="49">
        <v>2.5</v>
      </c>
      <c r="P100" s="49">
        <v>2</v>
      </c>
      <c r="Q100" s="59">
        <f t="shared" si="9"/>
        <v>2.5</v>
      </c>
      <c r="R100" s="49"/>
      <c r="S100" s="49"/>
      <c r="T100" s="7"/>
      <c r="U100" s="49"/>
      <c r="V100" s="7"/>
      <c r="W100" s="59" t="str">
        <f t="shared" si="10"/>
        <v>A</v>
      </c>
      <c r="X100" s="49">
        <v>3</v>
      </c>
      <c r="Y100" s="49"/>
      <c r="Z100" s="7"/>
      <c r="AA100" s="7"/>
      <c r="AB100" s="7"/>
      <c r="AC100" s="59">
        <f t="shared" si="11"/>
        <v>3</v>
      </c>
      <c r="AD100" s="49"/>
      <c r="AE100" s="7"/>
      <c r="AF100" s="49"/>
      <c r="AG100" s="7"/>
      <c r="AH100" s="7"/>
      <c r="AI100" s="59" t="str">
        <f t="shared" si="12"/>
        <v>A</v>
      </c>
      <c r="AJ100" s="49">
        <v>3</v>
      </c>
      <c r="AK100" s="49">
        <v>2</v>
      </c>
      <c r="AL100" s="7"/>
      <c r="AM100" s="49">
        <v>2</v>
      </c>
      <c r="AN100" s="7"/>
      <c r="AO100" s="59">
        <f t="shared" si="13"/>
        <v>2.3333333333333335</v>
      </c>
      <c r="AP100" s="49">
        <v>3</v>
      </c>
      <c r="AQ100" s="49"/>
      <c r="AR100" s="49"/>
      <c r="AS100" s="7"/>
      <c r="AT100" s="7"/>
      <c r="AU100" s="59">
        <f t="shared" si="14"/>
        <v>3</v>
      </c>
      <c r="AV100" s="7"/>
      <c r="AW100" s="7"/>
      <c r="AX100" s="49"/>
      <c r="AY100" s="49">
        <v>3</v>
      </c>
      <c r="AZ100" s="49">
        <v>3</v>
      </c>
      <c r="BA100" s="59">
        <f t="shared" si="15"/>
        <v>3</v>
      </c>
    </row>
    <row r="101" spans="1:53" ht="23.1" customHeight="1" x14ac:dyDescent="0.3">
      <c r="A101" s="49">
        <v>99</v>
      </c>
      <c r="B101" s="49" t="s">
        <v>263</v>
      </c>
      <c r="C101" s="49" t="s">
        <v>264</v>
      </c>
      <c r="D101" s="49" t="s">
        <v>450</v>
      </c>
      <c r="E101" s="49" t="s">
        <v>161</v>
      </c>
      <c r="F101" s="49"/>
      <c r="G101" s="49"/>
      <c r="H101" s="49">
        <f>IFERROR(VLOOKUP(B101,[1]Debate!$A$5:$O$262,3,FALSE),"0")</f>
        <v>1</v>
      </c>
      <c r="I101" s="49"/>
      <c r="J101" s="49"/>
      <c r="K101" s="59">
        <f t="shared" si="8"/>
        <v>1</v>
      </c>
      <c r="L101" s="49">
        <v>2</v>
      </c>
      <c r="M101" s="49">
        <v>1</v>
      </c>
      <c r="N101" s="49">
        <v>1</v>
      </c>
      <c r="O101" s="49">
        <v>2.5</v>
      </c>
      <c r="P101" s="49">
        <v>1</v>
      </c>
      <c r="Q101" s="59">
        <f t="shared" si="9"/>
        <v>1.5</v>
      </c>
      <c r="R101" s="49"/>
      <c r="S101" s="49"/>
      <c r="T101" s="49"/>
      <c r="U101" s="49"/>
      <c r="V101" s="49"/>
      <c r="W101" s="59" t="str">
        <f t="shared" si="10"/>
        <v>A</v>
      </c>
      <c r="X101" s="49">
        <v>1</v>
      </c>
      <c r="Y101" s="49"/>
      <c r="Z101" s="49"/>
      <c r="AA101" s="49"/>
      <c r="AB101" s="49"/>
      <c r="AC101" s="59">
        <f t="shared" si="11"/>
        <v>1</v>
      </c>
      <c r="AD101" s="49"/>
      <c r="AE101" s="49"/>
      <c r="AF101" s="49"/>
      <c r="AG101" s="49"/>
      <c r="AH101" s="49"/>
      <c r="AI101" s="59" t="str">
        <f t="shared" si="12"/>
        <v>A</v>
      </c>
      <c r="AJ101" s="49">
        <v>1</v>
      </c>
      <c r="AK101" s="49">
        <v>1</v>
      </c>
      <c r="AL101" s="49"/>
      <c r="AM101" s="49">
        <v>1</v>
      </c>
      <c r="AN101" s="49"/>
      <c r="AO101" s="59">
        <f t="shared" si="13"/>
        <v>1</v>
      </c>
      <c r="AP101" s="49">
        <v>3</v>
      </c>
      <c r="AQ101" s="49"/>
      <c r="AR101" s="49"/>
      <c r="AS101" s="49"/>
      <c r="AT101" s="49"/>
      <c r="AU101" s="59">
        <f t="shared" si="14"/>
        <v>3</v>
      </c>
      <c r="AV101" s="49"/>
      <c r="AW101" s="49"/>
      <c r="AX101" s="49"/>
      <c r="AY101" s="49">
        <v>2</v>
      </c>
      <c r="AZ101" s="49">
        <v>1</v>
      </c>
      <c r="BA101" s="59">
        <f t="shared" si="15"/>
        <v>1.5</v>
      </c>
    </row>
    <row r="102" spans="1:53" ht="23.1" customHeight="1" x14ac:dyDescent="0.3">
      <c r="A102" s="7">
        <v>100</v>
      </c>
      <c r="B102" s="7" t="s">
        <v>140</v>
      </c>
      <c r="C102" s="7" t="s">
        <v>141</v>
      </c>
      <c r="D102" s="7" t="s">
        <v>450</v>
      </c>
      <c r="E102" s="7" t="s">
        <v>35</v>
      </c>
      <c r="F102" s="7"/>
      <c r="G102" s="7"/>
      <c r="H102" s="49">
        <f>IFERROR(VLOOKUP(B102,[1]Debate!$A$5:$O$262,3,FALSE),"0")</f>
        <v>1</v>
      </c>
      <c r="I102" s="7"/>
      <c r="J102" s="7"/>
      <c r="K102" s="59">
        <f t="shared" si="8"/>
        <v>1</v>
      </c>
      <c r="L102" s="49">
        <v>3</v>
      </c>
      <c r="M102" s="49">
        <v>2</v>
      </c>
      <c r="N102" s="49">
        <v>1</v>
      </c>
      <c r="O102" s="49">
        <v>0</v>
      </c>
      <c r="P102" s="49">
        <v>1</v>
      </c>
      <c r="Q102" s="59">
        <f t="shared" si="9"/>
        <v>1.4</v>
      </c>
      <c r="R102" s="49"/>
      <c r="S102" s="49"/>
      <c r="T102" s="7"/>
      <c r="U102" s="49"/>
      <c r="V102" s="7"/>
      <c r="W102" s="59" t="str">
        <f t="shared" si="10"/>
        <v>A</v>
      </c>
      <c r="X102" s="49">
        <v>1</v>
      </c>
      <c r="Y102" s="49"/>
      <c r="Z102" s="7"/>
      <c r="AA102" s="7"/>
      <c r="AB102" s="7"/>
      <c r="AC102" s="59">
        <f t="shared" si="11"/>
        <v>1</v>
      </c>
      <c r="AD102" s="49"/>
      <c r="AE102" s="7"/>
      <c r="AF102" s="49"/>
      <c r="AG102" s="7"/>
      <c r="AH102" s="7"/>
      <c r="AI102" s="59" t="str">
        <f t="shared" si="12"/>
        <v>A</v>
      </c>
      <c r="AJ102" s="49">
        <v>2</v>
      </c>
      <c r="AK102" s="49">
        <v>1</v>
      </c>
      <c r="AL102" s="7"/>
      <c r="AM102" s="49">
        <v>2</v>
      </c>
      <c r="AN102" s="7"/>
      <c r="AO102" s="59">
        <f t="shared" si="13"/>
        <v>1.6666666666666667</v>
      </c>
      <c r="AP102" s="49">
        <v>3</v>
      </c>
      <c r="AQ102" s="49"/>
      <c r="AR102" s="49"/>
      <c r="AS102" s="7"/>
      <c r="AT102" s="7"/>
      <c r="AU102" s="59">
        <f t="shared" si="14"/>
        <v>3</v>
      </c>
      <c r="AV102" s="7"/>
      <c r="AW102" s="7"/>
      <c r="AX102" s="49"/>
      <c r="AY102" s="49">
        <v>1</v>
      </c>
      <c r="AZ102" s="49">
        <v>1</v>
      </c>
      <c r="BA102" s="59">
        <f t="shared" si="15"/>
        <v>1</v>
      </c>
    </row>
    <row r="103" spans="1:53" ht="23.1" customHeight="1" x14ac:dyDescent="0.3">
      <c r="A103" s="49">
        <v>101</v>
      </c>
      <c r="B103" s="49" t="s">
        <v>346</v>
      </c>
      <c r="C103" s="49" t="s">
        <v>347</v>
      </c>
      <c r="D103" s="49" t="s">
        <v>450</v>
      </c>
      <c r="E103" s="49" t="s">
        <v>493</v>
      </c>
      <c r="F103" s="49"/>
      <c r="G103" s="49"/>
      <c r="H103" s="49">
        <f>IFERROR(VLOOKUP(B103,[1]Debate!$A$5:$O$262,3,FALSE),"0")</f>
        <v>4</v>
      </c>
      <c r="I103" s="49"/>
      <c r="J103" s="49"/>
      <c r="K103" s="59">
        <f t="shared" si="8"/>
        <v>4</v>
      </c>
      <c r="L103" s="49">
        <v>4</v>
      </c>
      <c r="M103" s="49">
        <v>3</v>
      </c>
      <c r="N103" s="49">
        <v>4</v>
      </c>
      <c r="O103" s="49">
        <v>4</v>
      </c>
      <c r="P103" s="49">
        <v>4</v>
      </c>
      <c r="Q103" s="59">
        <f t="shared" si="9"/>
        <v>3.8</v>
      </c>
      <c r="R103" s="49"/>
      <c r="S103" s="49"/>
      <c r="T103" s="49"/>
      <c r="U103" s="49"/>
      <c r="V103" s="49"/>
      <c r="W103" s="59" t="str">
        <f t="shared" si="10"/>
        <v>A</v>
      </c>
      <c r="X103" s="49">
        <v>2</v>
      </c>
      <c r="Y103" s="49"/>
      <c r="Z103" s="49"/>
      <c r="AA103" s="49"/>
      <c r="AB103" s="49"/>
      <c r="AC103" s="59">
        <f t="shared" si="11"/>
        <v>2</v>
      </c>
      <c r="AD103" s="49"/>
      <c r="AE103" s="49"/>
      <c r="AF103" s="49"/>
      <c r="AG103" s="49"/>
      <c r="AH103" s="49"/>
      <c r="AI103" s="59" t="str">
        <f t="shared" si="12"/>
        <v>A</v>
      </c>
      <c r="AJ103" s="49">
        <v>3</v>
      </c>
      <c r="AK103" s="49">
        <v>4</v>
      </c>
      <c r="AL103" s="49"/>
      <c r="AM103" s="49">
        <v>3</v>
      </c>
      <c r="AN103" s="49"/>
      <c r="AO103" s="59">
        <f t="shared" si="13"/>
        <v>3.3333333333333335</v>
      </c>
      <c r="AP103" s="49">
        <v>3</v>
      </c>
      <c r="AQ103" s="49"/>
      <c r="AR103" s="49"/>
      <c r="AS103" s="49"/>
      <c r="AT103" s="49"/>
      <c r="AU103" s="59">
        <f t="shared" si="14"/>
        <v>3</v>
      </c>
      <c r="AV103" s="49"/>
      <c r="AW103" s="49"/>
      <c r="AX103" s="49"/>
      <c r="AY103" s="49">
        <v>4</v>
      </c>
      <c r="AZ103" s="49">
        <v>4</v>
      </c>
      <c r="BA103" s="59">
        <f t="shared" si="15"/>
        <v>4</v>
      </c>
    </row>
    <row r="104" spans="1:53" ht="23.1" customHeight="1" x14ac:dyDescent="0.3">
      <c r="A104" s="7">
        <v>102</v>
      </c>
      <c r="B104" s="7" t="s">
        <v>348</v>
      </c>
      <c r="C104" s="7" t="s">
        <v>349</v>
      </c>
      <c r="D104" s="7" t="s">
        <v>542</v>
      </c>
      <c r="E104" s="7" t="s">
        <v>493</v>
      </c>
      <c r="F104" s="7"/>
      <c r="G104" s="7"/>
      <c r="H104" s="49">
        <f>IFERROR(VLOOKUP(B104,[1]Debate!$A$5:$O$262,3,FALSE),"0")</f>
        <v>3</v>
      </c>
      <c r="I104" s="7"/>
      <c r="J104" s="7"/>
      <c r="K104" s="59">
        <f t="shared" si="8"/>
        <v>3</v>
      </c>
      <c r="L104" s="49">
        <v>4</v>
      </c>
      <c r="M104" s="49">
        <v>3</v>
      </c>
      <c r="N104" s="49">
        <v>3</v>
      </c>
      <c r="O104" s="49">
        <v>3.5</v>
      </c>
      <c r="P104" s="49">
        <v>2</v>
      </c>
      <c r="Q104" s="59">
        <f t="shared" si="9"/>
        <v>3.1</v>
      </c>
      <c r="R104" s="49"/>
      <c r="S104" s="49"/>
      <c r="T104" s="7"/>
      <c r="U104" s="49"/>
      <c r="V104" s="7"/>
      <c r="W104" s="59" t="str">
        <f t="shared" si="10"/>
        <v>A</v>
      </c>
      <c r="X104" s="49">
        <v>3</v>
      </c>
      <c r="Y104" s="49"/>
      <c r="Z104" s="7"/>
      <c r="AA104" s="7"/>
      <c r="AB104" s="7"/>
      <c r="AC104" s="59">
        <f t="shared" si="11"/>
        <v>3</v>
      </c>
      <c r="AD104" s="49"/>
      <c r="AE104" s="7"/>
      <c r="AF104" s="49"/>
      <c r="AG104" s="7"/>
      <c r="AH104" s="7"/>
      <c r="AI104" s="59" t="str">
        <f t="shared" si="12"/>
        <v>A</v>
      </c>
      <c r="AJ104" s="49">
        <v>4</v>
      </c>
      <c r="AK104" s="49">
        <v>3</v>
      </c>
      <c r="AL104" s="7"/>
      <c r="AM104" s="49">
        <v>4</v>
      </c>
      <c r="AN104" s="7"/>
      <c r="AO104" s="59">
        <f t="shared" si="13"/>
        <v>3.6666666666666665</v>
      </c>
      <c r="AP104" s="49">
        <v>3</v>
      </c>
      <c r="AQ104" s="49"/>
      <c r="AR104" s="49"/>
      <c r="AS104" s="7"/>
      <c r="AT104" s="7"/>
      <c r="AU104" s="59">
        <f t="shared" si="14"/>
        <v>3</v>
      </c>
      <c r="AV104" s="7"/>
      <c r="AW104" s="7"/>
      <c r="AX104" s="49"/>
      <c r="AY104" s="49">
        <v>4</v>
      </c>
      <c r="AZ104" s="49">
        <v>3</v>
      </c>
      <c r="BA104" s="59">
        <f t="shared" si="15"/>
        <v>3.5</v>
      </c>
    </row>
    <row r="105" spans="1:53" ht="23.1" customHeight="1" x14ac:dyDescent="0.3">
      <c r="A105" s="49">
        <v>103</v>
      </c>
      <c r="B105" s="49" t="s">
        <v>142</v>
      </c>
      <c r="C105" s="49" t="s">
        <v>143</v>
      </c>
      <c r="D105" s="49" t="s">
        <v>542</v>
      </c>
      <c r="E105" s="49" t="s">
        <v>35</v>
      </c>
      <c r="F105" s="49"/>
      <c r="G105" s="49"/>
      <c r="H105" s="49">
        <f>IFERROR(VLOOKUP(B105,[1]Debate!$A$5:$O$262,3,FALSE),"0")</f>
        <v>2</v>
      </c>
      <c r="I105" s="49"/>
      <c r="J105" s="49"/>
      <c r="K105" s="59">
        <f t="shared" si="8"/>
        <v>2</v>
      </c>
      <c r="L105" s="49">
        <v>3</v>
      </c>
      <c r="M105" s="49">
        <v>2</v>
      </c>
      <c r="N105" s="49">
        <v>2</v>
      </c>
      <c r="O105" s="49">
        <v>2.5</v>
      </c>
      <c r="P105" s="49">
        <v>2</v>
      </c>
      <c r="Q105" s="59">
        <f t="shared" si="9"/>
        <v>2.2999999999999998</v>
      </c>
      <c r="R105" s="49"/>
      <c r="S105" s="49"/>
      <c r="T105" s="49"/>
      <c r="U105" s="49"/>
      <c r="V105" s="49"/>
      <c r="W105" s="59" t="str">
        <f t="shared" si="10"/>
        <v>A</v>
      </c>
      <c r="X105" s="49">
        <v>3</v>
      </c>
      <c r="Y105" s="49"/>
      <c r="Z105" s="49"/>
      <c r="AA105" s="49"/>
      <c r="AB105" s="49"/>
      <c r="AC105" s="59">
        <f t="shared" si="11"/>
        <v>3</v>
      </c>
      <c r="AD105" s="49"/>
      <c r="AE105" s="49"/>
      <c r="AF105" s="49"/>
      <c r="AG105" s="49"/>
      <c r="AH105" s="49"/>
      <c r="AI105" s="59" t="str">
        <f t="shared" si="12"/>
        <v>A</v>
      </c>
      <c r="AJ105" s="49">
        <v>2</v>
      </c>
      <c r="AK105" s="49">
        <v>3</v>
      </c>
      <c r="AL105" s="49"/>
      <c r="AM105" s="49">
        <v>2</v>
      </c>
      <c r="AN105" s="49"/>
      <c r="AO105" s="59">
        <f t="shared" si="13"/>
        <v>2.3333333333333335</v>
      </c>
      <c r="AP105" s="49">
        <v>3</v>
      </c>
      <c r="AQ105" s="49"/>
      <c r="AR105" s="49"/>
      <c r="AS105" s="49"/>
      <c r="AT105" s="49"/>
      <c r="AU105" s="59">
        <f t="shared" si="14"/>
        <v>3</v>
      </c>
      <c r="AV105" s="49"/>
      <c r="AW105" s="49"/>
      <c r="AX105" s="49"/>
      <c r="AY105" s="49">
        <v>4</v>
      </c>
      <c r="AZ105" s="49">
        <v>2</v>
      </c>
      <c r="BA105" s="59">
        <f t="shared" si="15"/>
        <v>3</v>
      </c>
    </row>
    <row r="106" spans="1:53" ht="23.1" customHeight="1" x14ac:dyDescent="0.3">
      <c r="A106" s="7">
        <v>104</v>
      </c>
      <c r="B106" s="7" t="s">
        <v>77</v>
      </c>
      <c r="C106" s="7" t="s">
        <v>78</v>
      </c>
      <c r="D106" s="7" t="s">
        <v>450</v>
      </c>
      <c r="E106" s="7" t="s">
        <v>35</v>
      </c>
      <c r="F106" s="7"/>
      <c r="G106" s="7"/>
      <c r="H106" s="49">
        <f>IFERROR(VLOOKUP(B106,[1]Debate!$A$5:$O$262,3,FALSE),"0")</f>
        <v>3</v>
      </c>
      <c r="I106" s="7"/>
      <c r="J106" s="7"/>
      <c r="K106" s="59">
        <f t="shared" si="8"/>
        <v>3</v>
      </c>
      <c r="L106" s="49">
        <v>5</v>
      </c>
      <c r="M106" s="49">
        <v>4</v>
      </c>
      <c r="N106" s="49">
        <v>4</v>
      </c>
      <c r="O106" s="49">
        <v>3.5</v>
      </c>
      <c r="P106" s="49">
        <v>5</v>
      </c>
      <c r="Q106" s="59">
        <f t="shared" si="9"/>
        <v>4.3</v>
      </c>
      <c r="R106" s="49"/>
      <c r="S106" s="49"/>
      <c r="T106" s="7"/>
      <c r="U106" s="49"/>
      <c r="V106" s="7"/>
      <c r="W106" s="59" t="str">
        <f t="shared" si="10"/>
        <v>A</v>
      </c>
      <c r="X106" s="49">
        <v>3</v>
      </c>
      <c r="Y106" s="49"/>
      <c r="Z106" s="7"/>
      <c r="AA106" s="7"/>
      <c r="AB106" s="7"/>
      <c r="AC106" s="59">
        <f t="shared" si="11"/>
        <v>3</v>
      </c>
      <c r="AD106" s="49"/>
      <c r="AE106" s="7"/>
      <c r="AF106" s="49"/>
      <c r="AG106" s="7"/>
      <c r="AH106" s="7"/>
      <c r="AI106" s="59" t="str">
        <f t="shared" si="12"/>
        <v>A</v>
      </c>
      <c r="AJ106" s="49">
        <v>4</v>
      </c>
      <c r="AK106" s="49">
        <v>3</v>
      </c>
      <c r="AL106" s="7"/>
      <c r="AM106" s="49">
        <v>4</v>
      </c>
      <c r="AN106" s="7"/>
      <c r="AO106" s="59">
        <f t="shared" si="13"/>
        <v>3.6666666666666665</v>
      </c>
      <c r="AP106" s="49">
        <v>3</v>
      </c>
      <c r="AQ106" s="49"/>
      <c r="AR106" s="49"/>
      <c r="AS106" s="7"/>
      <c r="AT106" s="7"/>
      <c r="AU106" s="59">
        <f t="shared" si="14"/>
        <v>3</v>
      </c>
      <c r="AV106" s="7"/>
      <c r="AW106" s="7"/>
      <c r="AX106" s="49"/>
      <c r="AY106" s="49">
        <v>4</v>
      </c>
      <c r="AZ106" s="49">
        <v>4</v>
      </c>
      <c r="BA106" s="59">
        <f t="shared" si="15"/>
        <v>4</v>
      </c>
    </row>
    <row r="107" spans="1:53" ht="23.1" customHeight="1" x14ac:dyDescent="0.3">
      <c r="A107" s="49">
        <v>105</v>
      </c>
      <c r="B107" s="49" t="s">
        <v>144</v>
      </c>
      <c r="C107" s="49" t="s">
        <v>145</v>
      </c>
      <c r="D107" s="49" t="s">
        <v>542</v>
      </c>
      <c r="E107" s="49" t="s">
        <v>35</v>
      </c>
      <c r="F107" s="49"/>
      <c r="G107" s="49"/>
      <c r="H107" s="49">
        <f>IFERROR(VLOOKUP(B107,[1]Debate!$A$5:$O$262,3,FALSE),"0")</f>
        <v>3</v>
      </c>
      <c r="I107" s="49"/>
      <c r="J107" s="49"/>
      <c r="K107" s="59">
        <f t="shared" si="8"/>
        <v>3</v>
      </c>
      <c r="L107" s="49">
        <v>5</v>
      </c>
      <c r="M107" s="49">
        <v>4</v>
      </c>
      <c r="N107" s="49">
        <v>4</v>
      </c>
      <c r="O107" s="49">
        <v>3</v>
      </c>
      <c r="P107" s="49">
        <v>4</v>
      </c>
      <c r="Q107" s="59">
        <f t="shared" si="9"/>
        <v>4</v>
      </c>
      <c r="R107" s="49"/>
      <c r="S107" s="49"/>
      <c r="T107" s="49"/>
      <c r="U107" s="49"/>
      <c r="V107" s="49"/>
      <c r="W107" s="59" t="str">
        <f t="shared" si="10"/>
        <v>A</v>
      </c>
      <c r="X107" s="49">
        <v>3</v>
      </c>
      <c r="Y107" s="49"/>
      <c r="Z107" s="49"/>
      <c r="AA107" s="49"/>
      <c r="AB107" s="49"/>
      <c r="AC107" s="59">
        <f t="shared" si="11"/>
        <v>3</v>
      </c>
      <c r="AD107" s="49"/>
      <c r="AE107" s="49"/>
      <c r="AF107" s="49"/>
      <c r="AG107" s="49"/>
      <c r="AH107" s="49"/>
      <c r="AI107" s="59" t="str">
        <f t="shared" si="12"/>
        <v>A</v>
      </c>
      <c r="AJ107" s="49">
        <v>4</v>
      </c>
      <c r="AK107" s="49">
        <v>4</v>
      </c>
      <c r="AL107" s="49"/>
      <c r="AM107" s="49">
        <v>3</v>
      </c>
      <c r="AN107" s="49"/>
      <c r="AO107" s="59">
        <f t="shared" si="13"/>
        <v>3.6666666666666665</v>
      </c>
      <c r="AP107" s="49">
        <v>3</v>
      </c>
      <c r="AQ107" s="49"/>
      <c r="AR107" s="49"/>
      <c r="AS107" s="49"/>
      <c r="AT107" s="49"/>
      <c r="AU107" s="59">
        <f t="shared" si="14"/>
        <v>3</v>
      </c>
      <c r="AV107" s="49"/>
      <c r="AW107" s="49"/>
      <c r="AX107" s="49"/>
      <c r="AY107" s="49">
        <v>3</v>
      </c>
      <c r="AZ107" s="49">
        <v>3</v>
      </c>
      <c r="BA107" s="59">
        <f t="shared" si="15"/>
        <v>3</v>
      </c>
    </row>
    <row r="108" spans="1:53" ht="23.1" customHeight="1" x14ac:dyDescent="0.3">
      <c r="A108" s="7">
        <v>106</v>
      </c>
      <c r="B108" s="7" t="s">
        <v>350</v>
      </c>
      <c r="C108" s="7" t="s">
        <v>351</v>
      </c>
      <c r="D108" s="7" t="s">
        <v>450</v>
      </c>
      <c r="E108" s="7" t="s">
        <v>493</v>
      </c>
      <c r="F108" s="7"/>
      <c r="G108" s="7"/>
      <c r="H108" s="49">
        <f>IFERROR(VLOOKUP(B108,[1]Debate!$A$5:$O$262,3,FALSE),"0")</f>
        <v>3</v>
      </c>
      <c r="I108" s="7"/>
      <c r="J108" s="7"/>
      <c r="K108" s="59">
        <f t="shared" si="8"/>
        <v>3</v>
      </c>
      <c r="L108" s="49">
        <v>3</v>
      </c>
      <c r="M108" s="49">
        <v>3</v>
      </c>
      <c r="N108" s="49">
        <v>3</v>
      </c>
      <c r="O108" s="49">
        <v>1.5</v>
      </c>
      <c r="P108" s="49">
        <v>3</v>
      </c>
      <c r="Q108" s="59">
        <f t="shared" si="9"/>
        <v>2.7</v>
      </c>
      <c r="R108" s="49"/>
      <c r="S108" s="49"/>
      <c r="T108" s="7"/>
      <c r="U108" s="49"/>
      <c r="V108" s="7"/>
      <c r="W108" s="59" t="str">
        <f t="shared" si="10"/>
        <v>A</v>
      </c>
      <c r="X108" s="49">
        <v>3</v>
      </c>
      <c r="Y108" s="49"/>
      <c r="Z108" s="7"/>
      <c r="AA108" s="7"/>
      <c r="AB108" s="7"/>
      <c r="AC108" s="59">
        <f t="shared" si="11"/>
        <v>3</v>
      </c>
      <c r="AD108" s="49"/>
      <c r="AE108" s="7"/>
      <c r="AF108" s="49"/>
      <c r="AG108" s="7"/>
      <c r="AH108" s="7"/>
      <c r="AI108" s="59" t="str">
        <f t="shared" si="12"/>
        <v>A</v>
      </c>
      <c r="AJ108" s="49">
        <v>3</v>
      </c>
      <c r="AK108" s="49">
        <v>3</v>
      </c>
      <c r="AL108" s="7"/>
      <c r="AM108" s="49">
        <v>3</v>
      </c>
      <c r="AN108" s="7"/>
      <c r="AO108" s="59">
        <f t="shared" si="13"/>
        <v>3</v>
      </c>
      <c r="AP108" s="49">
        <v>3</v>
      </c>
      <c r="AQ108" s="49"/>
      <c r="AR108" s="49"/>
      <c r="AS108" s="7"/>
      <c r="AT108" s="7"/>
      <c r="AU108" s="59">
        <f t="shared" si="14"/>
        <v>3</v>
      </c>
      <c r="AV108" s="7"/>
      <c r="AW108" s="7"/>
      <c r="AX108" s="49"/>
      <c r="AY108" s="49">
        <v>4</v>
      </c>
      <c r="AZ108" s="49">
        <v>4</v>
      </c>
      <c r="BA108" s="59">
        <f t="shared" si="15"/>
        <v>4</v>
      </c>
    </row>
    <row r="109" spans="1:53" ht="23.1" customHeight="1" x14ac:dyDescent="0.3">
      <c r="A109" s="49">
        <v>107</v>
      </c>
      <c r="B109" s="49" t="s">
        <v>352</v>
      </c>
      <c r="C109" s="49" t="s">
        <v>353</v>
      </c>
      <c r="D109" s="49" t="s">
        <v>542</v>
      </c>
      <c r="E109" s="49" t="s">
        <v>493</v>
      </c>
      <c r="F109" s="49"/>
      <c r="G109" s="49"/>
      <c r="H109" s="49">
        <f>IFERROR(VLOOKUP(B109,[1]Debate!$A$5:$O$262,3,FALSE),"0")</f>
        <v>2</v>
      </c>
      <c r="I109" s="49"/>
      <c r="J109" s="49"/>
      <c r="K109" s="59">
        <f t="shared" si="8"/>
        <v>2</v>
      </c>
      <c r="L109" s="49">
        <v>4</v>
      </c>
      <c r="M109" s="49">
        <v>4</v>
      </c>
      <c r="N109" s="49">
        <v>4</v>
      </c>
      <c r="O109" s="49">
        <v>3.5</v>
      </c>
      <c r="P109" s="49">
        <v>5</v>
      </c>
      <c r="Q109" s="59">
        <f t="shared" si="9"/>
        <v>4.0999999999999996</v>
      </c>
      <c r="R109" s="49"/>
      <c r="S109" s="49"/>
      <c r="T109" s="49"/>
      <c r="U109" s="49"/>
      <c r="V109" s="49"/>
      <c r="W109" s="59" t="str">
        <f t="shared" si="10"/>
        <v>A</v>
      </c>
      <c r="X109" s="49">
        <v>2</v>
      </c>
      <c r="Y109" s="49"/>
      <c r="Z109" s="49"/>
      <c r="AA109" s="49"/>
      <c r="AB109" s="49"/>
      <c r="AC109" s="59">
        <f t="shared" si="11"/>
        <v>2</v>
      </c>
      <c r="AD109" s="49"/>
      <c r="AE109" s="49"/>
      <c r="AF109" s="49"/>
      <c r="AG109" s="49"/>
      <c r="AH109" s="49"/>
      <c r="AI109" s="59" t="str">
        <f t="shared" si="12"/>
        <v>A</v>
      </c>
      <c r="AJ109" s="49">
        <v>3</v>
      </c>
      <c r="AK109" s="49">
        <v>4</v>
      </c>
      <c r="AL109" s="49"/>
      <c r="AM109" s="49">
        <v>3</v>
      </c>
      <c r="AN109" s="49"/>
      <c r="AO109" s="59">
        <f t="shared" si="13"/>
        <v>3.3333333333333335</v>
      </c>
      <c r="AP109" s="49">
        <v>3</v>
      </c>
      <c r="AQ109" s="49"/>
      <c r="AR109" s="49"/>
      <c r="AS109" s="49"/>
      <c r="AT109" s="49"/>
      <c r="AU109" s="59">
        <f t="shared" si="14"/>
        <v>3</v>
      </c>
      <c r="AV109" s="49"/>
      <c r="AW109" s="49"/>
      <c r="AX109" s="49"/>
      <c r="AY109" s="49">
        <v>3</v>
      </c>
      <c r="AZ109" s="49">
        <v>3</v>
      </c>
      <c r="BA109" s="59">
        <f t="shared" si="15"/>
        <v>3</v>
      </c>
    </row>
    <row r="110" spans="1:53" ht="23.1" customHeight="1" x14ac:dyDescent="0.3">
      <c r="A110" s="7">
        <v>108</v>
      </c>
      <c r="B110" s="7" t="s">
        <v>279</v>
      </c>
      <c r="C110" s="7" t="s">
        <v>280</v>
      </c>
      <c r="D110" s="7" t="s">
        <v>450</v>
      </c>
      <c r="E110" s="7" t="s">
        <v>161</v>
      </c>
      <c r="F110" s="7"/>
      <c r="G110" s="7"/>
      <c r="H110" s="49">
        <f>IFERROR(VLOOKUP(B110,[1]Debate!$A$5:$O$262,3,FALSE),"0")</f>
        <v>2</v>
      </c>
      <c r="I110" s="7"/>
      <c r="J110" s="7"/>
      <c r="K110" s="59">
        <f t="shared" si="8"/>
        <v>2</v>
      </c>
      <c r="L110" s="49">
        <v>3</v>
      </c>
      <c r="M110" s="49">
        <v>2</v>
      </c>
      <c r="N110" s="49">
        <v>2</v>
      </c>
      <c r="O110" s="49">
        <v>3</v>
      </c>
      <c r="P110" s="49">
        <v>1</v>
      </c>
      <c r="Q110" s="59">
        <f t="shared" si="9"/>
        <v>2.2000000000000002</v>
      </c>
      <c r="R110" s="49"/>
      <c r="S110" s="49"/>
      <c r="T110" s="7"/>
      <c r="U110" s="49"/>
      <c r="V110" s="7"/>
      <c r="W110" s="59" t="str">
        <f t="shared" si="10"/>
        <v>A</v>
      </c>
      <c r="X110" s="49">
        <v>2</v>
      </c>
      <c r="Y110" s="49"/>
      <c r="Z110" s="7"/>
      <c r="AA110" s="7"/>
      <c r="AB110" s="7"/>
      <c r="AC110" s="59">
        <f t="shared" si="11"/>
        <v>2</v>
      </c>
      <c r="AD110" s="49"/>
      <c r="AE110" s="7"/>
      <c r="AF110" s="49"/>
      <c r="AG110" s="7"/>
      <c r="AH110" s="7"/>
      <c r="AI110" s="59" t="str">
        <f t="shared" si="12"/>
        <v>A</v>
      </c>
      <c r="AJ110" s="49">
        <v>4</v>
      </c>
      <c r="AK110" s="49">
        <v>2</v>
      </c>
      <c r="AL110" s="7"/>
      <c r="AM110" s="49">
        <v>2</v>
      </c>
      <c r="AN110" s="7"/>
      <c r="AO110" s="59">
        <f t="shared" si="13"/>
        <v>2.6666666666666665</v>
      </c>
      <c r="AP110" s="49">
        <v>3</v>
      </c>
      <c r="AQ110" s="49"/>
      <c r="AR110" s="49"/>
      <c r="AS110" s="7"/>
      <c r="AT110" s="7"/>
      <c r="AU110" s="59">
        <f t="shared" si="14"/>
        <v>3</v>
      </c>
      <c r="AV110" s="7"/>
      <c r="AW110" s="7"/>
      <c r="AX110" s="49"/>
      <c r="AY110" s="49">
        <v>2</v>
      </c>
      <c r="AZ110" s="49">
        <v>3</v>
      </c>
      <c r="BA110" s="59">
        <f t="shared" si="15"/>
        <v>2.5</v>
      </c>
    </row>
    <row r="111" spans="1:53" ht="23.1" customHeight="1" x14ac:dyDescent="0.3">
      <c r="A111" s="49">
        <v>109</v>
      </c>
      <c r="B111" s="49" t="s">
        <v>168</v>
      </c>
      <c r="C111" s="49" t="s">
        <v>169</v>
      </c>
      <c r="D111" s="49" t="s">
        <v>450</v>
      </c>
      <c r="E111" s="49" t="s">
        <v>161</v>
      </c>
      <c r="F111" s="49"/>
      <c r="G111" s="49"/>
      <c r="H111" s="49">
        <f>IFERROR(VLOOKUP(B111,[1]Debate!$A$5:$O$262,3,FALSE),"0")</f>
        <v>2</v>
      </c>
      <c r="I111" s="49"/>
      <c r="J111" s="49"/>
      <c r="K111" s="59">
        <f t="shared" si="8"/>
        <v>2</v>
      </c>
      <c r="L111" s="49">
        <v>3</v>
      </c>
      <c r="M111" s="49">
        <v>2</v>
      </c>
      <c r="N111" s="49">
        <v>4</v>
      </c>
      <c r="O111" s="49">
        <v>3.5</v>
      </c>
      <c r="P111" s="49">
        <v>2</v>
      </c>
      <c r="Q111" s="59">
        <f t="shared" si="9"/>
        <v>2.9</v>
      </c>
      <c r="R111" s="49"/>
      <c r="S111" s="49"/>
      <c r="T111" s="49"/>
      <c r="U111" s="49"/>
      <c r="V111" s="49"/>
      <c r="W111" s="59" t="str">
        <f t="shared" si="10"/>
        <v>A</v>
      </c>
      <c r="X111" s="49">
        <v>2</v>
      </c>
      <c r="Y111" s="49"/>
      <c r="Z111" s="49"/>
      <c r="AA111" s="49"/>
      <c r="AB111" s="49"/>
      <c r="AC111" s="59">
        <f t="shared" si="11"/>
        <v>2</v>
      </c>
      <c r="AD111" s="49"/>
      <c r="AE111" s="49"/>
      <c r="AF111" s="49"/>
      <c r="AG111" s="49"/>
      <c r="AH111" s="49"/>
      <c r="AI111" s="59" t="str">
        <f t="shared" si="12"/>
        <v>A</v>
      </c>
      <c r="AJ111" s="49">
        <v>3</v>
      </c>
      <c r="AK111" s="49">
        <v>4</v>
      </c>
      <c r="AL111" s="49"/>
      <c r="AM111" s="49">
        <v>3</v>
      </c>
      <c r="AN111" s="49"/>
      <c r="AO111" s="59">
        <f t="shared" si="13"/>
        <v>3.3333333333333335</v>
      </c>
      <c r="AP111" s="49">
        <v>3</v>
      </c>
      <c r="AQ111" s="49"/>
      <c r="AR111" s="49"/>
      <c r="AS111" s="49"/>
      <c r="AT111" s="49"/>
      <c r="AU111" s="59">
        <f t="shared" si="14"/>
        <v>3</v>
      </c>
      <c r="AV111" s="49"/>
      <c r="AW111" s="49"/>
      <c r="AX111" s="49"/>
      <c r="AY111" s="49">
        <v>3</v>
      </c>
      <c r="AZ111" s="49">
        <v>3</v>
      </c>
      <c r="BA111" s="59">
        <f t="shared" si="15"/>
        <v>3</v>
      </c>
    </row>
    <row r="112" spans="1:53" ht="23.1" customHeight="1" x14ac:dyDescent="0.3">
      <c r="A112" s="7">
        <v>110</v>
      </c>
      <c r="B112" s="7" t="s">
        <v>186</v>
      </c>
      <c r="C112" s="7" t="s">
        <v>187</v>
      </c>
      <c r="D112" s="7" t="s">
        <v>450</v>
      </c>
      <c r="E112" s="7" t="s">
        <v>161</v>
      </c>
      <c r="F112" s="7"/>
      <c r="G112" s="7"/>
      <c r="H112" s="49">
        <f>IFERROR(VLOOKUP(B112,[1]Debate!$A$5:$O$262,3,FALSE),"0")</f>
        <v>2</v>
      </c>
      <c r="I112" s="7"/>
      <c r="J112" s="7"/>
      <c r="K112" s="59">
        <f t="shared" si="8"/>
        <v>2</v>
      </c>
      <c r="L112" s="49">
        <v>2</v>
      </c>
      <c r="M112" s="49">
        <v>2</v>
      </c>
      <c r="N112" s="49">
        <v>2</v>
      </c>
      <c r="O112" s="49">
        <v>2.5</v>
      </c>
      <c r="P112" s="49">
        <v>2</v>
      </c>
      <c r="Q112" s="59">
        <f t="shared" si="9"/>
        <v>2.1</v>
      </c>
      <c r="R112" s="49"/>
      <c r="S112" s="49"/>
      <c r="T112" s="7"/>
      <c r="U112" s="49"/>
      <c r="V112" s="7"/>
      <c r="W112" s="59" t="str">
        <f t="shared" si="10"/>
        <v>A</v>
      </c>
      <c r="X112" s="49">
        <v>2</v>
      </c>
      <c r="Y112" s="49"/>
      <c r="Z112" s="7"/>
      <c r="AA112" s="7"/>
      <c r="AB112" s="7"/>
      <c r="AC112" s="59">
        <f t="shared" si="11"/>
        <v>2</v>
      </c>
      <c r="AD112" s="49"/>
      <c r="AE112" s="7"/>
      <c r="AF112" s="49"/>
      <c r="AG112" s="7"/>
      <c r="AH112" s="7"/>
      <c r="AI112" s="59" t="str">
        <f t="shared" si="12"/>
        <v>A</v>
      </c>
      <c r="AJ112" s="49">
        <v>3</v>
      </c>
      <c r="AK112" s="49">
        <v>2</v>
      </c>
      <c r="AL112" s="7"/>
      <c r="AM112" s="49">
        <v>2</v>
      </c>
      <c r="AN112" s="7"/>
      <c r="AO112" s="59">
        <f t="shared" si="13"/>
        <v>2.3333333333333335</v>
      </c>
      <c r="AP112" s="49">
        <v>2</v>
      </c>
      <c r="AQ112" s="49"/>
      <c r="AR112" s="49"/>
      <c r="AS112" s="7"/>
      <c r="AT112" s="7"/>
      <c r="AU112" s="59">
        <f t="shared" si="14"/>
        <v>2</v>
      </c>
      <c r="AV112" s="7"/>
      <c r="AW112" s="7"/>
      <c r="AX112" s="49"/>
      <c r="AY112" s="49">
        <v>2</v>
      </c>
      <c r="AZ112" s="49">
        <v>2</v>
      </c>
      <c r="BA112" s="59">
        <f t="shared" si="15"/>
        <v>2</v>
      </c>
    </row>
    <row r="113" spans="1:53" ht="23.1" customHeight="1" x14ac:dyDescent="0.3">
      <c r="A113" s="49">
        <v>111</v>
      </c>
      <c r="B113" s="49" t="s">
        <v>233</v>
      </c>
      <c r="C113" s="49" t="s">
        <v>234</v>
      </c>
      <c r="D113" s="49" t="s">
        <v>450</v>
      </c>
      <c r="E113" s="49" t="s">
        <v>161</v>
      </c>
      <c r="F113" s="49"/>
      <c r="G113" s="49"/>
      <c r="H113" s="49">
        <f>IFERROR(VLOOKUP(B113,[1]Debate!$A$5:$O$262,3,FALSE),"0")</f>
        <v>2</v>
      </c>
      <c r="I113" s="49"/>
      <c r="J113" s="49"/>
      <c r="K113" s="59">
        <f t="shared" si="8"/>
        <v>2</v>
      </c>
      <c r="L113" s="49">
        <v>3</v>
      </c>
      <c r="M113" s="49">
        <v>2</v>
      </c>
      <c r="N113" s="49">
        <v>2</v>
      </c>
      <c r="O113" s="49">
        <v>2</v>
      </c>
      <c r="P113" s="49">
        <v>2</v>
      </c>
      <c r="Q113" s="59">
        <f t="shared" si="9"/>
        <v>2.2000000000000002</v>
      </c>
      <c r="R113" s="49"/>
      <c r="S113" s="49"/>
      <c r="T113" s="49"/>
      <c r="U113" s="49"/>
      <c r="V113" s="49"/>
      <c r="W113" s="59" t="str">
        <f t="shared" si="10"/>
        <v>A</v>
      </c>
      <c r="X113" s="49">
        <v>3</v>
      </c>
      <c r="Y113" s="49"/>
      <c r="Z113" s="49"/>
      <c r="AA113" s="49"/>
      <c r="AB113" s="49"/>
      <c r="AC113" s="59">
        <f t="shared" si="11"/>
        <v>3</v>
      </c>
      <c r="AD113" s="49"/>
      <c r="AE113" s="49"/>
      <c r="AF113" s="49"/>
      <c r="AG113" s="49"/>
      <c r="AH113" s="49"/>
      <c r="AI113" s="59" t="str">
        <f t="shared" si="12"/>
        <v>A</v>
      </c>
      <c r="AJ113" s="49">
        <v>2</v>
      </c>
      <c r="AK113" s="49">
        <v>3</v>
      </c>
      <c r="AL113" s="49"/>
      <c r="AM113" s="49">
        <v>2</v>
      </c>
      <c r="AN113" s="49"/>
      <c r="AO113" s="59">
        <f t="shared" si="13"/>
        <v>2.3333333333333335</v>
      </c>
      <c r="AP113" s="49">
        <v>2</v>
      </c>
      <c r="AQ113" s="49"/>
      <c r="AR113" s="49"/>
      <c r="AS113" s="49"/>
      <c r="AT113" s="49"/>
      <c r="AU113" s="59">
        <f t="shared" si="14"/>
        <v>2</v>
      </c>
      <c r="AV113" s="49"/>
      <c r="AW113" s="49"/>
      <c r="AX113" s="49"/>
      <c r="AY113" s="49">
        <v>2</v>
      </c>
      <c r="AZ113" s="49">
        <v>2</v>
      </c>
      <c r="BA113" s="59">
        <f t="shared" si="15"/>
        <v>2</v>
      </c>
    </row>
    <row r="114" spans="1:53" ht="23.1" customHeight="1" x14ac:dyDescent="0.3">
      <c r="A114" s="7">
        <v>112</v>
      </c>
      <c r="B114" s="7" t="s">
        <v>146</v>
      </c>
      <c r="C114" s="7" t="s">
        <v>147</v>
      </c>
      <c r="D114" s="7" t="s">
        <v>450</v>
      </c>
      <c r="E114" s="7" t="s">
        <v>35</v>
      </c>
      <c r="F114" s="7"/>
      <c r="G114" s="7"/>
      <c r="H114" s="49">
        <f>IFERROR(VLOOKUP(B114,[1]Debate!$A$5:$O$262,3,FALSE),"0")</f>
        <v>2</v>
      </c>
      <c r="I114" s="7"/>
      <c r="J114" s="7"/>
      <c r="K114" s="59">
        <f t="shared" si="8"/>
        <v>2</v>
      </c>
      <c r="L114" s="49">
        <v>2</v>
      </c>
      <c r="M114" s="49">
        <v>3</v>
      </c>
      <c r="N114" s="49">
        <v>2</v>
      </c>
      <c r="O114" s="49">
        <v>1.5</v>
      </c>
      <c r="P114" s="49">
        <v>2</v>
      </c>
      <c r="Q114" s="59">
        <f t="shared" si="9"/>
        <v>2.1</v>
      </c>
      <c r="R114" s="49"/>
      <c r="S114" s="49"/>
      <c r="T114" s="7"/>
      <c r="U114" s="49"/>
      <c r="V114" s="7"/>
      <c r="W114" s="59" t="str">
        <f t="shared" si="10"/>
        <v>A</v>
      </c>
      <c r="X114" s="49">
        <v>2</v>
      </c>
      <c r="Y114" s="49"/>
      <c r="Z114" s="7"/>
      <c r="AA114" s="7"/>
      <c r="AB114" s="7"/>
      <c r="AC114" s="59">
        <f t="shared" si="11"/>
        <v>2</v>
      </c>
      <c r="AD114" s="49"/>
      <c r="AE114" s="7"/>
      <c r="AF114" s="49"/>
      <c r="AG114" s="7"/>
      <c r="AH114" s="7"/>
      <c r="AI114" s="59" t="str">
        <f t="shared" si="12"/>
        <v>A</v>
      </c>
      <c r="AJ114" s="49">
        <v>2</v>
      </c>
      <c r="AK114" s="49">
        <v>2</v>
      </c>
      <c r="AL114" s="7"/>
      <c r="AM114" s="49">
        <v>2</v>
      </c>
      <c r="AN114" s="7"/>
      <c r="AO114" s="59">
        <f t="shared" si="13"/>
        <v>2</v>
      </c>
      <c r="AP114" s="49">
        <v>3</v>
      </c>
      <c r="AQ114" s="49"/>
      <c r="AR114" s="49"/>
      <c r="AS114" s="7"/>
      <c r="AT114" s="7"/>
      <c r="AU114" s="59">
        <f t="shared" si="14"/>
        <v>3</v>
      </c>
      <c r="AV114" s="7"/>
      <c r="AW114" s="7"/>
      <c r="AX114" s="49"/>
      <c r="AY114" s="49">
        <v>3</v>
      </c>
      <c r="AZ114" s="49">
        <v>3</v>
      </c>
      <c r="BA114" s="59">
        <f t="shared" si="15"/>
        <v>3</v>
      </c>
    </row>
    <row r="115" spans="1:53" ht="23.1" customHeight="1" x14ac:dyDescent="0.3">
      <c r="A115" s="49">
        <v>113</v>
      </c>
      <c r="B115" s="49" t="s">
        <v>201</v>
      </c>
      <c r="C115" s="49" t="s">
        <v>202</v>
      </c>
      <c r="D115" s="49" t="s">
        <v>450</v>
      </c>
      <c r="E115" s="49" t="s">
        <v>161</v>
      </c>
      <c r="F115" s="49"/>
      <c r="G115" s="49"/>
      <c r="H115" s="49">
        <f>IFERROR(VLOOKUP(B115,[1]Debate!$A$5:$O$262,3,FALSE),"0")</f>
        <v>2</v>
      </c>
      <c r="I115" s="49"/>
      <c r="J115" s="49"/>
      <c r="K115" s="59">
        <f t="shared" si="8"/>
        <v>2</v>
      </c>
      <c r="L115" s="49">
        <v>3</v>
      </c>
      <c r="M115" s="49">
        <v>3</v>
      </c>
      <c r="N115" s="49">
        <v>3</v>
      </c>
      <c r="O115" s="49">
        <v>3.5</v>
      </c>
      <c r="P115" s="49">
        <v>3</v>
      </c>
      <c r="Q115" s="59">
        <f t="shared" si="9"/>
        <v>3.1</v>
      </c>
      <c r="R115" s="49"/>
      <c r="S115" s="49"/>
      <c r="T115" s="49"/>
      <c r="U115" s="49"/>
      <c r="V115" s="49"/>
      <c r="W115" s="59" t="str">
        <f t="shared" si="10"/>
        <v>A</v>
      </c>
      <c r="X115" s="49">
        <v>3</v>
      </c>
      <c r="Y115" s="49"/>
      <c r="Z115" s="49"/>
      <c r="AA115" s="49"/>
      <c r="AB115" s="49"/>
      <c r="AC115" s="59">
        <f t="shared" si="11"/>
        <v>3</v>
      </c>
      <c r="AD115" s="49"/>
      <c r="AE115" s="49"/>
      <c r="AF115" s="49"/>
      <c r="AG115" s="49"/>
      <c r="AH115" s="49"/>
      <c r="AI115" s="59" t="str">
        <f t="shared" si="12"/>
        <v>A</v>
      </c>
      <c r="AJ115" s="49">
        <v>3</v>
      </c>
      <c r="AK115" s="49">
        <v>3</v>
      </c>
      <c r="AL115" s="49"/>
      <c r="AM115" s="49">
        <v>3</v>
      </c>
      <c r="AN115" s="49"/>
      <c r="AO115" s="59">
        <f t="shared" si="13"/>
        <v>3</v>
      </c>
      <c r="AP115" s="49">
        <v>3</v>
      </c>
      <c r="AQ115" s="49"/>
      <c r="AR115" s="49"/>
      <c r="AS115" s="49"/>
      <c r="AT115" s="49"/>
      <c r="AU115" s="59">
        <f t="shared" si="14"/>
        <v>3</v>
      </c>
      <c r="AV115" s="49"/>
      <c r="AW115" s="49"/>
      <c r="AX115" s="49"/>
      <c r="AY115" s="49">
        <v>3</v>
      </c>
      <c r="AZ115" s="49">
        <v>3</v>
      </c>
      <c r="BA115" s="59">
        <f t="shared" si="15"/>
        <v>3</v>
      </c>
    </row>
    <row r="116" spans="1:53" ht="23.1" customHeight="1" x14ac:dyDescent="0.3">
      <c r="A116" s="7">
        <v>114</v>
      </c>
      <c r="B116" s="7" t="s">
        <v>217</v>
      </c>
      <c r="C116" s="7" t="s">
        <v>218</v>
      </c>
      <c r="D116" s="7" t="s">
        <v>450</v>
      </c>
      <c r="E116" s="7" t="s">
        <v>161</v>
      </c>
      <c r="F116" s="7"/>
      <c r="G116" s="7"/>
      <c r="H116" s="49">
        <f>IFERROR(VLOOKUP(B116,[1]Debate!$A$5:$O$262,3,FALSE),"0")</f>
        <v>2</v>
      </c>
      <c r="I116" s="7"/>
      <c r="J116" s="7"/>
      <c r="K116" s="59">
        <f t="shared" si="8"/>
        <v>2</v>
      </c>
      <c r="L116" s="49">
        <v>2</v>
      </c>
      <c r="M116" s="49">
        <v>2</v>
      </c>
      <c r="N116" s="49">
        <v>2</v>
      </c>
      <c r="O116" s="49">
        <v>1</v>
      </c>
      <c r="P116" s="49">
        <v>2</v>
      </c>
      <c r="Q116" s="59">
        <f t="shared" si="9"/>
        <v>1.8</v>
      </c>
      <c r="R116" s="49"/>
      <c r="S116" s="49"/>
      <c r="T116" s="7"/>
      <c r="U116" s="49"/>
      <c r="V116" s="7"/>
      <c r="W116" s="59" t="str">
        <f t="shared" si="10"/>
        <v>A</v>
      </c>
      <c r="X116" s="49">
        <v>2</v>
      </c>
      <c r="Y116" s="49"/>
      <c r="Z116" s="7"/>
      <c r="AA116" s="7"/>
      <c r="AB116" s="7"/>
      <c r="AC116" s="59">
        <f t="shared" si="11"/>
        <v>2</v>
      </c>
      <c r="AD116" s="49"/>
      <c r="AE116" s="7"/>
      <c r="AF116" s="49"/>
      <c r="AG116" s="7"/>
      <c r="AH116" s="7"/>
      <c r="AI116" s="59" t="str">
        <f t="shared" si="12"/>
        <v>A</v>
      </c>
      <c r="AJ116" s="49">
        <v>2</v>
      </c>
      <c r="AK116" s="49">
        <v>2</v>
      </c>
      <c r="AL116" s="7"/>
      <c r="AM116" s="49">
        <v>2</v>
      </c>
      <c r="AN116" s="7"/>
      <c r="AO116" s="59">
        <f t="shared" si="13"/>
        <v>2</v>
      </c>
      <c r="AP116" s="49">
        <v>2</v>
      </c>
      <c r="AQ116" s="49"/>
      <c r="AR116" s="49"/>
      <c r="AS116" s="7"/>
      <c r="AT116" s="7"/>
      <c r="AU116" s="59">
        <f t="shared" si="14"/>
        <v>2</v>
      </c>
      <c r="AV116" s="7"/>
      <c r="AW116" s="7"/>
      <c r="AX116" s="49"/>
      <c r="AY116" s="49">
        <v>2</v>
      </c>
      <c r="AZ116" s="49">
        <v>2</v>
      </c>
      <c r="BA116" s="59">
        <f t="shared" si="15"/>
        <v>2</v>
      </c>
    </row>
    <row r="117" spans="1:53" ht="23.1" customHeight="1" x14ac:dyDescent="0.3">
      <c r="A117" s="49">
        <v>115</v>
      </c>
      <c r="B117" s="49" t="s">
        <v>235</v>
      </c>
      <c r="C117" s="49" t="s">
        <v>236</v>
      </c>
      <c r="D117" s="49" t="s">
        <v>450</v>
      </c>
      <c r="E117" s="49" t="s">
        <v>161</v>
      </c>
      <c r="F117" s="49"/>
      <c r="G117" s="49"/>
      <c r="H117" s="49">
        <f>IFERROR(VLOOKUP(B117,[1]Debate!$A$5:$O$262,3,FALSE),"0")</f>
        <v>2.5</v>
      </c>
      <c r="I117" s="49"/>
      <c r="J117" s="49"/>
      <c r="K117" s="59">
        <f t="shared" si="8"/>
        <v>2.5</v>
      </c>
      <c r="L117" s="49">
        <v>2.5</v>
      </c>
      <c r="M117" s="49">
        <v>2.5</v>
      </c>
      <c r="N117" s="49">
        <v>2.5</v>
      </c>
      <c r="O117" s="49">
        <v>2.5</v>
      </c>
      <c r="P117" s="49">
        <v>2.5</v>
      </c>
      <c r="Q117" s="59">
        <f t="shared" si="9"/>
        <v>2.5</v>
      </c>
      <c r="R117" s="49"/>
      <c r="S117" s="49"/>
      <c r="T117" s="49"/>
      <c r="U117" s="49"/>
      <c r="V117" s="49"/>
      <c r="W117" s="59" t="str">
        <f t="shared" si="10"/>
        <v>A</v>
      </c>
      <c r="X117" s="49">
        <v>2.5</v>
      </c>
      <c r="Y117" s="49"/>
      <c r="Z117" s="49"/>
      <c r="AA117" s="49"/>
      <c r="AB117" s="49"/>
      <c r="AC117" s="59">
        <f t="shared" si="11"/>
        <v>2.5</v>
      </c>
      <c r="AD117" s="49"/>
      <c r="AE117" s="49"/>
      <c r="AF117" s="49"/>
      <c r="AG117" s="49"/>
      <c r="AH117" s="49"/>
      <c r="AI117" s="59" t="str">
        <f t="shared" si="12"/>
        <v>A</v>
      </c>
      <c r="AJ117" s="49">
        <v>2.5</v>
      </c>
      <c r="AK117" s="49">
        <v>2.5</v>
      </c>
      <c r="AL117" s="49"/>
      <c r="AM117" s="49">
        <v>2.5</v>
      </c>
      <c r="AN117" s="49"/>
      <c r="AO117" s="59">
        <f t="shared" si="13"/>
        <v>2.5</v>
      </c>
      <c r="AP117" s="49">
        <v>2.5</v>
      </c>
      <c r="AQ117" s="49"/>
      <c r="AR117" s="49"/>
      <c r="AS117" s="49"/>
      <c r="AT117" s="49"/>
      <c r="AU117" s="59">
        <f t="shared" si="14"/>
        <v>2.5</v>
      </c>
      <c r="AV117" s="49"/>
      <c r="AW117" s="49"/>
      <c r="AX117" s="49"/>
      <c r="AY117" s="49">
        <v>2.5</v>
      </c>
      <c r="AZ117" s="49">
        <v>2.5</v>
      </c>
      <c r="BA117" s="59">
        <f t="shared" si="15"/>
        <v>2.5</v>
      </c>
    </row>
    <row r="118" spans="1:53" ht="23.1" customHeight="1" x14ac:dyDescent="0.3">
      <c r="A118" s="7">
        <v>116</v>
      </c>
      <c r="B118" s="7" t="s">
        <v>354</v>
      </c>
      <c r="C118" s="7" t="s">
        <v>355</v>
      </c>
      <c r="D118" s="7" t="s">
        <v>544</v>
      </c>
      <c r="E118" s="7" t="s">
        <v>493</v>
      </c>
      <c r="F118" s="7"/>
      <c r="G118" s="7"/>
      <c r="H118" s="49">
        <f>IFERROR(VLOOKUP(B118,[1]Debate!$A$5:$O$262,3,FALSE),"0")</f>
        <v>4</v>
      </c>
      <c r="I118" s="7"/>
      <c r="J118" s="7"/>
      <c r="K118" s="59">
        <f t="shared" si="8"/>
        <v>4</v>
      </c>
      <c r="L118" s="49">
        <v>4</v>
      </c>
      <c r="M118" s="49">
        <v>4</v>
      </c>
      <c r="N118" s="49">
        <v>4</v>
      </c>
      <c r="O118" s="49">
        <v>3</v>
      </c>
      <c r="P118" s="49">
        <v>4</v>
      </c>
      <c r="Q118" s="59">
        <f t="shared" si="9"/>
        <v>3.8</v>
      </c>
      <c r="R118" s="49"/>
      <c r="S118" s="49"/>
      <c r="T118" s="7"/>
      <c r="U118" s="49"/>
      <c r="V118" s="7"/>
      <c r="W118" s="59" t="str">
        <f t="shared" si="10"/>
        <v>A</v>
      </c>
      <c r="X118" s="49">
        <v>4</v>
      </c>
      <c r="Y118" s="49"/>
      <c r="Z118" s="7"/>
      <c r="AA118" s="7"/>
      <c r="AB118" s="7"/>
      <c r="AC118" s="59">
        <f t="shared" si="11"/>
        <v>4</v>
      </c>
      <c r="AD118" s="49"/>
      <c r="AE118" s="7"/>
      <c r="AF118" s="49"/>
      <c r="AG118" s="7"/>
      <c r="AH118" s="7"/>
      <c r="AI118" s="59" t="str">
        <f t="shared" si="12"/>
        <v>A</v>
      </c>
      <c r="AJ118" s="49">
        <v>4</v>
      </c>
      <c r="AK118" s="49">
        <v>4</v>
      </c>
      <c r="AL118" s="7"/>
      <c r="AM118" s="49">
        <v>4</v>
      </c>
      <c r="AN118" s="7"/>
      <c r="AO118" s="59">
        <f t="shared" si="13"/>
        <v>4</v>
      </c>
      <c r="AP118" s="49">
        <v>3</v>
      </c>
      <c r="AQ118" s="49"/>
      <c r="AR118" s="49"/>
      <c r="AS118" s="7"/>
      <c r="AT118" s="7"/>
      <c r="AU118" s="59">
        <f t="shared" si="14"/>
        <v>3</v>
      </c>
      <c r="AV118" s="7"/>
      <c r="AW118" s="7"/>
      <c r="AX118" s="49"/>
      <c r="AY118" s="49">
        <v>4</v>
      </c>
      <c r="AZ118" s="49">
        <v>4</v>
      </c>
      <c r="BA118" s="59">
        <f t="shared" si="15"/>
        <v>4</v>
      </c>
    </row>
    <row r="119" spans="1:53" ht="23.1" customHeight="1" x14ac:dyDescent="0.3">
      <c r="A119" s="49">
        <v>117</v>
      </c>
      <c r="B119" s="49" t="s">
        <v>203</v>
      </c>
      <c r="C119" s="49" t="s">
        <v>204</v>
      </c>
      <c r="D119" s="49" t="s">
        <v>542</v>
      </c>
      <c r="E119" s="49" t="s">
        <v>161</v>
      </c>
      <c r="F119" s="49"/>
      <c r="G119" s="49"/>
      <c r="H119" s="49">
        <f>IFERROR(VLOOKUP(B119,[1]Debate!$A$5:$O$262,3,FALSE),"0")</f>
        <v>3</v>
      </c>
      <c r="I119" s="49"/>
      <c r="J119" s="49"/>
      <c r="K119" s="59">
        <f t="shared" si="8"/>
        <v>3</v>
      </c>
      <c r="L119" s="49">
        <v>4</v>
      </c>
      <c r="M119" s="49">
        <v>4</v>
      </c>
      <c r="N119" s="49">
        <v>4</v>
      </c>
      <c r="O119" s="49">
        <v>4</v>
      </c>
      <c r="P119" s="49">
        <v>3</v>
      </c>
      <c r="Q119" s="59">
        <f t="shared" si="9"/>
        <v>3.8</v>
      </c>
      <c r="R119" s="49"/>
      <c r="S119" s="49"/>
      <c r="T119" s="49"/>
      <c r="U119" s="49"/>
      <c r="V119" s="49"/>
      <c r="W119" s="59" t="str">
        <f t="shared" si="10"/>
        <v>A</v>
      </c>
      <c r="X119" s="49">
        <v>4</v>
      </c>
      <c r="Y119" s="49"/>
      <c r="Z119" s="49"/>
      <c r="AA119" s="49"/>
      <c r="AB119" s="49"/>
      <c r="AC119" s="59">
        <f t="shared" si="11"/>
        <v>4</v>
      </c>
      <c r="AD119" s="49"/>
      <c r="AE119" s="49"/>
      <c r="AF119" s="49"/>
      <c r="AG119" s="49"/>
      <c r="AH119" s="49"/>
      <c r="AI119" s="59" t="str">
        <f t="shared" si="12"/>
        <v>A</v>
      </c>
      <c r="AJ119" s="49">
        <v>4</v>
      </c>
      <c r="AK119" s="49">
        <v>4</v>
      </c>
      <c r="AL119" s="49"/>
      <c r="AM119" s="49">
        <v>3</v>
      </c>
      <c r="AN119" s="49"/>
      <c r="AO119" s="59">
        <f t="shared" si="13"/>
        <v>3.6666666666666665</v>
      </c>
      <c r="AP119" s="49">
        <v>3</v>
      </c>
      <c r="AQ119" s="49"/>
      <c r="AR119" s="49"/>
      <c r="AS119" s="49"/>
      <c r="AT119" s="49"/>
      <c r="AU119" s="59">
        <f t="shared" si="14"/>
        <v>3</v>
      </c>
      <c r="AV119" s="49"/>
      <c r="AW119" s="49"/>
      <c r="AX119" s="49"/>
      <c r="AY119" s="49">
        <v>4</v>
      </c>
      <c r="AZ119" s="49">
        <v>4</v>
      </c>
      <c r="BA119" s="59">
        <f t="shared" si="15"/>
        <v>4</v>
      </c>
    </row>
    <row r="120" spans="1:53" ht="23.1" customHeight="1" x14ac:dyDescent="0.3">
      <c r="A120" s="7">
        <v>118</v>
      </c>
      <c r="B120" s="7" t="s">
        <v>356</v>
      </c>
      <c r="C120" s="7" t="s">
        <v>357</v>
      </c>
      <c r="D120" s="7" t="s">
        <v>542</v>
      </c>
      <c r="E120" s="7" t="s">
        <v>493</v>
      </c>
      <c r="F120" s="7"/>
      <c r="G120" s="7"/>
      <c r="H120" s="49">
        <f>IFERROR(VLOOKUP(B120,[1]Debate!$A$5:$O$262,3,FALSE),"0")</f>
        <v>2</v>
      </c>
      <c r="I120" s="7"/>
      <c r="J120" s="7"/>
      <c r="K120" s="59">
        <f t="shared" si="8"/>
        <v>2</v>
      </c>
      <c r="L120" s="49">
        <v>3</v>
      </c>
      <c r="M120" s="49">
        <v>3</v>
      </c>
      <c r="N120" s="49">
        <v>2</v>
      </c>
      <c r="O120" s="49">
        <v>2.5</v>
      </c>
      <c r="P120" s="49">
        <v>2</v>
      </c>
      <c r="Q120" s="59">
        <f t="shared" si="9"/>
        <v>2.5</v>
      </c>
      <c r="R120" s="49"/>
      <c r="S120" s="49"/>
      <c r="T120" s="7"/>
      <c r="U120" s="49"/>
      <c r="V120" s="7"/>
      <c r="W120" s="59" t="str">
        <f t="shared" si="10"/>
        <v>A</v>
      </c>
      <c r="X120" s="49">
        <v>3</v>
      </c>
      <c r="Y120" s="49"/>
      <c r="Z120" s="7"/>
      <c r="AA120" s="7"/>
      <c r="AB120" s="7"/>
      <c r="AC120" s="59">
        <f t="shared" si="11"/>
        <v>3</v>
      </c>
      <c r="AD120" s="49"/>
      <c r="AE120" s="7"/>
      <c r="AF120" s="49"/>
      <c r="AG120" s="7"/>
      <c r="AH120" s="7"/>
      <c r="AI120" s="59" t="str">
        <f t="shared" si="12"/>
        <v>A</v>
      </c>
      <c r="AJ120" s="49">
        <v>3</v>
      </c>
      <c r="AK120" s="49">
        <v>2</v>
      </c>
      <c r="AL120" s="7"/>
      <c r="AM120" s="49">
        <v>3</v>
      </c>
      <c r="AN120" s="7"/>
      <c r="AO120" s="59">
        <f t="shared" si="13"/>
        <v>2.6666666666666665</v>
      </c>
      <c r="AP120" s="49">
        <v>3</v>
      </c>
      <c r="AQ120" s="49"/>
      <c r="AR120" s="49"/>
      <c r="AS120" s="7"/>
      <c r="AT120" s="7"/>
      <c r="AU120" s="59">
        <f t="shared" si="14"/>
        <v>3</v>
      </c>
      <c r="AV120" s="7"/>
      <c r="AW120" s="7"/>
      <c r="AX120" s="49"/>
      <c r="AY120" s="49">
        <v>2</v>
      </c>
      <c r="AZ120" s="49">
        <v>2</v>
      </c>
      <c r="BA120" s="59">
        <f t="shared" si="15"/>
        <v>2</v>
      </c>
    </row>
    <row r="121" spans="1:53" ht="23.1" customHeight="1" x14ac:dyDescent="0.3">
      <c r="A121" s="49">
        <v>119</v>
      </c>
      <c r="B121" s="49" t="s">
        <v>358</v>
      </c>
      <c r="C121" s="49" t="s">
        <v>359</v>
      </c>
      <c r="D121" s="49" t="s">
        <v>542</v>
      </c>
      <c r="E121" s="49" t="s">
        <v>493</v>
      </c>
      <c r="F121" s="49"/>
      <c r="G121" s="49"/>
      <c r="H121" s="49">
        <f>IFERROR(VLOOKUP(B121,[1]Debate!$A$5:$O$262,3,FALSE),"0")</f>
        <v>4</v>
      </c>
      <c r="I121" s="49"/>
      <c r="J121" s="49"/>
      <c r="K121" s="59">
        <f t="shared" si="8"/>
        <v>4</v>
      </c>
      <c r="L121" s="49">
        <v>3.5</v>
      </c>
      <c r="M121" s="49">
        <v>4</v>
      </c>
      <c r="N121" s="49">
        <v>4</v>
      </c>
      <c r="O121" s="49">
        <v>3.75</v>
      </c>
      <c r="P121" s="49">
        <v>3.5</v>
      </c>
      <c r="Q121" s="59">
        <f t="shared" si="9"/>
        <v>3.75</v>
      </c>
      <c r="R121" s="49"/>
      <c r="S121" s="49"/>
      <c r="T121" s="49"/>
      <c r="U121" s="49"/>
      <c r="V121" s="49"/>
      <c r="W121" s="59" t="str">
        <f t="shared" si="10"/>
        <v>A</v>
      </c>
      <c r="X121" s="49">
        <v>3.5</v>
      </c>
      <c r="Y121" s="49"/>
      <c r="Z121" s="49"/>
      <c r="AA121" s="49"/>
      <c r="AB121" s="49"/>
      <c r="AC121" s="59">
        <f t="shared" si="11"/>
        <v>3.5</v>
      </c>
      <c r="AD121" s="49"/>
      <c r="AE121" s="49"/>
      <c r="AF121" s="49"/>
      <c r="AG121" s="49"/>
      <c r="AH121" s="49"/>
      <c r="AI121" s="59" t="str">
        <f t="shared" si="12"/>
        <v>A</v>
      </c>
      <c r="AJ121" s="49">
        <v>3.5</v>
      </c>
      <c r="AK121" s="49">
        <v>4</v>
      </c>
      <c r="AL121" s="49"/>
      <c r="AM121" s="49">
        <v>3.5</v>
      </c>
      <c r="AN121" s="49"/>
      <c r="AO121" s="59">
        <f t="shared" si="13"/>
        <v>3.6666666666666665</v>
      </c>
      <c r="AP121" s="49">
        <v>3.5</v>
      </c>
      <c r="AQ121" s="49"/>
      <c r="AR121" s="49"/>
      <c r="AS121" s="49"/>
      <c r="AT121" s="49"/>
      <c r="AU121" s="59">
        <f t="shared" si="14"/>
        <v>3.5</v>
      </c>
      <c r="AV121" s="49"/>
      <c r="AW121" s="49"/>
      <c r="AX121" s="49"/>
      <c r="AY121" s="49">
        <v>4</v>
      </c>
      <c r="AZ121" s="49">
        <v>4</v>
      </c>
      <c r="BA121" s="59">
        <f t="shared" si="15"/>
        <v>4</v>
      </c>
    </row>
    <row r="122" spans="1:53" ht="23.1" customHeight="1" x14ac:dyDescent="0.3">
      <c r="A122" s="7">
        <v>120</v>
      </c>
      <c r="B122" s="7" t="s">
        <v>150</v>
      </c>
      <c r="C122" s="7" t="s">
        <v>151</v>
      </c>
      <c r="D122" s="7" t="s">
        <v>450</v>
      </c>
      <c r="E122" s="7" t="s">
        <v>35</v>
      </c>
      <c r="F122" s="7"/>
      <c r="G122" s="7"/>
      <c r="H122" s="49">
        <f>IFERROR(VLOOKUP(B122,[1]Debate!$A$5:$O$262,3,FALSE),"0")</f>
        <v>2</v>
      </c>
      <c r="I122" s="7"/>
      <c r="J122" s="7"/>
      <c r="K122" s="59">
        <f t="shared" si="8"/>
        <v>2</v>
      </c>
      <c r="L122" s="49">
        <v>2</v>
      </c>
      <c r="M122" s="49">
        <v>2</v>
      </c>
      <c r="N122" s="49">
        <v>2</v>
      </c>
      <c r="O122" s="49">
        <v>1.5</v>
      </c>
      <c r="P122" s="49">
        <v>2</v>
      </c>
      <c r="Q122" s="59">
        <f t="shared" si="9"/>
        <v>1.9</v>
      </c>
      <c r="R122" s="49"/>
      <c r="S122" s="49"/>
      <c r="T122" s="7"/>
      <c r="U122" s="49"/>
      <c r="V122" s="7"/>
      <c r="W122" s="59" t="str">
        <f t="shared" si="10"/>
        <v>A</v>
      </c>
      <c r="X122" s="49">
        <v>3</v>
      </c>
      <c r="Y122" s="49"/>
      <c r="Z122" s="7"/>
      <c r="AA122" s="7"/>
      <c r="AB122" s="7"/>
      <c r="AC122" s="59">
        <f t="shared" si="11"/>
        <v>3</v>
      </c>
      <c r="AD122" s="49"/>
      <c r="AE122" s="7"/>
      <c r="AF122" s="49"/>
      <c r="AG122" s="7"/>
      <c r="AH122" s="7"/>
      <c r="AI122" s="59" t="str">
        <f t="shared" si="12"/>
        <v>A</v>
      </c>
      <c r="AJ122" s="49">
        <v>4</v>
      </c>
      <c r="AK122" s="49">
        <v>2</v>
      </c>
      <c r="AL122" s="7"/>
      <c r="AM122" s="49">
        <v>3</v>
      </c>
      <c r="AN122" s="7"/>
      <c r="AO122" s="59">
        <f t="shared" si="13"/>
        <v>3</v>
      </c>
      <c r="AP122" s="49">
        <v>3</v>
      </c>
      <c r="AQ122" s="49"/>
      <c r="AR122" s="49"/>
      <c r="AS122" s="7"/>
      <c r="AT122" s="7"/>
      <c r="AU122" s="59">
        <f t="shared" si="14"/>
        <v>3</v>
      </c>
      <c r="AV122" s="7"/>
      <c r="AW122" s="7"/>
      <c r="AX122" s="49"/>
      <c r="AY122" s="49">
        <v>2</v>
      </c>
      <c r="AZ122" s="49">
        <v>2</v>
      </c>
      <c r="BA122" s="59">
        <f t="shared" si="15"/>
        <v>2</v>
      </c>
    </row>
    <row r="123" spans="1:53" ht="23.1" customHeight="1" x14ac:dyDescent="0.3">
      <c r="A123" s="49">
        <v>121</v>
      </c>
      <c r="B123" s="49" t="s">
        <v>360</v>
      </c>
      <c r="C123" s="49" t="s">
        <v>361</v>
      </c>
      <c r="D123" s="49" t="s">
        <v>450</v>
      </c>
      <c r="E123" s="49" t="s">
        <v>493</v>
      </c>
      <c r="F123" s="49"/>
      <c r="G123" s="49"/>
      <c r="H123" s="49">
        <f>IFERROR(VLOOKUP(B123,[1]Debate!$A$5:$O$262,3,FALSE),"0")</f>
        <v>2</v>
      </c>
      <c r="I123" s="49"/>
      <c r="J123" s="49"/>
      <c r="K123" s="59">
        <f t="shared" si="8"/>
        <v>2</v>
      </c>
      <c r="L123" s="49">
        <v>2</v>
      </c>
      <c r="M123" s="49">
        <v>2</v>
      </c>
      <c r="N123" s="49">
        <v>1</v>
      </c>
      <c r="O123" s="49">
        <v>0.5</v>
      </c>
      <c r="P123" s="49">
        <v>2</v>
      </c>
      <c r="Q123" s="59">
        <f t="shared" si="9"/>
        <v>1.5</v>
      </c>
      <c r="R123" s="49"/>
      <c r="S123" s="49"/>
      <c r="T123" s="49"/>
      <c r="U123" s="49"/>
      <c r="V123" s="49"/>
      <c r="W123" s="59" t="str">
        <f t="shared" si="10"/>
        <v>A</v>
      </c>
      <c r="X123" s="49">
        <v>2</v>
      </c>
      <c r="Y123" s="49"/>
      <c r="Z123" s="49"/>
      <c r="AA123" s="49"/>
      <c r="AB123" s="49"/>
      <c r="AC123" s="59">
        <f t="shared" si="11"/>
        <v>2</v>
      </c>
      <c r="AD123" s="49"/>
      <c r="AE123" s="49"/>
      <c r="AF123" s="49"/>
      <c r="AG123" s="49"/>
      <c r="AH123" s="49"/>
      <c r="AI123" s="59" t="str">
        <f t="shared" si="12"/>
        <v>A</v>
      </c>
      <c r="AJ123" s="49">
        <v>2</v>
      </c>
      <c r="AK123" s="49">
        <v>1</v>
      </c>
      <c r="AL123" s="49"/>
      <c r="AM123" s="49">
        <v>2</v>
      </c>
      <c r="AN123" s="49"/>
      <c r="AO123" s="59">
        <f t="shared" si="13"/>
        <v>1.6666666666666667</v>
      </c>
      <c r="AP123" s="49">
        <v>3</v>
      </c>
      <c r="AQ123" s="49"/>
      <c r="AR123" s="49"/>
      <c r="AS123" s="49"/>
      <c r="AT123" s="49"/>
      <c r="AU123" s="59">
        <f t="shared" si="14"/>
        <v>3</v>
      </c>
      <c r="AV123" s="49"/>
      <c r="AW123" s="49"/>
      <c r="AX123" s="49"/>
      <c r="AY123" s="49">
        <v>2</v>
      </c>
      <c r="AZ123" s="49">
        <v>2</v>
      </c>
      <c r="BA123" s="59">
        <f t="shared" si="15"/>
        <v>2</v>
      </c>
    </row>
    <row r="124" spans="1:53" ht="23.1" customHeight="1" x14ac:dyDescent="0.3">
      <c r="A124" s="7">
        <v>122</v>
      </c>
      <c r="B124" s="7" t="s">
        <v>362</v>
      </c>
      <c r="C124" s="7" t="s">
        <v>363</v>
      </c>
      <c r="D124" s="7" t="s">
        <v>450</v>
      </c>
      <c r="E124" s="7" t="s">
        <v>493</v>
      </c>
      <c r="F124" s="7"/>
      <c r="G124" s="7"/>
      <c r="H124" s="49">
        <f>IFERROR(VLOOKUP(B124,[1]Debate!$A$5:$O$262,3,FALSE),"0")</f>
        <v>3</v>
      </c>
      <c r="I124" s="7"/>
      <c r="J124" s="7"/>
      <c r="K124" s="59">
        <f t="shared" si="8"/>
        <v>3</v>
      </c>
      <c r="L124" s="49">
        <v>4</v>
      </c>
      <c r="M124" s="49">
        <v>4</v>
      </c>
      <c r="N124" s="49">
        <v>4</v>
      </c>
      <c r="O124" s="49">
        <v>3.5</v>
      </c>
      <c r="P124" s="49">
        <v>4</v>
      </c>
      <c r="Q124" s="59">
        <f t="shared" si="9"/>
        <v>3.9</v>
      </c>
      <c r="R124" s="49"/>
      <c r="S124" s="49"/>
      <c r="T124" s="7"/>
      <c r="U124" s="49"/>
      <c r="V124" s="7"/>
      <c r="W124" s="59" t="str">
        <f t="shared" si="10"/>
        <v>A</v>
      </c>
      <c r="X124" s="49">
        <v>3</v>
      </c>
      <c r="Y124" s="49"/>
      <c r="Z124" s="7"/>
      <c r="AA124" s="7"/>
      <c r="AB124" s="7"/>
      <c r="AC124" s="59">
        <f t="shared" si="11"/>
        <v>3</v>
      </c>
      <c r="AD124" s="49"/>
      <c r="AE124" s="7"/>
      <c r="AF124" s="49"/>
      <c r="AG124" s="7"/>
      <c r="AH124" s="7"/>
      <c r="AI124" s="59" t="str">
        <f t="shared" si="12"/>
        <v>A</v>
      </c>
      <c r="AJ124" s="49">
        <v>4</v>
      </c>
      <c r="AK124" s="49">
        <v>4</v>
      </c>
      <c r="AL124" s="7"/>
      <c r="AM124" s="49">
        <v>4</v>
      </c>
      <c r="AN124" s="7"/>
      <c r="AO124" s="59">
        <f t="shared" si="13"/>
        <v>4</v>
      </c>
      <c r="AP124" s="49">
        <v>3</v>
      </c>
      <c r="AQ124" s="49"/>
      <c r="AR124" s="49"/>
      <c r="AS124" s="7"/>
      <c r="AT124" s="7"/>
      <c r="AU124" s="59">
        <f t="shared" si="14"/>
        <v>3</v>
      </c>
      <c r="AV124" s="7"/>
      <c r="AW124" s="7"/>
      <c r="AX124" s="49"/>
      <c r="AY124" s="49">
        <v>3</v>
      </c>
      <c r="AZ124" s="49">
        <v>4</v>
      </c>
      <c r="BA124" s="59">
        <f t="shared" si="15"/>
        <v>3.5</v>
      </c>
    </row>
    <row r="125" spans="1:53" ht="23.1" customHeight="1" x14ac:dyDescent="0.3">
      <c r="A125" s="49">
        <v>123</v>
      </c>
      <c r="B125" s="49" t="s">
        <v>364</v>
      </c>
      <c r="C125" s="49" t="s">
        <v>365</v>
      </c>
      <c r="D125" s="49" t="s">
        <v>450</v>
      </c>
      <c r="E125" s="49" t="s">
        <v>493</v>
      </c>
      <c r="F125" s="49"/>
      <c r="G125" s="49"/>
      <c r="H125" s="49">
        <f>IFERROR(VLOOKUP(B125,[1]Debate!$A$5:$O$262,3,FALSE),"0")</f>
        <v>3</v>
      </c>
      <c r="I125" s="49"/>
      <c r="J125" s="49"/>
      <c r="K125" s="59">
        <f t="shared" si="8"/>
        <v>3</v>
      </c>
      <c r="L125" s="49">
        <v>4</v>
      </c>
      <c r="M125" s="49">
        <v>3</v>
      </c>
      <c r="N125" s="49">
        <v>2</v>
      </c>
      <c r="O125" s="49">
        <v>2</v>
      </c>
      <c r="P125" s="49">
        <v>3</v>
      </c>
      <c r="Q125" s="59">
        <f t="shared" si="9"/>
        <v>2.8</v>
      </c>
      <c r="R125" s="49"/>
      <c r="S125" s="49"/>
      <c r="T125" s="49"/>
      <c r="U125" s="49"/>
      <c r="V125" s="49"/>
      <c r="W125" s="59" t="str">
        <f t="shared" si="10"/>
        <v>A</v>
      </c>
      <c r="X125" s="49">
        <v>3</v>
      </c>
      <c r="Y125" s="49"/>
      <c r="Z125" s="49"/>
      <c r="AA125" s="49"/>
      <c r="AB125" s="49"/>
      <c r="AC125" s="59">
        <f t="shared" si="11"/>
        <v>3</v>
      </c>
      <c r="AD125" s="49"/>
      <c r="AE125" s="49"/>
      <c r="AF125" s="49"/>
      <c r="AG125" s="49"/>
      <c r="AH125" s="49"/>
      <c r="AI125" s="59" t="str">
        <f t="shared" si="12"/>
        <v>A</v>
      </c>
      <c r="AJ125" s="49">
        <v>4</v>
      </c>
      <c r="AK125" s="49">
        <v>3</v>
      </c>
      <c r="AL125" s="49"/>
      <c r="AM125" s="49">
        <v>3</v>
      </c>
      <c r="AN125" s="49"/>
      <c r="AO125" s="59">
        <f t="shared" si="13"/>
        <v>3.3333333333333335</v>
      </c>
      <c r="AP125" s="49">
        <v>3</v>
      </c>
      <c r="AQ125" s="49"/>
      <c r="AR125" s="49"/>
      <c r="AS125" s="49"/>
      <c r="AT125" s="49"/>
      <c r="AU125" s="59">
        <f t="shared" si="14"/>
        <v>3</v>
      </c>
      <c r="AV125" s="49"/>
      <c r="AW125" s="49"/>
      <c r="AX125" s="49"/>
      <c r="AY125" s="49">
        <v>2</v>
      </c>
      <c r="AZ125" s="49">
        <v>4</v>
      </c>
      <c r="BA125" s="59">
        <f t="shared" si="15"/>
        <v>3</v>
      </c>
    </row>
    <row r="126" spans="1:53" ht="23.1" customHeight="1" x14ac:dyDescent="0.3">
      <c r="A126" s="7">
        <v>124</v>
      </c>
      <c r="B126" s="7" t="s">
        <v>54</v>
      </c>
      <c r="C126" s="7" t="s">
        <v>55</v>
      </c>
      <c r="D126" s="7" t="s">
        <v>450</v>
      </c>
      <c r="E126" s="7" t="s">
        <v>35</v>
      </c>
      <c r="F126" s="7"/>
      <c r="G126" s="7"/>
      <c r="H126" s="49">
        <f>IFERROR(VLOOKUP(B126,[1]Debate!$A$5:$O$262,3,FALSE),"0")</f>
        <v>3</v>
      </c>
      <c r="I126" s="7"/>
      <c r="J126" s="7"/>
      <c r="K126" s="59">
        <f t="shared" si="8"/>
        <v>3</v>
      </c>
      <c r="L126" s="49">
        <v>3</v>
      </c>
      <c r="M126" s="49">
        <v>3.5</v>
      </c>
      <c r="N126" s="49">
        <v>3</v>
      </c>
      <c r="O126" s="49">
        <v>3.25</v>
      </c>
      <c r="P126" s="49">
        <v>3</v>
      </c>
      <c r="Q126" s="59">
        <f t="shared" si="9"/>
        <v>3.15</v>
      </c>
      <c r="R126" s="49"/>
      <c r="S126" s="49"/>
      <c r="T126" s="7"/>
      <c r="U126" s="49"/>
      <c r="V126" s="7"/>
      <c r="W126" s="59" t="str">
        <f t="shared" si="10"/>
        <v>A</v>
      </c>
      <c r="X126" s="49">
        <v>3.5</v>
      </c>
      <c r="Y126" s="49"/>
      <c r="Z126" s="7"/>
      <c r="AA126" s="7"/>
      <c r="AB126" s="7"/>
      <c r="AC126" s="59">
        <f t="shared" si="11"/>
        <v>3.5</v>
      </c>
      <c r="AD126" s="49"/>
      <c r="AE126" s="7"/>
      <c r="AF126" s="49"/>
      <c r="AG126" s="7"/>
      <c r="AH126" s="7"/>
      <c r="AI126" s="59" t="str">
        <f t="shared" si="12"/>
        <v>A</v>
      </c>
      <c r="AJ126" s="49">
        <v>3.5</v>
      </c>
      <c r="AK126" s="49">
        <v>3.5</v>
      </c>
      <c r="AL126" s="7"/>
      <c r="AM126" s="49">
        <v>3</v>
      </c>
      <c r="AN126" s="7"/>
      <c r="AO126" s="59">
        <f t="shared" si="13"/>
        <v>3.3333333333333335</v>
      </c>
      <c r="AP126" s="49">
        <v>3.5</v>
      </c>
      <c r="AQ126" s="49"/>
      <c r="AR126" s="49"/>
      <c r="AS126" s="7"/>
      <c r="AT126" s="7"/>
      <c r="AU126" s="59">
        <f t="shared" si="14"/>
        <v>3.5</v>
      </c>
      <c r="AV126" s="7"/>
      <c r="AW126" s="7"/>
      <c r="AX126" s="49"/>
      <c r="AY126" s="49">
        <v>3.5</v>
      </c>
      <c r="AZ126" s="49">
        <v>3.5</v>
      </c>
      <c r="BA126" s="59">
        <f t="shared" si="15"/>
        <v>3.5</v>
      </c>
    </row>
    <row r="127" spans="1:53" ht="23.1" customHeight="1" x14ac:dyDescent="0.3">
      <c r="A127" s="49">
        <v>125</v>
      </c>
      <c r="B127" s="49" t="s">
        <v>219</v>
      </c>
      <c r="C127" s="49" t="s">
        <v>220</v>
      </c>
      <c r="D127" s="49" t="s">
        <v>542</v>
      </c>
      <c r="E127" s="49" t="s">
        <v>161</v>
      </c>
      <c r="F127" s="49"/>
      <c r="G127" s="49"/>
      <c r="H127" s="49">
        <f>IFERROR(VLOOKUP(B127,[1]Debate!$A$5:$O$262,3,FALSE),"0")</f>
        <v>3.5</v>
      </c>
      <c r="I127" s="49"/>
      <c r="J127" s="49"/>
      <c r="K127" s="59">
        <f t="shared" si="8"/>
        <v>3.5</v>
      </c>
      <c r="L127" s="49">
        <v>3</v>
      </c>
      <c r="M127" s="49">
        <v>3.5</v>
      </c>
      <c r="N127" s="49">
        <v>4</v>
      </c>
      <c r="O127" s="49">
        <v>3.5</v>
      </c>
      <c r="P127" s="49">
        <v>3</v>
      </c>
      <c r="Q127" s="59">
        <f t="shared" si="9"/>
        <v>3.4</v>
      </c>
      <c r="R127" s="49"/>
      <c r="S127" s="49"/>
      <c r="T127" s="49"/>
      <c r="U127" s="49"/>
      <c r="V127" s="49"/>
      <c r="W127" s="59" t="str">
        <f t="shared" si="10"/>
        <v>A</v>
      </c>
      <c r="X127" s="49">
        <v>3</v>
      </c>
      <c r="Y127" s="49"/>
      <c r="Z127" s="49"/>
      <c r="AA127" s="49"/>
      <c r="AB127" s="49"/>
      <c r="AC127" s="59">
        <f t="shared" si="11"/>
        <v>3</v>
      </c>
      <c r="AD127" s="49"/>
      <c r="AE127" s="49"/>
      <c r="AF127" s="49"/>
      <c r="AG127" s="49"/>
      <c r="AH127" s="49"/>
      <c r="AI127" s="59" t="str">
        <f t="shared" si="12"/>
        <v>A</v>
      </c>
      <c r="AJ127" s="49">
        <v>3.5</v>
      </c>
      <c r="AK127" s="49">
        <v>3.5</v>
      </c>
      <c r="AL127" s="49"/>
      <c r="AM127" s="49">
        <v>3.5</v>
      </c>
      <c r="AN127" s="49"/>
      <c r="AO127" s="59">
        <f t="shared" si="13"/>
        <v>3.5</v>
      </c>
      <c r="AP127" s="49">
        <v>3.5</v>
      </c>
      <c r="AQ127" s="49"/>
      <c r="AR127" s="49"/>
      <c r="AS127" s="49"/>
      <c r="AT127" s="49"/>
      <c r="AU127" s="59">
        <f t="shared" si="14"/>
        <v>3.5</v>
      </c>
      <c r="AV127" s="49"/>
      <c r="AW127" s="49"/>
      <c r="AX127" s="49"/>
      <c r="AY127" s="49">
        <v>3.5</v>
      </c>
      <c r="AZ127" s="49">
        <v>3.5</v>
      </c>
      <c r="BA127" s="59">
        <f t="shared" si="15"/>
        <v>3.5</v>
      </c>
    </row>
    <row r="128" spans="1:53" ht="23.1" customHeight="1" x14ac:dyDescent="0.3">
      <c r="A128" s="7">
        <v>126</v>
      </c>
      <c r="B128" s="7" t="s">
        <v>237</v>
      </c>
      <c r="C128" s="7" t="s">
        <v>238</v>
      </c>
      <c r="D128" s="7" t="s">
        <v>542</v>
      </c>
      <c r="E128" s="7" t="s">
        <v>161</v>
      </c>
      <c r="F128" s="7"/>
      <c r="G128" s="7"/>
      <c r="H128" s="49">
        <f>IFERROR(VLOOKUP(B128,[1]Debate!$A$5:$O$262,3,FALSE),"0")</f>
        <v>2</v>
      </c>
      <c r="I128" s="7"/>
      <c r="J128" s="7"/>
      <c r="K128" s="59">
        <f t="shared" si="8"/>
        <v>2</v>
      </c>
      <c r="L128" s="49">
        <v>2</v>
      </c>
      <c r="M128" s="49">
        <v>2</v>
      </c>
      <c r="N128" s="49">
        <v>2</v>
      </c>
      <c r="O128" s="49">
        <v>2</v>
      </c>
      <c r="P128" s="49">
        <v>2</v>
      </c>
      <c r="Q128" s="59">
        <f t="shared" si="9"/>
        <v>2</v>
      </c>
      <c r="R128" s="49"/>
      <c r="S128" s="49"/>
      <c r="T128" s="7"/>
      <c r="U128" s="49"/>
      <c r="V128" s="7"/>
      <c r="W128" s="59" t="str">
        <f t="shared" si="10"/>
        <v>A</v>
      </c>
      <c r="X128" s="49">
        <v>2</v>
      </c>
      <c r="Y128" s="49"/>
      <c r="Z128" s="7"/>
      <c r="AA128" s="7"/>
      <c r="AB128" s="7"/>
      <c r="AC128" s="59">
        <f t="shared" si="11"/>
        <v>2</v>
      </c>
      <c r="AD128" s="49"/>
      <c r="AE128" s="7"/>
      <c r="AF128" s="49"/>
      <c r="AG128" s="7"/>
      <c r="AH128" s="7"/>
      <c r="AI128" s="59" t="str">
        <f t="shared" si="12"/>
        <v>A</v>
      </c>
      <c r="AJ128" s="49">
        <v>2</v>
      </c>
      <c r="AK128" s="49">
        <v>2</v>
      </c>
      <c r="AL128" s="7"/>
      <c r="AM128" s="49">
        <v>2</v>
      </c>
      <c r="AN128" s="7"/>
      <c r="AO128" s="59">
        <f t="shared" si="13"/>
        <v>2</v>
      </c>
      <c r="AP128" s="49">
        <v>2</v>
      </c>
      <c r="AQ128" s="49"/>
      <c r="AR128" s="49"/>
      <c r="AS128" s="7"/>
      <c r="AT128" s="7"/>
      <c r="AU128" s="59">
        <f t="shared" si="14"/>
        <v>2</v>
      </c>
      <c r="AV128" s="7"/>
      <c r="AW128" s="7"/>
      <c r="AX128" s="49"/>
      <c r="AY128" s="49">
        <v>2</v>
      </c>
      <c r="AZ128" s="49">
        <v>2</v>
      </c>
      <c r="BA128" s="59">
        <f t="shared" si="15"/>
        <v>2</v>
      </c>
    </row>
    <row r="129" spans="1:53" ht="23.1" customHeight="1" x14ac:dyDescent="0.3">
      <c r="A129" s="49">
        <v>127</v>
      </c>
      <c r="B129" s="49" t="s">
        <v>366</v>
      </c>
      <c r="C129" s="49" t="s">
        <v>367</v>
      </c>
      <c r="D129" s="49" t="s">
        <v>542</v>
      </c>
      <c r="E129" s="49" t="s">
        <v>493</v>
      </c>
      <c r="F129" s="49"/>
      <c r="G129" s="49"/>
      <c r="H129" s="49">
        <f>IFERROR(VLOOKUP(B129,[1]Debate!$A$5:$O$262,3,FALSE),"0")</f>
        <v>2.5</v>
      </c>
      <c r="I129" s="49"/>
      <c r="J129" s="49"/>
      <c r="K129" s="59">
        <f t="shared" si="8"/>
        <v>2.5</v>
      </c>
      <c r="L129" s="49">
        <v>2.5</v>
      </c>
      <c r="M129" s="49">
        <v>2</v>
      </c>
      <c r="N129" s="49">
        <v>2.5</v>
      </c>
      <c r="O129" s="49">
        <v>2.25</v>
      </c>
      <c r="P129" s="49">
        <v>2.5</v>
      </c>
      <c r="Q129" s="59">
        <f t="shared" si="9"/>
        <v>2.35</v>
      </c>
      <c r="R129" s="49"/>
      <c r="S129" s="49"/>
      <c r="T129" s="49"/>
      <c r="U129" s="49"/>
      <c r="V129" s="49"/>
      <c r="W129" s="59" t="str">
        <f t="shared" si="10"/>
        <v>A</v>
      </c>
      <c r="X129" s="49">
        <v>2</v>
      </c>
      <c r="Y129" s="49"/>
      <c r="Z129" s="49"/>
      <c r="AA129" s="49"/>
      <c r="AB129" s="49"/>
      <c r="AC129" s="59">
        <f t="shared" si="11"/>
        <v>2</v>
      </c>
      <c r="AD129" s="49"/>
      <c r="AE129" s="49"/>
      <c r="AF129" s="49"/>
      <c r="AG129" s="49"/>
      <c r="AH129" s="49"/>
      <c r="AI129" s="59" t="str">
        <f t="shared" si="12"/>
        <v>A</v>
      </c>
      <c r="AJ129" s="49">
        <v>2</v>
      </c>
      <c r="AK129" s="49">
        <v>2</v>
      </c>
      <c r="AL129" s="49"/>
      <c r="AM129" s="49">
        <v>2.5</v>
      </c>
      <c r="AN129" s="49"/>
      <c r="AO129" s="59">
        <f t="shared" si="13"/>
        <v>2.1666666666666665</v>
      </c>
      <c r="AP129" s="49">
        <v>2</v>
      </c>
      <c r="AQ129" s="49"/>
      <c r="AR129" s="49"/>
      <c r="AS129" s="49"/>
      <c r="AT129" s="49"/>
      <c r="AU129" s="59">
        <f t="shared" si="14"/>
        <v>2</v>
      </c>
      <c r="AV129" s="49"/>
      <c r="AW129" s="49"/>
      <c r="AX129" s="49"/>
      <c r="AY129" s="49">
        <v>2</v>
      </c>
      <c r="AZ129" s="49">
        <v>2</v>
      </c>
      <c r="BA129" s="59">
        <f t="shared" si="15"/>
        <v>2</v>
      </c>
    </row>
    <row r="130" spans="1:53" ht="23.1" customHeight="1" x14ac:dyDescent="0.3">
      <c r="A130" s="7">
        <v>128</v>
      </c>
      <c r="B130" s="7" t="s">
        <v>368</v>
      </c>
      <c r="C130" s="7" t="s">
        <v>369</v>
      </c>
      <c r="D130" s="7" t="s">
        <v>450</v>
      </c>
      <c r="E130" s="7" t="s">
        <v>493</v>
      </c>
      <c r="F130" s="7"/>
      <c r="G130" s="7"/>
      <c r="H130" s="49">
        <f>IFERROR(VLOOKUP(B130,[1]Debate!$A$5:$O$262,3,FALSE),"0")</f>
        <v>2</v>
      </c>
      <c r="I130" s="7"/>
      <c r="J130" s="7"/>
      <c r="K130" s="59">
        <f t="shared" si="8"/>
        <v>2</v>
      </c>
      <c r="L130" s="49">
        <v>3</v>
      </c>
      <c r="M130" s="49">
        <v>3</v>
      </c>
      <c r="N130" s="49">
        <v>4</v>
      </c>
      <c r="O130" s="49">
        <v>4</v>
      </c>
      <c r="P130" s="49">
        <v>3</v>
      </c>
      <c r="Q130" s="59">
        <f t="shared" si="9"/>
        <v>3.4</v>
      </c>
      <c r="R130" s="49"/>
      <c r="S130" s="49"/>
      <c r="T130" s="7"/>
      <c r="U130" s="49"/>
      <c r="V130" s="7"/>
      <c r="W130" s="59" t="str">
        <f t="shared" si="10"/>
        <v>A</v>
      </c>
      <c r="X130" s="49">
        <v>3</v>
      </c>
      <c r="Y130" s="49"/>
      <c r="Z130" s="7"/>
      <c r="AA130" s="7"/>
      <c r="AB130" s="7"/>
      <c r="AC130" s="59">
        <f t="shared" si="11"/>
        <v>3</v>
      </c>
      <c r="AD130" s="49"/>
      <c r="AE130" s="7"/>
      <c r="AF130" s="49"/>
      <c r="AG130" s="7"/>
      <c r="AH130" s="7"/>
      <c r="AI130" s="59" t="str">
        <f t="shared" si="12"/>
        <v>A</v>
      </c>
      <c r="AJ130" s="49">
        <v>3</v>
      </c>
      <c r="AK130" s="49">
        <v>3</v>
      </c>
      <c r="AL130" s="7"/>
      <c r="AM130" s="49">
        <v>2</v>
      </c>
      <c r="AN130" s="7"/>
      <c r="AO130" s="59">
        <f t="shared" si="13"/>
        <v>2.6666666666666665</v>
      </c>
      <c r="AP130" s="49">
        <v>3</v>
      </c>
      <c r="AQ130" s="49"/>
      <c r="AR130" s="49"/>
      <c r="AS130" s="7"/>
      <c r="AT130" s="7"/>
      <c r="AU130" s="59">
        <f t="shared" si="14"/>
        <v>3</v>
      </c>
      <c r="AV130" s="7"/>
      <c r="AW130" s="7"/>
      <c r="AX130" s="49"/>
      <c r="AY130" s="49">
        <v>3</v>
      </c>
      <c r="AZ130" s="49">
        <v>3</v>
      </c>
      <c r="BA130" s="59">
        <f t="shared" si="15"/>
        <v>3</v>
      </c>
    </row>
    <row r="131" spans="1:53" ht="23.1" customHeight="1" x14ac:dyDescent="0.3">
      <c r="A131" s="49">
        <v>129</v>
      </c>
      <c r="B131" s="49" t="s">
        <v>251</v>
      </c>
      <c r="C131" s="49" t="s">
        <v>252</v>
      </c>
      <c r="D131" s="49" t="s">
        <v>542</v>
      </c>
      <c r="E131" s="49" t="s">
        <v>161</v>
      </c>
      <c r="F131" s="49"/>
      <c r="G131" s="49"/>
      <c r="H131" s="49">
        <f>IFERROR(VLOOKUP(B131,[1]Debate!$A$5:$O$262,3,FALSE),"0")</f>
        <v>2</v>
      </c>
      <c r="I131" s="49"/>
      <c r="J131" s="49"/>
      <c r="K131" s="59">
        <f t="shared" si="8"/>
        <v>2</v>
      </c>
      <c r="L131" s="49">
        <v>3</v>
      </c>
      <c r="M131" s="49">
        <v>3</v>
      </c>
      <c r="N131" s="49">
        <v>2</v>
      </c>
      <c r="O131" s="49">
        <v>3.5</v>
      </c>
      <c r="P131" s="49">
        <v>3</v>
      </c>
      <c r="Q131" s="59">
        <f t="shared" si="9"/>
        <v>2.9</v>
      </c>
      <c r="R131" s="49"/>
      <c r="S131" s="49"/>
      <c r="T131" s="49"/>
      <c r="U131" s="49"/>
      <c r="V131" s="49"/>
      <c r="W131" s="59" t="str">
        <f t="shared" si="10"/>
        <v>A</v>
      </c>
      <c r="X131" s="49">
        <v>2</v>
      </c>
      <c r="Y131" s="49"/>
      <c r="Z131" s="49"/>
      <c r="AA131" s="49"/>
      <c r="AB131" s="49"/>
      <c r="AC131" s="59">
        <f t="shared" si="11"/>
        <v>2</v>
      </c>
      <c r="AD131" s="49"/>
      <c r="AE131" s="49"/>
      <c r="AF131" s="49"/>
      <c r="AG131" s="49"/>
      <c r="AH131" s="49"/>
      <c r="AI131" s="59" t="str">
        <f t="shared" si="12"/>
        <v>A</v>
      </c>
      <c r="AJ131" s="49">
        <v>3</v>
      </c>
      <c r="AK131" s="49">
        <v>2</v>
      </c>
      <c r="AL131" s="49"/>
      <c r="AM131" s="49">
        <v>2</v>
      </c>
      <c r="AN131" s="49"/>
      <c r="AO131" s="59">
        <f t="shared" si="13"/>
        <v>2.3333333333333335</v>
      </c>
      <c r="AP131" s="49">
        <v>3</v>
      </c>
      <c r="AQ131" s="49"/>
      <c r="AR131" s="49"/>
      <c r="AS131" s="49"/>
      <c r="AT131" s="49"/>
      <c r="AU131" s="59">
        <f t="shared" si="14"/>
        <v>3</v>
      </c>
      <c r="AV131" s="49"/>
      <c r="AW131" s="49"/>
      <c r="AX131" s="49"/>
      <c r="AY131" s="49">
        <v>3</v>
      </c>
      <c r="AZ131" s="49">
        <v>3</v>
      </c>
      <c r="BA131" s="59">
        <f t="shared" si="15"/>
        <v>3</v>
      </c>
    </row>
    <row r="132" spans="1:53" ht="23.1" customHeight="1" x14ac:dyDescent="0.3">
      <c r="A132" s="7">
        <v>130</v>
      </c>
      <c r="B132" s="7" t="s">
        <v>56</v>
      </c>
      <c r="C132" s="7" t="s">
        <v>57</v>
      </c>
      <c r="D132" s="7" t="s">
        <v>450</v>
      </c>
      <c r="E132" s="7" t="s">
        <v>35</v>
      </c>
      <c r="F132" s="7"/>
      <c r="G132" s="7"/>
      <c r="H132" s="49">
        <f>IFERROR(VLOOKUP(B132,[1]Debate!$A$5:$O$262,3,FALSE),"0")</f>
        <v>3.5</v>
      </c>
      <c r="I132" s="7"/>
      <c r="J132" s="7"/>
      <c r="K132" s="59">
        <f t="shared" ref="K132:K195" si="16">H132</f>
        <v>3.5</v>
      </c>
      <c r="L132" s="49">
        <v>3.5</v>
      </c>
      <c r="M132" s="49">
        <v>3.5</v>
      </c>
      <c r="N132" s="49">
        <v>3</v>
      </c>
      <c r="O132" s="49">
        <v>3.5</v>
      </c>
      <c r="P132" s="49">
        <v>3.5</v>
      </c>
      <c r="Q132" s="59">
        <f t="shared" ref="Q132:Q195" si="17">IFERROR(AVERAGE(M132,N132,L132,O132,P132),"0")</f>
        <v>3.4</v>
      </c>
      <c r="R132" s="49"/>
      <c r="S132" s="49"/>
      <c r="T132" s="7"/>
      <c r="U132" s="49"/>
      <c r="V132" s="7"/>
      <c r="W132" s="59" t="str">
        <f t="shared" ref="W132:W195" si="18">IFERROR(AVERAGE(R132,S132,U132),"A")</f>
        <v>A</v>
      </c>
      <c r="X132" s="49">
        <v>3.5</v>
      </c>
      <c r="Y132" s="49"/>
      <c r="Z132" s="7"/>
      <c r="AA132" s="7"/>
      <c r="AB132" s="7"/>
      <c r="AC132" s="59">
        <f t="shared" ref="AC132:AC195" si="19">X132</f>
        <v>3.5</v>
      </c>
      <c r="AD132" s="49"/>
      <c r="AE132" s="7"/>
      <c r="AF132" s="49"/>
      <c r="AG132" s="7"/>
      <c r="AH132" s="7"/>
      <c r="AI132" s="59" t="str">
        <f t="shared" ref="AI132:AI195" si="20">IFERROR(AVERAGE(AF132,AD132),"A")</f>
        <v>A</v>
      </c>
      <c r="AJ132" s="49">
        <v>3.5</v>
      </c>
      <c r="AK132" s="49">
        <v>3.5</v>
      </c>
      <c r="AL132" s="7"/>
      <c r="AM132" s="49">
        <v>3</v>
      </c>
      <c r="AN132" s="7"/>
      <c r="AO132" s="59">
        <f t="shared" ref="AO132:AO195" si="21">IFERROR(AVERAGE(AJ132,AK132,AL132,AM132),"0")</f>
        <v>3.3333333333333335</v>
      </c>
      <c r="AP132" s="49">
        <v>3.5</v>
      </c>
      <c r="AQ132" s="49"/>
      <c r="AR132" s="49"/>
      <c r="AS132" s="7"/>
      <c r="AT132" s="7"/>
      <c r="AU132" s="59">
        <f t="shared" ref="AU132:AU195" si="22">AP132</f>
        <v>3.5</v>
      </c>
      <c r="AV132" s="7"/>
      <c r="AW132" s="7"/>
      <c r="AX132" s="49"/>
      <c r="AY132" s="49">
        <v>3.5</v>
      </c>
      <c r="AZ132" s="49">
        <v>3.5</v>
      </c>
      <c r="BA132" s="59">
        <f t="shared" ref="BA132:BA195" si="23">IFERROR(AVERAGE(AY132,AZ132),"0")</f>
        <v>3.5</v>
      </c>
    </row>
    <row r="133" spans="1:53" ht="23.1" customHeight="1" x14ac:dyDescent="0.3">
      <c r="A133" s="49">
        <v>131</v>
      </c>
      <c r="B133" s="49" t="s">
        <v>265</v>
      </c>
      <c r="C133" s="49" t="s">
        <v>266</v>
      </c>
      <c r="D133" s="49" t="s">
        <v>542</v>
      </c>
      <c r="E133" s="49" t="s">
        <v>161</v>
      </c>
      <c r="F133" s="49"/>
      <c r="G133" s="49"/>
      <c r="H133" s="49">
        <f>IFERROR(VLOOKUP(B133,[1]Debate!$A$5:$O$262,3,FALSE),"0")</f>
        <v>4</v>
      </c>
      <c r="I133" s="49"/>
      <c r="J133" s="49"/>
      <c r="K133" s="59">
        <f t="shared" si="16"/>
        <v>4</v>
      </c>
      <c r="L133" s="49">
        <v>4</v>
      </c>
      <c r="M133" s="49">
        <v>4</v>
      </c>
      <c r="N133" s="49">
        <v>4</v>
      </c>
      <c r="O133" s="49">
        <v>2</v>
      </c>
      <c r="P133" s="49">
        <v>4</v>
      </c>
      <c r="Q133" s="59">
        <f t="shared" si="17"/>
        <v>3.6</v>
      </c>
      <c r="R133" s="49"/>
      <c r="S133" s="49"/>
      <c r="T133" s="49"/>
      <c r="U133" s="49"/>
      <c r="V133" s="49"/>
      <c r="W133" s="59" t="str">
        <f t="shared" si="18"/>
        <v>A</v>
      </c>
      <c r="X133" s="49">
        <v>4</v>
      </c>
      <c r="Y133" s="49"/>
      <c r="Z133" s="49"/>
      <c r="AA133" s="49"/>
      <c r="AB133" s="49"/>
      <c r="AC133" s="59">
        <f t="shared" si="19"/>
        <v>4</v>
      </c>
      <c r="AD133" s="49"/>
      <c r="AE133" s="49"/>
      <c r="AF133" s="49"/>
      <c r="AG133" s="49"/>
      <c r="AH133" s="49"/>
      <c r="AI133" s="59" t="str">
        <f t="shared" si="20"/>
        <v>A</v>
      </c>
      <c r="AJ133" s="49">
        <v>4</v>
      </c>
      <c r="AK133" s="49">
        <v>4</v>
      </c>
      <c r="AL133" s="49"/>
      <c r="AM133" s="49">
        <v>4</v>
      </c>
      <c r="AN133" s="49"/>
      <c r="AO133" s="59">
        <f t="shared" si="21"/>
        <v>4</v>
      </c>
      <c r="AP133" s="49">
        <v>4</v>
      </c>
      <c r="AQ133" s="49"/>
      <c r="AR133" s="49"/>
      <c r="AS133" s="49"/>
      <c r="AT133" s="49"/>
      <c r="AU133" s="59">
        <f t="shared" si="22"/>
        <v>4</v>
      </c>
      <c r="AV133" s="49"/>
      <c r="AW133" s="49"/>
      <c r="AX133" s="49"/>
      <c r="AY133" s="49">
        <v>4</v>
      </c>
      <c r="AZ133" s="49">
        <v>4</v>
      </c>
      <c r="BA133" s="59">
        <f t="shared" si="23"/>
        <v>4</v>
      </c>
    </row>
    <row r="134" spans="1:53" ht="23.1" customHeight="1" x14ac:dyDescent="0.3">
      <c r="A134" s="7">
        <v>132</v>
      </c>
      <c r="B134" s="7" t="s">
        <v>79</v>
      </c>
      <c r="C134" s="7" t="s">
        <v>80</v>
      </c>
      <c r="D134" s="7" t="s">
        <v>542</v>
      </c>
      <c r="E134" s="7" t="s">
        <v>35</v>
      </c>
      <c r="F134" s="7"/>
      <c r="G134" s="7"/>
      <c r="H134" s="49">
        <f>IFERROR(VLOOKUP(B134,[1]Debate!$A$5:$O$262,3,FALSE),"0")</f>
        <v>3</v>
      </c>
      <c r="I134" s="7"/>
      <c r="J134" s="7"/>
      <c r="K134" s="59">
        <f t="shared" si="16"/>
        <v>3</v>
      </c>
      <c r="L134" s="49">
        <v>2</v>
      </c>
      <c r="M134" s="49">
        <v>2</v>
      </c>
      <c r="N134" s="49">
        <v>3</v>
      </c>
      <c r="O134" s="49">
        <v>2</v>
      </c>
      <c r="P134" s="49">
        <v>2</v>
      </c>
      <c r="Q134" s="59">
        <f t="shared" si="17"/>
        <v>2.2000000000000002</v>
      </c>
      <c r="R134" s="49"/>
      <c r="S134" s="49"/>
      <c r="T134" s="7"/>
      <c r="U134" s="49"/>
      <c r="V134" s="7"/>
      <c r="W134" s="59" t="str">
        <f t="shared" si="18"/>
        <v>A</v>
      </c>
      <c r="X134" s="49">
        <v>3</v>
      </c>
      <c r="Y134" s="49"/>
      <c r="Z134" s="7"/>
      <c r="AA134" s="7"/>
      <c r="AB134" s="7"/>
      <c r="AC134" s="59">
        <f t="shared" si="19"/>
        <v>3</v>
      </c>
      <c r="AD134" s="49"/>
      <c r="AE134" s="7"/>
      <c r="AF134" s="49"/>
      <c r="AG134" s="7"/>
      <c r="AH134" s="7"/>
      <c r="AI134" s="59" t="str">
        <f t="shared" si="20"/>
        <v>A</v>
      </c>
      <c r="AJ134" s="49">
        <v>3</v>
      </c>
      <c r="AK134" s="49">
        <v>2</v>
      </c>
      <c r="AL134" s="7"/>
      <c r="AM134" s="49">
        <v>2</v>
      </c>
      <c r="AN134" s="7"/>
      <c r="AO134" s="59">
        <f t="shared" si="21"/>
        <v>2.3333333333333335</v>
      </c>
      <c r="AP134" s="49">
        <v>3</v>
      </c>
      <c r="AQ134" s="49"/>
      <c r="AR134" s="49"/>
      <c r="AS134" s="7"/>
      <c r="AT134" s="7"/>
      <c r="AU134" s="59">
        <f t="shared" si="22"/>
        <v>3</v>
      </c>
      <c r="AV134" s="7"/>
      <c r="AW134" s="7"/>
      <c r="AX134" s="49"/>
      <c r="AY134" s="49">
        <v>3</v>
      </c>
      <c r="AZ134" s="49">
        <v>2</v>
      </c>
      <c r="BA134" s="59">
        <f t="shared" si="23"/>
        <v>2.5</v>
      </c>
    </row>
    <row r="135" spans="1:53" ht="23.1" customHeight="1" x14ac:dyDescent="0.3">
      <c r="A135" s="49">
        <v>133</v>
      </c>
      <c r="B135" s="49" t="s">
        <v>85</v>
      </c>
      <c r="C135" s="49" t="s">
        <v>86</v>
      </c>
      <c r="D135" s="49" t="s">
        <v>450</v>
      </c>
      <c r="E135" s="49" t="s">
        <v>35</v>
      </c>
      <c r="F135" s="49"/>
      <c r="G135" s="49"/>
      <c r="H135" s="49">
        <f>IFERROR(VLOOKUP(B135,[1]Debate!$A$5:$O$262,3,FALSE),"0")</f>
        <v>2</v>
      </c>
      <c r="I135" s="49"/>
      <c r="J135" s="49"/>
      <c r="K135" s="59">
        <f t="shared" si="16"/>
        <v>2</v>
      </c>
      <c r="L135" s="49">
        <v>2</v>
      </c>
      <c r="M135" s="49">
        <v>2.5</v>
      </c>
      <c r="N135" s="49">
        <v>2</v>
      </c>
      <c r="O135" s="49">
        <v>2.25</v>
      </c>
      <c r="P135" s="49">
        <v>2</v>
      </c>
      <c r="Q135" s="59">
        <f t="shared" si="17"/>
        <v>2.15</v>
      </c>
      <c r="R135" s="49"/>
      <c r="S135" s="49"/>
      <c r="T135" s="49"/>
      <c r="U135" s="49"/>
      <c r="V135" s="49"/>
      <c r="W135" s="59" t="str">
        <f t="shared" si="18"/>
        <v>A</v>
      </c>
      <c r="X135" s="49">
        <v>2</v>
      </c>
      <c r="Y135" s="49"/>
      <c r="Z135" s="49"/>
      <c r="AA135" s="49"/>
      <c r="AB135" s="49"/>
      <c r="AC135" s="59">
        <f t="shared" si="19"/>
        <v>2</v>
      </c>
      <c r="AD135" s="49"/>
      <c r="AE135" s="49"/>
      <c r="AF135" s="49"/>
      <c r="AG135" s="49"/>
      <c r="AH135" s="49"/>
      <c r="AI135" s="59" t="str">
        <f t="shared" si="20"/>
        <v>A</v>
      </c>
      <c r="AJ135" s="49">
        <v>2.5</v>
      </c>
      <c r="AK135" s="49">
        <v>2</v>
      </c>
      <c r="AL135" s="49"/>
      <c r="AM135" s="49">
        <v>2</v>
      </c>
      <c r="AN135" s="49"/>
      <c r="AO135" s="59">
        <f t="shared" si="21"/>
        <v>2.1666666666666665</v>
      </c>
      <c r="AP135" s="49">
        <v>2</v>
      </c>
      <c r="AQ135" s="49"/>
      <c r="AR135" s="49"/>
      <c r="AS135" s="49"/>
      <c r="AT135" s="49"/>
      <c r="AU135" s="59">
        <f t="shared" si="22"/>
        <v>2</v>
      </c>
      <c r="AV135" s="49"/>
      <c r="AW135" s="49"/>
      <c r="AX135" s="49"/>
      <c r="AY135" s="49">
        <v>2</v>
      </c>
      <c r="AZ135" s="49">
        <v>2.5</v>
      </c>
      <c r="BA135" s="59">
        <f t="shared" si="23"/>
        <v>2.25</v>
      </c>
    </row>
    <row r="136" spans="1:53" ht="23.1" customHeight="1" x14ac:dyDescent="0.3">
      <c r="A136" s="7">
        <v>134</v>
      </c>
      <c r="B136" s="7" t="s">
        <v>253</v>
      </c>
      <c r="C136" s="7" t="s">
        <v>254</v>
      </c>
      <c r="D136" s="7" t="s">
        <v>450</v>
      </c>
      <c r="E136" s="7" t="s">
        <v>161</v>
      </c>
      <c r="F136" s="7"/>
      <c r="G136" s="7"/>
      <c r="H136" s="49">
        <f>IFERROR(VLOOKUP(B136,[1]Debate!$A$5:$O$262,3,FALSE),"0")</f>
        <v>2</v>
      </c>
      <c r="I136" s="7"/>
      <c r="J136" s="7"/>
      <c r="K136" s="59">
        <f t="shared" si="16"/>
        <v>2</v>
      </c>
      <c r="L136" s="49">
        <v>3</v>
      </c>
      <c r="M136" s="49">
        <v>3</v>
      </c>
      <c r="N136" s="49">
        <v>3</v>
      </c>
      <c r="O136" s="49">
        <v>1.5</v>
      </c>
      <c r="P136" s="49">
        <v>3</v>
      </c>
      <c r="Q136" s="59">
        <f t="shared" si="17"/>
        <v>2.7</v>
      </c>
      <c r="R136" s="49"/>
      <c r="S136" s="49"/>
      <c r="T136" s="7"/>
      <c r="U136" s="49"/>
      <c r="V136" s="7"/>
      <c r="W136" s="59" t="str">
        <f t="shared" si="18"/>
        <v>A</v>
      </c>
      <c r="X136" s="49">
        <v>2</v>
      </c>
      <c r="Y136" s="49"/>
      <c r="Z136" s="7"/>
      <c r="AA136" s="7"/>
      <c r="AB136" s="7"/>
      <c r="AC136" s="59">
        <f t="shared" si="19"/>
        <v>2</v>
      </c>
      <c r="AD136" s="49"/>
      <c r="AE136" s="7"/>
      <c r="AF136" s="49"/>
      <c r="AG136" s="7"/>
      <c r="AH136" s="7"/>
      <c r="AI136" s="59" t="str">
        <f t="shared" si="20"/>
        <v>A</v>
      </c>
      <c r="AJ136" s="49">
        <v>2</v>
      </c>
      <c r="AK136" s="49">
        <v>2</v>
      </c>
      <c r="AL136" s="7"/>
      <c r="AM136" s="49">
        <v>2</v>
      </c>
      <c r="AN136" s="7"/>
      <c r="AO136" s="59">
        <f t="shared" si="21"/>
        <v>2</v>
      </c>
      <c r="AP136" s="49">
        <v>3</v>
      </c>
      <c r="AQ136" s="49"/>
      <c r="AR136" s="49"/>
      <c r="AS136" s="7"/>
      <c r="AT136" s="7"/>
      <c r="AU136" s="59">
        <f t="shared" si="22"/>
        <v>3</v>
      </c>
      <c r="AV136" s="7"/>
      <c r="AW136" s="7"/>
      <c r="AX136" s="49"/>
      <c r="AY136" s="49">
        <v>3</v>
      </c>
      <c r="AZ136" s="49">
        <v>3</v>
      </c>
      <c r="BA136" s="59">
        <f t="shared" si="23"/>
        <v>3</v>
      </c>
    </row>
    <row r="137" spans="1:53" ht="23.1" customHeight="1" x14ac:dyDescent="0.3">
      <c r="A137" s="49">
        <v>135</v>
      </c>
      <c r="B137" s="49" t="s">
        <v>370</v>
      </c>
      <c r="C137" s="49" t="s">
        <v>371</v>
      </c>
      <c r="D137" s="49" t="s">
        <v>450</v>
      </c>
      <c r="E137" s="49" t="s">
        <v>493</v>
      </c>
      <c r="F137" s="49"/>
      <c r="G137" s="49"/>
      <c r="H137" s="49">
        <f>IFERROR(VLOOKUP(B137,[1]Debate!$A$5:$O$262,3,FALSE),"0")</f>
        <v>2</v>
      </c>
      <c r="I137" s="49"/>
      <c r="J137" s="49"/>
      <c r="K137" s="59">
        <f t="shared" si="16"/>
        <v>2</v>
      </c>
      <c r="L137" s="49">
        <v>3</v>
      </c>
      <c r="M137" s="49">
        <v>3</v>
      </c>
      <c r="N137" s="49">
        <v>2</v>
      </c>
      <c r="O137" s="49">
        <v>0.5</v>
      </c>
      <c r="P137" s="49">
        <v>2</v>
      </c>
      <c r="Q137" s="59">
        <f t="shared" si="17"/>
        <v>2.1</v>
      </c>
      <c r="R137" s="49"/>
      <c r="S137" s="49"/>
      <c r="T137" s="49"/>
      <c r="U137" s="49"/>
      <c r="V137" s="49"/>
      <c r="W137" s="59" t="str">
        <f t="shared" si="18"/>
        <v>A</v>
      </c>
      <c r="X137" s="49">
        <v>2</v>
      </c>
      <c r="Y137" s="49"/>
      <c r="Z137" s="49"/>
      <c r="AA137" s="49"/>
      <c r="AB137" s="49"/>
      <c r="AC137" s="59">
        <f t="shared" si="19"/>
        <v>2</v>
      </c>
      <c r="AD137" s="49"/>
      <c r="AE137" s="49"/>
      <c r="AF137" s="49"/>
      <c r="AG137" s="49"/>
      <c r="AH137" s="49"/>
      <c r="AI137" s="59" t="str">
        <f t="shared" si="20"/>
        <v>A</v>
      </c>
      <c r="AJ137" s="49">
        <v>3</v>
      </c>
      <c r="AK137" s="49">
        <v>2</v>
      </c>
      <c r="AL137" s="49"/>
      <c r="AM137" s="49">
        <v>3</v>
      </c>
      <c r="AN137" s="49"/>
      <c r="AO137" s="59">
        <f t="shared" si="21"/>
        <v>2.6666666666666665</v>
      </c>
      <c r="AP137" s="49">
        <v>3</v>
      </c>
      <c r="AQ137" s="49"/>
      <c r="AR137" s="49"/>
      <c r="AS137" s="49"/>
      <c r="AT137" s="49"/>
      <c r="AU137" s="59">
        <f t="shared" si="22"/>
        <v>3</v>
      </c>
      <c r="AV137" s="49"/>
      <c r="AW137" s="49"/>
      <c r="AX137" s="49"/>
      <c r="AY137" s="49">
        <v>2</v>
      </c>
      <c r="AZ137" s="49">
        <v>2</v>
      </c>
      <c r="BA137" s="59">
        <f t="shared" si="23"/>
        <v>2</v>
      </c>
    </row>
    <row r="138" spans="1:53" ht="23.1" customHeight="1" x14ac:dyDescent="0.3">
      <c r="A138" s="7">
        <v>136</v>
      </c>
      <c r="B138" s="7" t="s">
        <v>372</v>
      </c>
      <c r="C138" s="7" t="s">
        <v>373</v>
      </c>
      <c r="D138" s="7" t="s">
        <v>542</v>
      </c>
      <c r="E138" s="7" t="s">
        <v>493</v>
      </c>
      <c r="F138" s="7"/>
      <c r="G138" s="7"/>
      <c r="H138" s="49">
        <f>IFERROR(VLOOKUP(B138,[1]Debate!$A$5:$O$262,3,FALSE),"0")</f>
        <v>2</v>
      </c>
      <c r="I138" s="7"/>
      <c r="J138" s="7"/>
      <c r="K138" s="59">
        <f t="shared" si="16"/>
        <v>2</v>
      </c>
      <c r="L138" s="49">
        <v>3</v>
      </c>
      <c r="M138" s="49">
        <v>3</v>
      </c>
      <c r="N138" s="49">
        <v>3</v>
      </c>
      <c r="O138" s="49">
        <v>2.5</v>
      </c>
      <c r="P138" s="49">
        <v>2</v>
      </c>
      <c r="Q138" s="59">
        <f t="shared" si="17"/>
        <v>2.7</v>
      </c>
      <c r="R138" s="49"/>
      <c r="S138" s="49"/>
      <c r="T138" s="7"/>
      <c r="U138" s="49"/>
      <c r="V138" s="7"/>
      <c r="W138" s="59" t="str">
        <f t="shared" si="18"/>
        <v>A</v>
      </c>
      <c r="X138" s="49">
        <v>3</v>
      </c>
      <c r="Y138" s="49"/>
      <c r="Z138" s="7"/>
      <c r="AA138" s="7"/>
      <c r="AB138" s="7"/>
      <c r="AC138" s="59">
        <f t="shared" si="19"/>
        <v>3</v>
      </c>
      <c r="AD138" s="49"/>
      <c r="AE138" s="7"/>
      <c r="AF138" s="49"/>
      <c r="AG138" s="7"/>
      <c r="AH138" s="7"/>
      <c r="AI138" s="59" t="str">
        <f t="shared" si="20"/>
        <v>A</v>
      </c>
      <c r="AJ138" s="49">
        <v>3</v>
      </c>
      <c r="AK138" s="49">
        <v>2</v>
      </c>
      <c r="AL138" s="7"/>
      <c r="AM138" s="49">
        <v>2</v>
      </c>
      <c r="AN138" s="7"/>
      <c r="AO138" s="59">
        <f t="shared" si="21"/>
        <v>2.3333333333333335</v>
      </c>
      <c r="AP138" s="49">
        <v>3</v>
      </c>
      <c r="AQ138" s="49"/>
      <c r="AR138" s="49"/>
      <c r="AS138" s="7"/>
      <c r="AT138" s="7"/>
      <c r="AU138" s="59">
        <f t="shared" si="22"/>
        <v>3</v>
      </c>
      <c r="AV138" s="7"/>
      <c r="AW138" s="7"/>
      <c r="AX138" s="49"/>
      <c r="AY138" s="49">
        <v>4</v>
      </c>
      <c r="AZ138" s="49">
        <v>3</v>
      </c>
      <c r="BA138" s="59">
        <f t="shared" si="23"/>
        <v>3.5</v>
      </c>
    </row>
    <row r="139" spans="1:53" ht="23.1" customHeight="1" x14ac:dyDescent="0.3">
      <c r="A139" s="49">
        <v>137</v>
      </c>
      <c r="B139" s="49" t="s">
        <v>267</v>
      </c>
      <c r="C139" s="49" t="s">
        <v>268</v>
      </c>
      <c r="D139" s="49" t="s">
        <v>542</v>
      </c>
      <c r="E139" s="49" t="s">
        <v>161</v>
      </c>
      <c r="F139" s="49"/>
      <c r="G139" s="49"/>
      <c r="H139" s="49">
        <f>IFERROR(VLOOKUP(B139,[1]Debate!$A$5:$O$262,3,FALSE),"0")</f>
        <v>2</v>
      </c>
      <c r="I139" s="49"/>
      <c r="J139" s="49"/>
      <c r="K139" s="59">
        <f t="shared" si="16"/>
        <v>2</v>
      </c>
      <c r="L139" s="49">
        <v>3</v>
      </c>
      <c r="M139" s="49">
        <v>2</v>
      </c>
      <c r="N139" s="49">
        <v>4</v>
      </c>
      <c r="O139" s="49">
        <v>3.5</v>
      </c>
      <c r="P139" s="49">
        <v>3</v>
      </c>
      <c r="Q139" s="59">
        <f t="shared" si="17"/>
        <v>3.1</v>
      </c>
      <c r="R139" s="49"/>
      <c r="S139" s="49"/>
      <c r="T139" s="49"/>
      <c r="U139" s="49"/>
      <c r="V139" s="49"/>
      <c r="W139" s="59" t="str">
        <f t="shared" si="18"/>
        <v>A</v>
      </c>
      <c r="X139" s="49">
        <v>2</v>
      </c>
      <c r="Y139" s="49"/>
      <c r="Z139" s="49"/>
      <c r="AA139" s="49"/>
      <c r="AB139" s="49"/>
      <c r="AC139" s="59">
        <f t="shared" si="19"/>
        <v>2</v>
      </c>
      <c r="AD139" s="49"/>
      <c r="AE139" s="49"/>
      <c r="AF139" s="49"/>
      <c r="AG139" s="49"/>
      <c r="AH139" s="49"/>
      <c r="AI139" s="59" t="str">
        <f t="shared" si="20"/>
        <v>A</v>
      </c>
      <c r="AJ139" s="49">
        <v>3</v>
      </c>
      <c r="AK139" s="49">
        <v>2</v>
      </c>
      <c r="AL139" s="49"/>
      <c r="AM139" s="49">
        <v>2</v>
      </c>
      <c r="AN139" s="49"/>
      <c r="AO139" s="59">
        <f t="shared" si="21"/>
        <v>2.3333333333333335</v>
      </c>
      <c r="AP139" s="49">
        <v>3</v>
      </c>
      <c r="AQ139" s="49"/>
      <c r="AR139" s="49"/>
      <c r="AS139" s="49"/>
      <c r="AT139" s="49"/>
      <c r="AU139" s="59">
        <f t="shared" si="22"/>
        <v>3</v>
      </c>
      <c r="AV139" s="49"/>
      <c r="AW139" s="49"/>
      <c r="AX139" s="49"/>
      <c r="AY139" s="49">
        <v>3</v>
      </c>
      <c r="AZ139" s="49">
        <v>3</v>
      </c>
      <c r="BA139" s="59">
        <f t="shared" si="23"/>
        <v>3</v>
      </c>
    </row>
    <row r="140" spans="1:53" ht="23.1" customHeight="1" x14ac:dyDescent="0.3">
      <c r="A140" s="7">
        <v>138</v>
      </c>
      <c r="B140" s="7" t="s">
        <v>281</v>
      </c>
      <c r="C140" s="7" t="s">
        <v>282</v>
      </c>
      <c r="D140" s="7" t="s">
        <v>542</v>
      </c>
      <c r="E140" s="7" t="s">
        <v>161</v>
      </c>
      <c r="F140" s="7"/>
      <c r="G140" s="7"/>
      <c r="H140" s="49">
        <f>IFERROR(VLOOKUP(B140,[1]Debate!$A$5:$O$262,3,FALSE),"0")</f>
        <v>3</v>
      </c>
      <c r="I140" s="7"/>
      <c r="J140" s="7"/>
      <c r="K140" s="59">
        <f t="shared" si="16"/>
        <v>3</v>
      </c>
      <c r="L140" s="49">
        <v>3</v>
      </c>
      <c r="M140" s="49">
        <v>2</v>
      </c>
      <c r="N140" s="49">
        <v>3</v>
      </c>
      <c r="O140" s="49">
        <v>3.5</v>
      </c>
      <c r="P140" s="49">
        <v>3</v>
      </c>
      <c r="Q140" s="59">
        <f t="shared" si="17"/>
        <v>2.9</v>
      </c>
      <c r="R140" s="49"/>
      <c r="S140" s="49"/>
      <c r="T140" s="7"/>
      <c r="U140" s="49"/>
      <c r="V140" s="7"/>
      <c r="W140" s="59" t="str">
        <f t="shared" si="18"/>
        <v>A</v>
      </c>
      <c r="X140" s="49">
        <v>3</v>
      </c>
      <c r="Y140" s="49"/>
      <c r="Z140" s="7"/>
      <c r="AA140" s="7"/>
      <c r="AB140" s="7"/>
      <c r="AC140" s="59">
        <f t="shared" si="19"/>
        <v>3</v>
      </c>
      <c r="AD140" s="49"/>
      <c r="AE140" s="7"/>
      <c r="AF140" s="49"/>
      <c r="AG140" s="7"/>
      <c r="AH140" s="7"/>
      <c r="AI140" s="59" t="str">
        <f t="shared" si="20"/>
        <v>A</v>
      </c>
      <c r="AJ140" s="49">
        <v>3</v>
      </c>
      <c r="AK140" s="49">
        <v>3</v>
      </c>
      <c r="AL140" s="7"/>
      <c r="AM140" s="49">
        <v>3</v>
      </c>
      <c r="AN140" s="7"/>
      <c r="AO140" s="59">
        <f t="shared" si="21"/>
        <v>3</v>
      </c>
      <c r="AP140" s="49">
        <v>3</v>
      </c>
      <c r="AQ140" s="49"/>
      <c r="AR140" s="49"/>
      <c r="AS140" s="7"/>
      <c r="AT140" s="7"/>
      <c r="AU140" s="59">
        <f t="shared" si="22"/>
        <v>3</v>
      </c>
      <c r="AV140" s="7"/>
      <c r="AW140" s="7"/>
      <c r="AX140" s="49"/>
      <c r="AY140" s="49">
        <v>4</v>
      </c>
      <c r="AZ140" s="49">
        <v>3</v>
      </c>
      <c r="BA140" s="59">
        <f t="shared" si="23"/>
        <v>3.5</v>
      </c>
    </row>
    <row r="141" spans="1:53" ht="23.1" customHeight="1" x14ac:dyDescent="0.3">
      <c r="A141" s="49">
        <v>139</v>
      </c>
      <c r="B141" s="49" t="s">
        <v>152</v>
      </c>
      <c r="C141" s="49" t="s">
        <v>153</v>
      </c>
      <c r="D141" s="49" t="s">
        <v>450</v>
      </c>
      <c r="E141" s="49" t="s">
        <v>35</v>
      </c>
      <c r="F141" s="49"/>
      <c r="G141" s="49"/>
      <c r="H141" s="49">
        <f>IFERROR(VLOOKUP(B141,[1]Debate!$A$5:$O$262,3,FALSE),"0")</f>
        <v>2</v>
      </c>
      <c r="I141" s="49"/>
      <c r="J141" s="49"/>
      <c r="K141" s="59">
        <f t="shared" si="16"/>
        <v>2</v>
      </c>
      <c r="L141" s="49">
        <v>3</v>
      </c>
      <c r="M141" s="49">
        <v>3</v>
      </c>
      <c r="N141" s="49">
        <v>2</v>
      </c>
      <c r="O141" s="49">
        <v>2.5</v>
      </c>
      <c r="P141" s="49">
        <v>3</v>
      </c>
      <c r="Q141" s="59">
        <f t="shared" si="17"/>
        <v>2.7</v>
      </c>
      <c r="R141" s="49"/>
      <c r="S141" s="49"/>
      <c r="T141" s="49"/>
      <c r="U141" s="49"/>
      <c r="V141" s="49"/>
      <c r="W141" s="59" t="str">
        <f t="shared" si="18"/>
        <v>A</v>
      </c>
      <c r="X141" s="49">
        <v>2</v>
      </c>
      <c r="Y141" s="49"/>
      <c r="Z141" s="49"/>
      <c r="AA141" s="49"/>
      <c r="AB141" s="49"/>
      <c r="AC141" s="59">
        <f t="shared" si="19"/>
        <v>2</v>
      </c>
      <c r="AD141" s="49"/>
      <c r="AE141" s="49"/>
      <c r="AF141" s="49"/>
      <c r="AG141" s="49"/>
      <c r="AH141" s="49"/>
      <c r="AI141" s="59" t="str">
        <f t="shared" si="20"/>
        <v>A</v>
      </c>
      <c r="AJ141" s="49">
        <v>3</v>
      </c>
      <c r="AK141" s="49">
        <v>2</v>
      </c>
      <c r="AL141" s="49"/>
      <c r="AM141" s="49">
        <v>2</v>
      </c>
      <c r="AN141" s="49"/>
      <c r="AO141" s="59">
        <f t="shared" si="21"/>
        <v>2.3333333333333335</v>
      </c>
      <c r="AP141" s="49">
        <v>3</v>
      </c>
      <c r="AQ141" s="49"/>
      <c r="AR141" s="49"/>
      <c r="AS141" s="49"/>
      <c r="AT141" s="49"/>
      <c r="AU141" s="59">
        <f t="shared" si="22"/>
        <v>3</v>
      </c>
      <c r="AV141" s="49"/>
      <c r="AW141" s="49"/>
      <c r="AX141" s="49"/>
      <c r="AY141" s="49">
        <v>3</v>
      </c>
      <c r="AZ141" s="49">
        <v>3</v>
      </c>
      <c r="BA141" s="59">
        <f t="shared" si="23"/>
        <v>3</v>
      </c>
    </row>
    <row r="142" spans="1:53" ht="23.1" customHeight="1" x14ac:dyDescent="0.3">
      <c r="A142" s="7">
        <v>140</v>
      </c>
      <c r="B142" s="7" t="s">
        <v>374</v>
      </c>
      <c r="C142" s="7" t="s">
        <v>375</v>
      </c>
      <c r="D142" s="7" t="s">
        <v>450</v>
      </c>
      <c r="E142" s="7" t="s">
        <v>493</v>
      </c>
      <c r="F142" s="7"/>
      <c r="G142" s="7"/>
      <c r="H142" s="49">
        <f>IFERROR(VLOOKUP(B142,[1]Debate!$A$5:$O$262,3,FALSE),"0")</f>
        <v>2</v>
      </c>
      <c r="I142" s="7"/>
      <c r="J142" s="7"/>
      <c r="K142" s="59">
        <f t="shared" si="16"/>
        <v>2</v>
      </c>
      <c r="L142" s="49">
        <v>2</v>
      </c>
      <c r="M142" s="49">
        <v>2</v>
      </c>
      <c r="N142" s="49">
        <v>3</v>
      </c>
      <c r="O142" s="49">
        <v>4</v>
      </c>
      <c r="P142" s="49">
        <v>2</v>
      </c>
      <c r="Q142" s="59">
        <f t="shared" si="17"/>
        <v>2.6</v>
      </c>
      <c r="R142" s="49"/>
      <c r="S142" s="49"/>
      <c r="T142" s="7"/>
      <c r="U142" s="49"/>
      <c r="V142" s="7"/>
      <c r="W142" s="59" t="str">
        <f t="shared" si="18"/>
        <v>A</v>
      </c>
      <c r="X142" s="49">
        <v>2</v>
      </c>
      <c r="Y142" s="49"/>
      <c r="Z142" s="7"/>
      <c r="AA142" s="7"/>
      <c r="AB142" s="7"/>
      <c r="AC142" s="59">
        <f t="shared" si="19"/>
        <v>2</v>
      </c>
      <c r="AD142" s="49"/>
      <c r="AE142" s="7"/>
      <c r="AF142" s="49"/>
      <c r="AG142" s="7"/>
      <c r="AH142" s="7"/>
      <c r="AI142" s="59" t="str">
        <f t="shared" si="20"/>
        <v>A</v>
      </c>
      <c r="AJ142" s="49">
        <v>3</v>
      </c>
      <c r="AK142" s="49">
        <v>2</v>
      </c>
      <c r="AL142" s="7"/>
      <c r="AM142" s="49">
        <v>3</v>
      </c>
      <c r="AN142" s="7"/>
      <c r="AO142" s="59">
        <f t="shared" si="21"/>
        <v>2.6666666666666665</v>
      </c>
      <c r="AP142" s="49">
        <v>3</v>
      </c>
      <c r="AQ142" s="49"/>
      <c r="AR142" s="49"/>
      <c r="AS142" s="7"/>
      <c r="AT142" s="7"/>
      <c r="AU142" s="59">
        <f t="shared" si="22"/>
        <v>3</v>
      </c>
      <c r="AV142" s="7"/>
      <c r="AW142" s="7"/>
      <c r="AX142" s="49"/>
      <c r="AY142" s="49">
        <v>2</v>
      </c>
      <c r="AZ142" s="49">
        <v>3</v>
      </c>
      <c r="BA142" s="59">
        <f t="shared" si="23"/>
        <v>2.5</v>
      </c>
    </row>
    <row r="143" spans="1:53" ht="23.1" customHeight="1" x14ac:dyDescent="0.3">
      <c r="A143" s="49">
        <v>141</v>
      </c>
      <c r="B143" s="49" t="s">
        <v>269</v>
      </c>
      <c r="C143" s="49" t="s">
        <v>270</v>
      </c>
      <c r="D143" s="49" t="s">
        <v>450</v>
      </c>
      <c r="E143" s="49" t="s">
        <v>161</v>
      </c>
      <c r="F143" s="49"/>
      <c r="G143" s="49"/>
      <c r="H143" s="49">
        <f>IFERROR(VLOOKUP(B143,[1]Debate!$A$5:$O$262,3,FALSE),"0")</f>
        <v>3.5</v>
      </c>
      <c r="I143" s="49"/>
      <c r="J143" s="49"/>
      <c r="K143" s="59">
        <f t="shared" si="16"/>
        <v>3.5</v>
      </c>
      <c r="L143" s="49">
        <v>2.5</v>
      </c>
      <c r="M143" s="49">
        <v>3.5</v>
      </c>
      <c r="N143" s="49">
        <v>3</v>
      </c>
      <c r="O143" s="49">
        <v>3</v>
      </c>
      <c r="P143" s="49">
        <v>2.5</v>
      </c>
      <c r="Q143" s="59">
        <f t="shared" si="17"/>
        <v>2.9</v>
      </c>
      <c r="R143" s="49"/>
      <c r="S143" s="49"/>
      <c r="T143" s="49"/>
      <c r="U143" s="49"/>
      <c r="V143" s="49"/>
      <c r="W143" s="59" t="str">
        <f t="shared" si="18"/>
        <v>A</v>
      </c>
      <c r="X143" s="49">
        <v>2.5</v>
      </c>
      <c r="Y143" s="49"/>
      <c r="Z143" s="49"/>
      <c r="AA143" s="49"/>
      <c r="AB143" s="49"/>
      <c r="AC143" s="59">
        <f t="shared" si="19"/>
        <v>2.5</v>
      </c>
      <c r="AD143" s="49"/>
      <c r="AE143" s="49"/>
      <c r="AF143" s="49"/>
      <c r="AG143" s="49"/>
      <c r="AH143" s="49"/>
      <c r="AI143" s="59" t="str">
        <f t="shared" si="20"/>
        <v>A</v>
      </c>
      <c r="AJ143" s="49">
        <v>3</v>
      </c>
      <c r="AK143" s="49">
        <v>3.5</v>
      </c>
      <c r="AL143" s="49"/>
      <c r="AM143" s="49">
        <v>2.5</v>
      </c>
      <c r="AN143" s="49"/>
      <c r="AO143" s="59">
        <f t="shared" si="21"/>
        <v>3</v>
      </c>
      <c r="AP143" s="49">
        <v>3</v>
      </c>
      <c r="AQ143" s="49"/>
      <c r="AR143" s="49"/>
      <c r="AS143" s="49"/>
      <c r="AT143" s="49"/>
      <c r="AU143" s="59">
        <f t="shared" si="22"/>
        <v>3</v>
      </c>
      <c r="AV143" s="49"/>
      <c r="AW143" s="49"/>
      <c r="AX143" s="49"/>
      <c r="AY143" s="49">
        <v>3.5</v>
      </c>
      <c r="AZ143" s="49">
        <v>3.5</v>
      </c>
      <c r="BA143" s="59">
        <f t="shared" si="23"/>
        <v>3.5</v>
      </c>
    </row>
    <row r="144" spans="1:53" ht="23.1" customHeight="1" x14ac:dyDescent="0.3">
      <c r="A144" s="7">
        <v>142</v>
      </c>
      <c r="B144" s="7" t="s">
        <v>170</v>
      </c>
      <c r="C144" s="7" t="s">
        <v>171</v>
      </c>
      <c r="D144" s="7" t="s">
        <v>542</v>
      </c>
      <c r="E144" s="7" t="s">
        <v>161</v>
      </c>
      <c r="F144" s="7"/>
      <c r="G144" s="7"/>
      <c r="H144" s="49">
        <f>IFERROR(VLOOKUP(B144,[1]Debate!$A$5:$O$262,3,FALSE),"0")</f>
        <v>3</v>
      </c>
      <c r="I144" s="7"/>
      <c r="J144" s="7"/>
      <c r="K144" s="59">
        <f t="shared" si="16"/>
        <v>3</v>
      </c>
      <c r="L144" s="49">
        <v>3</v>
      </c>
      <c r="M144" s="49">
        <v>3</v>
      </c>
      <c r="N144" s="49">
        <v>3</v>
      </c>
      <c r="O144" s="49">
        <v>4</v>
      </c>
      <c r="P144" s="49">
        <v>3</v>
      </c>
      <c r="Q144" s="59">
        <f t="shared" si="17"/>
        <v>3.2</v>
      </c>
      <c r="R144" s="49"/>
      <c r="S144" s="49"/>
      <c r="T144" s="7"/>
      <c r="U144" s="49"/>
      <c r="V144" s="7"/>
      <c r="W144" s="59" t="str">
        <f t="shared" si="18"/>
        <v>A</v>
      </c>
      <c r="X144" s="49">
        <v>3</v>
      </c>
      <c r="Y144" s="49"/>
      <c r="Z144" s="7"/>
      <c r="AA144" s="7"/>
      <c r="AB144" s="7"/>
      <c r="AC144" s="59">
        <f t="shared" si="19"/>
        <v>3</v>
      </c>
      <c r="AD144" s="49"/>
      <c r="AE144" s="7"/>
      <c r="AF144" s="49"/>
      <c r="AG144" s="7"/>
      <c r="AH144" s="7"/>
      <c r="AI144" s="59" t="str">
        <f t="shared" si="20"/>
        <v>A</v>
      </c>
      <c r="AJ144" s="49">
        <v>3</v>
      </c>
      <c r="AK144" s="49">
        <v>3</v>
      </c>
      <c r="AL144" s="7"/>
      <c r="AM144" s="49">
        <v>3</v>
      </c>
      <c r="AN144" s="7"/>
      <c r="AO144" s="59">
        <f t="shared" si="21"/>
        <v>3</v>
      </c>
      <c r="AP144" s="49">
        <v>3</v>
      </c>
      <c r="AQ144" s="49"/>
      <c r="AR144" s="49"/>
      <c r="AS144" s="7"/>
      <c r="AT144" s="7"/>
      <c r="AU144" s="59">
        <f t="shared" si="22"/>
        <v>3</v>
      </c>
      <c r="AV144" s="7"/>
      <c r="AW144" s="7"/>
      <c r="AX144" s="49"/>
      <c r="AY144" s="49">
        <v>3</v>
      </c>
      <c r="AZ144" s="49">
        <v>3</v>
      </c>
      <c r="BA144" s="59">
        <f t="shared" si="23"/>
        <v>3</v>
      </c>
    </row>
    <row r="145" spans="1:53" ht="23.1" customHeight="1" x14ac:dyDescent="0.3">
      <c r="A145" s="49">
        <v>143</v>
      </c>
      <c r="B145" s="49" t="s">
        <v>283</v>
      </c>
      <c r="C145" s="49" t="s">
        <v>284</v>
      </c>
      <c r="D145" s="49" t="s">
        <v>450</v>
      </c>
      <c r="E145" s="49" t="s">
        <v>161</v>
      </c>
      <c r="F145" s="49"/>
      <c r="G145" s="49"/>
      <c r="H145" s="49">
        <f>IFERROR(VLOOKUP(B145,[1]Debate!$A$5:$O$262,3,FALSE),"0")</f>
        <v>3</v>
      </c>
      <c r="I145" s="49"/>
      <c r="J145" s="49"/>
      <c r="K145" s="59">
        <f t="shared" si="16"/>
        <v>3</v>
      </c>
      <c r="L145" s="49">
        <v>3</v>
      </c>
      <c r="M145" s="49">
        <v>3</v>
      </c>
      <c r="N145" s="49">
        <v>3</v>
      </c>
      <c r="O145" s="49">
        <v>3</v>
      </c>
      <c r="P145" s="49">
        <v>3</v>
      </c>
      <c r="Q145" s="59">
        <f t="shared" si="17"/>
        <v>3</v>
      </c>
      <c r="R145" s="49"/>
      <c r="S145" s="49"/>
      <c r="T145" s="49"/>
      <c r="U145" s="49"/>
      <c r="V145" s="49"/>
      <c r="W145" s="59" t="str">
        <f t="shared" si="18"/>
        <v>A</v>
      </c>
      <c r="X145" s="49">
        <v>3</v>
      </c>
      <c r="Y145" s="49"/>
      <c r="Z145" s="49"/>
      <c r="AA145" s="49"/>
      <c r="AB145" s="49"/>
      <c r="AC145" s="59">
        <f t="shared" si="19"/>
        <v>3</v>
      </c>
      <c r="AD145" s="49"/>
      <c r="AE145" s="49"/>
      <c r="AF145" s="49"/>
      <c r="AG145" s="49"/>
      <c r="AH145" s="49"/>
      <c r="AI145" s="59" t="str">
        <f t="shared" si="20"/>
        <v>A</v>
      </c>
      <c r="AJ145" s="49">
        <v>3</v>
      </c>
      <c r="AK145" s="49">
        <v>3</v>
      </c>
      <c r="AL145" s="49"/>
      <c r="AM145" s="49">
        <v>3</v>
      </c>
      <c r="AN145" s="49"/>
      <c r="AO145" s="59">
        <f t="shared" si="21"/>
        <v>3</v>
      </c>
      <c r="AP145" s="49">
        <v>3</v>
      </c>
      <c r="AQ145" s="49"/>
      <c r="AR145" s="49"/>
      <c r="AS145" s="49"/>
      <c r="AT145" s="49"/>
      <c r="AU145" s="59">
        <f t="shared" si="22"/>
        <v>3</v>
      </c>
      <c r="AV145" s="49"/>
      <c r="AW145" s="49"/>
      <c r="AX145" s="49"/>
      <c r="AY145" s="49">
        <v>3</v>
      </c>
      <c r="AZ145" s="49">
        <v>3</v>
      </c>
      <c r="BA145" s="59">
        <f t="shared" si="23"/>
        <v>3</v>
      </c>
    </row>
    <row r="146" spans="1:53" ht="23.1" customHeight="1" x14ac:dyDescent="0.3">
      <c r="A146" s="7">
        <v>144</v>
      </c>
      <c r="B146" s="7" t="s">
        <v>172</v>
      </c>
      <c r="C146" s="7" t="s">
        <v>173</v>
      </c>
      <c r="D146" s="7" t="s">
        <v>450</v>
      </c>
      <c r="E146" s="7" t="s">
        <v>161</v>
      </c>
      <c r="F146" s="7"/>
      <c r="G146" s="7"/>
      <c r="H146" s="49">
        <f>IFERROR(VLOOKUP(B146,[1]Debate!$A$5:$O$262,3,FALSE),"0")</f>
        <v>3</v>
      </c>
      <c r="I146" s="7"/>
      <c r="J146" s="7"/>
      <c r="K146" s="59">
        <f t="shared" si="16"/>
        <v>3</v>
      </c>
      <c r="L146" s="49">
        <v>3</v>
      </c>
      <c r="M146" s="49">
        <v>4</v>
      </c>
      <c r="N146" s="49">
        <v>3</v>
      </c>
      <c r="O146" s="49">
        <v>3</v>
      </c>
      <c r="P146" s="49">
        <v>3</v>
      </c>
      <c r="Q146" s="59">
        <f t="shared" si="17"/>
        <v>3.2</v>
      </c>
      <c r="R146" s="49"/>
      <c r="S146" s="49"/>
      <c r="T146" s="7"/>
      <c r="U146" s="49"/>
      <c r="V146" s="7"/>
      <c r="W146" s="59" t="str">
        <f t="shared" si="18"/>
        <v>A</v>
      </c>
      <c r="X146" s="49">
        <v>3</v>
      </c>
      <c r="Y146" s="49"/>
      <c r="Z146" s="7"/>
      <c r="AA146" s="7"/>
      <c r="AB146" s="7"/>
      <c r="AC146" s="59">
        <f t="shared" si="19"/>
        <v>3</v>
      </c>
      <c r="AD146" s="49"/>
      <c r="AE146" s="7"/>
      <c r="AF146" s="49"/>
      <c r="AG146" s="7"/>
      <c r="AH146" s="7"/>
      <c r="AI146" s="59" t="str">
        <f t="shared" si="20"/>
        <v>A</v>
      </c>
      <c r="AJ146" s="49">
        <v>4</v>
      </c>
      <c r="AK146" s="49">
        <v>3</v>
      </c>
      <c r="AL146" s="7"/>
      <c r="AM146" s="49">
        <v>3</v>
      </c>
      <c r="AN146" s="7"/>
      <c r="AO146" s="59">
        <f t="shared" si="21"/>
        <v>3.3333333333333335</v>
      </c>
      <c r="AP146" s="49">
        <v>3</v>
      </c>
      <c r="AQ146" s="49"/>
      <c r="AR146" s="49"/>
      <c r="AS146" s="7"/>
      <c r="AT146" s="7"/>
      <c r="AU146" s="59">
        <f t="shared" si="22"/>
        <v>3</v>
      </c>
      <c r="AV146" s="7"/>
      <c r="AW146" s="7"/>
      <c r="AX146" s="49"/>
      <c r="AY146" s="49">
        <v>3</v>
      </c>
      <c r="AZ146" s="49">
        <v>3</v>
      </c>
      <c r="BA146" s="59">
        <f t="shared" si="23"/>
        <v>3</v>
      </c>
    </row>
    <row r="147" spans="1:53" ht="23.1" customHeight="1" x14ac:dyDescent="0.3">
      <c r="A147" s="49">
        <v>145</v>
      </c>
      <c r="B147" s="49" t="s">
        <v>376</v>
      </c>
      <c r="C147" s="49" t="s">
        <v>377</v>
      </c>
      <c r="D147" s="49" t="s">
        <v>542</v>
      </c>
      <c r="E147" s="49" t="s">
        <v>493</v>
      </c>
      <c r="F147" s="49"/>
      <c r="G147" s="49"/>
      <c r="H147" s="49">
        <f>IFERROR(VLOOKUP(B147,[1]Debate!$A$5:$O$262,3,FALSE),"0")</f>
        <v>3</v>
      </c>
      <c r="I147" s="49"/>
      <c r="J147" s="49"/>
      <c r="K147" s="59">
        <f t="shared" si="16"/>
        <v>3</v>
      </c>
      <c r="L147" s="49">
        <v>3</v>
      </c>
      <c r="M147" s="49">
        <v>3</v>
      </c>
      <c r="N147" s="49">
        <v>2.5</v>
      </c>
      <c r="O147" s="49">
        <v>3</v>
      </c>
      <c r="P147" s="49">
        <v>3</v>
      </c>
      <c r="Q147" s="59">
        <f t="shared" si="17"/>
        <v>2.9</v>
      </c>
      <c r="R147" s="49"/>
      <c r="S147" s="49"/>
      <c r="T147" s="49"/>
      <c r="U147" s="49"/>
      <c r="V147" s="49"/>
      <c r="W147" s="59" t="str">
        <f t="shared" si="18"/>
        <v>A</v>
      </c>
      <c r="X147" s="49">
        <v>3</v>
      </c>
      <c r="Y147" s="49"/>
      <c r="Z147" s="49"/>
      <c r="AA147" s="49"/>
      <c r="AB147" s="49"/>
      <c r="AC147" s="59">
        <f t="shared" si="19"/>
        <v>3</v>
      </c>
      <c r="AD147" s="49"/>
      <c r="AE147" s="49"/>
      <c r="AF147" s="49"/>
      <c r="AG147" s="49"/>
      <c r="AH147" s="49"/>
      <c r="AI147" s="59" t="str">
        <f t="shared" si="20"/>
        <v>A</v>
      </c>
      <c r="AJ147" s="49">
        <v>3</v>
      </c>
      <c r="AK147" s="49">
        <v>2.5</v>
      </c>
      <c r="AL147" s="49"/>
      <c r="AM147" s="49">
        <v>2.5</v>
      </c>
      <c r="AN147" s="49"/>
      <c r="AO147" s="59">
        <f t="shared" si="21"/>
        <v>2.6666666666666665</v>
      </c>
      <c r="AP147" s="49">
        <v>3</v>
      </c>
      <c r="AQ147" s="49"/>
      <c r="AR147" s="49"/>
      <c r="AS147" s="49"/>
      <c r="AT147" s="49"/>
      <c r="AU147" s="59">
        <f t="shared" si="22"/>
        <v>3</v>
      </c>
      <c r="AV147" s="49"/>
      <c r="AW147" s="49"/>
      <c r="AX147" s="49"/>
      <c r="AY147" s="49">
        <v>3</v>
      </c>
      <c r="AZ147" s="49">
        <v>3</v>
      </c>
      <c r="BA147" s="59">
        <f t="shared" si="23"/>
        <v>3</v>
      </c>
    </row>
    <row r="148" spans="1:53" ht="23.1" customHeight="1" x14ac:dyDescent="0.3">
      <c r="A148" s="7">
        <v>146</v>
      </c>
      <c r="B148" s="7" t="s">
        <v>378</v>
      </c>
      <c r="C148" s="7" t="s">
        <v>379</v>
      </c>
      <c r="D148" s="7" t="s">
        <v>542</v>
      </c>
      <c r="E148" s="7" t="s">
        <v>493</v>
      </c>
      <c r="F148" s="7"/>
      <c r="G148" s="7"/>
      <c r="H148" s="49">
        <f>IFERROR(VLOOKUP(B148,[1]Debate!$A$5:$O$262,3,FALSE),"0")</f>
        <v>4</v>
      </c>
      <c r="I148" s="7"/>
      <c r="J148" s="7"/>
      <c r="K148" s="59">
        <f t="shared" si="16"/>
        <v>4</v>
      </c>
      <c r="L148" s="49">
        <v>4</v>
      </c>
      <c r="M148" s="49">
        <v>4</v>
      </c>
      <c r="N148" s="49">
        <v>5</v>
      </c>
      <c r="O148" s="49">
        <v>4.5</v>
      </c>
      <c r="P148" s="49">
        <v>5</v>
      </c>
      <c r="Q148" s="59">
        <f t="shared" si="17"/>
        <v>4.5</v>
      </c>
      <c r="R148" s="49"/>
      <c r="S148" s="49"/>
      <c r="T148" s="7"/>
      <c r="U148" s="49"/>
      <c r="V148" s="7"/>
      <c r="W148" s="59" t="str">
        <f t="shared" si="18"/>
        <v>A</v>
      </c>
      <c r="X148" s="49">
        <v>4</v>
      </c>
      <c r="Y148" s="49"/>
      <c r="Z148" s="7"/>
      <c r="AA148" s="7"/>
      <c r="AB148" s="7"/>
      <c r="AC148" s="59">
        <f t="shared" si="19"/>
        <v>4</v>
      </c>
      <c r="AD148" s="49"/>
      <c r="AE148" s="7"/>
      <c r="AF148" s="49"/>
      <c r="AG148" s="7"/>
      <c r="AH148" s="7"/>
      <c r="AI148" s="59" t="str">
        <f t="shared" si="20"/>
        <v>A</v>
      </c>
      <c r="AJ148" s="49">
        <v>5</v>
      </c>
      <c r="AK148" s="49">
        <v>5</v>
      </c>
      <c r="AL148" s="7"/>
      <c r="AM148" s="49">
        <v>4</v>
      </c>
      <c r="AN148" s="7"/>
      <c r="AO148" s="59">
        <f t="shared" si="21"/>
        <v>4.666666666666667</v>
      </c>
      <c r="AP148" s="49">
        <v>3</v>
      </c>
      <c r="AQ148" s="49"/>
      <c r="AR148" s="49"/>
      <c r="AS148" s="7"/>
      <c r="AT148" s="7"/>
      <c r="AU148" s="59">
        <f t="shared" si="22"/>
        <v>3</v>
      </c>
      <c r="AV148" s="7"/>
      <c r="AW148" s="7"/>
      <c r="AX148" s="49"/>
      <c r="AY148" s="49">
        <v>5</v>
      </c>
      <c r="AZ148" s="49">
        <v>5</v>
      </c>
      <c r="BA148" s="59">
        <f t="shared" si="23"/>
        <v>5</v>
      </c>
    </row>
    <row r="149" spans="1:53" ht="23.1" customHeight="1" x14ac:dyDescent="0.3">
      <c r="A149" s="49">
        <v>147</v>
      </c>
      <c r="B149" s="49" t="s">
        <v>154</v>
      </c>
      <c r="C149" s="49" t="s">
        <v>155</v>
      </c>
      <c r="D149" s="49" t="s">
        <v>450</v>
      </c>
      <c r="E149" s="49" t="s">
        <v>35</v>
      </c>
      <c r="F149" s="49"/>
      <c r="G149" s="49"/>
      <c r="H149" s="49">
        <f>IFERROR(VLOOKUP(B149,[1]Debate!$A$5:$O$262,3,FALSE),"0")</f>
        <v>3</v>
      </c>
      <c r="I149" s="49"/>
      <c r="J149" s="49"/>
      <c r="K149" s="59">
        <f t="shared" si="16"/>
        <v>3</v>
      </c>
      <c r="L149" s="49">
        <v>3</v>
      </c>
      <c r="M149" s="49">
        <v>3</v>
      </c>
      <c r="N149" s="49">
        <v>3</v>
      </c>
      <c r="O149" s="49">
        <v>2</v>
      </c>
      <c r="P149" s="49">
        <v>2</v>
      </c>
      <c r="Q149" s="59">
        <f t="shared" si="17"/>
        <v>2.6</v>
      </c>
      <c r="R149" s="49"/>
      <c r="S149" s="49"/>
      <c r="T149" s="49"/>
      <c r="U149" s="49"/>
      <c r="V149" s="49"/>
      <c r="W149" s="59" t="str">
        <f t="shared" si="18"/>
        <v>A</v>
      </c>
      <c r="X149" s="49">
        <v>3</v>
      </c>
      <c r="Y149" s="49"/>
      <c r="Z149" s="49"/>
      <c r="AA149" s="49"/>
      <c r="AB149" s="49"/>
      <c r="AC149" s="59">
        <f t="shared" si="19"/>
        <v>3</v>
      </c>
      <c r="AD149" s="49"/>
      <c r="AE149" s="49"/>
      <c r="AF149" s="49"/>
      <c r="AG149" s="49"/>
      <c r="AH149" s="49"/>
      <c r="AI149" s="59" t="str">
        <f t="shared" si="20"/>
        <v>A</v>
      </c>
      <c r="AJ149" s="49">
        <v>3</v>
      </c>
      <c r="AK149" s="49">
        <v>4</v>
      </c>
      <c r="AL149" s="49"/>
      <c r="AM149" s="49">
        <v>2</v>
      </c>
      <c r="AN149" s="49"/>
      <c r="AO149" s="59">
        <f t="shared" si="21"/>
        <v>3</v>
      </c>
      <c r="AP149" s="49">
        <v>3</v>
      </c>
      <c r="AQ149" s="49"/>
      <c r="AR149" s="49"/>
      <c r="AS149" s="49"/>
      <c r="AT149" s="49"/>
      <c r="AU149" s="59">
        <f t="shared" si="22"/>
        <v>3</v>
      </c>
      <c r="AV149" s="49"/>
      <c r="AW149" s="49"/>
      <c r="AX149" s="49"/>
      <c r="AY149" s="49">
        <v>3</v>
      </c>
      <c r="AZ149" s="49">
        <v>2</v>
      </c>
      <c r="BA149" s="59">
        <f t="shared" si="23"/>
        <v>2.5</v>
      </c>
    </row>
    <row r="150" spans="1:53" ht="23.1" customHeight="1" x14ac:dyDescent="0.3">
      <c r="A150" s="7">
        <v>148</v>
      </c>
      <c r="B150" s="7" t="s">
        <v>380</v>
      </c>
      <c r="C150" s="7" t="s">
        <v>381</v>
      </c>
      <c r="D150" s="7" t="s">
        <v>450</v>
      </c>
      <c r="E150" s="7" t="s">
        <v>493</v>
      </c>
      <c r="F150" s="7"/>
      <c r="G150" s="7"/>
      <c r="H150" s="49">
        <f>IFERROR(VLOOKUP(B150,[1]Debate!$A$5:$O$262,3,FALSE),"0")</f>
        <v>2</v>
      </c>
      <c r="I150" s="7"/>
      <c r="J150" s="7"/>
      <c r="K150" s="59">
        <f t="shared" si="16"/>
        <v>2</v>
      </c>
      <c r="L150" s="49">
        <v>2</v>
      </c>
      <c r="M150" s="49">
        <v>2</v>
      </c>
      <c r="N150" s="49">
        <v>1</v>
      </c>
      <c r="O150" s="49">
        <v>0.5</v>
      </c>
      <c r="P150" s="49">
        <v>2</v>
      </c>
      <c r="Q150" s="59">
        <f t="shared" si="17"/>
        <v>1.5</v>
      </c>
      <c r="R150" s="49"/>
      <c r="S150" s="49"/>
      <c r="T150" s="7"/>
      <c r="U150" s="49"/>
      <c r="V150" s="7"/>
      <c r="W150" s="59" t="str">
        <f t="shared" si="18"/>
        <v>A</v>
      </c>
      <c r="X150" s="49">
        <v>2</v>
      </c>
      <c r="Y150" s="49"/>
      <c r="Z150" s="7"/>
      <c r="AA150" s="7"/>
      <c r="AB150" s="7"/>
      <c r="AC150" s="59">
        <f t="shared" si="19"/>
        <v>2</v>
      </c>
      <c r="AD150" s="49"/>
      <c r="AE150" s="7"/>
      <c r="AF150" s="49"/>
      <c r="AG150" s="7"/>
      <c r="AH150" s="7"/>
      <c r="AI150" s="59" t="str">
        <f t="shared" si="20"/>
        <v>A</v>
      </c>
      <c r="AJ150" s="49">
        <v>2</v>
      </c>
      <c r="AK150" s="49">
        <v>1</v>
      </c>
      <c r="AL150" s="7"/>
      <c r="AM150" s="49">
        <v>2</v>
      </c>
      <c r="AN150" s="7"/>
      <c r="AO150" s="59">
        <f t="shared" si="21"/>
        <v>1.6666666666666667</v>
      </c>
      <c r="AP150" s="49">
        <v>3</v>
      </c>
      <c r="AQ150" s="49"/>
      <c r="AR150" s="49"/>
      <c r="AS150" s="7"/>
      <c r="AT150" s="7"/>
      <c r="AU150" s="59">
        <f t="shared" si="22"/>
        <v>3</v>
      </c>
      <c r="AV150" s="7"/>
      <c r="AW150" s="7"/>
      <c r="AX150" s="49"/>
      <c r="AY150" s="49">
        <v>2</v>
      </c>
      <c r="AZ150" s="49">
        <v>2</v>
      </c>
      <c r="BA150" s="59">
        <f t="shared" si="23"/>
        <v>2</v>
      </c>
    </row>
    <row r="151" spans="1:53" ht="23.1" customHeight="1" x14ac:dyDescent="0.3">
      <c r="A151" s="49">
        <v>149</v>
      </c>
      <c r="B151" s="49" t="s">
        <v>156</v>
      </c>
      <c r="C151" s="49" t="s">
        <v>382</v>
      </c>
      <c r="D151" s="49" t="s">
        <v>450</v>
      </c>
      <c r="E151" s="49" t="s">
        <v>35</v>
      </c>
      <c r="F151" s="49"/>
      <c r="G151" s="49"/>
      <c r="H151" s="49">
        <f>IFERROR(VLOOKUP(B151,[1]Debate!$A$5:$O$262,3,FALSE),"0")</f>
        <v>3</v>
      </c>
      <c r="I151" s="49"/>
      <c r="J151" s="49"/>
      <c r="K151" s="59">
        <f t="shared" si="16"/>
        <v>3</v>
      </c>
      <c r="L151" s="49">
        <v>2</v>
      </c>
      <c r="M151" s="49">
        <v>2</v>
      </c>
      <c r="N151" s="49">
        <v>2</v>
      </c>
      <c r="O151" s="49">
        <v>3</v>
      </c>
      <c r="P151" s="49">
        <v>3</v>
      </c>
      <c r="Q151" s="59">
        <f t="shared" si="17"/>
        <v>2.4</v>
      </c>
      <c r="R151" s="49"/>
      <c r="S151" s="49"/>
      <c r="T151" s="49"/>
      <c r="U151" s="49"/>
      <c r="V151" s="49"/>
      <c r="W151" s="59" t="str">
        <f t="shared" si="18"/>
        <v>A</v>
      </c>
      <c r="X151" s="49">
        <v>3</v>
      </c>
      <c r="Y151" s="49"/>
      <c r="Z151" s="49"/>
      <c r="AA151" s="49"/>
      <c r="AB151" s="49"/>
      <c r="AC151" s="59">
        <f t="shared" si="19"/>
        <v>3</v>
      </c>
      <c r="AD151" s="49"/>
      <c r="AE151" s="49"/>
      <c r="AF151" s="49"/>
      <c r="AG151" s="49"/>
      <c r="AH151" s="49"/>
      <c r="AI151" s="59" t="str">
        <f t="shared" si="20"/>
        <v>A</v>
      </c>
      <c r="AJ151" s="49">
        <v>2</v>
      </c>
      <c r="AK151" s="49">
        <v>3</v>
      </c>
      <c r="AL151" s="49"/>
      <c r="AM151" s="49">
        <v>2</v>
      </c>
      <c r="AN151" s="49"/>
      <c r="AO151" s="59">
        <f t="shared" si="21"/>
        <v>2.3333333333333335</v>
      </c>
      <c r="AP151" s="49">
        <v>3</v>
      </c>
      <c r="AQ151" s="49"/>
      <c r="AR151" s="49"/>
      <c r="AS151" s="49"/>
      <c r="AT151" s="49"/>
      <c r="AU151" s="59">
        <f t="shared" si="22"/>
        <v>3</v>
      </c>
      <c r="AV151" s="49"/>
      <c r="AW151" s="49"/>
      <c r="AX151" s="49"/>
      <c r="AY151" s="49">
        <v>3</v>
      </c>
      <c r="AZ151" s="49">
        <v>3</v>
      </c>
      <c r="BA151" s="59">
        <f t="shared" si="23"/>
        <v>3</v>
      </c>
    </row>
    <row r="152" spans="1:53" ht="23.1" customHeight="1" x14ac:dyDescent="0.3">
      <c r="A152" s="7">
        <v>150</v>
      </c>
      <c r="B152" s="7" t="s">
        <v>383</v>
      </c>
      <c r="C152" s="7" t="s">
        <v>384</v>
      </c>
      <c r="D152" s="7" t="s">
        <v>542</v>
      </c>
      <c r="E152" s="7" t="s">
        <v>493</v>
      </c>
      <c r="F152" s="7"/>
      <c r="G152" s="7"/>
      <c r="H152" s="49">
        <f>IFERROR(VLOOKUP(B152,[1]Debate!$A$5:$O$262,3,FALSE),"0")</f>
        <v>3</v>
      </c>
      <c r="I152" s="7"/>
      <c r="J152" s="7"/>
      <c r="K152" s="59">
        <f t="shared" si="16"/>
        <v>3</v>
      </c>
      <c r="L152" s="49">
        <v>3</v>
      </c>
      <c r="M152" s="49">
        <v>2</v>
      </c>
      <c r="N152" s="49">
        <v>2</v>
      </c>
      <c r="O152" s="49">
        <v>3</v>
      </c>
      <c r="P152" s="49">
        <v>2</v>
      </c>
      <c r="Q152" s="59">
        <f t="shared" si="17"/>
        <v>2.4</v>
      </c>
      <c r="R152" s="49"/>
      <c r="S152" s="49"/>
      <c r="T152" s="7"/>
      <c r="U152" s="49"/>
      <c r="V152" s="7"/>
      <c r="W152" s="59" t="str">
        <f t="shared" si="18"/>
        <v>A</v>
      </c>
      <c r="X152" s="49">
        <v>3</v>
      </c>
      <c r="Y152" s="49"/>
      <c r="Z152" s="7"/>
      <c r="AA152" s="7"/>
      <c r="AB152" s="7"/>
      <c r="AC152" s="59">
        <f t="shared" si="19"/>
        <v>3</v>
      </c>
      <c r="AD152" s="49"/>
      <c r="AE152" s="7"/>
      <c r="AF152" s="49"/>
      <c r="AG152" s="7"/>
      <c r="AH152" s="7"/>
      <c r="AI152" s="59" t="str">
        <f t="shared" si="20"/>
        <v>A</v>
      </c>
      <c r="AJ152" s="49">
        <v>4</v>
      </c>
      <c r="AK152" s="49">
        <v>2</v>
      </c>
      <c r="AL152" s="7"/>
      <c r="AM152" s="49">
        <v>3</v>
      </c>
      <c r="AN152" s="7"/>
      <c r="AO152" s="59">
        <f t="shared" si="21"/>
        <v>3</v>
      </c>
      <c r="AP152" s="49">
        <v>3</v>
      </c>
      <c r="AQ152" s="49"/>
      <c r="AR152" s="49"/>
      <c r="AS152" s="7"/>
      <c r="AT152" s="7"/>
      <c r="AU152" s="59">
        <f t="shared" si="22"/>
        <v>3</v>
      </c>
      <c r="AV152" s="7"/>
      <c r="AW152" s="7"/>
      <c r="AX152" s="49"/>
      <c r="AY152" s="49">
        <v>3</v>
      </c>
      <c r="AZ152" s="49">
        <v>3</v>
      </c>
      <c r="BA152" s="59">
        <f t="shared" si="23"/>
        <v>3</v>
      </c>
    </row>
    <row r="153" spans="1:53" ht="23.1" customHeight="1" x14ac:dyDescent="0.3">
      <c r="A153" s="49">
        <v>151</v>
      </c>
      <c r="B153" s="49" t="s">
        <v>46</v>
      </c>
      <c r="C153" s="49" t="s">
        <v>47</v>
      </c>
      <c r="D153" s="49" t="s">
        <v>450</v>
      </c>
      <c r="E153" s="49" t="s">
        <v>35</v>
      </c>
      <c r="F153" s="49"/>
      <c r="G153" s="49"/>
      <c r="H153" s="49">
        <f>IFERROR(VLOOKUP(B153,[1]Debate!$A$5:$O$262,3,FALSE),"0")</f>
        <v>3</v>
      </c>
      <c r="I153" s="49"/>
      <c r="J153" s="49"/>
      <c r="K153" s="59">
        <f t="shared" si="16"/>
        <v>3</v>
      </c>
      <c r="L153" s="49">
        <v>3</v>
      </c>
      <c r="M153" s="49">
        <v>3</v>
      </c>
      <c r="N153" s="49">
        <v>3</v>
      </c>
      <c r="O153" s="49">
        <v>3.5</v>
      </c>
      <c r="P153" s="49">
        <v>3</v>
      </c>
      <c r="Q153" s="59">
        <f t="shared" si="17"/>
        <v>3.1</v>
      </c>
      <c r="R153" s="49"/>
      <c r="S153" s="49"/>
      <c r="T153" s="49"/>
      <c r="U153" s="49"/>
      <c r="V153" s="49"/>
      <c r="W153" s="59" t="str">
        <f t="shared" si="18"/>
        <v>A</v>
      </c>
      <c r="X153" s="49">
        <v>3</v>
      </c>
      <c r="Y153" s="49"/>
      <c r="Z153" s="49"/>
      <c r="AA153" s="49"/>
      <c r="AB153" s="49"/>
      <c r="AC153" s="59">
        <f t="shared" si="19"/>
        <v>3</v>
      </c>
      <c r="AD153" s="49"/>
      <c r="AE153" s="49"/>
      <c r="AF153" s="49"/>
      <c r="AG153" s="49"/>
      <c r="AH153" s="49"/>
      <c r="AI153" s="59" t="str">
        <f t="shared" si="20"/>
        <v>A</v>
      </c>
      <c r="AJ153" s="49">
        <v>4</v>
      </c>
      <c r="AK153" s="49">
        <v>3</v>
      </c>
      <c r="AL153" s="49"/>
      <c r="AM153" s="49">
        <v>3</v>
      </c>
      <c r="AN153" s="49"/>
      <c r="AO153" s="59">
        <f t="shared" si="21"/>
        <v>3.3333333333333335</v>
      </c>
      <c r="AP153" s="49">
        <v>3</v>
      </c>
      <c r="AQ153" s="49"/>
      <c r="AR153" s="49"/>
      <c r="AS153" s="49"/>
      <c r="AT153" s="49"/>
      <c r="AU153" s="59">
        <f t="shared" si="22"/>
        <v>3</v>
      </c>
      <c r="AV153" s="49"/>
      <c r="AW153" s="49"/>
      <c r="AX153" s="49"/>
      <c r="AY153" s="49">
        <v>3</v>
      </c>
      <c r="AZ153" s="49">
        <v>3</v>
      </c>
      <c r="BA153" s="59">
        <f t="shared" si="23"/>
        <v>3</v>
      </c>
    </row>
    <row r="154" spans="1:53" ht="23.1" customHeight="1" x14ac:dyDescent="0.3">
      <c r="A154" s="7">
        <v>152</v>
      </c>
      <c r="B154" s="7" t="s">
        <v>83</v>
      </c>
      <c r="C154" s="7" t="s">
        <v>84</v>
      </c>
      <c r="D154" s="7" t="s">
        <v>450</v>
      </c>
      <c r="E154" s="7" t="s">
        <v>35</v>
      </c>
      <c r="F154" s="7"/>
      <c r="G154" s="7"/>
      <c r="H154" s="49">
        <f>IFERROR(VLOOKUP(B154,[1]Debate!$A$5:$O$262,3,FALSE),"0")</f>
        <v>4</v>
      </c>
      <c r="I154" s="7"/>
      <c r="J154" s="7"/>
      <c r="K154" s="59">
        <f t="shared" si="16"/>
        <v>4</v>
      </c>
      <c r="L154" s="49">
        <v>3</v>
      </c>
      <c r="M154" s="49">
        <v>4</v>
      </c>
      <c r="N154" s="49">
        <v>4</v>
      </c>
      <c r="O154" s="49">
        <v>3.5</v>
      </c>
      <c r="P154" s="49">
        <v>3</v>
      </c>
      <c r="Q154" s="59">
        <f t="shared" si="17"/>
        <v>3.5</v>
      </c>
      <c r="R154" s="49"/>
      <c r="S154" s="49"/>
      <c r="T154" s="7"/>
      <c r="U154" s="49"/>
      <c r="V154" s="7"/>
      <c r="W154" s="59" t="str">
        <f t="shared" si="18"/>
        <v>A</v>
      </c>
      <c r="X154" s="49">
        <v>4</v>
      </c>
      <c r="Y154" s="49"/>
      <c r="Z154" s="7"/>
      <c r="AA154" s="7"/>
      <c r="AB154" s="7"/>
      <c r="AC154" s="59">
        <f t="shared" si="19"/>
        <v>4</v>
      </c>
      <c r="AD154" s="49"/>
      <c r="AE154" s="7"/>
      <c r="AF154" s="49"/>
      <c r="AG154" s="7"/>
      <c r="AH154" s="7"/>
      <c r="AI154" s="59" t="str">
        <f t="shared" si="20"/>
        <v>A</v>
      </c>
      <c r="AJ154" s="49">
        <v>3</v>
      </c>
      <c r="AK154" s="49">
        <v>4</v>
      </c>
      <c r="AL154" s="7"/>
      <c r="AM154" s="49">
        <v>4</v>
      </c>
      <c r="AN154" s="7"/>
      <c r="AO154" s="59">
        <f t="shared" si="21"/>
        <v>3.6666666666666665</v>
      </c>
      <c r="AP154" s="49">
        <v>3</v>
      </c>
      <c r="AQ154" s="49"/>
      <c r="AR154" s="49"/>
      <c r="AS154" s="7"/>
      <c r="AT154" s="7"/>
      <c r="AU154" s="59">
        <f t="shared" si="22"/>
        <v>3</v>
      </c>
      <c r="AV154" s="7"/>
      <c r="AW154" s="7"/>
      <c r="AX154" s="49"/>
      <c r="AY154" s="49">
        <v>3</v>
      </c>
      <c r="AZ154" s="49">
        <v>3</v>
      </c>
      <c r="BA154" s="59">
        <f t="shared" si="23"/>
        <v>3</v>
      </c>
    </row>
    <row r="155" spans="1:53" ht="23.1" customHeight="1" x14ac:dyDescent="0.3">
      <c r="A155" s="49">
        <v>153</v>
      </c>
      <c r="B155" s="49" t="s">
        <v>385</v>
      </c>
      <c r="C155" s="49" t="s">
        <v>386</v>
      </c>
      <c r="D155" s="49" t="s">
        <v>450</v>
      </c>
      <c r="E155" s="49" t="s">
        <v>493</v>
      </c>
      <c r="F155" s="49"/>
      <c r="G155" s="49"/>
      <c r="H155" s="49">
        <f>IFERROR(VLOOKUP(B155,[1]Debate!$A$5:$O$262,3,FALSE),"0")</f>
        <v>2</v>
      </c>
      <c r="I155" s="49"/>
      <c r="J155" s="49"/>
      <c r="K155" s="59">
        <f t="shared" si="16"/>
        <v>2</v>
      </c>
      <c r="L155" s="49">
        <v>3</v>
      </c>
      <c r="M155" s="49">
        <v>2</v>
      </c>
      <c r="N155" s="49">
        <v>2</v>
      </c>
      <c r="O155" s="49">
        <v>2.5</v>
      </c>
      <c r="P155" s="49">
        <v>2</v>
      </c>
      <c r="Q155" s="59">
        <f t="shared" si="17"/>
        <v>2.2999999999999998</v>
      </c>
      <c r="R155" s="49"/>
      <c r="S155" s="49"/>
      <c r="T155" s="49"/>
      <c r="U155" s="49"/>
      <c r="V155" s="49"/>
      <c r="W155" s="59" t="str">
        <f t="shared" si="18"/>
        <v>A</v>
      </c>
      <c r="X155" s="49">
        <v>2</v>
      </c>
      <c r="Y155" s="49"/>
      <c r="Z155" s="49"/>
      <c r="AA155" s="49"/>
      <c r="AB155" s="49"/>
      <c r="AC155" s="59">
        <f t="shared" si="19"/>
        <v>2</v>
      </c>
      <c r="AD155" s="49"/>
      <c r="AE155" s="49"/>
      <c r="AF155" s="49"/>
      <c r="AG155" s="49"/>
      <c r="AH155" s="49"/>
      <c r="AI155" s="59" t="str">
        <f t="shared" si="20"/>
        <v>A</v>
      </c>
      <c r="AJ155" s="49">
        <v>3</v>
      </c>
      <c r="AK155" s="49">
        <v>3</v>
      </c>
      <c r="AL155" s="49"/>
      <c r="AM155" s="49">
        <v>2</v>
      </c>
      <c r="AN155" s="49"/>
      <c r="AO155" s="59">
        <f t="shared" si="21"/>
        <v>2.6666666666666665</v>
      </c>
      <c r="AP155" s="49">
        <v>2</v>
      </c>
      <c r="AQ155" s="49"/>
      <c r="AR155" s="49"/>
      <c r="AS155" s="49"/>
      <c r="AT155" s="49"/>
      <c r="AU155" s="59">
        <f t="shared" si="22"/>
        <v>2</v>
      </c>
      <c r="AV155" s="49"/>
      <c r="AW155" s="49"/>
      <c r="AX155" s="49"/>
      <c r="AY155" s="49">
        <v>3</v>
      </c>
      <c r="AZ155" s="49">
        <v>3</v>
      </c>
      <c r="BA155" s="59">
        <f t="shared" si="23"/>
        <v>3</v>
      </c>
    </row>
    <row r="156" spans="1:53" ht="23.1" customHeight="1" x14ac:dyDescent="0.3">
      <c r="A156" s="7">
        <v>154</v>
      </c>
      <c r="B156" s="7" t="s">
        <v>93</v>
      </c>
      <c r="C156" s="7" t="s">
        <v>94</v>
      </c>
      <c r="D156" s="7" t="s">
        <v>542</v>
      </c>
      <c r="E156" s="7" t="s">
        <v>35</v>
      </c>
      <c r="F156" s="7"/>
      <c r="G156" s="7"/>
      <c r="H156" s="49">
        <f>IFERROR(VLOOKUP(B156,[1]Debate!$A$5:$O$262,3,FALSE),"0")</f>
        <v>3</v>
      </c>
      <c r="I156" s="7"/>
      <c r="J156" s="7"/>
      <c r="K156" s="59">
        <f t="shared" si="16"/>
        <v>3</v>
      </c>
      <c r="L156" s="49">
        <v>3</v>
      </c>
      <c r="M156" s="49">
        <v>2</v>
      </c>
      <c r="N156" s="49">
        <v>4</v>
      </c>
      <c r="O156" s="49">
        <v>1.5</v>
      </c>
      <c r="P156" s="49">
        <v>2</v>
      </c>
      <c r="Q156" s="59">
        <f t="shared" si="17"/>
        <v>2.5</v>
      </c>
      <c r="R156" s="49"/>
      <c r="S156" s="49"/>
      <c r="T156" s="7"/>
      <c r="U156" s="49"/>
      <c r="V156" s="7"/>
      <c r="W156" s="59" t="str">
        <f t="shared" si="18"/>
        <v>A</v>
      </c>
      <c r="X156" s="49">
        <v>3</v>
      </c>
      <c r="Y156" s="49"/>
      <c r="Z156" s="7"/>
      <c r="AA156" s="7"/>
      <c r="AB156" s="7"/>
      <c r="AC156" s="59">
        <f t="shared" si="19"/>
        <v>3</v>
      </c>
      <c r="AD156" s="49"/>
      <c r="AE156" s="7"/>
      <c r="AF156" s="49"/>
      <c r="AG156" s="7"/>
      <c r="AH156" s="7"/>
      <c r="AI156" s="59" t="str">
        <f t="shared" si="20"/>
        <v>A</v>
      </c>
      <c r="AJ156" s="49">
        <v>3</v>
      </c>
      <c r="AK156" s="49">
        <v>2</v>
      </c>
      <c r="AL156" s="7"/>
      <c r="AM156" s="49">
        <v>3</v>
      </c>
      <c r="AN156" s="7"/>
      <c r="AO156" s="59">
        <f t="shared" si="21"/>
        <v>2.6666666666666665</v>
      </c>
      <c r="AP156" s="49">
        <v>3</v>
      </c>
      <c r="AQ156" s="49"/>
      <c r="AR156" s="49"/>
      <c r="AS156" s="7"/>
      <c r="AT156" s="7"/>
      <c r="AU156" s="59">
        <f t="shared" si="22"/>
        <v>3</v>
      </c>
      <c r="AV156" s="7"/>
      <c r="AW156" s="7"/>
      <c r="AX156" s="49"/>
      <c r="AY156" s="49">
        <v>3</v>
      </c>
      <c r="AZ156" s="49">
        <v>3</v>
      </c>
      <c r="BA156" s="59">
        <f t="shared" si="23"/>
        <v>3</v>
      </c>
    </row>
    <row r="157" spans="1:53" ht="23.1" customHeight="1" x14ac:dyDescent="0.3">
      <c r="A157" s="49">
        <v>155</v>
      </c>
      <c r="B157" s="49" t="s">
        <v>188</v>
      </c>
      <c r="C157" s="49" t="s">
        <v>189</v>
      </c>
      <c r="D157" s="49" t="s">
        <v>542</v>
      </c>
      <c r="E157" s="49" t="s">
        <v>161</v>
      </c>
      <c r="F157" s="49"/>
      <c r="G157" s="49"/>
      <c r="H157" s="49">
        <f>IFERROR(VLOOKUP(B157,[1]Debate!$A$5:$O$262,3,FALSE),"0")</f>
        <v>3</v>
      </c>
      <c r="I157" s="49"/>
      <c r="J157" s="49"/>
      <c r="K157" s="59">
        <f t="shared" si="16"/>
        <v>3</v>
      </c>
      <c r="L157" s="49">
        <v>2</v>
      </c>
      <c r="M157" s="49">
        <v>3</v>
      </c>
      <c r="N157" s="49">
        <v>3</v>
      </c>
      <c r="O157" s="49">
        <v>2.5</v>
      </c>
      <c r="P157" s="49">
        <v>3</v>
      </c>
      <c r="Q157" s="59">
        <f t="shared" si="17"/>
        <v>2.7</v>
      </c>
      <c r="R157" s="49"/>
      <c r="S157" s="49"/>
      <c r="T157" s="49"/>
      <c r="U157" s="49"/>
      <c r="V157" s="49"/>
      <c r="W157" s="59" t="str">
        <f t="shared" si="18"/>
        <v>A</v>
      </c>
      <c r="X157" s="49">
        <v>3</v>
      </c>
      <c r="Y157" s="49"/>
      <c r="Z157" s="49"/>
      <c r="AA157" s="49"/>
      <c r="AB157" s="49"/>
      <c r="AC157" s="59">
        <f t="shared" si="19"/>
        <v>3</v>
      </c>
      <c r="AD157" s="49"/>
      <c r="AE157" s="49"/>
      <c r="AF157" s="49"/>
      <c r="AG157" s="49"/>
      <c r="AH157" s="49"/>
      <c r="AI157" s="59" t="str">
        <f t="shared" si="20"/>
        <v>A</v>
      </c>
      <c r="AJ157" s="49">
        <v>2</v>
      </c>
      <c r="AK157" s="49">
        <v>3</v>
      </c>
      <c r="AL157" s="49"/>
      <c r="AM157" s="49">
        <v>2</v>
      </c>
      <c r="AN157" s="49"/>
      <c r="AO157" s="59">
        <f t="shared" si="21"/>
        <v>2.3333333333333335</v>
      </c>
      <c r="AP157" s="49">
        <v>3</v>
      </c>
      <c r="AQ157" s="49"/>
      <c r="AR157" s="49"/>
      <c r="AS157" s="49"/>
      <c r="AT157" s="49"/>
      <c r="AU157" s="59">
        <f t="shared" si="22"/>
        <v>3</v>
      </c>
      <c r="AV157" s="49"/>
      <c r="AW157" s="49"/>
      <c r="AX157" s="49"/>
      <c r="AY157" s="49">
        <v>3</v>
      </c>
      <c r="AZ157" s="49">
        <v>3</v>
      </c>
      <c r="BA157" s="59">
        <f t="shared" si="23"/>
        <v>3</v>
      </c>
    </row>
    <row r="158" spans="1:53" ht="23.1" customHeight="1" x14ac:dyDescent="0.3">
      <c r="A158" s="7">
        <v>156</v>
      </c>
      <c r="B158" s="7" t="s">
        <v>174</v>
      </c>
      <c r="C158" s="7" t="s">
        <v>175</v>
      </c>
      <c r="D158" s="7" t="s">
        <v>450</v>
      </c>
      <c r="E158" s="7" t="s">
        <v>161</v>
      </c>
      <c r="F158" s="7"/>
      <c r="G158" s="7"/>
      <c r="H158" s="49">
        <f>IFERROR(VLOOKUP(B158,[1]Debate!$A$5:$O$262,3,FALSE),"0")</f>
        <v>4</v>
      </c>
      <c r="I158" s="7"/>
      <c r="J158" s="7"/>
      <c r="K158" s="59">
        <f t="shared" si="16"/>
        <v>4</v>
      </c>
      <c r="L158" s="49">
        <v>4</v>
      </c>
      <c r="M158" s="49">
        <v>4</v>
      </c>
      <c r="N158" s="49">
        <v>4</v>
      </c>
      <c r="O158" s="49">
        <v>3</v>
      </c>
      <c r="P158" s="49">
        <v>4</v>
      </c>
      <c r="Q158" s="59">
        <f t="shared" si="17"/>
        <v>3.8</v>
      </c>
      <c r="R158" s="49"/>
      <c r="S158" s="49"/>
      <c r="T158" s="7"/>
      <c r="U158" s="49"/>
      <c r="V158" s="7"/>
      <c r="W158" s="59" t="str">
        <f t="shared" si="18"/>
        <v>A</v>
      </c>
      <c r="X158" s="49">
        <v>4</v>
      </c>
      <c r="Y158" s="49"/>
      <c r="Z158" s="7"/>
      <c r="AA158" s="7"/>
      <c r="AB158" s="7"/>
      <c r="AC158" s="59">
        <f t="shared" si="19"/>
        <v>4</v>
      </c>
      <c r="AD158" s="49"/>
      <c r="AE158" s="7"/>
      <c r="AF158" s="49"/>
      <c r="AG158" s="7"/>
      <c r="AH158" s="7"/>
      <c r="AI158" s="59" t="str">
        <f t="shared" si="20"/>
        <v>A</v>
      </c>
      <c r="AJ158" s="49">
        <v>4</v>
      </c>
      <c r="AK158" s="49">
        <v>4</v>
      </c>
      <c r="AL158" s="7"/>
      <c r="AM158" s="49">
        <v>4</v>
      </c>
      <c r="AN158" s="7"/>
      <c r="AO158" s="59">
        <f t="shared" si="21"/>
        <v>4</v>
      </c>
      <c r="AP158" s="49">
        <v>3</v>
      </c>
      <c r="AQ158" s="49"/>
      <c r="AR158" s="49"/>
      <c r="AS158" s="7"/>
      <c r="AT158" s="7"/>
      <c r="AU158" s="59">
        <f t="shared" si="22"/>
        <v>3</v>
      </c>
      <c r="AV158" s="7"/>
      <c r="AW158" s="7"/>
      <c r="AX158" s="49"/>
      <c r="AY158" s="49">
        <v>4</v>
      </c>
      <c r="AZ158" s="49">
        <v>4</v>
      </c>
      <c r="BA158" s="59">
        <f t="shared" si="23"/>
        <v>4</v>
      </c>
    </row>
    <row r="159" spans="1:53" ht="23.1" customHeight="1" x14ac:dyDescent="0.3">
      <c r="A159" s="49">
        <v>157</v>
      </c>
      <c r="B159" s="49" t="s">
        <v>205</v>
      </c>
      <c r="C159" s="49" t="s">
        <v>206</v>
      </c>
      <c r="D159" s="49" t="s">
        <v>450</v>
      </c>
      <c r="E159" s="49" t="s">
        <v>161</v>
      </c>
      <c r="F159" s="49"/>
      <c r="G159" s="49"/>
      <c r="H159" s="49">
        <f>IFERROR(VLOOKUP(B159,[1]Debate!$A$5:$O$262,3,FALSE),"0")</f>
        <v>1</v>
      </c>
      <c r="I159" s="49"/>
      <c r="J159" s="49"/>
      <c r="K159" s="59">
        <f t="shared" si="16"/>
        <v>1</v>
      </c>
      <c r="L159" s="49">
        <v>1</v>
      </c>
      <c r="M159" s="49">
        <v>1</v>
      </c>
      <c r="N159" s="49">
        <v>1</v>
      </c>
      <c r="O159" s="49">
        <v>1</v>
      </c>
      <c r="P159" s="49">
        <v>1</v>
      </c>
      <c r="Q159" s="59">
        <f t="shared" si="17"/>
        <v>1</v>
      </c>
      <c r="R159" s="49"/>
      <c r="S159" s="49"/>
      <c r="T159" s="49"/>
      <c r="U159" s="49"/>
      <c r="V159" s="49"/>
      <c r="W159" s="59" t="str">
        <f t="shared" si="18"/>
        <v>A</v>
      </c>
      <c r="X159" s="49">
        <v>1</v>
      </c>
      <c r="Y159" s="49"/>
      <c r="Z159" s="49"/>
      <c r="AA159" s="49"/>
      <c r="AB159" s="49"/>
      <c r="AC159" s="59">
        <f t="shared" si="19"/>
        <v>1</v>
      </c>
      <c r="AD159" s="49"/>
      <c r="AE159" s="49"/>
      <c r="AF159" s="49"/>
      <c r="AG159" s="49"/>
      <c r="AH159" s="49"/>
      <c r="AI159" s="59" t="str">
        <f t="shared" si="20"/>
        <v>A</v>
      </c>
      <c r="AJ159" s="49">
        <v>1</v>
      </c>
      <c r="AK159" s="49">
        <v>1</v>
      </c>
      <c r="AL159" s="49"/>
      <c r="AM159" s="49">
        <v>2</v>
      </c>
      <c r="AN159" s="49"/>
      <c r="AO159" s="59">
        <f t="shared" si="21"/>
        <v>1.3333333333333333</v>
      </c>
      <c r="AP159" s="49">
        <v>3</v>
      </c>
      <c r="AQ159" s="49"/>
      <c r="AR159" s="49"/>
      <c r="AS159" s="49"/>
      <c r="AT159" s="49"/>
      <c r="AU159" s="59">
        <f t="shared" si="22"/>
        <v>3</v>
      </c>
      <c r="AV159" s="49"/>
      <c r="AW159" s="49"/>
      <c r="AX159" s="49"/>
      <c r="AY159" s="49">
        <v>1</v>
      </c>
      <c r="AZ159" s="49">
        <v>1</v>
      </c>
      <c r="BA159" s="59">
        <f t="shared" si="23"/>
        <v>1</v>
      </c>
    </row>
    <row r="160" spans="1:53" ht="23.1" customHeight="1" x14ac:dyDescent="0.3">
      <c r="A160" s="7">
        <v>158</v>
      </c>
      <c r="B160" s="7" t="s">
        <v>387</v>
      </c>
      <c r="C160" s="7" t="s">
        <v>388</v>
      </c>
      <c r="D160" s="7" t="s">
        <v>450</v>
      </c>
      <c r="E160" s="7" t="s">
        <v>493</v>
      </c>
      <c r="F160" s="7"/>
      <c r="G160" s="7"/>
      <c r="H160" s="49">
        <f>IFERROR(VLOOKUP(B160,[1]Debate!$A$5:$O$262,3,FALSE),"0")</f>
        <v>1</v>
      </c>
      <c r="I160" s="7"/>
      <c r="J160" s="7"/>
      <c r="K160" s="59">
        <f t="shared" si="16"/>
        <v>1</v>
      </c>
      <c r="L160" s="49">
        <v>1</v>
      </c>
      <c r="M160" s="49">
        <v>1</v>
      </c>
      <c r="N160" s="49">
        <v>1</v>
      </c>
      <c r="O160" s="49">
        <v>1.5</v>
      </c>
      <c r="P160" s="49">
        <v>1</v>
      </c>
      <c r="Q160" s="59">
        <f t="shared" si="17"/>
        <v>1.1000000000000001</v>
      </c>
      <c r="R160" s="49"/>
      <c r="S160" s="49"/>
      <c r="T160" s="7"/>
      <c r="U160" s="49"/>
      <c r="V160" s="7"/>
      <c r="W160" s="59" t="str">
        <f t="shared" si="18"/>
        <v>A</v>
      </c>
      <c r="X160" s="49">
        <v>1</v>
      </c>
      <c r="Y160" s="49"/>
      <c r="Z160" s="7"/>
      <c r="AA160" s="7"/>
      <c r="AB160" s="7"/>
      <c r="AC160" s="59">
        <f t="shared" si="19"/>
        <v>1</v>
      </c>
      <c r="AD160" s="49"/>
      <c r="AE160" s="7"/>
      <c r="AF160" s="49"/>
      <c r="AG160" s="7"/>
      <c r="AH160" s="7"/>
      <c r="AI160" s="59" t="str">
        <f t="shared" si="20"/>
        <v>A</v>
      </c>
      <c r="AJ160" s="49">
        <v>1</v>
      </c>
      <c r="AK160" s="49">
        <v>1</v>
      </c>
      <c r="AL160" s="7"/>
      <c r="AM160" s="49">
        <v>1</v>
      </c>
      <c r="AN160" s="7"/>
      <c r="AO160" s="59">
        <f t="shared" si="21"/>
        <v>1</v>
      </c>
      <c r="AP160" s="49">
        <v>3</v>
      </c>
      <c r="AQ160" s="49"/>
      <c r="AR160" s="49"/>
      <c r="AS160" s="7"/>
      <c r="AT160" s="7"/>
      <c r="AU160" s="59">
        <f t="shared" si="22"/>
        <v>3</v>
      </c>
      <c r="AV160" s="7"/>
      <c r="AW160" s="7"/>
      <c r="AX160" s="49"/>
      <c r="AY160" s="49">
        <v>1</v>
      </c>
      <c r="AZ160" s="49">
        <v>1</v>
      </c>
      <c r="BA160" s="59">
        <f t="shared" si="23"/>
        <v>1</v>
      </c>
    </row>
    <row r="161" spans="1:53" ht="23.1" customHeight="1" x14ac:dyDescent="0.3">
      <c r="A161" s="49">
        <v>159</v>
      </c>
      <c r="B161" s="49" t="s">
        <v>190</v>
      </c>
      <c r="C161" s="49" t="s">
        <v>191</v>
      </c>
      <c r="D161" s="49" t="s">
        <v>450</v>
      </c>
      <c r="E161" s="49" t="s">
        <v>161</v>
      </c>
      <c r="F161" s="49"/>
      <c r="G161" s="49"/>
      <c r="H161" s="49">
        <f>IFERROR(VLOOKUP(B161,[1]Debate!$A$5:$O$262,3,FALSE),"0")</f>
        <v>3</v>
      </c>
      <c r="I161" s="49"/>
      <c r="J161" s="49"/>
      <c r="K161" s="59">
        <f t="shared" si="16"/>
        <v>3</v>
      </c>
      <c r="L161" s="49">
        <v>3</v>
      </c>
      <c r="M161" s="49">
        <v>3</v>
      </c>
      <c r="N161" s="49">
        <v>3</v>
      </c>
      <c r="O161" s="49">
        <v>3</v>
      </c>
      <c r="P161" s="49">
        <v>3</v>
      </c>
      <c r="Q161" s="59">
        <f t="shared" si="17"/>
        <v>3</v>
      </c>
      <c r="R161" s="49"/>
      <c r="S161" s="49"/>
      <c r="T161" s="49"/>
      <c r="U161" s="49"/>
      <c r="V161" s="49"/>
      <c r="W161" s="59" t="str">
        <f t="shared" si="18"/>
        <v>A</v>
      </c>
      <c r="X161" s="49">
        <v>3</v>
      </c>
      <c r="Y161" s="49"/>
      <c r="Z161" s="49"/>
      <c r="AA161" s="49"/>
      <c r="AB161" s="49"/>
      <c r="AC161" s="59">
        <f t="shared" si="19"/>
        <v>3</v>
      </c>
      <c r="AD161" s="49"/>
      <c r="AE161" s="49"/>
      <c r="AF161" s="49"/>
      <c r="AG161" s="49"/>
      <c r="AH161" s="49"/>
      <c r="AI161" s="59" t="str">
        <f t="shared" si="20"/>
        <v>A</v>
      </c>
      <c r="AJ161" s="49">
        <v>3</v>
      </c>
      <c r="AK161" s="49">
        <v>3</v>
      </c>
      <c r="AL161" s="49"/>
      <c r="AM161" s="49">
        <v>3</v>
      </c>
      <c r="AN161" s="49"/>
      <c r="AO161" s="59">
        <f t="shared" si="21"/>
        <v>3</v>
      </c>
      <c r="AP161" s="49">
        <v>3</v>
      </c>
      <c r="AQ161" s="49"/>
      <c r="AR161" s="49"/>
      <c r="AS161" s="49"/>
      <c r="AT161" s="49"/>
      <c r="AU161" s="59">
        <f t="shared" si="22"/>
        <v>3</v>
      </c>
      <c r="AV161" s="49"/>
      <c r="AW161" s="49"/>
      <c r="AX161" s="49"/>
      <c r="AY161" s="49">
        <v>3</v>
      </c>
      <c r="AZ161" s="49">
        <v>3</v>
      </c>
      <c r="BA161" s="59">
        <f t="shared" si="23"/>
        <v>3</v>
      </c>
    </row>
    <row r="162" spans="1:53" ht="23.1" customHeight="1" x14ac:dyDescent="0.3">
      <c r="A162" s="7">
        <v>160</v>
      </c>
      <c r="B162" s="7" t="s">
        <v>157</v>
      </c>
      <c r="C162" s="7" t="s">
        <v>158</v>
      </c>
      <c r="D162" s="7" t="s">
        <v>542</v>
      </c>
      <c r="E162" s="7" t="s">
        <v>35</v>
      </c>
      <c r="F162" s="7"/>
      <c r="G162" s="7"/>
      <c r="H162" s="49">
        <f>IFERROR(VLOOKUP(B162,[1]Debate!$A$5:$O$262,3,FALSE),"0")</f>
        <v>2.5</v>
      </c>
      <c r="I162" s="7"/>
      <c r="J162" s="7"/>
      <c r="K162" s="59">
        <f t="shared" si="16"/>
        <v>2.5</v>
      </c>
      <c r="L162" s="49">
        <v>2.5</v>
      </c>
      <c r="M162" s="49">
        <v>2.5</v>
      </c>
      <c r="N162" s="49">
        <v>3</v>
      </c>
      <c r="O162" s="49">
        <v>2.75</v>
      </c>
      <c r="P162" s="49">
        <v>2.5</v>
      </c>
      <c r="Q162" s="59">
        <f t="shared" si="17"/>
        <v>2.65</v>
      </c>
      <c r="R162" s="49"/>
      <c r="S162" s="49"/>
      <c r="T162" s="7"/>
      <c r="U162" s="49"/>
      <c r="V162" s="7"/>
      <c r="W162" s="59" t="str">
        <f t="shared" si="18"/>
        <v>A</v>
      </c>
      <c r="X162" s="49">
        <v>2.5</v>
      </c>
      <c r="Y162" s="49"/>
      <c r="Z162" s="7"/>
      <c r="AA162" s="7"/>
      <c r="AB162" s="7"/>
      <c r="AC162" s="59">
        <f t="shared" si="19"/>
        <v>2.5</v>
      </c>
      <c r="AD162" s="49"/>
      <c r="AE162" s="7"/>
      <c r="AF162" s="49"/>
      <c r="AG162" s="7"/>
      <c r="AH162" s="7"/>
      <c r="AI162" s="59" t="str">
        <f t="shared" si="20"/>
        <v>A</v>
      </c>
      <c r="AJ162" s="49">
        <v>2.5</v>
      </c>
      <c r="AK162" s="49">
        <v>2.5</v>
      </c>
      <c r="AL162" s="7"/>
      <c r="AM162" s="49">
        <v>3</v>
      </c>
      <c r="AN162" s="7"/>
      <c r="AO162" s="59">
        <f t="shared" si="21"/>
        <v>2.6666666666666665</v>
      </c>
      <c r="AP162" s="49">
        <v>2.5</v>
      </c>
      <c r="AQ162" s="49"/>
      <c r="AR162" s="49"/>
      <c r="AS162" s="7"/>
      <c r="AT162" s="7"/>
      <c r="AU162" s="59">
        <f t="shared" si="22"/>
        <v>2.5</v>
      </c>
      <c r="AV162" s="7"/>
      <c r="AW162" s="7"/>
      <c r="AX162" s="49"/>
      <c r="AY162" s="49">
        <v>2.5</v>
      </c>
      <c r="AZ162" s="49">
        <v>2.5</v>
      </c>
      <c r="BA162" s="59">
        <f t="shared" si="23"/>
        <v>2.5</v>
      </c>
    </row>
    <row r="163" spans="1:53" ht="23.1" customHeight="1" x14ac:dyDescent="0.3">
      <c r="A163" s="49">
        <v>161</v>
      </c>
      <c r="B163" s="49" t="s">
        <v>389</v>
      </c>
      <c r="C163" s="49" t="s">
        <v>390</v>
      </c>
      <c r="D163" s="49" t="s">
        <v>450</v>
      </c>
      <c r="E163" s="49" t="s">
        <v>493</v>
      </c>
      <c r="F163" s="49"/>
      <c r="G163" s="49"/>
      <c r="H163" s="49">
        <f>IFERROR(VLOOKUP(B163,[1]Debate!$A$5:$O$262,3,FALSE),"0")</f>
        <v>3</v>
      </c>
      <c r="I163" s="49"/>
      <c r="J163" s="49"/>
      <c r="K163" s="59">
        <f t="shared" si="16"/>
        <v>3</v>
      </c>
      <c r="L163" s="49">
        <v>4</v>
      </c>
      <c r="M163" s="49">
        <v>3</v>
      </c>
      <c r="N163" s="49">
        <v>3</v>
      </c>
      <c r="O163" s="49">
        <v>3.5</v>
      </c>
      <c r="P163" s="49">
        <v>2</v>
      </c>
      <c r="Q163" s="59">
        <f t="shared" si="17"/>
        <v>3.1</v>
      </c>
      <c r="R163" s="49"/>
      <c r="S163" s="49"/>
      <c r="T163" s="49"/>
      <c r="U163" s="49"/>
      <c r="V163" s="49"/>
      <c r="W163" s="59" t="str">
        <f t="shared" si="18"/>
        <v>A</v>
      </c>
      <c r="X163" s="49">
        <v>3</v>
      </c>
      <c r="Y163" s="49"/>
      <c r="Z163" s="49"/>
      <c r="AA163" s="49"/>
      <c r="AB163" s="49"/>
      <c r="AC163" s="59">
        <f t="shared" si="19"/>
        <v>3</v>
      </c>
      <c r="AD163" s="49"/>
      <c r="AE163" s="49"/>
      <c r="AF163" s="49"/>
      <c r="AG163" s="49"/>
      <c r="AH163" s="49"/>
      <c r="AI163" s="59" t="str">
        <f t="shared" si="20"/>
        <v>A</v>
      </c>
      <c r="AJ163" s="49">
        <v>4</v>
      </c>
      <c r="AK163" s="49">
        <v>3</v>
      </c>
      <c r="AL163" s="49"/>
      <c r="AM163" s="49">
        <v>4</v>
      </c>
      <c r="AN163" s="49"/>
      <c r="AO163" s="59">
        <f t="shared" si="21"/>
        <v>3.6666666666666665</v>
      </c>
      <c r="AP163" s="49">
        <v>3</v>
      </c>
      <c r="AQ163" s="49"/>
      <c r="AR163" s="49"/>
      <c r="AS163" s="49"/>
      <c r="AT163" s="49"/>
      <c r="AU163" s="59">
        <f t="shared" si="22"/>
        <v>3</v>
      </c>
      <c r="AV163" s="49"/>
      <c r="AW163" s="49"/>
      <c r="AX163" s="49"/>
      <c r="AY163" s="49">
        <v>4</v>
      </c>
      <c r="AZ163" s="49">
        <v>3</v>
      </c>
      <c r="BA163" s="59">
        <f t="shared" si="23"/>
        <v>3.5</v>
      </c>
    </row>
    <row r="164" spans="1:53" ht="23.1" customHeight="1" x14ac:dyDescent="0.3">
      <c r="A164" s="7">
        <v>162</v>
      </c>
      <c r="B164" s="7" t="s">
        <v>391</v>
      </c>
      <c r="C164" s="7" t="s">
        <v>392</v>
      </c>
      <c r="D164" s="7" t="s">
        <v>450</v>
      </c>
      <c r="E164" s="7" t="s">
        <v>493</v>
      </c>
      <c r="F164" s="7"/>
      <c r="G164" s="7"/>
      <c r="H164" s="49">
        <f>IFERROR(VLOOKUP(B164,[1]Debate!$A$5:$O$262,3,FALSE),"0")</f>
        <v>2</v>
      </c>
      <c r="I164" s="7"/>
      <c r="J164" s="7"/>
      <c r="K164" s="59">
        <f t="shared" si="16"/>
        <v>2</v>
      </c>
      <c r="L164" s="49">
        <v>2</v>
      </c>
      <c r="M164" s="49">
        <v>3</v>
      </c>
      <c r="N164" s="49">
        <v>2</v>
      </c>
      <c r="O164" s="49">
        <v>1</v>
      </c>
      <c r="P164" s="49">
        <v>3</v>
      </c>
      <c r="Q164" s="59">
        <f t="shared" si="17"/>
        <v>2.2000000000000002</v>
      </c>
      <c r="R164" s="49"/>
      <c r="S164" s="49"/>
      <c r="T164" s="7"/>
      <c r="U164" s="49"/>
      <c r="V164" s="7"/>
      <c r="W164" s="59" t="str">
        <f t="shared" si="18"/>
        <v>A</v>
      </c>
      <c r="X164" s="49">
        <v>3</v>
      </c>
      <c r="Y164" s="49"/>
      <c r="Z164" s="7"/>
      <c r="AA164" s="7"/>
      <c r="AB164" s="7"/>
      <c r="AC164" s="59">
        <f t="shared" si="19"/>
        <v>3</v>
      </c>
      <c r="AD164" s="49"/>
      <c r="AE164" s="7"/>
      <c r="AF164" s="49"/>
      <c r="AG164" s="7"/>
      <c r="AH164" s="7"/>
      <c r="AI164" s="59" t="str">
        <f t="shared" si="20"/>
        <v>A</v>
      </c>
      <c r="AJ164" s="49">
        <v>3</v>
      </c>
      <c r="AK164" s="49">
        <v>2</v>
      </c>
      <c r="AL164" s="7"/>
      <c r="AM164" s="49">
        <v>3</v>
      </c>
      <c r="AN164" s="7"/>
      <c r="AO164" s="59">
        <f t="shared" si="21"/>
        <v>2.6666666666666665</v>
      </c>
      <c r="AP164" s="49">
        <v>3</v>
      </c>
      <c r="AQ164" s="49"/>
      <c r="AR164" s="49"/>
      <c r="AS164" s="7"/>
      <c r="AT164" s="7"/>
      <c r="AU164" s="59">
        <f t="shared" si="22"/>
        <v>3</v>
      </c>
      <c r="AV164" s="7"/>
      <c r="AW164" s="7"/>
      <c r="AX164" s="49"/>
      <c r="AY164" s="49">
        <v>3</v>
      </c>
      <c r="AZ164" s="49">
        <v>3</v>
      </c>
      <c r="BA164" s="59">
        <f t="shared" si="23"/>
        <v>3</v>
      </c>
    </row>
    <row r="165" spans="1:53" ht="23.1" customHeight="1" x14ac:dyDescent="0.3">
      <c r="A165" s="49">
        <v>163</v>
      </c>
      <c r="B165" s="49" t="s">
        <v>221</v>
      </c>
      <c r="C165" s="49" t="s">
        <v>222</v>
      </c>
      <c r="D165" s="49" t="s">
        <v>450</v>
      </c>
      <c r="E165" s="49" t="s">
        <v>161</v>
      </c>
      <c r="F165" s="49"/>
      <c r="G165" s="49"/>
      <c r="H165" s="49">
        <f>IFERROR(VLOOKUP(B165,[1]Debate!$A$5:$O$262,3,FALSE),"0")</f>
        <v>3</v>
      </c>
      <c r="I165" s="49"/>
      <c r="J165" s="49"/>
      <c r="K165" s="59">
        <f t="shared" si="16"/>
        <v>3</v>
      </c>
      <c r="L165" s="49">
        <v>3</v>
      </c>
      <c r="M165" s="49">
        <v>3</v>
      </c>
      <c r="N165" s="49">
        <v>3</v>
      </c>
      <c r="O165" s="49">
        <v>3</v>
      </c>
      <c r="P165" s="49">
        <v>3</v>
      </c>
      <c r="Q165" s="59">
        <f t="shared" si="17"/>
        <v>3</v>
      </c>
      <c r="R165" s="49"/>
      <c r="S165" s="49"/>
      <c r="T165" s="49"/>
      <c r="U165" s="49"/>
      <c r="V165" s="49"/>
      <c r="W165" s="59" t="str">
        <f t="shared" si="18"/>
        <v>A</v>
      </c>
      <c r="X165" s="49">
        <v>3</v>
      </c>
      <c r="Y165" s="49"/>
      <c r="Z165" s="49"/>
      <c r="AA165" s="49"/>
      <c r="AB165" s="49"/>
      <c r="AC165" s="59">
        <f t="shared" si="19"/>
        <v>3</v>
      </c>
      <c r="AD165" s="49"/>
      <c r="AE165" s="49"/>
      <c r="AF165" s="49"/>
      <c r="AG165" s="49"/>
      <c r="AH165" s="49"/>
      <c r="AI165" s="59" t="str">
        <f t="shared" si="20"/>
        <v>A</v>
      </c>
      <c r="AJ165" s="49">
        <v>3</v>
      </c>
      <c r="AK165" s="49">
        <v>3</v>
      </c>
      <c r="AL165" s="49"/>
      <c r="AM165" s="49">
        <v>3</v>
      </c>
      <c r="AN165" s="49"/>
      <c r="AO165" s="59">
        <f t="shared" si="21"/>
        <v>3</v>
      </c>
      <c r="AP165" s="49">
        <v>3</v>
      </c>
      <c r="AQ165" s="49"/>
      <c r="AR165" s="49"/>
      <c r="AS165" s="49"/>
      <c r="AT165" s="49"/>
      <c r="AU165" s="59">
        <f t="shared" si="22"/>
        <v>3</v>
      </c>
      <c r="AV165" s="49"/>
      <c r="AW165" s="49"/>
      <c r="AX165" s="49"/>
      <c r="AY165" s="49">
        <v>3</v>
      </c>
      <c r="AZ165" s="49">
        <v>3</v>
      </c>
      <c r="BA165" s="59">
        <f t="shared" si="23"/>
        <v>3</v>
      </c>
    </row>
    <row r="166" spans="1:53" ht="23.1" customHeight="1" x14ac:dyDescent="0.3">
      <c r="A166" s="7">
        <v>164</v>
      </c>
      <c r="B166" s="7" t="s">
        <v>207</v>
      </c>
      <c r="C166" s="7" t="s">
        <v>208</v>
      </c>
      <c r="D166" s="7" t="s">
        <v>542</v>
      </c>
      <c r="E166" s="7" t="s">
        <v>161</v>
      </c>
      <c r="F166" s="7"/>
      <c r="G166" s="7"/>
      <c r="H166" s="49">
        <f>IFERROR(VLOOKUP(B166,[1]Debate!$A$5:$O$262,3,FALSE),"0")</f>
        <v>3</v>
      </c>
      <c r="I166" s="7"/>
      <c r="J166" s="7"/>
      <c r="K166" s="59">
        <f t="shared" si="16"/>
        <v>3</v>
      </c>
      <c r="L166" s="49">
        <v>3</v>
      </c>
      <c r="M166" s="49">
        <v>4</v>
      </c>
      <c r="N166" s="49">
        <v>3</v>
      </c>
      <c r="O166" s="49">
        <v>3.5</v>
      </c>
      <c r="P166" s="49">
        <v>3</v>
      </c>
      <c r="Q166" s="59">
        <f t="shared" si="17"/>
        <v>3.3</v>
      </c>
      <c r="R166" s="49"/>
      <c r="S166" s="49"/>
      <c r="T166" s="7"/>
      <c r="U166" s="49"/>
      <c r="V166" s="7"/>
      <c r="W166" s="59" t="str">
        <f t="shared" si="18"/>
        <v>A</v>
      </c>
      <c r="X166" s="49">
        <v>3</v>
      </c>
      <c r="Y166" s="49"/>
      <c r="Z166" s="7"/>
      <c r="AA166" s="7"/>
      <c r="AB166" s="7"/>
      <c r="AC166" s="59">
        <f t="shared" si="19"/>
        <v>3</v>
      </c>
      <c r="AD166" s="49"/>
      <c r="AE166" s="7"/>
      <c r="AF166" s="49"/>
      <c r="AG166" s="7"/>
      <c r="AH166" s="7"/>
      <c r="AI166" s="59" t="str">
        <f t="shared" si="20"/>
        <v>A</v>
      </c>
      <c r="AJ166" s="49">
        <v>3</v>
      </c>
      <c r="AK166" s="49">
        <v>3</v>
      </c>
      <c r="AL166" s="7"/>
      <c r="AM166" s="49">
        <v>3</v>
      </c>
      <c r="AN166" s="7"/>
      <c r="AO166" s="59">
        <f t="shared" si="21"/>
        <v>3</v>
      </c>
      <c r="AP166" s="49">
        <v>3</v>
      </c>
      <c r="AQ166" s="49"/>
      <c r="AR166" s="49"/>
      <c r="AS166" s="7"/>
      <c r="AT166" s="7"/>
      <c r="AU166" s="59">
        <f t="shared" si="22"/>
        <v>3</v>
      </c>
      <c r="AV166" s="7"/>
      <c r="AW166" s="7"/>
      <c r="AX166" s="49"/>
      <c r="AY166" s="49">
        <v>3</v>
      </c>
      <c r="AZ166" s="49">
        <v>3</v>
      </c>
      <c r="BA166" s="59">
        <f t="shared" si="23"/>
        <v>3</v>
      </c>
    </row>
    <row r="167" spans="1:53" ht="23.1" customHeight="1" x14ac:dyDescent="0.3">
      <c r="A167" s="49">
        <v>165</v>
      </c>
      <c r="B167" s="49" t="s">
        <v>48</v>
      </c>
      <c r="C167" s="49" t="s">
        <v>49</v>
      </c>
      <c r="D167" s="49" t="s">
        <v>450</v>
      </c>
      <c r="E167" s="49" t="s">
        <v>35</v>
      </c>
      <c r="F167" s="49"/>
      <c r="G167" s="49"/>
      <c r="H167" s="49">
        <f>IFERROR(VLOOKUP(B167,[1]Debate!$A$5:$O$262,3,FALSE),"0")</f>
        <v>3</v>
      </c>
      <c r="I167" s="49"/>
      <c r="J167" s="49"/>
      <c r="K167" s="59">
        <f t="shared" si="16"/>
        <v>3</v>
      </c>
      <c r="L167" s="49">
        <v>3</v>
      </c>
      <c r="M167" s="49">
        <v>2.5</v>
      </c>
      <c r="N167" s="49">
        <v>2.5</v>
      </c>
      <c r="O167" s="49">
        <v>2.75</v>
      </c>
      <c r="P167" s="49">
        <v>3</v>
      </c>
      <c r="Q167" s="59">
        <f t="shared" si="17"/>
        <v>2.75</v>
      </c>
      <c r="R167" s="49"/>
      <c r="S167" s="49"/>
      <c r="T167" s="49"/>
      <c r="U167" s="49"/>
      <c r="V167" s="49"/>
      <c r="W167" s="59" t="str">
        <f t="shared" si="18"/>
        <v>A</v>
      </c>
      <c r="X167" s="49">
        <v>2.5</v>
      </c>
      <c r="Y167" s="49"/>
      <c r="Z167" s="49"/>
      <c r="AA167" s="49"/>
      <c r="AB167" s="49"/>
      <c r="AC167" s="59">
        <f t="shared" si="19"/>
        <v>2.5</v>
      </c>
      <c r="AD167" s="49"/>
      <c r="AE167" s="49"/>
      <c r="AF167" s="49"/>
      <c r="AG167" s="49"/>
      <c r="AH167" s="49"/>
      <c r="AI167" s="59" t="str">
        <f t="shared" si="20"/>
        <v>A</v>
      </c>
      <c r="AJ167" s="49">
        <v>2.5</v>
      </c>
      <c r="AK167" s="49">
        <v>2.5</v>
      </c>
      <c r="AL167" s="49"/>
      <c r="AM167" s="49">
        <v>2.5</v>
      </c>
      <c r="AN167" s="49"/>
      <c r="AO167" s="59">
        <f t="shared" si="21"/>
        <v>2.5</v>
      </c>
      <c r="AP167" s="49">
        <v>2.5</v>
      </c>
      <c r="AQ167" s="49"/>
      <c r="AR167" s="49"/>
      <c r="AS167" s="49"/>
      <c r="AT167" s="49"/>
      <c r="AU167" s="59">
        <f t="shared" si="22"/>
        <v>2.5</v>
      </c>
      <c r="AV167" s="49"/>
      <c r="AW167" s="49"/>
      <c r="AX167" s="49"/>
      <c r="AY167" s="49">
        <v>2.5</v>
      </c>
      <c r="AZ167" s="49">
        <v>2.5</v>
      </c>
      <c r="BA167" s="59">
        <f t="shared" si="23"/>
        <v>2.5</v>
      </c>
    </row>
    <row r="168" spans="1:53" ht="23.1" customHeight="1" x14ac:dyDescent="0.3">
      <c r="A168" s="7">
        <v>166</v>
      </c>
      <c r="B168" s="7" t="s">
        <v>159</v>
      </c>
      <c r="C168" s="7" t="s">
        <v>160</v>
      </c>
      <c r="D168" s="7" t="s">
        <v>450</v>
      </c>
      <c r="E168" s="7" t="s">
        <v>35</v>
      </c>
      <c r="F168" s="7"/>
      <c r="G168" s="7"/>
      <c r="H168" s="49">
        <f>IFERROR(VLOOKUP(B168,[1]Debate!$A$5:$O$262,3,FALSE),"0")</f>
        <v>2</v>
      </c>
      <c r="I168" s="7"/>
      <c r="J168" s="7"/>
      <c r="K168" s="59">
        <f t="shared" si="16"/>
        <v>2</v>
      </c>
      <c r="L168" s="49">
        <v>3</v>
      </c>
      <c r="M168" s="49">
        <v>3</v>
      </c>
      <c r="N168" s="49">
        <v>3</v>
      </c>
      <c r="O168" s="49">
        <v>2</v>
      </c>
      <c r="P168" s="49">
        <v>3</v>
      </c>
      <c r="Q168" s="59">
        <f t="shared" si="17"/>
        <v>2.8</v>
      </c>
      <c r="R168" s="49"/>
      <c r="S168" s="49"/>
      <c r="T168" s="7"/>
      <c r="U168" s="49"/>
      <c r="V168" s="7"/>
      <c r="W168" s="59" t="str">
        <f t="shared" si="18"/>
        <v>A</v>
      </c>
      <c r="X168" s="49">
        <v>2</v>
      </c>
      <c r="Y168" s="49"/>
      <c r="Z168" s="7"/>
      <c r="AA168" s="7"/>
      <c r="AB168" s="7"/>
      <c r="AC168" s="59">
        <f t="shared" si="19"/>
        <v>2</v>
      </c>
      <c r="AD168" s="49"/>
      <c r="AE168" s="7"/>
      <c r="AF168" s="49"/>
      <c r="AG168" s="7"/>
      <c r="AH168" s="7"/>
      <c r="AI168" s="59" t="str">
        <f t="shared" si="20"/>
        <v>A</v>
      </c>
      <c r="AJ168" s="49">
        <v>2</v>
      </c>
      <c r="AK168" s="49">
        <v>3</v>
      </c>
      <c r="AL168" s="7"/>
      <c r="AM168" s="49">
        <v>2</v>
      </c>
      <c r="AN168" s="7"/>
      <c r="AO168" s="59">
        <f t="shared" si="21"/>
        <v>2.3333333333333335</v>
      </c>
      <c r="AP168" s="49">
        <v>2</v>
      </c>
      <c r="AQ168" s="49"/>
      <c r="AR168" s="49"/>
      <c r="AS168" s="7"/>
      <c r="AT168" s="7"/>
      <c r="AU168" s="59">
        <f t="shared" si="22"/>
        <v>2</v>
      </c>
      <c r="AV168" s="7"/>
      <c r="AW168" s="7"/>
      <c r="AX168" s="49"/>
      <c r="AY168" s="49">
        <v>2</v>
      </c>
      <c r="AZ168" s="49">
        <v>2</v>
      </c>
      <c r="BA168" s="59">
        <f t="shared" si="23"/>
        <v>2</v>
      </c>
    </row>
    <row r="169" spans="1:53" ht="23.1" customHeight="1" x14ac:dyDescent="0.3">
      <c r="A169" s="49">
        <v>167</v>
      </c>
      <c r="B169" s="49" t="s">
        <v>192</v>
      </c>
      <c r="C169" s="49" t="s">
        <v>193</v>
      </c>
      <c r="D169" s="49" t="s">
        <v>450</v>
      </c>
      <c r="E169" s="49" t="s">
        <v>161</v>
      </c>
      <c r="F169" s="49"/>
      <c r="G169" s="49"/>
      <c r="H169" s="49">
        <f>IFERROR(VLOOKUP(B169,[1]Debate!$A$5:$O$262,3,FALSE),"0")</f>
        <v>3</v>
      </c>
      <c r="I169" s="49"/>
      <c r="J169" s="49"/>
      <c r="K169" s="59">
        <f t="shared" si="16"/>
        <v>3</v>
      </c>
      <c r="L169" s="49">
        <v>2</v>
      </c>
      <c r="M169" s="49">
        <v>3</v>
      </c>
      <c r="N169" s="49">
        <v>3</v>
      </c>
      <c r="O169" s="49">
        <v>2.5</v>
      </c>
      <c r="P169" s="49">
        <v>2</v>
      </c>
      <c r="Q169" s="59">
        <f t="shared" si="17"/>
        <v>2.5</v>
      </c>
      <c r="R169" s="49"/>
      <c r="S169" s="49"/>
      <c r="T169" s="49"/>
      <c r="U169" s="49"/>
      <c r="V169" s="49"/>
      <c r="W169" s="59" t="str">
        <f t="shared" si="18"/>
        <v>A</v>
      </c>
      <c r="X169" s="49">
        <v>4</v>
      </c>
      <c r="Y169" s="49"/>
      <c r="Z169" s="49"/>
      <c r="AA169" s="49"/>
      <c r="AB169" s="49"/>
      <c r="AC169" s="59">
        <f t="shared" si="19"/>
        <v>4</v>
      </c>
      <c r="AD169" s="49"/>
      <c r="AE169" s="49"/>
      <c r="AF169" s="49"/>
      <c r="AG169" s="49"/>
      <c r="AH169" s="49"/>
      <c r="AI169" s="59" t="str">
        <f t="shared" si="20"/>
        <v>A</v>
      </c>
      <c r="AJ169" s="49">
        <v>4</v>
      </c>
      <c r="AK169" s="49">
        <v>2</v>
      </c>
      <c r="AL169" s="49"/>
      <c r="AM169" s="49">
        <v>3</v>
      </c>
      <c r="AN169" s="49"/>
      <c r="AO169" s="59">
        <f t="shared" si="21"/>
        <v>3</v>
      </c>
      <c r="AP169" s="49">
        <v>3</v>
      </c>
      <c r="AQ169" s="49"/>
      <c r="AR169" s="49"/>
      <c r="AS169" s="49"/>
      <c r="AT169" s="49"/>
      <c r="AU169" s="59">
        <f t="shared" si="22"/>
        <v>3</v>
      </c>
      <c r="AV169" s="49"/>
      <c r="AW169" s="49"/>
      <c r="AX169" s="49"/>
      <c r="AY169" s="49">
        <v>4</v>
      </c>
      <c r="AZ169" s="49">
        <v>4</v>
      </c>
      <c r="BA169" s="59">
        <f t="shared" si="23"/>
        <v>4</v>
      </c>
    </row>
    <row r="170" spans="1:53" ht="23.1" customHeight="1" x14ac:dyDescent="0.3">
      <c r="A170" s="7">
        <v>168</v>
      </c>
      <c r="B170" s="7" t="s">
        <v>223</v>
      </c>
      <c r="C170" s="7" t="s">
        <v>224</v>
      </c>
      <c r="D170" s="7" t="s">
        <v>542</v>
      </c>
      <c r="E170" s="7" t="s">
        <v>161</v>
      </c>
      <c r="F170" s="7"/>
      <c r="G170" s="7"/>
      <c r="H170" s="49">
        <f>IFERROR(VLOOKUP(B170,[1]Debate!$A$5:$O$262,3,FALSE),"0")</f>
        <v>3</v>
      </c>
      <c r="I170" s="7"/>
      <c r="J170" s="7"/>
      <c r="K170" s="59">
        <f t="shared" si="16"/>
        <v>3</v>
      </c>
      <c r="L170" s="49">
        <v>3</v>
      </c>
      <c r="M170" s="49">
        <v>3</v>
      </c>
      <c r="N170" s="49">
        <v>3</v>
      </c>
      <c r="O170" s="49">
        <v>3</v>
      </c>
      <c r="P170" s="49">
        <v>3</v>
      </c>
      <c r="Q170" s="59">
        <f t="shared" si="17"/>
        <v>3</v>
      </c>
      <c r="R170" s="49"/>
      <c r="S170" s="49"/>
      <c r="T170" s="7"/>
      <c r="U170" s="49"/>
      <c r="V170" s="7"/>
      <c r="W170" s="59" t="str">
        <f t="shared" si="18"/>
        <v>A</v>
      </c>
      <c r="X170" s="49">
        <v>3</v>
      </c>
      <c r="Y170" s="49"/>
      <c r="Z170" s="7"/>
      <c r="AA170" s="7"/>
      <c r="AB170" s="7"/>
      <c r="AC170" s="59">
        <f t="shared" si="19"/>
        <v>3</v>
      </c>
      <c r="AD170" s="49"/>
      <c r="AE170" s="7"/>
      <c r="AF170" s="49"/>
      <c r="AG170" s="7"/>
      <c r="AH170" s="7"/>
      <c r="AI170" s="59" t="str">
        <f t="shared" si="20"/>
        <v>A</v>
      </c>
      <c r="AJ170" s="49">
        <v>3</v>
      </c>
      <c r="AK170" s="49">
        <v>3</v>
      </c>
      <c r="AL170" s="7"/>
      <c r="AM170" s="49">
        <v>3</v>
      </c>
      <c r="AN170" s="7"/>
      <c r="AO170" s="59">
        <f t="shared" si="21"/>
        <v>3</v>
      </c>
      <c r="AP170" s="49">
        <v>3</v>
      </c>
      <c r="AQ170" s="49"/>
      <c r="AR170" s="49"/>
      <c r="AS170" s="7"/>
      <c r="AT170" s="7"/>
      <c r="AU170" s="59">
        <f t="shared" si="22"/>
        <v>3</v>
      </c>
      <c r="AV170" s="7"/>
      <c r="AW170" s="7"/>
      <c r="AX170" s="49"/>
      <c r="AY170" s="49">
        <v>3</v>
      </c>
      <c r="AZ170" s="49">
        <v>3</v>
      </c>
      <c r="BA170" s="59">
        <f t="shared" si="23"/>
        <v>3</v>
      </c>
    </row>
    <row r="171" spans="1:53" ht="23.1" customHeight="1" x14ac:dyDescent="0.3">
      <c r="A171" s="49">
        <v>169</v>
      </c>
      <c r="B171" s="49" t="s">
        <v>393</v>
      </c>
      <c r="C171" s="49" t="s">
        <v>394</v>
      </c>
      <c r="D171" s="49" t="s">
        <v>450</v>
      </c>
      <c r="E171" s="49" t="s">
        <v>493</v>
      </c>
      <c r="F171" s="49"/>
      <c r="G171" s="49"/>
      <c r="H171" s="49">
        <f>IFERROR(VLOOKUP(B171,[1]Debate!$A$5:$O$262,3,FALSE),"0")</f>
        <v>1</v>
      </c>
      <c r="I171" s="49"/>
      <c r="J171" s="49"/>
      <c r="K171" s="59">
        <f t="shared" si="16"/>
        <v>1</v>
      </c>
      <c r="L171" s="49">
        <v>1</v>
      </c>
      <c r="M171" s="49">
        <v>1</v>
      </c>
      <c r="N171" s="49">
        <v>1</v>
      </c>
      <c r="O171" s="49">
        <v>2</v>
      </c>
      <c r="P171" s="49">
        <v>1</v>
      </c>
      <c r="Q171" s="59">
        <f t="shared" si="17"/>
        <v>1.2</v>
      </c>
      <c r="R171" s="49"/>
      <c r="S171" s="49"/>
      <c r="T171" s="49"/>
      <c r="U171" s="49"/>
      <c r="V171" s="49"/>
      <c r="W171" s="59" t="str">
        <f t="shared" si="18"/>
        <v>A</v>
      </c>
      <c r="X171" s="49">
        <v>1</v>
      </c>
      <c r="Y171" s="49"/>
      <c r="Z171" s="49"/>
      <c r="AA171" s="49"/>
      <c r="AB171" s="49"/>
      <c r="AC171" s="59">
        <f t="shared" si="19"/>
        <v>1</v>
      </c>
      <c r="AD171" s="49"/>
      <c r="AE171" s="49"/>
      <c r="AF171" s="49"/>
      <c r="AG171" s="49"/>
      <c r="AH171" s="49"/>
      <c r="AI171" s="59" t="str">
        <f t="shared" si="20"/>
        <v>A</v>
      </c>
      <c r="AJ171" s="49">
        <v>1</v>
      </c>
      <c r="AK171" s="49">
        <v>1</v>
      </c>
      <c r="AL171" s="49"/>
      <c r="AM171" s="49">
        <v>1</v>
      </c>
      <c r="AN171" s="49"/>
      <c r="AO171" s="59">
        <f t="shared" si="21"/>
        <v>1</v>
      </c>
      <c r="AP171" s="49">
        <v>1</v>
      </c>
      <c r="AQ171" s="49"/>
      <c r="AR171" s="49"/>
      <c r="AS171" s="49"/>
      <c r="AT171" s="49"/>
      <c r="AU171" s="59">
        <f t="shared" si="22"/>
        <v>1</v>
      </c>
      <c r="AV171" s="49"/>
      <c r="AW171" s="49"/>
      <c r="AX171" s="49"/>
      <c r="AY171" s="49">
        <v>2</v>
      </c>
      <c r="AZ171" s="49">
        <v>2</v>
      </c>
      <c r="BA171" s="59">
        <f t="shared" si="23"/>
        <v>2</v>
      </c>
    </row>
    <row r="172" spans="1:53" ht="23.1" customHeight="1" x14ac:dyDescent="0.3">
      <c r="A172" s="7">
        <v>170</v>
      </c>
      <c r="B172" s="7" t="s">
        <v>395</v>
      </c>
      <c r="C172" s="7" t="s">
        <v>396</v>
      </c>
      <c r="D172" s="7" t="s">
        <v>542</v>
      </c>
      <c r="E172" s="7" t="s">
        <v>493</v>
      </c>
      <c r="F172" s="7"/>
      <c r="G172" s="7"/>
      <c r="H172" s="49">
        <f>IFERROR(VLOOKUP(B172,[1]Debate!$A$5:$O$262,3,FALSE),"0")</f>
        <v>3</v>
      </c>
      <c r="I172" s="7"/>
      <c r="J172" s="7"/>
      <c r="K172" s="59">
        <f t="shared" si="16"/>
        <v>3</v>
      </c>
      <c r="L172" s="49">
        <v>3</v>
      </c>
      <c r="M172" s="49">
        <v>3</v>
      </c>
      <c r="N172" s="49">
        <v>3</v>
      </c>
      <c r="O172" s="49">
        <v>3</v>
      </c>
      <c r="P172" s="49">
        <v>3</v>
      </c>
      <c r="Q172" s="59">
        <f t="shared" si="17"/>
        <v>3</v>
      </c>
      <c r="R172" s="49"/>
      <c r="S172" s="49"/>
      <c r="T172" s="7"/>
      <c r="U172" s="49"/>
      <c r="V172" s="7"/>
      <c r="W172" s="59" t="str">
        <f t="shared" si="18"/>
        <v>A</v>
      </c>
      <c r="X172" s="49">
        <v>2</v>
      </c>
      <c r="Y172" s="49"/>
      <c r="Z172" s="7"/>
      <c r="AA172" s="7"/>
      <c r="AB172" s="7"/>
      <c r="AC172" s="59">
        <f t="shared" si="19"/>
        <v>2</v>
      </c>
      <c r="AD172" s="49"/>
      <c r="AE172" s="7"/>
      <c r="AF172" s="49"/>
      <c r="AG172" s="7"/>
      <c r="AH172" s="7"/>
      <c r="AI172" s="59" t="str">
        <f t="shared" si="20"/>
        <v>A</v>
      </c>
      <c r="AJ172" s="49">
        <v>3</v>
      </c>
      <c r="AK172" s="49">
        <v>3</v>
      </c>
      <c r="AL172" s="7"/>
      <c r="AM172" s="49">
        <v>3</v>
      </c>
      <c r="AN172" s="7"/>
      <c r="AO172" s="59">
        <f t="shared" si="21"/>
        <v>3</v>
      </c>
      <c r="AP172" s="49">
        <v>3</v>
      </c>
      <c r="AQ172" s="49"/>
      <c r="AR172" s="49"/>
      <c r="AS172" s="7"/>
      <c r="AT172" s="7"/>
      <c r="AU172" s="59">
        <f t="shared" si="22"/>
        <v>3</v>
      </c>
      <c r="AV172" s="7"/>
      <c r="AW172" s="7"/>
      <c r="AX172" s="49"/>
      <c r="AY172" s="49">
        <v>3</v>
      </c>
      <c r="AZ172" s="49">
        <v>3</v>
      </c>
      <c r="BA172" s="59">
        <f t="shared" si="23"/>
        <v>3</v>
      </c>
    </row>
    <row r="173" spans="1:53" ht="23.1" customHeight="1" x14ac:dyDescent="0.3">
      <c r="A173" s="49">
        <v>171</v>
      </c>
      <c r="B173" s="49" t="s">
        <v>285</v>
      </c>
      <c r="C173" s="49" t="s">
        <v>286</v>
      </c>
      <c r="D173" s="49" t="s">
        <v>542</v>
      </c>
      <c r="E173" s="49" t="s">
        <v>161</v>
      </c>
      <c r="F173" s="49"/>
      <c r="G173" s="49"/>
      <c r="H173" s="49">
        <f>IFERROR(VLOOKUP(B173,[1]Debate!$A$5:$O$262,3,FALSE),"0")</f>
        <v>1</v>
      </c>
      <c r="I173" s="49"/>
      <c r="J173" s="49"/>
      <c r="K173" s="59">
        <f t="shared" si="16"/>
        <v>1</v>
      </c>
      <c r="L173" s="49">
        <v>3</v>
      </c>
      <c r="M173" s="49">
        <v>2</v>
      </c>
      <c r="N173" s="49">
        <v>2</v>
      </c>
      <c r="O173" s="49">
        <v>0.5</v>
      </c>
      <c r="P173" s="49">
        <v>2</v>
      </c>
      <c r="Q173" s="59">
        <f t="shared" si="17"/>
        <v>1.9</v>
      </c>
      <c r="R173" s="49"/>
      <c r="S173" s="49"/>
      <c r="T173" s="49"/>
      <c r="U173" s="49"/>
      <c r="V173" s="49"/>
      <c r="W173" s="59" t="str">
        <f t="shared" si="18"/>
        <v>A</v>
      </c>
      <c r="X173" s="49">
        <v>2</v>
      </c>
      <c r="Y173" s="49"/>
      <c r="Z173" s="49"/>
      <c r="AA173" s="49"/>
      <c r="AB173" s="49"/>
      <c r="AC173" s="59">
        <f t="shared" si="19"/>
        <v>2</v>
      </c>
      <c r="AD173" s="49"/>
      <c r="AE173" s="49"/>
      <c r="AF173" s="49"/>
      <c r="AG173" s="49"/>
      <c r="AH173" s="49"/>
      <c r="AI173" s="59" t="str">
        <f t="shared" si="20"/>
        <v>A</v>
      </c>
      <c r="AJ173" s="49">
        <v>2</v>
      </c>
      <c r="AK173" s="49">
        <v>1</v>
      </c>
      <c r="AL173" s="49"/>
      <c r="AM173" s="49">
        <v>2</v>
      </c>
      <c r="AN173" s="49"/>
      <c r="AO173" s="59">
        <f t="shared" si="21"/>
        <v>1.6666666666666667</v>
      </c>
      <c r="AP173" s="49">
        <v>3</v>
      </c>
      <c r="AQ173" s="49"/>
      <c r="AR173" s="49"/>
      <c r="AS173" s="49"/>
      <c r="AT173" s="49"/>
      <c r="AU173" s="59">
        <f t="shared" si="22"/>
        <v>3</v>
      </c>
      <c r="AV173" s="49"/>
      <c r="AW173" s="49"/>
      <c r="AX173" s="49"/>
      <c r="AY173" s="49">
        <v>2</v>
      </c>
      <c r="AZ173" s="49">
        <v>1</v>
      </c>
      <c r="BA173" s="59">
        <f t="shared" si="23"/>
        <v>1.5</v>
      </c>
    </row>
    <row r="174" spans="1:53" ht="23.1" customHeight="1" x14ac:dyDescent="0.3">
      <c r="A174" s="7">
        <v>172</v>
      </c>
      <c r="B174" s="7" t="s">
        <v>397</v>
      </c>
      <c r="C174" s="7" t="s">
        <v>539</v>
      </c>
      <c r="D174" s="7" t="s">
        <v>542</v>
      </c>
      <c r="E174" s="7" t="s">
        <v>289</v>
      </c>
      <c r="F174" s="7"/>
      <c r="G174" s="7"/>
      <c r="H174" s="49">
        <f>IFERROR(VLOOKUP(B174,[1]Debate!$A$5:$O$262,3,FALSE),"0")</f>
        <v>2</v>
      </c>
      <c r="I174" s="7"/>
      <c r="J174" s="7"/>
      <c r="K174" s="59">
        <f t="shared" si="16"/>
        <v>2</v>
      </c>
      <c r="L174" s="49">
        <v>2</v>
      </c>
      <c r="M174" s="49">
        <v>2</v>
      </c>
      <c r="N174" s="49">
        <v>2</v>
      </c>
      <c r="O174" s="49">
        <v>2</v>
      </c>
      <c r="P174" s="49">
        <v>2</v>
      </c>
      <c r="Q174" s="59">
        <f t="shared" si="17"/>
        <v>2</v>
      </c>
      <c r="R174" s="49"/>
      <c r="S174" s="49"/>
      <c r="T174" s="7"/>
      <c r="U174" s="49"/>
      <c r="V174" s="7"/>
      <c r="W174" s="59" t="str">
        <f t="shared" si="18"/>
        <v>A</v>
      </c>
      <c r="X174" s="49">
        <v>2</v>
      </c>
      <c r="Y174" s="49"/>
      <c r="Z174" s="7"/>
      <c r="AA174" s="7"/>
      <c r="AB174" s="7"/>
      <c r="AC174" s="59">
        <f t="shared" si="19"/>
        <v>2</v>
      </c>
      <c r="AD174" s="49"/>
      <c r="AE174" s="7"/>
      <c r="AF174" s="49"/>
      <c r="AG174" s="7"/>
      <c r="AH174" s="7"/>
      <c r="AI174" s="59" t="str">
        <f t="shared" si="20"/>
        <v>A</v>
      </c>
      <c r="AJ174" s="49">
        <v>2</v>
      </c>
      <c r="AK174" s="49">
        <v>2</v>
      </c>
      <c r="AL174" s="7"/>
      <c r="AM174" s="49">
        <v>2</v>
      </c>
      <c r="AN174" s="7"/>
      <c r="AO174" s="59">
        <f t="shared" si="21"/>
        <v>2</v>
      </c>
      <c r="AP174" s="49">
        <v>2</v>
      </c>
      <c r="AQ174" s="49"/>
      <c r="AR174" s="49"/>
      <c r="AS174" s="7"/>
      <c r="AT174" s="7"/>
      <c r="AU174" s="59">
        <f t="shared" si="22"/>
        <v>2</v>
      </c>
      <c r="AV174" s="7"/>
      <c r="AW174" s="7"/>
      <c r="AX174" s="49"/>
      <c r="AY174" s="49">
        <v>2</v>
      </c>
      <c r="AZ174" s="49">
        <v>2</v>
      </c>
      <c r="BA174" s="59">
        <f t="shared" si="23"/>
        <v>2</v>
      </c>
    </row>
    <row r="175" spans="1:53" ht="23.1" customHeight="1" x14ac:dyDescent="0.3">
      <c r="A175" s="49">
        <v>173</v>
      </c>
      <c r="B175" s="49" t="s">
        <v>398</v>
      </c>
      <c r="C175" s="49" t="s">
        <v>399</v>
      </c>
      <c r="D175" s="49" t="s">
        <v>542</v>
      </c>
      <c r="E175" s="49" t="s">
        <v>493</v>
      </c>
      <c r="F175" s="49"/>
      <c r="G175" s="49"/>
      <c r="H175" s="49">
        <f>IFERROR(VLOOKUP(B175,[1]Debate!$A$5:$O$262,3,FALSE),"0")</f>
        <v>2</v>
      </c>
      <c r="I175" s="49"/>
      <c r="J175" s="49"/>
      <c r="K175" s="59">
        <f t="shared" si="16"/>
        <v>2</v>
      </c>
      <c r="L175" s="49">
        <v>3</v>
      </c>
      <c r="M175" s="49">
        <v>3</v>
      </c>
      <c r="N175" s="49">
        <v>3</v>
      </c>
      <c r="O175" s="49">
        <v>1.5</v>
      </c>
      <c r="P175" s="49">
        <v>3</v>
      </c>
      <c r="Q175" s="59">
        <f t="shared" si="17"/>
        <v>2.7</v>
      </c>
      <c r="R175" s="49"/>
      <c r="S175" s="49"/>
      <c r="T175" s="49"/>
      <c r="U175" s="49"/>
      <c r="V175" s="49"/>
      <c r="W175" s="59" t="str">
        <f t="shared" si="18"/>
        <v>A</v>
      </c>
      <c r="X175" s="49">
        <v>2</v>
      </c>
      <c r="Y175" s="49"/>
      <c r="Z175" s="49"/>
      <c r="AA175" s="49"/>
      <c r="AB175" s="49"/>
      <c r="AC175" s="59">
        <f t="shared" si="19"/>
        <v>2</v>
      </c>
      <c r="AD175" s="49"/>
      <c r="AE175" s="49"/>
      <c r="AF175" s="49"/>
      <c r="AG175" s="49"/>
      <c r="AH175" s="49"/>
      <c r="AI175" s="59" t="str">
        <f t="shared" si="20"/>
        <v>A</v>
      </c>
      <c r="AJ175" s="49">
        <v>2</v>
      </c>
      <c r="AK175" s="49">
        <v>2</v>
      </c>
      <c r="AL175" s="49"/>
      <c r="AM175" s="49">
        <v>2</v>
      </c>
      <c r="AN175" s="49"/>
      <c r="AO175" s="59">
        <f t="shared" si="21"/>
        <v>2</v>
      </c>
      <c r="AP175" s="49">
        <v>3</v>
      </c>
      <c r="AQ175" s="49"/>
      <c r="AR175" s="49"/>
      <c r="AS175" s="49"/>
      <c r="AT175" s="49"/>
      <c r="AU175" s="59">
        <f t="shared" si="22"/>
        <v>3</v>
      </c>
      <c r="AV175" s="49"/>
      <c r="AW175" s="49"/>
      <c r="AX175" s="49"/>
      <c r="AY175" s="49">
        <v>3</v>
      </c>
      <c r="AZ175" s="49">
        <v>3</v>
      </c>
      <c r="BA175" s="59">
        <f t="shared" si="23"/>
        <v>3</v>
      </c>
    </row>
    <row r="176" spans="1:53" ht="23.1" customHeight="1" x14ac:dyDescent="0.3">
      <c r="A176" s="7">
        <v>174</v>
      </c>
      <c r="B176" s="7" t="s">
        <v>400</v>
      </c>
      <c r="C176" s="7" t="s">
        <v>401</v>
      </c>
      <c r="D176" s="7" t="s">
        <v>542</v>
      </c>
      <c r="E176" s="7" t="s">
        <v>493</v>
      </c>
      <c r="F176" s="7"/>
      <c r="G176" s="7"/>
      <c r="H176" s="49">
        <f>IFERROR(VLOOKUP(B176,[1]Debate!$A$5:$O$262,3,FALSE),"0")</f>
        <v>3</v>
      </c>
      <c r="I176" s="7"/>
      <c r="J176" s="7"/>
      <c r="K176" s="59">
        <f t="shared" si="16"/>
        <v>3</v>
      </c>
      <c r="L176" s="49">
        <v>2</v>
      </c>
      <c r="M176" s="49">
        <v>3</v>
      </c>
      <c r="N176" s="49">
        <v>3</v>
      </c>
      <c r="O176" s="49">
        <v>2.5</v>
      </c>
      <c r="P176" s="49">
        <v>2</v>
      </c>
      <c r="Q176" s="59">
        <f t="shared" si="17"/>
        <v>2.5</v>
      </c>
      <c r="R176" s="49"/>
      <c r="S176" s="49"/>
      <c r="T176" s="7"/>
      <c r="U176" s="49"/>
      <c r="V176" s="7"/>
      <c r="W176" s="59" t="str">
        <f t="shared" si="18"/>
        <v>A</v>
      </c>
      <c r="X176" s="49">
        <v>3</v>
      </c>
      <c r="Y176" s="49"/>
      <c r="Z176" s="7"/>
      <c r="AA176" s="7"/>
      <c r="AB176" s="7"/>
      <c r="AC176" s="59">
        <f t="shared" si="19"/>
        <v>3</v>
      </c>
      <c r="AD176" s="49"/>
      <c r="AE176" s="7"/>
      <c r="AF176" s="49"/>
      <c r="AG176" s="7"/>
      <c r="AH176" s="7"/>
      <c r="AI176" s="59" t="str">
        <f t="shared" si="20"/>
        <v>A</v>
      </c>
      <c r="AJ176" s="49">
        <v>2</v>
      </c>
      <c r="AK176" s="49">
        <v>2</v>
      </c>
      <c r="AL176" s="7"/>
      <c r="AM176" s="49">
        <v>2</v>
      </c>
      <c r="AN176" s="7"/>
      <c r="AO176" s="59">
        <f t="shared" si="21"/>
        <v>2</v>
      </c>
      <c r="AP176" s="49">
        <v>3</v>
      </c>
      <c r="AQ176" s="49"/>
      <c r="AR176" s="49"/>
      <c r="AS176" s="7"/>
      <c r="AT176" s="7"/>
      <c r="AU176" s="59">
        <f t="shared" si="22"/>
        <v>3</v>
      </c>
      <c r="AV176" s="7"/>
      <c r="AW176" s="7"/>
      <c r="AX176" s="49"/>
      <c r="AY176" s="49">
        <v>3</v>
      </c>
      <c r="AZ176" s="49">
        <v>3</v>
      </c>
      <c r="BA176" s="59">
        <f t="shared" si="23"/>
        <v>3</v>
      </c>
    </row>
    <row r="177" spans="1:53" ht="23.1" customHeight="1" x14ac:dyDescent="0.3">
      <c r="A177" s="49">
        <v>175</v>
      </c>
      <c r="B177" s="49" t="s">
        <v>120</v>
      </c>
      <c r="C177" s="49" t="s">
        <v>121</v>
      </c>
      <c r="D177" s="49" t="s">
        <v>450</v>
      </c>
      <c r="E177" s="49" t="s">
        <v>35</v>
      </c>
      <c r="F177" s="49"/>
      <c r="G177" s="49"/>
      <c r="H177" s="49">
        <f>IFERROR(VLOOKUP(B177,[1]Debate!$A$5:$O$262,3,FALSE),"0")</f>
        <v>2</v>
      </c>
      <c r="I177" s="49"/>
      <c r="J177" s="49"/>
      <c r="K177" s="59">
        <f t="shared" si="16"/>
        <v>2</v>
      </c>
      <c r="L177" s="49">
        <v>2</v>
      </c>
      <c r="M177" s="49">
        <v>1</v>
      </c>
      <c r="N177" s="49">
        <v>1</v>
      </c>
      <c r="O177" s="49">
        <v>2.5</v>
      </c>
      <c r="P177" s="49">
        <v>1</v>
      </c>
      <c r="Q177" s="59">
        <f t="shared" si="17"/>
        <v>1.5</v>
      </c>
      <c r="R177" s="49"/>
      <c r="S177" s="49"/>
      <c r="T177" s="49"/>
      <c r="U177" s="49"/>
      <c r="V177" s="49"/>
      <c r="W177" s="59" t="str">
        <f t="shared" si="18"/>
        <v>A</v>
      </c>
      <c r="X177" s="49">
        <v>2</v>
      </c>
      <c r="Y177" s="49"/>
      <c r="Z177" s="49"/>
      <c r="AA177" s="49"/>
      <c r="AB177" s="49"/>
      <c r="AC177" s="59">
        <f t="shared" si="19"/>
        <v>2</v>
      </c>
      <c r="AD177" s="49"/>
      <c r="AE177" s="49"/>
      <c r="AF177" s="49"/>
      <c r="AG177" s="49"/>
      <c r="AH177" s="49"/>
      <c r="AI177" s="59" t="str">
        <f t="shared" si="20"/>
        <v>A</v>
      </c>
      <c r="AJ177" s="49">
        <v>2</v>
      </c>
      <c r="AK177" s="49">
        <v>2</v>
      </c>
      <c r="AL177" s="49"/>
      <c r="AM177" s="49">
        <v>2</v>
      </c>
      <c r="AN177" s="49"/>
      <c r="AO177" s="59">
        <f t="shared" si="21"/>
        <v>2</v>
      </c>
      <c r="AP177" s="49">
        <v>3</v>
      </c>
      <c r="AQ177" s="49"/>
      <c r="AR177" s="49"/>
      <c r="AS177" s="49"/>
      <c r="AT177" s="49"/>
      <c r="AU177" s="59">
        <f t="shared" si="22"/>
        <v>3</v>
      </c>
      <c r="AV177" s="49"/>
      <c r="AW177" s="49"/>
      <c r="AX177" s="49"/>
      <c r="AY177" s="49">
        <v>3</v>
      </c>
      <c r="AZ177" s="49">
        <v>3</v>
      </c>
      <c r="BA177" s="59">
        <f t="shared" si="23"/>
        <v>3</v>
      </c>
    </row>
    <row r="178" spans="1:53" ht="23.1" customHeight="1" x14ac:dyDescent="0.3">
      <c r="A178" s="7">
        <v>176</v>
      </c>
      <c r="B178" s="7" t="s">
        <v>402</v>
      </c>
      <c r="C178" s="7" t="s">
        <v>403</v>
      </c>
      <c r="D178" s="7" t="s">
        <v>450</v>
      </c>
      <c r="E178" s="7" t="s">
        <v>493</v>
      </c>
      <c r="F178" s="7"/>
      <c r="G178" s="7"/>
      <c r="H178" s="49">
        <f>IFERROR(VLOOKUP(B178,[1]Debate!$A$5:$O$262,3,FALSE),"0")</f>
        <v>2</v>
      </c>
      <c r="I178" s="7"/>
      <c r="J178" s="7"/>
      <c r="K178" s="59">
        <f t="shared" si="16"/>
        <v>2</v>
      </c>
      <c r="L178" s="49">
        <v>2</v>
      </c>
      <c r="M178" s="49">
        <v>2</v>
      </c>
      <c r="N178" s="49">
        <v>2</v>
      </c>
      <c r="O178" s="49">
        <v>2</v>
      </c>
      <c r="P178" s="49">
        <v>2</v>
      </c>
      <c r="Q178" s="59">
        <f t="shared" si="17"/>
        <v>2</v>
      </c>
      <c r="R178" s="49"/>
      <c r="S178" s="49"/>
      <c r="T178" s="7"/>
      <c r="U178" s="49"/>
      <c r="V178" s="7"/>
      <c r="W178" s="59" t="str">
        <f t="shared" si="18"/>
        <v>A</v>
      </c>
      <c r="X178" s="49">
        <v>2</v>
      </c>
      <c r="Y178" s="49"/>
      <c r="Z178" s="7"/>
      <c r="AA178" s="7"/>
      <c r="AB178" s="7"/>
      <c r="AC178" s="59">
        <f t="shared" si="19"/>
        <v>2</v>
      </c>
      <c r="AD178" s="49"/>
      <c r="AE178" s="7"/>
      <c r="AF178" s="49"/>
      <c r="AG178" s="7"/>
      <c r="AH178" s="7"/>
      <c r="AI178" s="59" t="str">
        <f t="shared" si="20"/>
        <v>A</v>
      </c>
      <c r="AJ178" s="49">
        <v>2</v>
      </c>
      <c r="AK178" s="49">
        <v>2.5</v>
      </c>
      <c r="AL178" s="7"/>
      <c r="AM178" s="49">
        <v>2</v>
      </c>
      <c r="AN178" s="7"/>
      <c r="AO178" s="59">
        <f t="shared" si="21"/>
        <v>2.1666666666666665</v>
      </c>
      <c r="AP178" s="49">
        <v>2</v>
      </c>
      <c r="AQ178" s="49"/>
      <c r="AR178" s="49"/>
      <c r="AS178" s="7"/>
      <c r="AT178" s="7"/>
      <c r="AU178" s="59">
        <f t="shared" si="22"/>
        <v>2</v>
      </c>
      <c r="AV178" s="7"/>
      <c r="AW178" s="7"/>
      <c r="AX178" s="49"/>
      <c r="AY178" s="49">
        <v>2</v>
      </c>
      <c r="AZ178" s="49">
        <v>2</v>
      </c>
      <c r="BA178" s="59">
        <f t="shared" si="23"/>
        <v>2</v>
      </c>
    </row>
    <row r="179" spans="1:53" ht="23.1" customHeight="1" x14ac:dyDescent="0.3">
      <c r="A179" s="49">
        <v>177</v>
      </c>
      <c r="B179" s="49" t="s">
        <v>271</v>
      </c>
      <c r="C179" s="49" t="s">
        <v>272</v>
      </c>
      <c r="D179" s="49" t="s">
        <v>450</v>
      </c>
      <c r="E179" s="49" t="s">
        <v>161</v>
      </c>
      <c r="F179" s="49"/>
      <c r="G179" s="49"/>
      <c r="H179" s="49">
        <f>IFERROR(VLOOKUP(B179,[1]Debate!$A$5:$O$262,3,FALSE),"0")</f>
        <v>3</v>
      </c>
      <c r="I179" s="49"/>
      <c r="J179" s="49"/>
      <c r="K179" s="59">
        <f t="shared" si="16"/>
        <v>3</v>
      </c>
      <c r="L179" s="49">
        <v>3</v>
      </c>
      <c r="M179" s="49">
        <v>3</v>
      </c>
      <c r="N179" s="49">
        <v>3</v>
      </c>
      <c r="O179" s="49">
        <v>1.5</v>
      </c>
      <c r="P179" s="49">
        <v>3</v>
      </c>
      <c r="Q179" s="59">
        <f t="shared" si="17"/>
        <v>2.7</v>
      </c>
      <c r="R179" s="49"/>
      <c r="S179" s="49"/>
      <c r="T179" s="49"/>
      <c r="U179" s="49"/>
      <c r="V179" s="49"/>
      <c r="W179" s="59" t="str">
        <f t="shared" si="18"/>
        <v>A</v>
      </c>
      <c r="X179" s="49">
        <v>3</v>
      </c>
      <c r="Y179" s="49"/>
      <c r="Z179" s="49"/>
      <c r="AA179" s="49"/>
      <c r="AB179" s="49"/>
      <c r="AC179" s="59">
        <f t="shared" si="19"/>
        <v>3</v>
      </c>
      <c r="AD179" s="49"/>
      <c r="AE179" s="49"/>
      <c r="AF179" s="49"/>
      <c r="AG179" s="49"/>
      <c r="AH179" s="49"/>
      <c r="AI179" s="59" t="str">
        <f t="shared" si="20"/>
        <v>A</v>
      </c>
      <c r="AJ179" s="49">
        <v>3</v>
      </c>
      <c r="AK179" s="49">
        <v>3</v>
      </c>
      <c r="AL179" s="49"/>
      <c r="AM179" s="49">
        <v>3</v>
      </c>
      <c r="AN179" s="49"/>
      <c r="AO179" s="59">
        <f t="shared" si="21"/>
        <v>3</v>
      </c>
      <c r="AP179" s="49">
        <v>3</v>
      </c>
      <c r="AQ179" s="49"/>
      <c r="AR179" s="49"/>
      <c r="AS179" s="49"/>
      <c r="AT179" s="49"/>
      <c r="AU179" s="59">
        <f t="shared" si="22"/>
        <v>3</v>
      </c>
      <c r="AV179" s="49"/>
      <c r="AW179" s="49"/>
      <c r="AX179" s="49"/>
      <c r="AY179" s="49">
        <v>3</v>
      </c>
      <c r="AZ179" s="49">
        <v>3</v>
      </c>
      <c r="BA179" s="59">
        <f t="shared" si="23"/>
        <v>3</v>
      </c>
    </row>
    <row r="180" spans="1:53" ht="23.1" customHeight="1" x14ac:dyDescent="0.3">
      <c r="A180" s="7">
        <v>178</v>
      </c>
      <c r="B180" s="7" t="s">
        <v>52</v>
      </c>
      <c r="C180" s="7" t="s">
        <v>53</v>
      </c>
      <c r="D180" s="7" t="s">
        <v>542</v>
      </c>
      <c r="E180" s="7" t="s">
        <v>35</v>
      </c>
      <c r="F180" s="7"/>
      <c r="G180" s="7"/>
      <c r="H180" s="49">
        <f>IFERROR(VLOOKUP(B180,[1]Debate!$A$5:$O$262,3,FALSE),"0")</f>
        <v>3</v>
      </c>
      <c r="I180" s="7"/>
      <c r="J180" s="7"/>
      <c r="K180" s="59">
        <f t="shared" si="16"/>
        <v>3</v>
      </c>
      <c r="L180" s="49">
        <v>4</v>
      </c>
      <c r="M180" s="49">
        <v>4</v>
      </c>
      <c r="N180" s="49">
        <v>3</v>
      </c>
      <c r="O180" s="49">
        <v>2</v>
      </c>
      <c r="P180" s="49">
        <v>4</v>
      </c>
      <c r="Q180" s="59">
        <f t="shared" si="17"/>
        <v>3.4</v>
      </c>
      <c r="R180" s="49"/>
      <c r="S180" s="49"/>
      <c r="T180" s="7"/>
      <c r="U180" s="49"/>
      <c r="V180" s="7"/>
      <c r="W180" s="59" t="str">
        <f t="shared" si="18"/>
        <v>A</v>
      </c>
      <c r="X180" s="49">
        <v>3</v>
      </c>
      <c r="Y180" s="49"/>
      <c r="Z180" s="7"/>
      <c r="AA180" s="7"/>
      <c r="AB180" s="7"/>
      <c r="AC180" s="59">
        <f t="shared" si="19"/>
        <v>3</v>
      </c>
      <c r="AD180" s="49"/>
      <c r="AE180" s="7"/>
      <c r="AF180" s="49"/>
      <c r="AG180" s="7"/>
      <c r="AH180" s="7"/>
      <c r="AI180" s="59" t="str">
        <f t="shared" si="20"/>
        <v>A</v>
      </c>
      <c r="AJ180" s="49">
        <v>3</v>
      </c>
      <c r="AK180" s="49">
        <v>4</v>
      </c>
      <c r="AL180" s="7"/>
      <c r="AM180" s="49">
        <v>2</v>
      </c>
      <c r="AN180" s="7"/>
      <c r="AO180" s="59">
        <f t="shared" si="21"/>
        <v>3</v>
      </c>
      <c r="AP180" s="49">
        <v>3</v>
      </c>
      <c r="AQ180" s="49"/>
      <c r="AR180" s="49"/>
      <c r="AS180" s="7"/>
      <c r="AT180" s="7"/>
      <c r="AU180" s="59">
        <f t="shared" si="22"/>
        <v>3</v>
      </c>
      <c r="AV180" s="7"/>
      <c r="AW180" s="7"/>
      <c r="AX180" s="49"/>
      <c r="AY180" s="49">
        <v>3</v>
      </c>
      <c r="AZ180" s="49">
        <v>2</v>
      </c>
      <c r="BA180" s="59">
        <f t="shared" si="23"/>
        <v>2.5</v>
      </c>
    </row>
    <row r="181" spans="1:53" ht="23.1" customHeight="1" x14ac:dyDescent="0.3">
      <c r="A181" s="49">
        <v>179</v>
      </c>
      <c r="B181" s="49" t="s">
        <v>239</v>
      </c>
      <c r="C181" s="49" t="s">
        <v>240</v>
      </c>
      <c r="D181" s="49" t="s">
        <v>542</v>
      </c>
      <c r="E181" s="49" t="s">
        <v>161</v>
      </c>
      <c r="F181" s="49"/>
      <c r="G181" s="49"/>
      <c r="H181" s="49">
        <f>IFERROR(VLOOKUP(B181,[1]Debate!$A$5:$O$262,3,FALSE),"0")</f>
        <v>3</v>
      </c>
      <c r="I181" s="49"/>
      <c r="J181" s="49"/>
      <c r="K181" s="59">
        <f t="shared" si="16"/>
        <v>3</v>
      </c>
      <c r="L181" s="49">
        <v>3</v>
      </c>
      <c r="M181" s="49">
        <v>3</v>
      </c>
      <c r="N181" s="49">
        <v>3</v>
      </c>
      <c r="O181" s="49">
        <v>3</v>
      </c>
      <c r="P181" s="49">
        <v>3</v>
      </c>
      <c r="Q181" s="59">
        <f t="shared" si="17"/>
        <v>3</v>
      </c>
      <c r="R181" s="49"/>
      <c r="S181" s="49"/>
      <c r="T181" s="49"/>
      <c r="U181" s="49"/>
      <c r="V181" s="49"/>
      <c r="W181" s="59" t="str">
        <f t="shared" si="18"/>
        <v>A</v>
      </c>
      <c r="X181" s="49">
        <v>3</v>
      </c>
      <c r="Y181" s="49"/>
      <c r="Z181" s="49"/>
      <c r="AA181" s="49"/>
      <c r="AB181" s="49"/>
      <c r="AC181" s="59">
        <f t="shared" si="19"/>
        <v>3</v>
      </c>
      <c r="AD181" s="49"/>
      <c r="AE181" s="49"/>
      <c r="AF181" s="49"/>
      <c r="AG181" s="49"/>
      <c r="AH181" s="49"/>
      <c r="AI181" s="59" t="str">
        <f t="shared" si="20"/>
        <v>A</v>
      </c>
      <c r="AJ181" s="49">
        <v>3</v>
      </c>
      <c r="AK181" s="49">
        <v>3</v>
      </c>
      <c r="AL181" s="49"/>
      <c r="AM181" s="49">
        <v>3</v>
      </c>
      <c r="AN181" s="49"/>
      <c r="AO181" s="59">
        <f t="shared" si="21"/>
        <v>3</v>
      </c>
      <c r="AP181" s="49">
        <v>3</v>
      </c>
      <c r="AQ181" s="49"/>
      <c r="AR181" s="49"/>
      <c r="AS181" s="49"/>
      <c r="AT181" s="49"/>
      <c r="AU181" s="59">
        <f t="shared" si="22"/>
        <v>3</v>
      </c>
      <c r="AV181" s="49"/>
      <c r="AW181" s="49"/>
      <c r="AX181" s="49"/>
      <c r="AY181" s="49">
        <v>3</v>
      </c>
      <c r="AZ181" s="49">
        <v>3</v>
      </c>
      <c r="BA181" s="59">
        <f t="shared" si="23"/>
        <v>3</v>
      </c>
    </row>
    <row r="182" spans="1:53" ht="23.1" customHeight="1" x14ac:dyDescent="0.3">
      <c r="A182" s="7">
        <v>180</v>
      </c>
      <c r="B182" s="7" t="s">
        <v>255</v>
      </c>
      <c r="C182" s="7" t="s">
        <v>256</v>
      </c>
      <c r="D182" s="7" t="s">
        <v>450</v>
      </c>
      <c r="E182" s="7" t="s">
        <v>161</v>
      </c>
      <c r="F182" s="7"/>
      <c r="G182" s="7"/>
      <c r="H182" s="49">
        <f>IFERROR(VLOOKUP(B182,[1]Debate!$A$5:$O$262,3,FALSE),"0")</f>
        <v>3</v>
      </c>
      <c r="I182" s="7"/>
      <c r="J182" s="7"/>
      <c r="K182" s="59">
        <f t="shared" si="16"/>
        <v>3</v>
      </c>
      <c r="L182" s="49">
        <v>4</v>
      </c>
      <c r="M182" s="49">
        <v>3</v>
      </c>
      <c r="N182" s="49">
        <v>2</v>
      </c>
      <c r="O182" s="49">
        <v>2.5</v>
      </c>
      <c r="P182" s="49">
        <v>3</v>
      </c>
      <c r="Q182" s="59">
        <f t="shared" si="17"/>
        <v>2.9</v>
      </c>
      <c r="R182" s="49"/>
      <c r="S182" s="49"/>
      <c r="T182" s="7"/>
      <c r="U182" s="49"/>
      <c r="V182" s="7"/>
      <c r="W182" s="59" t="str">
        <f t="shared" si="18"/>
        <v>A</v>
      </c>
      <c r="X182" s="49">
        <v>3</v>
      </c>
      <c r="Y182" s="49"/>
      <c r="Z182" s="7"/>
      <c r="AA182" s="7"/>
      <c r="AB182" s="7"/>
      <c r="AC182" s="59">
        <f t="shared" si="19"/>
        <v>3</v>
      </c>
      <c r="AD182" s="49"/>
      <c r="AE182" s="7"/>
      <c r="AF182" s="49"/>
      <c r="AG182" s="7"/>
      <c r="AH182" s="7"/>
      <c r="AI182" s="59" t="str">
        <f t="shared" si="20"/>
        <v>A</v>
      </c>
      <c r="AJ182" s="49">
        <v>4</v>
      </c>
      <c r="AK182" s="49">
        <v>3</v>
      </c>
      <c r="AL182" s="7"/>
      <c r="AM182" s="49">
        <v>4</v>
      </c>
      <c r="AN182" s="7"/>
      <c r="AO182" s="59">
        <f t="shared" si="21"/>
        <v>3.6666666666666665</v>
      </c>
      <c r="AP182" s="49">
        <v>3</v>
      </c>
      <c r="AQ182" s="49"/>
      <c r="AR182" s="49"/>
      <c r="AS182" s="7"/>
      <c r="AT182" s="7"/>
      <c r="AU182" s="59">
        <f t="shared" si="22"/>
        <v>3</v>
      </c>
      <c r="AV182" s="7"/>
      <c r="AW182" s="7"/>
      <c r="AX182" s="49"/>
      <c r="AY182" s="49">
        <v>2</v>
      </c>
      <c r="AZ182" s="49">
        <v>4</v>
      </c>
      <c r="BA182" s="59">
        <f t="shared" si="23"/>
        <v>3</v>
      </c>
    </row>
    <row r="183" spans="1:53" ht="23.1" customHeight="1" x14ac:dyDescent="0.3">
      <c r="A183" s="49">
        <v>181</v>
      </c>
      <c r="B183" s="49" t="s">
        <v>404</v>
      </c>
      <c r="C183" s="49" t="s">
        <v>405</v>
      </c>
      <c r="D183" s="49" t="s">
        <v>450</v>
      </c>
      <c r="E183" s="49" t="s">
        <v>493</v>
      </c>
      <c r="F183" s="49"/>
      <c r="G183" s="49"/>
      <c r="H183" s="49">
        <f>IFERROR(VLOOKUP(B183,[1]Debate!$A$5:$O$262,3,FALSE),"0")</f>
        <v>2</v>
      </c>
      <c r="I183" s="49"/>
      <c r="J183" s="49"/>
      <c r="K183" s="59">
        <f t="shared" si="16"/>
        <v>2</v>
      </c>
      <c r="L183" s="49">
        <v>3</v>
      </c>
      <c r="M183" s="49">
        <v>3</v>
      </c>
      <c r="N183" s="49">
        <v>3</v>
      </c>
      <c r="O183" s="49">
        <v>2.5</v>
      </c>
      <c r="P183" s="49">
        <v>2</v>
      </c>
      <c r="Q183" s="59">
        <f t="shared" si="17"/>
        <v>2.7</v>
      </c>
      <c r="R183" s="49"/>
      <c r="S183" s="49"/>
      <c r="T183" s="49"/>
      <c r="U183" s="49"/>
      <c r="V183" s="49"/>
      <c r="W183" s="59" t="str">
        <f t="shared" si="18"/>
        <v>A</v>
      </c>
      <c r="X183" s="49">
        <v>2</v>
      </c>
      <c r="Y183" s="49"/>
      <c r="Z183" s="49"/>
      <c r="AA183" s="49"/>
      <c r="AB183" s="49"/>
      <c r="AC183" s="59">
        <f t="shared" si="19"/>
        <v>2</v>
      </c>
      <c r="AD183" s="49"/>
      <c r="AE183" s="49"/>
      <c r="AF183" s="49"/>
      <c r="AG183" s="49"/>
      <c r="AH183" s="49"/>
      <c r="AI183" s="59" t="str">
        <f t="shared" si="20"/>
        <v>A</v>
      </c>
      <c r="AJ183" s="49">
        <v>2</v>
      </c>
      <c r="AK183" s="49">
        <v>3</v>
      </c>
      <c r="AL183" s="49"/>
      <c r="AM183" s="49">
        <v>1</v>
      </c>
      <c r="AN183" s="49"/>
      <c r="AO183" s="59">
        <f t="shared" si="21"/>
        <v>2</v>
      </c>
      <c r="AP183" s="49">
        <v>3</v>
      </c>
      <c r="AQ183" s="49"/>
      <c r="AR183" s="49"/>
      <c r="AS183" s="49"/>
      <c r="AT183" s="49"/>
      <c r="AU183" s="59">
        <f t="shared" si="22"/>
        <v>3</v>
      </c>
      <c r="AV183" s="49"/>
      <c r="AW183" s="49"/>
      <c r="AX183" s="49"/>
      <c r="AY183" s="49">
        <v>3</v>
      </c>
      <c r="AZ183" s="49">
        <v>3</v>
      </c>
      <c r="BA183" s="59">
        <f t="shared" si="23"/>
        <v>3</v>
      </c>
    </row>
    <row r="184" spans="1:53" ht="23.1" customHeight="1" x14ac:dyDescent="0.3">
      <c r="A184" s="7">
        <v>182</v>
      </c>
      <c r="B184" s="7" t="s">
        <v>44</v>
      </c>
      <c r="C184" s="7" t="s">
        <v>45</v>
      </c>
      <c r="D184" s="7" t="s">
        <v>450</v>
      </c>
      <c r="E184" s="7" t="s">
        <v>35</v>
      </c>
      <c r="F184" s="7"/>
      <c r="G184" s="7"/>
      <c r="H184" s="49">
        <f>IFERROR(VLOOKUP(B184,[1]Debate!$A$5:$O$262,3,FALSE),"0")</f>
        <v>4</v>
      </c>
      <c r="I184" s="7"/>
      <c r="J184" s="7"/>
      <c r="K184" s="59">
        <f t="shared" si="16"/>
        <v>4</v>
      </c>
      <c r="L184" s="49">
        <v>4</v>
      </c>
      <c r="M184" s="49">
        <v>4</v>
      </c>
      <c r="N184" s="49">
        <v>4</v>
      </c>
      <c r="O184" s="49">
        <v>4</v>
      </c>
      <c r="P184" s="49">
        <v>4</v>
      </c>
      <c r="Q184" s="59">
        <f t="shared" si="17"/>
        <v>4</v>
      </c>
      <c r="R184" s="49"/>
      <c r="S184" s="49"/>
      <c r="T184" s="7"/>
      <c r="U184" s="49"/>
      <c r="V184" s="7"/>
      <c r="W184" s="59" t="str">
        <f t="shared" si="18"/>
        <v>A</v>
      </c>
      <c r="X184" s="49">
        <v>4</v>
      </c>
      <c r="Y184" s="49"/>
      <c r="Z184" s="7"/>
      <c r="AA184" s="7"/>
      <c r="AB184" s="7"/>
      <c r="AC184" s="59">
        <f t="shared" si="19"/>
        <v>4</v>
      </c>
      <c r="AD184" s="49"/>
      <c r="AE184" s="7"/>
      <c r="AF184" s="49"/>
      <c r="AG184" s="7"/>
      <c r="AH184" s="7"/>
      <c r="AI184" s="59" t="str">
        <f t="shared" si="20"/>
        <v>A</v>
      </c>
      <c r="AJ184" s="49">
        <v>4</v>
      </c>
      <c r="AK184" s="49">
        <v>4</v>
      </c>
      <c r="AL184" s="7"/>
      <c r="AM184" s="49">
        <v>4</v>
      </c>
      <c r="AN184" s="7"/>
      <c r="AO184" s="59">
        <f t="shared" si="21"/>
        <v>4</v>
      </c>
      <c r="AP184" s="49">
        <v>3</v>
      </c>
      <c r="AQ184" s="49"/>
      <c r="AR184" s="49"/>
      <c r="AS184" s="7"/>
      <c r="AT184" s="7"/>
      <c r="AU184" s="59">
        <f t="shared" si="22"/>
        <v>3</v>
      </c>
      <c r="AV184" s="7"/>
      <c r="AW184" s="7"/>
      <c r="AX184" s="49"/>
      <c r="AY184" s="49">
        <v>4</v>
      </c>
      <c r="AZ184" s="49">
        <v>2</v>
      </c>
      <c r="BA184" s="59">
        <f t="shared" si="23"/>
        <v>3</v>
      </c>
    </row>
    <row r="185" spans="1:53" ht="23.1" customHeight="1" x14ac:dyDescent="0.3">
      <c r="A185" s="49">
        <v>183</v>
      </c>
      <c r="B185" s="49" t="s">
        <v>406</v>
      </c>
      <c r="C185" s="49" t="s">
        <v>407</v>
      </c>
      <c r="D185" s="49" t="s">
        <v>450</v>
      </c>
      <c r="E185" s="49" t="s">
        <v>493</v>
      </c>
      <c r="F185" s="49"/>
      <c r="G185" s="49"/>
      <c r="H185" s="49">
        <f>IFERROR(VLOOKUP(B185,[1]Debate!$A$5:$O$262,3,FALSE),"0")</f>
        <v>2</v>
      </c>
      <c r="I185" s="49"/>
      <c r="J185" s="49"/>
      <c r="K185" s="59">
        <f t="shared" si="16"/>
        <v>2</v>
      </c>
      <c r="L185" s="49">
        <v>2</v>
      </c>
      <c r="M185" s="49">
        <v>4</v>
      </c>
      <c r="N185" s="49">
        <v>1</v>
      </c>
      <c r="O185" s="49">
        <v>3</v>
      </c>
      <c r="P185" s="49">
        <v>2</v>
      </c>
      <c r="Q185" s="59">
        <f t="shared" si="17"/>
        <v>2.4</v>
      </c>
      <c r="R185" s="49"/>
      <c r="S185" s="49"/>
      <c r="T185" s="49"/>
      <c r="U185" s="49"/>
      <c r="V185" s="49"/>
      <c r="W185" s="59" t="str">
        <f t="shared" si="18"/>
        <v>A</v>
      </c>
      <c r="X185" s="49">
        <v>3</v>
      </c>
      <c r="Y185" s="49"/>
      <c r="Z185" s="49"/>
      <c r="AA185" s="49"/>
      <c r="AB185" s="49"/>
      <c r="AC185" s="59">
        <f t="shared" si="19"/>
        <v>3</v>
      </c>
      <c r="AD185" s="49"/>
      <c r="AE185" s="49"/>
      <c r="AF185" s="49"/>
      <c r="AG185" s="49"/>
      <c r="AH185" s="49"/>
      <c r="AI185" s="59" t="str">
        <f t="shared" si="20"/>
        <v>A</v>
      </c>
      <c r="AJ185" s="49">
        <v>3</v>
      </c>
      <c r="AK185" s="49">
        <v>3</v>
      </c>
      <c r="AL185" s="49"/>
      <c r="AM185" s="49">
        <v>3</v>
      </c>
      <c r="AN185" s="49"/>
      <c r="AO185" s="59">
        <f t="shared" si="21"/>
        <v>3</v>
      </c>
      <c r="AP185" s="49">
        <v>3</v>
      </c>
      <c r="AQ185" s="49"/>
      <c r="AR185" s="49"/>
      <c r="AS185" s="49"/>
      <c r="AT185" s="49"/>
      <c r="AU185" s="59">
        <f t="shared" si="22"/>
        <v>3</v>
      </c>
      <c r="AV185" s="49"/>
      <c r="AW185" s="49"/>
      <c r="AX185" s="49"/>
      <c r="AY185" s="49">
        <v>2</v>
      </c>
      <c r="AZ185" s="49">
        <v>3</v>
      </c>
      <c r="BA185" s="59">
        <f t="shared" si="23"/>
        <v>2.5</v>
      </c>
    </row>
    <row r="186" spans="1:53" ht="23.1" customHeight="1" x14ac:dyDescent="0.3">
      <c r="A186" s="7">
        <v>184</v>
      </c>
      <c r="B186" s="7" t="s">
        <v>287</v>
      </c>
      <c r="C186" s="7" t="s">
        <v>288</v>
      </c>
      <c r="D186" s="7" t="s">
        <v>450</v>
      </c>
      <c r="E186" s="7" t="s">
        <v>161</v>
      </c>
      <c r="F186" s="7"/>
      <c r="G186" s="7"/>
      <c r="H186" s="49">
        <f>IFERROR(VLOOKUP(B186,[1]Debate!$A$5:$O$262,3,FALSE),"0")</f>
        <v>2</v>
      </c>
      <c r="I186" s="7"/>
      <c r="J186" s="7"/>
      <c r="K186" s="59">
        <f t="shared" si="16"/>
        <v>2</v>
      </c>
      <c r="L186" s="49">
        <v>3</v>
      </c>
      <c r="M186" s="49">
        <v>3</v>
      </c>
      <c r="N186" s="49">
        <v>4</v>
      </c>
      <c r="O186" s="49">
        <v>4</v>
      </c>
      <c r="P186" s="49">
        <v>3</v>
      </c>
      <c r="Q186" s="59">
        <f t="shared" si="17"/>
        <v>3.4</v>
      </c>
      <c r="R186" s="49"/>
      <c r="S186" s="49"/>
      <c r="T186" s="7"/>
      <c r="U186" s="49"/>
      <c r="V186" s="7"/>
      <c r="W186" s="59" t="str">
        <f t="shared" si="18"/>
        <v>A</v>
      </c>
      <c r="X186" s="49">
        <v>3</v>
      </c>
      <c r="Y186" s="49"/>
      <c r="Z186" s="7"/>
      <c r="AA186" s="7"/>
      <c r="AB186" s="7"/>
      <c r="AC186" s="59">
        <f t="shared" si="19"/>
        <v>3</v>
      </c>
      <c r="AD186" s="49"/>
      <c r="AE186" s="7"/>
      <c r="AF186" s="49"/>
      <c r="AG186" s="7"/>
      <c r="AH186" s="7"/>
      <c r="AI186" s="59" t="str">
        <f t="shared" si="20"/>
        <v>A</v>
      </c>
      <c r="AJ186" s="49">
        <v>3</v>
      </c>
      <c r="AK186" s="49">
        <v>3</v>
      </c>
      <c r="AL186" s="7"/>
      <c r="AM186" s="49">
        <v>2</v>
      </c>
      <c r="AN186" s="7"/>
      <c r="AO186" s="59">
        <f t="shared" si="21"/>
        <v>2.6666666666666665</v>
      </c>
      <c r="AP186" s="49">
        <v>3</v>
      </c>
      <c r="AQ186" s="49"/>
      <c r="AR186" s="49"/>
      <c r="AS186" s="7"/>
      <c r="AT186" s="7"/>
      <c r="AU186" s="59">
        <f t="shared" si="22"/>
        <v>3</v>
      </c>
      <c r="AV186" s="7"/>
      <c r="AW186" s="7"/>
      <c r="AX186" s="49"/>
      <c r="AY186" s="49">
        <v>3</v>
      </c>
      <c r="AZ186" s="49">
        <v>3</v>
      </c>
      <c r="BA186" s="59">
        <f t="shared" si="23"/>
        <v>3</v>
      </c>
    </row>
    <row r="187" spans="1:53" ht="23.1" customHeight="1" x14ac:dyDescent="0.3">
      <c r="A187" s="49">
        <v>185</v>
      </c>
      <c r="B187" s="49" t="s">
        <v>408</v>
      </c>
      <c r="C187" s="49" t="s">
        <v>409</v>
      </c>
      <c r="D187" s="49" t="s">
        <v>450</v>
      </c>
      <c r="E187" s="49" t="s">
        <v>493</v>
      </c>
      <c r="F187" s="49"/>
      <c r="G187" s="49"/>
      <c r="H187" s="49">
        <f>IFERROR(VLOOKUP(B187,[1]Debate!$A$5:$O$262,3,FALSE),"0")</f>
        <v>3</v>
      </c>
      <c r="I187" s="49"/>
      <c r="J187" s="49"/>
      <c r="K187" s="59">
        <f t="shared" si="16"/>
        <v>3</v>
      </c>
      <c r="L187" s="49">
        <v>2</v>
      </c>
      <c r="M187" s="49">
        <v>3</v>
      </c>
      <c r="N187" s="49">
        <v>2</v>
      </c>
      <c r="O187" s="49">
        <v>1.5</v>
      </c>
      <c r="P187" s="49">
        <v>3</v>
      </c>
      <c r="Q187" s="59">
        <f t="shared" si="17"/>
        <v>2.2999999999999998</v>
      </c>
      <c r="R187" s="49"/>
      <c r="S187" s="49"/>
      <c r="T187" s="49"/>
      <c r="U187" s="49"/>
      <c r="V187" s="49"/>
      <c r="W187" s="59" t="str">
        <f t="shared" si="18"/>
        <v>A</v>
      </c>
      <c r="X187" s="49">
        <v>3</v>
      </c>
      <c r="Y187" s="49"/>
      <c r="Z187" s="49"/>
      <c r="AA187" s="49"/>
      <c r="AB187" s="49"/>
      <c r="AC187" s="59">
        <f t="shared" si="19"/>
        <v>3</v>
      </c>
      <c r="AD187" s="49"/>
      <c r="AE187" s="49"/>
      <c r="AF187" s="49"/>
      <c r="AG187" s="49"/>
      <c r="AH187" s="49"/>
      <c r="AI187" s="59" t="str">
        <f t="shared" si="20"/>
        <v>A</v>
      </c>
      <c r="AJ187" s="49">
        <v>3</v>
      </c>
      <c r="AK187" s="49">
        <v>3</v>
      </c>
      <c r="AL187" s="49"/>
      <c r="AM187" s="49">
        <v>3</v>
      </c>
      <c r="AN187" s="49"/>
      <c r="AO187" s="59">
        <f t="shared" si="21"/>
        <v>3</v>
      </c>
      <c r="AP187" s="49">
        <v>3</v>
      </c>
      <c r="AQ187" s="49"/>
      <c r="AR187" s="49"/>
      <c r="AS187" s="49"/>
      <c r="AT187" s="49"/>
      <c r="AU187" s="59">
        <f t="shared" si="22"/>
        <v>3</v>
      </c>
      <c r="AV187" s="49"/>
      <c r="AW187" s="49"/>
      <c r="AX187" s="49"/>
      <c r="AY187" s="49">
        <v>3</v>
      </c>
      <c r="AZ187" s="49">
        <v>3</v>
      </c>
      <c r="BA187" s="59">
        <f t="shared" si="23"/>
        <v>3</v>
      </c>
    </row>
    <row r="188" spans="1:53" ht="23.1" customHeight="1" x14ac:dyDescent="0.3">
      <c r="A188" s="7">
        <v>186</v>
      </c>
      <c r="B188" s="7" t="s">
        <v>410</v>
      </c>
      <c r="C188" s="7" t="s">
        <v>411</v>
      </c>
      <c r="D188" s="7" t="s">
        <v>450</v>
      </c>
      <c r="E188" s="7" t="s">
        <v>493</v>
      </c>
      <c r="F188" s="7"/>
      <c r="G188" s="7"/>
      <c r="H188" s="49">
        <f>IFERROR(VLOOKUP(B188,[1]Debate!$A$5:$O$262,3,FALSE),"0")</f>
        <v>3</v>
      </c>
      <c r="I188" s="7"/>
      <c r="J188" s="7"/>
      <c r="K188" s="59">
        <f t="shared" si="16"/>
        <v>3</v>
      </c>
      <c r="L188" s="49">
        <v>3</v>
      </c>
      <c r="M188" s="49">
        <v>3</v>
      </c>
      <c r="N188" s="49">
        <v>2</v>
      </c>
      <c r="O188" s="49">
        <v>2</v>
      </c>
      <c r="P188" s="49">
        <v>3</v>
      </c>
      <c r="Q188" s="59">
        <f t="shared" si="17"/>
        <v>2.6</v>
      </c>
      <c r="R188" s="49"/>
      <c r="S188" s="49"/>
      <c r="T188" s="7"/>
      <c r="U188" s="49"/>
      <c r="V188" s="7"/>
      <c r="W188" s="59" t="str">
        <f t="shared" si="18"/>
        <v>A</v>
      </c>
      <c r="X188" s="49">
        <v>3</v>
      </c>
      <c r="Y188" s="49"/>
      <c r="Z188" s="7"/>
      <c r="AA188" s="7"/>
      <c r="AB188" s="7"/>
      <c r="AC188" s="59">
        <f t="shared" si="19"/>
        <v>3</v>
      </c>
      <c r="AD188" s="49"/>
      <c r="AE188" s="7"/>
      <c r="AF188" s="49"/>
      <c r="AG188" s="7"/>
      <c r="AH188" s="7"/>
      <c r="AI188" s="59" t="str">
        <f t="shared" si="20"/>
        <v>A</v>
      </c>
      <c r="AJ188" s="49">
        <v>4</v>
      </c>
      <c r="AK188" s="49">
        <v>3</v>
      </c>
      <c r="AL188" s="7"/>
      <c r="AM188" s="49">
        <v>4</v>
      </c>
      <c r="AN188" s="7"/>
      <c r="AO188" s="59">
        <f t="shared" si="21"/>
        <v>3.6666666666666665</v>
      </c>
      <c r="AP188" s="49">
        <v>3</v>
      </c>
      <c r="AQ188" s="49"/>
      <c r="AR188" s="49"/>
      <c r="AS188" s="7"/>
      <c r="AT188" s="7"/>
      <c r="AU188" s="59">
        <f t="shared" si="22"/>
        <v>3</v>
      </c>
      <c r="AV188" s="7"/>
      <c r="AW188" s="7"/>
      <c r="AX188" s="49"/>
      <c r="AY188" s="49">
        <v>2</v>
      </c>
      <c r="AZ188" s="49">
        <v>3</v>
      </c>
      <c r="BA188" s="59">
        <f t="shared" si="23"/>
        <v>2.5</v>
      </c>
    </row>
    <row r="189" spans="1:53" ht="23.1" customHeight="1" x14ac:dyDescent="0.3">
      <c r="A189" s="49">
        <v>187</v>
      </c>
      <c r="B189" s="49" t="s">
        <v>412</v>
      </c>
      <c r="C189" s="49" t="s">
        <v>413</v>
      </c>
      <c r="D189" s="49" t="s">
        <v>542</v>
      </c>
      <c r="E189" s="49" t="s">
        <v>493</v>
      </c>
      <c r="F189" s="49"/>
      <c r="G189" s="49"/>
      <c r="H189" s="49">
        <f>IFERROR(VLOOKUP(B189,[1]Debate!$A$5:$O$262,3,FALSE),"0")</f>
        <v>3</v>
      </c>
      <c r="I189" s="49"/>
      <c r="J189" s="49"/>
      <c r="K189" s="59">
        <f t="shared" si="16"/>
        <v>3</v>
      </c>
      <c r="L189" s="49">
        <v>3</v>
      </c>
      <c r="M189" s="49">
        <v>4</v>
      </c>
      <c r="N189" s="49">
        <v>3</v>
      </c>
      <c r="O189" s="49">
        <v>3</v>
      </c>
      <c r="P189" s="49">
        <v>3</v>
      </c>
      <c r="Q189" s="59">
        <f t="shared" si="17"/>
        <v>3.2</v>
      </c>
      <c r="R189" s="49"/>
      <c r="S189" s="49"/>
      <c r="T189" s="49"/>
      <c r="U189" s="49"/>
      <c r="V189" s="49"/>
      <c r="W189" s="59" t="str">
        <f t="shared" si="18"/>
        <v>A</v>
      </c>
      <c r="X189" s="49">
        <v>3</v>
      </c>
      <c r="Y189" s="49"/>
      <c r="Z189" s="49"/>
      <c r="AA189" s="49"/>
      <c r="AB189" s="49"/>
      <c r="AC189" s="59">
        <f t="shared" si="19"/>
        <v>3</v>
      </c>
      <c r="AD189" s="49"/>
      <c r="AE189" s="49"/>
      <c r="AF189" s="49"/>
      <c r="AG189" s="49"/>
      <c r="AH189" s="49"/>
      <c r="AI189" s="59" t="str">
        <f t="shared" si="20"/>
        <v>A</v>
      </c>
      <c r="AJ189" s="49">
        <v>3</v>
      </c>
      <c r="AK189" s="49">
        <v>3</v>
      </c>
      <c r="AL189" s="49"/>
      <c r="AM189" s="49">
        <v>3</v>
      </c>
      <c r="AN189" s="49"/>
      <c r="AO189" s="59">
        <f t="shared" si="21"/>
        <v>3</v>
      </c>
      <c r="AP189" s="49">
        <v>3</v>
      </c>
      <c r="AQ189" s="49"/>
      <c r="AR189" s="49"/>
      <c r="AS189" s="49"/>
      <c r="AT189" s="49"/>
      <c r="AU189" s="59">
        <f t="shared" si="22"/>
        <v>3</v>
      </c>
      <c r="AV189" s="49"/>
      <c r="AW189" s="49"/>
      <c r="AX189" s="49"/>
      <c r="AY189" s="49">
        <v>3</v>
      </c>
      <c r="AZ189" s="49">
        <v>3</v>
      </c>
      <c r="BA189" s="59">
        <f t="shared" si="23"/>
        <v>3</v>
      </c>
    </row>
    <row r="190" spans="1:53" ht="23.1" customHeight="1" x14ac:dyDescent="0.3">
      <c r="A190" s="7">
        <v>188</v>
      </c>
      <c r="B190" s="7" t="s">
        <v>148</v>
      </c>
      <c r="C190" s="7" t="s">
        <v>149</v>
      </c>
      <c r="D190" s="7" t="s">
        <v>542</v>
      </c>
      <c r="E190" s="7" t="s">
        <v>35</v>
      </c>
      <c r="F190" s="7"/>
      <c r="G190" s="7"/>
      <c r="H190" s="49">
        <f>IFERROR(VLOOKUP(B190,[1]Debate!$A$5:$O$262,3,FALSE),"0")</f>
        <v>1</v>
      </c>
      <c r="I190" s="7"/>
      <c r="J190" s="7"/>
      <c r="K190" s="59">
        <f t="shared" si="16"/>
        <v>1</v>
      </c>
      <c r="L190" s="49">
        <v>3</v>
      </c>
      <c r="M190" s="49">
        <v>1</v>
      </c>
      <c r="N190" s="49">
        <v>2</v>
      </c>
      <c r="O190" s="49">
        <v>2.5</v>
      </c>
      <c r="P190" s="49">
        <v>1</v>
      </c>
      <c r="Q190" s="59">
        <f t="shared" si="17"/>
        <v>1.9</v>
      </c>
      <c r="R190" s="49"/>
      <c r="S190" s="49"/>
      <c r="T190" s="7"/>
      <c r="U190" s="49"/>
      <c r="V190" s="7"/>
      <c r="W190" s="59" t="str">
        <f t="shared" si="18"/>
        <v>A</v>
      </c>
      <c r="X190" s="49">
        <v>1</v>
      </c>
      <c r="Y190" s="49"/>
      <c r="Z190" s="7"/>
      <c r="AA190" s="7"/>
      <c r="AB190" s="7"/>
      <c r="AC190" s="59">
        <f t="shared" si="19"/>
        <v>1</v>
      </c>
      <c r="AD190" s="49"/>
      <c r="AE190" s="7"/>
      <c r="AF190" s="49"/>
      <c r="AG190" s="7"/>
      <c r="AH190" s="7"/>
      <c r="AI190" s="59" t="str">
        <f t="shared" si="20"/>
        <v>A</v>
      </c>
      <c r="AJ190" s="49">
        <v>2</v>
      </c>
      <c r="AK190" s="49">
        <v>2</v>
      </c>
      <c r="AL190" s="7"/>
      <c r="AM190" s="49">
        <v>2</v>
      </c>
      <c r="AN190" s="7"/>
      <c r="AO190" s="59">
        <f t="shared" si="21"/>
        <v>2</v>
      </c>
      <c r="AP190" s="49">
        <v>1</v>
      </c>
      <c r="AQ190" s="49"/>
      <c r="AR190" s="49"/>
      <c r="AS190" s="7"/>
      <c r="AT190" s="7"/>
      <c r="AU190" s="59">
        <f t="shared" si="22"/>
        <v>1</v>
      </c>
      <c r="AV190" s="7"/>
      <c r="AW190" s="7"/>
      <c r="AX190" s="49"/>
      <c r="AY190" s="49">
        <v>2</v>
      </c>
      <c r="AZ190" s="49">
        <v>2</v>
      </c>
      <c r="BA190" s="59">
        <f t="shared" si="23"/>
        <v>2</v>
      </c>
    </row>
    <row r="191" spans="1:53" ht="23.1" customHeight="1" x14ac:dyDescent="0.3">
      <c r="A191" s="49">
        <v>189</v>
      </c>
      <c r="B191" s="49" t="s">
        <v>414</v>
      </c>
      <c r="C191" s="49" t="s">
        <v>415</v>
      </c>
      <c r="D191" s="49" t="s">
        <v>450</v>
      </c>
      <c r="E191" s="49" t="s">
        <v>493</v>
      </c>
      <c r="F191" s="49"/>
      <c r="G191" s="49"/>
      <c r="H191" s="49">
        <f>IFERROR(VLOOKUP(B191,[1]Debate!$A$5:$O$262,3,FALSE),"0")</f>
        <v>2</v>
      </c>
      <c r="I191" s="49"/>
      <c r="J191" s="49"/>
      <c r="K191" s="59">
        <f t="shared" si="16"/>
        <v>2</v>
      </c>
      <c r="L191" s="49">
        <v>3</v>
      </c>
      <c r="M191" s="49">
        <v>3</v>
      </c>
      <c r="N191" s="49">
        <v>2</v>
      </c>
      <c r="O191" s="49">
        <v>3</v>
      </c>
      <c r="P191" s="49">
        <v>2</v>
      </c>
      <c r="Q191" s="59">
        <f t="shared" si="17"/>
        <v>2.6</v>
      </c>
      <c r="R191" s="49"/>
      <c r="S191" s="49"/>
      <c r="T191" s="49"/>
      <c r="U191" s="49"/>
      <c r="V191" s="49"/>
      <c r="W191" s="59" t="str">
        <f t="shared" si="18"/>
        <v>A</v>
      </c>
      <c r="X191" s="49">
        <v>2</v>
      </c>
      <c r="Y191" s="49"/>
      <c r="Z191" s="49"/>
      <c r="AA191" s="49"/>
      <c r="AB191" s="49"/>
      <c r="AC191" s="59">
        <f t="shared" si="19"/>
        <v>2</v>
      </c>
      <c r="AD191" s="49"/>
      <c r="AE191" s="49"/>
      <c r="AF191" s="49"/>
      <c r="AG191" s="49"/>
      <c r="AH191" s="49"/>
      <c r="AI191" s="59" t="str">
        <f t="shared" si="20"/>
        <v>A</v>
      </c>
      <c r="AJ191" s="49">
        <v>3</v>
      </c>
      <c r="AK191" s="49">
        <v>2</v>
      </c>
      <c r="AL191" s="49"/>
      <c r="AM191" s="49">
        <v>2</v>
      </c>
      <c r="AN191" s="49"/>
      <c r="AO191" s="59">
        <f t="shared" si="21"/>
        <v>2.3333333333333335</v>
      </c>
      <c r="AP191" s="49">
        <v>3</v>
      </c>
      <c r="AQ191" s="49"/>
      <c r="AR191" s="49"/>
      <c r="AS191" s="49"/>
      <c r="AT191" s="49"/>
      <c r="AU191" s="59">
        <f t="shared" si="22"/>
        <v>3</v>
      </c>
      <c r="AV191" s="49"/>
      <c r="AW191" s="49"/>
      <c r="AX191" s="49"/>
      <c r="AY191" s="49">
        <v>2</v>
      </c>
      <c r="AZ191" s="49">
        <v>2</v>
      </c>
      <c r="BA191" s="59">
        <f t="shared" si="23"/>
        <v>2</v>
      </c>
    </row>
    <row r="192" spans="1:53" ht="23.1" customHeight="1" x14ac:dyDescent="0.3">
      <c r="A192" s="7">
        <v>190</v>
      </c>
      <c r="B192" s="7" t="s">
        <v>416</v>
      </c>
      <c r="C192" s="7" t="s">
        <v>417</v>
      </c>
      <c r="D192" s="7" t="s">
        <v>542</v>
      </c>
      <c r="E192" s="7" t="s">
        <v>289</v>
      </c>
      <c r="F192" s="7"/>
      <c r="G192" s="7"/>
      <c r="H192" s="49">
        <f>IFERROR(VLOOKUP(B192,[1]Debate!$A$5:$O$262,3,FALSE),"0")</f>
        <v>2</v>
      </c>
      <c r="I192" s="7"/>
      <c r="J192" s="7"/>
      <c r="K192" s="59">
        <f t="shared" si="16"/>
        <v>2</v>
      </c>
      <c r="L192" s="49">
        <v>2</v>
      </c>
      <c r="M192" s="49">
        <v>2.5</v>
      </c>
      <c r="N192" s="49">
        <v>2</v>
      </c>
      <c r="O192" s="49">
        <v>2.25</v>
      </c>
      <c r="P192" s="49">
        <v>2</v>
      </c>
      <c r="Q192" s="59">
        <f t="shared" si="17"/>
        <v>2.15</v>
      </c>
      <c r="R192" s="49"/>
      <c r="S192" s="49"/>
      <c r="T192" s="7"/>
      <c r="U192" s="49"/>
      <c r="V192" s="7"/>
      <c r="W192" s="59" t="str">
        <f t="shared" si="18"/>
        <v>A</v>
      </c>
      <c r="X192" s="49">
        <v>2.5</v>
      </c>
      <c r="Y192" s="49"/>
      <c r="Z192" s="7"/>
      <c r="AA192" s="7"/>
      <c r="AB192" s="7"/>
      <c r="AC192" s="59">
        <f t="shared" si="19"/>
        <v>2.5</v>
      </c>
      <c r="AD192" s="49"/>
      <c r="AE192" s="7"/>
      <c r="AF192" s="49"/>
      <c r="AG192" s="7"/>
      <c r="AH192" s="7"/>
      <c r="AI192" s="59" t="str">
        <f t="shared" si="20"/>
        <v>A</v>
      </c>
      <c r="AJ192" s="49">
        <v>2.5</v>
      </c>
      <c r="AK192" s="49">
        <v>2</v>
      </c>
      <c r="AL192" s="7"/>
      <c r="AM192" s="49">
        <v>2</v>
      </c>
      <c r="AN192" s="7"/>
      <c r="AO192" s="59">
        <f t="shared" si="21"/>
        <v>2.1666666666666665</v>
      </c>
      <c r="AP192" s="49">
        <v>2.5</v>
      </c>
      <c r="AQ192" s="49"/>
      <c r="AR192" s="49"/>
      <c r="AS192" s="7"/>
      <c r="AT192" s="7"/>
      <c r="AU192" s="59">
        <f t="shared" si="22"/>
        <v>2.5</v>
      </c>
      <c r="AV192" s="7"/>
      <c r="AW192" s="7"/>
      <c r="AX192" s="49"/>
      <c r="AY192" s="49">
        <v>2.5</v>
      </c>
      <c r="AZ192" s="49">
        <v>2.5</v>
      </c>
      <c r="BA192" s="59">
        <f t="shared" si="23"/>
        <v>2.5</v>
      </c>
    </row>
    <row r="193" spans="1:53" ht="23.1" customHeight="1" x14ac:dyDescent="0.3">
      <c r="A193" s="49">
        <v>191</v>
      </c>
      <c r="B193" s="49" t="s">
        <v>418</v>
      </c>
      <c r="C193" s="49" t="s">
        <v>419</v>
      </c>
      <c r="D193" s="49" t="s">
        <v>450</v>
      </c>
      <c r="E193" s="49" t="s">
        <v>493</v>
      </c>
      <c r="F193" s="49"/>
      <c r="G193" s="49"/>
      <c r="H193" s="49">
        <f>IFERROR(VLOOKUP(B193,[1]Debate!$A$5:$O$262,3,FALSE),"0")</f>
        <v>2</v>
      </c>
      <c r="I193" s="49"/>
      <c r="J193" s="49"/>
      <c r="K193" s="59">
        <f t="shared" si="16"/>
        <v>2</v>
      </c>
      <c r="L193" s="49">
        <v>2</v>
      </c>
      <c r="M193" s="49">
        <v>2</v>
      </c>
      <c r="N193" s="49">
        <v>2</v>
      </c>
      <c r="O193" s="49">
        <v>3.5</v>
      </c>
      <c r="P193" s="49">
        <v>1</v>
      </c>
      <c r="Q193" s="59">
        <f t="shared" si="17"/>
        <v>2.1</v>
      </c>
      <c r="R193" s="49"/>
      <c r="S193" s="49"/>
      <c r="T193" s="49"/>
      <c r="U193" s="49"/>
      <c r="V193" s="49"/>
      <c r="W193" s="59" t="str">
        <f t="shared" si="18"/>
        <v>A</v>
      </c>
      <c r="X193" s="49">
        <v>2</v>
      </c>
      <c r="Y193" s="49"/>
      <c r="Z193" s="49"/>
      <c r="AA193" s="49"/>
      <c r="AB193" s="49"/>
      <c r="AC193" s="59">
        <f t="shared" si="19"/>
        <v>2</v>
      </c>
      <c r="AD193" s="49"/>
      <c r="AE193" s="49"/>
      <c r="AF193" s="49"/>
      <c r="AG193" s="49"/>
      <c r="AH193" s="49"/>
      <c r="AI193" s="59" t="str">
        <f t="shared" si="20"/>
        <v>A</v>
      </c>
      <c r="AJ193" s="49">
        <v>2</v>
      </c>
      <c r="AK193" s="49">
        <v>2</v>
      </c>
      <c r="AL193" s="49"/>
      <c r="AM193" s="49">
        <v>2</v>
      </c>
      <c r="AN193" s="49"/>
      <c r="AO193" s="59">
        <f t="shared" si="21"/>
        <v>2</v>
      </c>
      <c r="AP193" s="49">
        <v>3</v>
      </c>
      <c r="AQ193" s="49"/>
      <c r="AR193" s="49"/>
      <c r="AS193" s="49"/>
      <c r="AT193" s="49"/>
      <c r="AU193" s="59">
        <f t="shared" si="22"/>
        <v>3</v>
      </c>
      <c r="AV193" s="49"/>
      <c r="AW193" s="49"/>
      <c r="AX193" s="49"/>
      <c r="AY193" s="49">
        <v>2</v>
      </c>
      <c r="AZ193" s="49">
        <v>3</v>
      </c>
      <c r="BA193" s="59">
        <f t="shared" si="23"/>
        <v>2.5</v>
      </c>
    </row>
    <row r="194" spans="1:53" ht="23.1" customHeight="1" x14ac:dyDescent="0.3">
      <c r="A194" s="7">
        <v>192</v>
      </c>
      <c r="B194" s="7" t="s">
        <v>420</v>
      </c>
      <c r="C194" s="7" t="s">
        <v>421</v>
      </c>
      <c r="D194" s="7" t="s">
        <v>450</v>
      </c>
      <c r="E194" s="7" t="s">
        <v>493</v>
      </c>
      <c r="F194" s="7"/>
      <c r="G194" s="7"/>
      <c r="H194" s="49">
        <f>IFERROR(VLOOKUP(B194,[1]Debate!$A$5:$O$262,3,FALSE),"0")</f>
        <v>2</v>
      </c>
      <c r="I194" s="7"/>
      <c r="J194" s="7"/>
      <c r="K194" s="59">
        <f t="shared" si="16"/>
        <v>2</v>
      </c>
      <c r="L194" s="49">
        <v>2</v>
      </c>
      <c r="M194" s="49">
        <v>2.5</v>
      </c>
      <c r="N194" s="49">
        <v>2</v>
      </c>
      <c r="O194" s="49">
        <v>2.25</v>
      </c>
      <c r="P194" s="49">
        <v>2</v>
      </c>
      <c r="Q194" s="59">
        <f t="shared" si="17"/>
        <v>2.15</v>
      </c>
      <c r="R194" s="49"/>
      <c r="S194" s="49"/>
      <c r="T194" s="7"/>
      <c r="U194" s="49"/>
      <c r="V194" s="7"/>
      <c r="W194" s="59" t="str">
        <f t="shared" si="18"/>
        <v>A</v>
      </c>
      <c r="X194" s="49">
        <v>2.5</v>
      </c>
      <c r="Y194" s="49"/>
      <c r="Z194" s="7"/>
      <c r="AA194" s="7"/>
      <c r="AB194" s="7"/>
      <c r="AC194" s="59">
        <f t="shared" si="19"/>
        <v>2.5</v>
      </c>
      <c r="AD194" s="49"/>
      <c r="AE194" s="7"/>
      <c r="AF194" s="49"/>
      <c r="AG194" s="7"/>
      <c r="AH194" s="7"/>
      <c r="AI194" s="59" t="str">
        <f t="shared" si="20"/>
        <v>A</v>
      </c>
      <c r="AJ194" s="49">
        <v>2.5</v>
      </c>
      <c r="AK194" s="49">
        <v>2</v>
      </c>
      <c r="AL194" s="7"/>
      <c r="AM194" s="49">
        <v>2</v>
      </c>
      <c r="AN194" s="7"/>
      <c r="AO194" s="59">
        <f t="shared" si="21"/>
        <v>2.1666666666666665</v>
      </c>
      <c r="AP194" s="49">
        <v>2.5</v>
      </c>
      <c r="AQ194" s="49"/>
      <c r="AR194" s="49"/>
      <c r="AS194" s="7"/>
      <c r="AT194" s="7"/>
      <c r="AU194" s="59">
        <f t="shared" si="22"/>
        <v>2.5</v>
      </c>
      <c r="AV194" s="7"/>
      <c r="AW194" s="7"/>
      <c r="AX194" s="49"/>
      <c r="AY194" s="49">
        <v>2.5</v>
      </c>
      <c r="AZ194" s="49">
        <v>2.5</v>
      </c>
      <c r="BA194" s="59">
        <f t="shared" si="23"/>
        <v>2.5</v>
      </c>
    </row>
    <row r="195" spans="1:53" ht="23.1" customHeight="1" x14ac:dyDescent="0.3">
      <c r="A195" s="49">
        <v>193</v>
      </c>
      <c r="B195" s="49" t="s">
        <v>422</v>
      </c>
      <c r="C195" s="49" t="s">
        <v>423</v>
      </c>
      <c r="D195" s="49" t="s">
        <v>450</v>
      </c>
      <c r="E195" s="49" t="s">
        <v>493</v>
      </c>
      <c r="F195" s="49"/>
      <c r="G195" s="49"/>
      <c r="H195" s="49">
        <f>IFERROR(VLOOKUP(B195,[1]Debate!$A$5:$O$262,3,FALSE),"0")</f>
        <v>3</v>
      </c>
      <c r="I195" s="49"/>
      <c r="J195" s="49"/>
      <c r="K195" s="59">
        <f t="shared" si="16"/>
        <v>3</v>
      </c>
      <c r="L195" s="49">
        <v>3</v>
      </c>
      <c r="M195" s="49">
        <v>3</v>
      </c>
      <c r="N195" s="49">
        <v>3</v>
      </c>
      <c r="O195" s="49">
        <v>3</v>
      </c>
      <c r="P195" s="49">
        <v>3</v>
      </c>
      <c r="Q195" s="59">
        <f t="shared" si="17"/>
        <v>3</v>
      </c>
      <c r="R195" s="49"/>
      <c r="S195" s="49"/>
      <c r="T195" s="49"/>
      <c r="U195" s="49"/>
      <c r="V195" s="49"/>
      <c r="W195" s="59" t="str">
        <f t="shared" si="18"/>
        <v>A</v>
      </c>
      <c r="X195" s="49">
        <v>3</v>
      </c>
      <c r="Y195" s="49"/>
      <c r="Z195" s="49"/>
      <c r="AA195" s="49"/>
      <c r="AB195" s="49"/>
      <c r="AC195" s="59">
        <f t="shared" si="19"/>
        <v>3</v>
      </c>
      <c r="AD195" s="49"/>
      <c r="AE195" s="49"/>
      <c r="AF195" s="49"/>
      <c r="AG195" s="49"/>
      <c r="AH195" s="49"/>
      <c r="AI195" s="59" t="str">
        <f t="shared" si="20"/>
        <v>A</v>
      </c>
      <c r="AJ195" s="49">
        <v>3</v>
      </c>
      <c r="AK195" s="49">
        <v>2</v>
      </c>
      <c r="AL195" s="49"/>
      <c r="AM195" s="49">
        <v>3</v>
      </c>
      <c r="AN195" s="49"/>
      <c r="AO195" s="59">
        <f t="shared" si="21"/>
        <v>2.6666666666666665</v>
      </c>
      <c r="AP195" s="49">
        <v>3</v>
      </c>
      <c r="AQ195" s="49"/>
      <c r="AR195" s="49"/>
      <c r="AS195" s="49"/>
      <c r="AT195" s="49"/>
      <c r="AU195" s="59">
        <f t="shared" si="22"/>
        <v>3</v>
      </c>
      <c r="AV195" s="49"/>
      <c r="AW195" s="49"/>
      <c r="AX195" s="49"/>
      <c r="AY195" s="49">
        <v>3</v>
      </c>
      <c r="AZ195" s="49">
        <v>3</v>
      </c>
      <c r="BA195" s="59">
        <f t="shared" si="23"/>
        <v>3</v>
      </c>
    </row>
    <row r="196" spans="1:53" ht="23.1" customHeight="1" x14ac:dyDescent="0.3">
      <c r="A196" s="7">
        <v>194</v>
      </c>
      <c r="B196" s="7" t="s">
        <v>424</v>
      </c>
      <c r="C196" s="7" t="s">
        <v>425</v>
      </c>
      <c r="D196" s="7" t="s">
        <v>450</v>
      </c>
      <c r="E196" s="7" t="s">
        <v>493</v>
      </c>
      <c r="F196" s="7"/>
      <c r="G196" s="7"/>
      <c r="H196" s="49">
        <f>IFERROR(VLOOKUP(B196,[1]Debate!$A$5:$O$262,3,FALSE),"0")</f>
        <v>2</v>
      </c>
      <c r="I196" s="7"/>
      <c r="J196" s="7"/>
      <c r="K196" s="59">
        <f t="shared" ref="K196:K230" si="24">H196</f>
        <v>2</v>
      </c>
      <c r="L196" s="49">
        <v>3</v>
      </c>
      <c r="M196" s="49">
        <v>4</v>
      </c>
      <c r="N196" s="49">
        <v>2</v>
      </c>
      <c r="O196" s="49">
        <v>1</v>
      </c>
      <c r="P196" s="49">
        <v>4</v>
      </c>
      <c r="Q196" s="59">
        <f t="shared" ref="Q196:Q230" si="25">IFERROR(AVERAGE(M196,N196,L196,O196,P196),"0")</f>
        <v>2.8</v>
      </c>
      <c r="R196" s="49"/>
      <c r="S196" s="49"/>
      <c r="T196" s="7"/>
      <c r="U196" s="49"/>
      <c r="V196" s="7"/>
      <c r="W196" s="59" t="str">
        <f t="shared" ref="W196:W230" si="26">IFERROR(AVERAGE(R196,S196,U196),"A")</f>
        <v>A</v>
      </c>
      <c r="X196" s="49">
        <v>3</v>
      </c>
      <c r="Y196" s="49"/>
      <c r="Z196" s="7"/>
      <c r="AA196" s="7"/>
      <c r="AB196" s="7"/>
      <c r="AC196" s="59">
        <f t="shared" ref="AC196:AC230" si="27">X196</f>
        <v>3</v>
      </c>
      <c r="AD196" s="49"/>
      <c r="AE196" s="7"/>
      <c r="AF196" s="49"/>
      <c r="AG196" s="7"/>
      <c r="AH196" s="7"/>
      <c r="AI196" s="59" t="str">
        <f t="shared" ref="AI196:AI230" si="28">IFERROR(AVERAGE(AF196,AD196),"A")</f>
        <v>A</v>
      </c>
      <c r="AJ196" s="49">
        <v>3</v>
      </c>
      <c r="AK196" s="49">
        <v>4</v>
      </c>
      <c r="AL196" s="7"/>
      <c r="AM196" s="49">
        <v>4</v>
      </c>
      <c r="AN196" s="7"/>
      <c r="AO196" s="59">
        <f t="shared" ref="AO196:AO230" si="29">IFERROR(AVERAGE(AJ196,AK196,AL196,AM196),"0")</f>
        <v>3.6666666666666665</v>
      </c>
      <c r="AP196" s="49">
        <v>3</v>
      </c>
      <c r="AQ196" s="49"/>
      <c r="AR196" s="49"/>
      <c r="AS196" s="7"/>
      <c r="AT196" s="7"/>
      <c r="AU196" s="59">
        <f t="shared" ref="AU196:AU230" si="30">AP196</f>
        <v>3</v>
      </c>
      <c r="AV196" s="7"/>
      <c r="AW196" s="7"/>
      <c r="AX196" s="49"/>
      <c r="AY196" s="49">
        <v>4</v>
      </c>
      <c r="AZ196" s="49">
        <v>4</v>
      </c>
      <c r="BA196" s="59">
        <f t="shared" ref="BA196:BA230" si="31">IFERROR(AVERAGE(AY196,AZ196),"0")</f>
        <v>4</v>
      </c>
    </row>
    <row r="197" spans="1:53" ht="23.1" customHeight="1" x14ac:dyDescent="0.3">
      <c r="A197" s="49">
        <v>195</v>
      </c>
      <c r="B197" s="49" t="s">
        <v>426</v>
      </c>
      <c r="C197" s="49" t="s">
        <v>427</v>
      </c>
      <c r="D197" s="49" t="s">
        <v>450</v>
      </c>
      <c r="E197" s="49" t="s">
        <v>289</v>
      </c>
      <c r="F197" s="49"/>
      <c r="G197" s="49"/>
      <c r="H197" s="49">
        <f>IFERROR(VLOOKUP(B197,[1]Debate!$A$5:$O$262,3,FALSE),"0")</f>
        <v>1</v>
      </c>
      <c r="I197" s="49"/>
      <c r="J197" s="49"/>
      <c r="K197" s="59">
        <f t="shared" si="24"/>
        <v>1</v>
      </c>
      <c r="L197" s="49">
        <v>2</v>
      </c>
      <c r="M197" s="49">
        <v>2</v>
      </c>
      <c r="N197" s="49">
        <v>1</v>
      </c>
      <c r="O197" s="49">
        <v>1.5</v>
      </c>
      <c r="P197" s="49">
        <v>1</v>
      </c>
      <c r="Q197" s="59">
        <f t="shared" si="25"/>
        <v>1.5</v>
      </c>
      <c r="R197" s="49"/>
      <c r="S197" s="49"/>
      <c r="T197" s="49"/>
      <c r="U197" s="49"/>
      <c r="V197" s="49"/>
      <c r="W197" s="59" t="str">
        <f t="shared" si="26"/>
        <v>A</v>
      </c>
      <c r="X197" s="49">
        <v>1</v>
      </c>
      <c r="Y197" s="49"/>
      <c r="Z197" s="49"/>
      <c r="AA197" s="49"/>
      <c r="AB197" s="49"/>
      <c r="AC197" s="59">
        <f t="shared" si="27"/>
        <v>1</v>
      </c>
      <c r="AD197" s="49"/>
      <c r="AE197" s="49"/>
      <c r="AF197" s="49"/>
      <c r="AG197" s="49"/>
      <c r="AH197" s="49"/>
      <c r="AI197" s="59" t="str">
        <f t="shared" si="28"/>
        <v>A</v>
      </c>
      <c r="AJ197" s="49">
        <v>2</v>
      </c>
      <c r="AK197" s="49">
        <v>1</v>
      </c>
      <c r="AL197" s="49"/>
      <c r="AM197" s="49">
        <v>1</v>
      </c>
      <c r="AN197" s="49"/>
      <c r="AO197" s="59">
        <f t="shared" si="29"/>
        <v>1.3333333333333333</v>
      </c>
      <c r="AP197" s="49">
        <v>3</v>
      </c>
      <c r="AQ197" s="49"/>
      <c r="AR197" s="49"/>
      <c r="AS197" s="49"/>
      <c r="AT197" s="49"/>
      <c r="AU197" s="59">
        <f t="shared" si="30"/>
        <v>3</v>
      </c>
      <c r="AV197" s="49"/>
      <c r="AW197" s="49"/>
      <c r="AX197" s="49"/>
      <c r="AY197" s="49">
        <v>2</v>
      </c>
      <c r="AZ197" s="49">
        <v>2</v>
      </c>
      <c r="BA197" s="59">
        <f t="shared" si="31"/>
        <v>2</v>
      </c>
    </row>
    <row r="198" spans="1:53" ht="23.1" customHeight="1" x14ac:dyDescent="0.3">
      <c r="A198" s="7">
        <v>196</v>
      </c>
      <c r="B198" s="7" t="s">
        <v>428</v>
      </c>
      <c r="C198" s="7" t="s">
        <v>429</v>
      </c>
      <c r="D198" s="7" t="s">
        <v>450</v>
      </c>
      <c r="E198" s="7" t="s">
        <v>493</v>
      </c>
      <c r="F198" s="7"/>
      <c r="G198" s="7"/>
      <c r="H198" s="49">
        <f>IFERROR(VLOOKUP(B198,[1]Debate!$A$5:$O$262,3,FALSE),"0")</f>
        <v>2</v>
      </c>
      <c r="I198" s="7"/>
      <c r="J198" s="7"/>
      <c r="K198" s="59">
        <f t="shared" si="24"/>
        <v>2</v>
      </c>
      <c r="L198" s="49">
        <v>4</v>
      </c>
      <c r="M198" s="49">
        <v>2</v>
      </c>
      <c r="N198" s="49">
        <v>4</v>
      </c>
      <c r="O198" s="49">
        <v>2.5</v>
      </c>
      <c r="P198" s="49">
        <v>2</v>
      </c>
      <c r="Q198" s="59">
        <f t="shared" si="25"/>
        <v>2.9</v>
      </c>
      <c r="R198" s="49"/>
      <c r="S198" s="49"/>
      <c r="T198" s="7"/>
      <c r="U198" s="49"/>
      <c r="V198" s="7"/>
      <c r="W198" s="59" t="str">
        <f t="shared" si="26"/>
        <v>A</v>
      </c>
      <c r="X198" s="49">
        <v>2</v>
      </c>
      <c r="Y198" s="49"/>
      <c r="Z198" s="7"/>
      <c r="AA198" s="7"/>
      <c r="AB198" s="7"/>
      <c r="AC198" s="59">
        <f t="shared" si="27"/>
        <v>2</v>
      </c>
      <c r="AD198" s="49"/>
      <c r="AE198" s="7"/>
      <c r="AF198" s="49"/>
      <c r="AG198" s="7"/>
      <c r="AH198" s="7"/>
      <c r="AI198" s="59" t="str">
        <f t="shared" si="28"/>
        <v>A</v>
      </c>
      <c r="AJ198" s="49">
        <v>4</v>
      </c>
      <c r="AK198" s="49">
        <v>4</v>
      </c>
      <c r="AL198" s="7"/>
      <c r="AM198" s="49">
        <v>3</v>
      </c>
      <c r="AN198" s="7"/>
      <c r="AO198" s="59">
        <f t="shared" si="29"/>
        <v>3.6666666666666665</v>
      </c>
      <c r="AP198" s="49">
        <v>3</v>
      </c>
      <c r="AQ198" s="49"/>
      <c r="AR198" s="49"/>
      <c r="AS198" s="7"/>
      <c r="AT198" s="7"/>
      <c r="AU198" s="59">
        <f t="shared" si="30"/>
        <v>3</v>
      </c>
      <c r="AV198" s="7"/>
      <c r="AW198" s="7"/>
      <c r="AX198" s="49"/>
      <c r="AY198" s="49">
        <v>3</v>
      </c>
      <c r="AZ198" s="49">
        <v>3</v>
      </c>
      <c r="BA198" s="59">
        <f t="shared" si="31"/>
        <v>3</v>
      </c>
    </row>
    <row r="199" spans="1:53" ht="23.1" customHeight="1" x14ac:dyDescent="0.3">
      <c r="A199" s="49">
        <v>197</v>
      </c>
      <c r="B199" s="49" t="s">
        <v>430</v>
      </c>
      <c r="C199" s="49" t="s">
        <v>431</v>
      </c>
      <c r="D199" s="49" t="s">
        <v>542</v>
      </c>
      <c r="E199" s="49" t="s">
        <v>493</v>
      </c>
      <c r="F199" s="49"/>
      <c r="G199" s="49"/>
      <c r="H199" s="49">
        <f>IFERROR(VLOOKUP(B199,[1]Debate!$A$5:$O$262,3,FALSE),"0")</f>
        <v>3</v>
      </c>
      <c r="I199" s="49"/>
      <c r="J199" s="49"/>
      <c r="K199" s="59">
        <f t="shared" si="24"/>
        <v>3</v>
      </c>
      <c r="L199" s="49">
        <v>4</v>
      </c>
      <c r="M199" s="49">
        <v>3</v>
      </c>
      <c r="N199" s="49">
        <v>2</v>
      </c>
      <c r="O199" s="49">
        <v>2.5</v>
      </c>
      <c r="P199" s="49">
        <v>3</v>
      </c>
      <c r="Q199" s="59">
        <f t="shared" si="25"/>
        <v>2.9</v>
      </c>
      <c r="R199" s="49"/>
      <c r="S199" s="49"/>
      <c r="T199" s="49"/>
      <c r="U199" s="49"/>
      <c r="V199" s="49"/>
      <c r="W199" s="59" t="str">
        <f t="shared" si="26"/>
        <v>A</v>
      </c>
      <c r="X199" s="49">
        <v>3</v>
      </c>
      <c r="Y199" s="49"/>
      <c r="Z199" s="49"/>
      <c r="AA199" s="49"/>
      <c r="AB199" s="49"/>
      <c r="AC199" s="59">
        <f t="shared" si="27"/>
        <v>3</v>
      </c>
      <c r="AD199" s="49"/>
      <c r="AE199" s="49"/>
      <c r="AF199" s="49"/>
      <c r="AG199" s="49"/>
      <c r="AH199" s="49"/>
      <c r="AI199" s="59" t="str">
        <f t="shared" si="28"/>
        <v>A</v>
      </c>
      <c r="AJ199" s="49">
        <v>3</v>
      </c>
      <c r="AK199" s="49">
        <v>2</v>
      </c>
      <c r="AL199" s="49"/>
      <c r="AM199" s="49">
        <v>3</v>
      </c>
      <c r="AN199" s="49"/>
      <c r="AO199" s="59">
        <f t="shared" si="29"/>
        <v>2.6666666666666665</v>
      </c>
      <c r="AP199" s="49">
        <v>3</v>
      </c>
      <c r="AQ199" s="49"/>
      <c r="AR199" s="49"/>
      <c r="AS199" s="49"/>
      <c r="AT199" s="49"/>
      <c r="AU199" s="59">
        <f t="shared" si="30"/>
        <v>3</v>
      </c>
      <c r="AV199" s="49"/>
      <c r="AW199" s="49"/>
      <c r="AX199" s="49"/>
      <c r="AY199" s="49">
        <v>3</v>
      </c>
      <c r="AZ199" s="49">
        <v>4</v>
      </c>
      <c r="BA199" s="59">
        <f t="shared" si="31"/>
        <v>3.5</v>
      </c>
    </row>
    <row r="200" spans="1:53" ht="23.1" customHeight="1" x14ac:dyDescent="0.3">
      <c r="A200" s="7">
        <v>198</v>
      </c>
      <c r="B200" s="7" t="s">
        <v>176</v>
      </c>
      <c r="C200" s="7" t="s">
        <v>177</v>
      </c>
      <c r="D200" s="7" t="s">
        <v>542</v>
      </c>
      <c r="E200" s="7" t="s">
        <v>161</v>
      </c>
      <c r="F200" s="7"/>
      <c r="G200" s="7"/>
      <c r="H200" s="49">
        <f>IFERROR(VLOOKUP(B200,[1]Debate!$A$5:$O$262,3,FALSE),"0")</f>
        <v>3</v>
      </c>
      <c r="I200" s="7"/>
      <c r="J200" s="7"/>
      <c r="K200" s="59">
        <f t="shared" si="24"/>
        <v>3</v>
      </c>
      <c r="L200" s="49">
        <v>3</v>
      </c>
      <c r="M200" s="49">
        <v>3</v>
      </c>
      <c r="N200" s="49">
        <v>3</v>
      </c>
      <c r="O200" s="49">
        <v>3</v>
      </c>
      <c r="P200" s="49">
        <v>3</v>
      </c>
      <c r="Q200" s="59">
        <f t="shared" si="25"/>
        <v>3</v>
      </c>
      <c r="R200" s="49"/>
      <c r="S200" s="49"/>
      <c r="T200" s="7"/>
      <c r="U200" s="49"/>
      <c r="V200" s="7"/>
      <c r="W200" s="59" t="str">
        <f t="shared" si="26"/>
        <v>A</v>
      </c>
      <c r="X200" s="49">
        <v>3</v>
      </c>
      <c r="Y200" s="49"/>
      <c r="Z200" s="7"/>
      <c r="AA200" s="7"/>
      <c r="AB200" s="7"/>
      <c r="AC200" s="59">
        <f t="shared" si="27"/>
        <v>3</v>
      </c>
      <c r="AD200" s="49"/>
      <c r="AE200" s="7"/>
      <c r="AF200" s="49"/>
      <c r="AG200" s="7"/>
      <c r="AH200" s="7"/>
      <c r="AI200" s="59" t="str">
        <f t="shared" si="28"/>
        <v>A</v>
      </c>
      <c r="AJ200" s="49">
        <v>3</v>
      </c>
      <c r="AK200" s="49">
        <v>3</v>
      </c>
      <c r="AL200" s="7"/>
      <c r="AM200" s="49">
        <v>3</v>
      </c>
      <c r="AN200" s="7"/>
      <c r="AO200" s="59">
        <f t="shared" si="29"/>
        <v>3</v>
      </c>
      <c r="AP200" s="49">
        <v>3</v>
      </c>
      <c r="AQ200" s="49"/>
      <c r="AR200" s="49"/>
      <c r="AS200" s="7"/>
      <c r="AT200" s="7"/>
      <c r="AU200" s="59">
        <f t="shared" si="30"/>
        <v>3</v>
      </c>
      <c r="AV200" s="7"/>
      <c r="AW200" s="7"/>
      <c r="AX200" s="49"/>
      <c r="AY200" s="49">
        <v>3</v>
      </c>
      <c r="AZ200" s="49">
        <v>3</v>
      </c>
      <c r="BA200" s="59">
        <f t="shared" si="31"/>
        <v>3</v>
      </c>
    </row>
    <row r="201" spans="1:53" ht="23.1" customHeight="1" x14ac:dyDescent="0.3">
      <c r="A201" s="49">
        <v>199</v>
      </c>
      <c r="B201" s="49" t="s">
        <v>432</v>
      </c>
      <c r="C201" s="49" t="s">
        <v>433</v>
      </c>
      <c r="D201" s="49" t="s">
        <v>542</v>
      </c>
      <c r="E201" s="49" t="s">
        <v>289</v>
      </c>
      <c r="F201" s="49"/>
      <c r="G201" s="49"/>
      <c r="H201" s="49">
        <f>IFERROR(VLOOKUP(B201,[1]Debate!$A$5:$O$262,3,FALSE),"0")</f>
        <v>2</v>
      </c>
      <c r="I201" s="49"/>
      <c r="J201" s="49"/>
      <c r="K201" s="59">
        <f t="shared" si="24"/>
        <v>2</v>
      </c>
      <c r="L201" s="49">
        <v>4</v>
      </c>
      <c r="M201" s="49">
        <v>3</v>
      </c>
      <c r="N201" s="49">
        <v>4</v>
      </c>
      <c r="O201" s="49">
        <v>3.5</v>
      </c>
      <c r="P201" s="49">
        <v>3</v>
      </c>
      <c r="Q201" s="59">
        <f t="shared" si="25"/>
        <v>3.5</v>
      </c>
      <c r="R201" s="49"/>
      <c r="S201" s="49"/>
      <c r="T201" s="49"/>
      <c r="U201" s="49"/>
      <c r="V201" s="49"/>
      <c r="W201" s="59" t="str">
        <f t="shared" si="26"/>
        <v>A</v>
      </c>
      <c r="X201" s="49">
        <v>2</v>
      </c>
      <c r="Y201" s="49"/>
      <c r="Z201" s="49"/>
      <c r="AA201" s="49"/>
      <c r="AB201" s="49"/>
      <c r="AC201" s="59">
        <f t="shared" si="27"/>
        <v>2</v>
      </c>
      <c r="AD201" s="49"/>
      <c r="AE201" s="49"/>
      <c r="AF201" s="49"/>
      <c r="AG201" s="49"/>
      <c r="AH201" s="49"/>
      <c r="AI201" s="59" t="str">
        <f t="shared" si="28"/>
        <v>A</v>
      </c>
      <c r="AJ201" s="49">
        <v>2</v>
      </c>
      <c r="AK201" s="49">
        <v>2</v>
      </c>
      <c r="AL201" s="49"/>
      <c r="AM201" s="49">
        <v>2</v>
      </c>
      <c r="AN201" s="49"/>
      <c r="AO201" s="59">
        <f t="shared" si="29"/>
        <v>2</v>
      </c>
      <c r="AP201" s="49">
        <v>3</v>
      </c>
      <c r="AQ201" s="49"/>
      <c r="AR201" s="49"/>
      <c r="AS201" s="49"/>
      <c r="AT201" s="49"/>
      <c r="AU201" s="59">
        <f t="shared" si="30"/>
        <v>3</v>
      </c>
      <c r="AV201" s="49"/>
      <c r="AW201" s="49"/>
      <c r="AX201" s="49"/>
      <c r="AY201" s="49">
        <v>2</v>
      </c>
      <c r="AZ201" s="49">
        <v>2</v>
      </c>
      <c r="BA201" s="59">
        <f t="shared" si="31"/>
        <v>2</v>
      </c>
    </row>
    <row r="202" spans="1:53" ht="23.1" customHeight="1" x14ac:dyDescent="0.3">
      <c r="A202" s="7">
        <v>200</v>
      </c>
      <c r="B202" s="7" t="s">
        <v>434</v>
      </c>
      <c r="C202" s="7" t="s">
        <v>435</v>
      </c>
      <c r="D202" s="7" t="s">
        <v>450</v>
      </c>
      <c r="E202" s="7" t="s">
        <v>493</v>
      </c>
      <c r="F202" s="7"/>
      <c r="G202" s="7"/>
      <c r="H202" s="49">
        <f>IFERROR(VLOOKUP(B202,[1]Debate!$A$5:$O$262,3,FALSE),"0")</f>
        <v>3</v>
      </c>
      <c r="I202" s="7"/>
      <c r="J202" s="7"/>
      <c r="K202" s="59">
        <f t="shared" si="24"/>
        <v>3</v>
      </c>
      <c r="L202" s="49">
        <v>3</v>
      </c>
      <c r="M202" s="49">
        <v>2</v>
      </c>
      <c r="N202" s="49">
        <v>4</v>
      </c>
      <c r="O202" s="49">
        <v>3</v>
      </c>
      <c r="P202" s="49">
        <v>2</v>
      </c>
      <c r="Q202" s="59">
        <f t="shared" si="25"/>
        <v>2.8</v>
      </c>
      <c r="R202" s="49"/>
      <c r="S202" s="49"/>
      <c r="T202" s="7"/>
      <c r="U202" s="49"/>
      <c r="V202" s="7"/>
      <c r="W202" s="59" t="str">
        <f t="shared" si="26"/>
        <v>A</v>
      </c>
      <c r="X202" s="49">
        <v>4</v>
      </c>
      <c r="Y202" s="49"/>
      <c r="Z202" s="7"/>
      <c r="AA202" s="7"/>
      <c r="AB202" s="7"/>
      <c r="AC202" s="59">
        <f t="shared" si="27"/>
        <v>4</v>
      </c>
      <c r="AD202" s="49"/>
      <c r="AE202" s="7"/>
      <c r="AF202" s="49"/>
      <c r="AG202" s="7"/>
      <c r="AH202" s="7"/>
      <c r="AI202" s="59" t="str">
        <f t="shared" si="28"/>
        <v>A</v>
      </c>
      <c r="AJ202" s="49">
        <v>3</v>
      </c>
      <c r="AK202" s="49">
        <v>3</v>
      </c>
      <c r="AL202" s="7"/>
      <c r="AM202" s="49">
        <v>4</v>
      </c>
      <c r="AN202" s="7"/>
      <c r="AO202" s="59">
        <f t="shared" si="29"/>
        <v>3.3333333333333335</v>
      </c>
      <c r="AP202" s="49">
        <v>3</v>
      </c>
      <c r="AQ202" s="49"/>
      <c r="AR202" s="49"/>
      <c r="AS202" s="7"/>
      <c r="AT202" s="7"/>
      <c r="AU202" s="59">
        <f t="shared" si="30"/>
        <v>3</v>
      </c>
      <c r="AV202" s="7"/>
      <c r="AW202" s="7"/>
      <c r="AX202" s="49"/>
      <c r="AY202" s="49">
        <v>3</v>
      </c>
      <c r="AZ202" s="49">
        <v>3</v>
      </c>
      <c r="BA202" s="59">
        <f t="shared" si="31"/>
        <v>3</v>
      </c>
    </row>
    <row r="203" spans="1:53" ht="23.1" customHeight="1" x14ac:dyDescent="0.3">
      <c r="A203" s="49">
        <v>201</v>
      </c>
      <c r="B203" s="49" t="s">
        <v>436</v>
      </c>
      <c r="C203" s="49" t="s">
        <v>437</v>
      </c>
      <c r="D203" s="49" t="s">
        <v>450</v>
      </c>
      <c r="E203" s="49" t="s">
        <v>493</v>
      </c>
      <c r="F203" s="49"/>
      <c r="G203" s="49"/>
      <c r="H203" s="49">
        <f>IFERROR(VLOOKUP(B203,[1]Debate!$A$5:$O$262,3,FALSE),"0")</f>
        <v>2</v>
      </c>
      <c r="I203" s="49"/>
      <c r="J203" s="49"/>
      <c r="K203" s="59">
        <f t="shared" si="24"/>
        <v>2</v>
      </c>
      <c r="L203" s="49">
        <v>2</v>
      </c>
      <c r="M203" s="49">
        <v>2</v>
      </c>
      <c r="N203" s="49">
        <v>2.5</v>
      </c>
      <c r="O203" s="49">
        <v>2</v>
      </c>
      <c r="P203" s="49">
        <v>2</v>
      </c>
      <c r="Q203" s="59">
        <f t="shared" si="25"/>
        <v>2.1</v>
      </c>
      <c r="R203" s="49"/>
      <c r="S203" s="49"/>
      <c r="T203" s="49"/>
      <c r="U203" s="49"/>
      <c r="V203" s="49"/>
      <c r="W203" s="59" t="str">
        <f t="shared" si="26"/>
        <v>A</v>
      </c>
      <c r="X203" s="49">
        <v>2</v>
      </c>
      <c r="Y203" s="49"/>
      <c r="Z203" s="49"/>
      <c r="AA203" s="49"/>
      <c r="AB203" s="49"/>
      <c r="AC203" s="59">
        <f t="shared" si="27"/>
        <v>2</v>
      </c>
      <c r="AD203" s="49"/>
      <c r="AE203" s="49"/>
      <c r="AF203" s="49"/>
      <c r="AG203" s="49"/>
      <c r="AH203" s="49"/>
      <c r="AI203" s="59" t="str">
        <f t="shared" si="28"/>
        <v>A</v>
      </c>
      <c r="AJ203" s="49">
        <v>2.5</v>
      </c>
      <c r="AK203" s="49">
        <v>2</v>
      </c>
      <c r="AL203" s="49"/>
      <c r="AM203" s="49">
        <v>2</v>
      </c>
      <c r="AN203" s="49"/>
      <c r="AO203" s="59">
        <f t="shared" si="29"/>
        <v>2.1666666666666665</v>
      </c>
      <c r="AP203" s="49">
        <v>2.5</v>
      </c>
      <c r="AQ203" s="49"/>
      <c r="AR203" s="49"/>
      <c r="AS203" s="49"/>
      <c r="AT203" s="49"/>
      <c r="AU203" s="59">
        <f t="shared" si="30"/>
        <v>2.5</v>
      </c>
      <c r="AV203" s="49"/>
      <c r="AW203" s="49"/>
      <c r="AX203" s="49"/>
      <c r="AY203" s="49">
        <v>2</v>
      </c>
      <c r="AZ203" s="49">
        <v>2</v>
      </c>
      <c r="BA203" s="59">
        <f t="shared" si="31"/>
        <v>2</v>
      </c>
    </row>
    <row r="204" spans="1:53" ht="23.1" customHeight="1" x14ac:dyDescent="0.3">
      <c r="A204" s="7">
        <v>202</v>
      </c>
      <c r="B204" s="7" t="s">
        <v>438</v>
      </c>
      <c r="C204" s="7" t="s">
        <v>439</v>
      </c>
      <c r="D204" s="7" t="s">
        <v>450</v>
      </c>
      <c r="E204" s="7" t="s">
        <v>289</v>
      </c>
      <c r="F204" s="7"/>
      <c r="G204" s="7"/>
      <c r="H204" s="49">
        <f>IFERROR(VLOOKUP(B204,[1]Debate!$A$5:$O$262,3,FALSE),"0")</f>
        <v>1</v>
      </c>
      <c r="I204" s="7"/>
      <c r="J204" s="7"/>
      <c r="K204" s="59">
        <f t="shared" si="24"/>
        <v>1</v>
      </c>
      <c r="L204" s="49">
        <v>1</v>
      </c>
      <c r="M204" s="49">
        <v>1</v>
      </c>
      <c r="N204" s="49">
        <v>1</v>
      </c>
      <c r="O204" s="49">
        <v>2</v>
      </c>
      <c r="P204" s="49">
        <v>2</v>
      </c>
      <c r="Q204" s="59">
        <f t="shared" si="25"/>
        <v>1.4</v>
      </c>
      <c r="R204" s="49"/>
      <c r="S204" s="49"/>
      <c r="T204" s="7"/>
      <c r="U204" s="49"/>
      <c r="V204" s="7"/>
      <c r="W204" s="59" t="str">
        <f t="shared" si="26"/>
        <v>A</v>
      </c>
      <c r="X204" s="49">
        <v>2</v>
      </c>
      <c r="Y204" s="49"/>
      <c r="Z204" s="7"/>
      <c r="AA204" s="7"/>
      <c r="AB204" s="7"/>
      <c r="AC204" s="59">
        <f t="shared" si="27"/>
        <v>2</v>
      </c>
      <c r="AD204" s="49"/>
      <c r="AE204" s="7"/>
      <c r="AF204" s="49"/>
      <c r="AG204" s="7"/>
      <c r="AH204" s="7"/>
      <c r="AI204" s="59" t="str">
        <f t="shared" si="28"/>
        <v>A</v>
      </c>
      <c r="AJ204" s="49">
        <v>1</v>
      </c>
      <c r="AK204" s="49">
        <v>1</v>
      </c>
      <c r="AL204" s="7"/>
      <c r="AM204" s="49">
        <v>1</v>
      </c>
      <c r="AN204" s="7"/>
      <c r="AO204" s="59">
        <f t="shared" si="29"/>
        <v>1</v>
      </c>
      <c r="AP204" s="49">
        <v>2</v>
      </c>
      <c r="AQ204" s="49"/>
      <c r="AR204" s="49"/>
      <c r="AS204" s="7"/>
      <c r="AT204" s="7"/>
      <c r="AU204" s="59">
        <f t="shared" si="30"/>
        <v>2</v>
      </c>
      <c r="AV204" s="7"/>
      <c r="AW204" s="7"/>
      <c r="AX204" s="49"/>
      <c r="AY204" s="49">
        <v>1</v>
      </c>
      <c r="AZ204" s="49">
        <v>1</v>
      </c>
      <c r="BA204" s="59">
        <f t="shared" si="31"/>
        <v>1</v>
      </c>
    </row>
    <row r="205" spans="1:53" ht="23.1" customHeight="1" x14ac:dyDescent="0.3">
      <c r="A205" s="49">
        <v>203</v>
      </c>
      <c r="B205" s="49" t="s">
        <v>440</v>
      </c>
      <c r="C205" s="49" t="s">
        <v>441</v>
      </c>
      <c r="D205" s="49" t="s">
        <v>450</v>
      </c>
      <c r="E205" s="49" t="s">
        <v>289</v>
      </c>
      <c r="F205" s="49"/>
      <c r="G205" s="49"/>
      <c r="H205" s="49">
        <f>IFERROR(VLOOKUP(B205,[1]Debate!$A$5:$O$262,3,FALSE),"0")</f>
        <v>2</v>
      </c>
      <c r="I205" s="49"/>
      <c r="J205" s="49"/>
      <c r="K205" s="59">
        <f t="shared" si="24"/>
        <v>2</v>
      </c>
      <c r="L205" s="49">
        <v>2</v>
      </c>
      <c r="M205" s="49">
        <v>2</v>
      </c>
      <c r="N205" s="49">
        <v>2</v>
      </c>
      <c r="O205" s="49">
        <v>1</v>
      </c>
      <c r="P205" s="49">
        <v>2</v>
      </c>
      <c r="Q205" s="59">
        <f t="shared" si="25"/>
        <v>1.8</v>
      </c>
      <c r="R205" s="49"/>
      <c r="S205" s="49"/>
      <c r="T205" s="49"/>
      <c r="U205" s="49"/>
      <c r="V205" s="49"/>
      <c r="W205" s="59" t="str">
        <f t="shared" si="26"/>
        <v>A</v>
      </c>
      <c r="X205" s="49">
        <v>2</v>
      </c>
      <c r="Y205" s="49"/>
      <c r="Z205" s="49"/>
      <c r="AA205" s="49"/>
      <c r="AB205" s="49"/>
      <c r="AC205" s="59">
        <f t="shared" si="27"/>
        <v>2</v>
      </c>
      <c r="AD205" s="49"/>
      <c r="AE205" s="49"/>
      <c r="AF205" s="49"/>
      <c r="AG205" s="49"/>
      <c r="AH205" s="49"/>
      <c r="AI205" s="59" t="str">
        <f t="shared" si="28"/>
        <v>A</v>
      </c>
      <c r="AJ205" s="49">
        <v>2</v>
      </c>
      <c r="AK205" s="49">
        <v>2</v>
      </c>
      <c r="AL205" s="49"/>
      <c r="AM205" s="49">
        <v>2</v>
      </c>
      <c r="AN205" s="49"/>
      <c r="AO205" s="59">
        <f t="shared" si="29"/>
        <v>2</v>
      </c>
      <c r="AP205" s="49">
        <v>2</v>
      </c>
      <c r="AQ205" s="49"/>
      <c r="AR205" s="49"/>
      <c r="AS205" s="49"/>
      <c r="AT205" s="49"/>
      <c r="AU205" s="59">
        <f t="shared" si="30"/>
        <v>2</v>
      </c>
      <c r="AV205" s="49"/>
      <c r="AW205" s="49"/>
      <c r="AX205" s="49"/>
      <c r="AY205" s="49">
        <v>2</v>
      </c>
      <c r="AZ205" s="49">
        <v>2</v>
      </c>
      <c r="BA205" s="59">
        <f t="shared" si="31"/>
        <v>2</v>
      </c>
    </row>
    <row r="206" spans="1:53" ht="23.1" customHeight="1" x14ac:dyDescent="0.3">
      <c r="A206" s="7">
        <v>204</v>
      </c>
      <c r="B206" s="7" t="s">
        <v>442</v>
      </c>
      <c r="C206" s="7" t="s">
        <v>443</v>
      </c>
      <c r="D206" s="7" t="s">
        <v>450</v>
      </c>
      <c r="E206" s="7" t="s">
        <v>289</v>
      </c>
      <c r="F206" s="7"/>
      <c r="G206" s="7"/>
      <c r="H206" s="49">
        <f>IFERROR(VLOOKUP(B206,[1]Debate!$A$5:$O$262,3,FALSE),"0")</f>
        <v>3</v>
      </c>
      <c r="I206" s="7"/>
      <c r="J206" s="7"/>
      <c r="K206" s="59">
        <f t="shared" si="24"/>
        <v>3</v>
      </c>
      <c r="L206" s="49">
        <v>3</v>
      </c>
      <c r="M206" s="49">
        <v>4</v>
      </c>
      <c r="N206" s="49">
        <v>3</v>
      </c>
      <c r="O206" s="49">
        <v>1.5</v>
      </c>
      <c r="P206" s="49">
        <v>2</v>
      </c>
      <c r="Q206" s="59">
        <f t="shared" si="25"/>
        <v>2.7</v>
      </c>
      <c r="R206" s="49"/>
      <c r="S206" s="49"/>
      <c r="T206" s="7"/>
      <c r="U206" s="49"/>
      <c r="V206" s="7"/>
      <c r="W206" s="59" t="str">
        <f t="shared" si="26"/>
        <v>A</v>
      </c>
      <c r="X206" s="49">
        <v>4</v>
      </c>
      <c r="Y206" s="49"/>
      <c r="Z206" s="7"/>
      <c r="AA206" s="7"/>
      <c r="AB206" s="7"/>
      <c r="AC206" s="59">
        <f t="shared" si="27"/>
        <v>4</v>
      </c>
      <c r="AD206" s="49"/>
      <c r="AE206" s="7"/>
      <c r="AF206" s="49"/>
      <c r="AG206" s="7"/>
      <c r="AH206" s="7"/>
      <c r="AI206" s="59" t="str">
        <f t="shared" si="28"/>
        <v>A</v>
      </c>
      <c r="AJ206" s="49">
        <v>3</v>
      </c>
      <c r="AK206" s="49">
        <v>2</v>
      </c>
      <c r="AL206" s="7"/>
      <c r="AM206" s="49">
        <v>2</v>
      </c>
      <c r="AN206" s="7"/>
      <c r="AO206" s="59">
        <f t="shared" si="29"/>
        <v>2.3333333333333335</v>
      </c>
      <c r="AP206" s="49">
        <v>3</v>
      </c>
      <c r="AQ206" s="49"/>
      <c r="AR206" s="49"/>
      <c r="AS206" s="7"/>
      <c r="AT206" s="7"/>
      <c r="AU206" s="59">
        <f t="shared" si="30"/>
        <v>3</v>
      </c>
      <c r="AV206" s="7"/>
      <c r="AW206" s="7"/>
      <c r="AX206" s="49"/>
      <c r="AY206" s="49">
        <v>3</v>
      </c>
      <c r="AZ206" s="49">
        <v>3</v>
      </c>
      <c r="BA206" s="59">
        <f t="shared" si="31"/>
        <v>3</v>
      </c>
    </row>
    <row r="207" spans="1:53" ht="23.1" customHeight="1" x14ac:dyDescent="0.3">
      <c r="A207" s="49">
        <v>205</v>
      </c>
      <c r="B207" s="49" t="s">
        <v>444</v>
      </c>
      <c r="C207" s="49" t="s">
        <v>445</v>
      </c>
      <c r="D207" s="49" t="s">
        <v>450</v>
      </c>
      <c r="E207" s="49" t="s">
        <v>289</v>
      </c>
      <c r="F207" s="49"/>
      <c r="G207" s="49"/>
      <c r="H207" s="49">
        <f>IFERROR(VLOOKUP(B207,[1]Debate!$A$5:$O$262,3,FALSE),"0")</f>
        <v>3</v>
      </c>
      <c r="I207" s="49"/>
      <c r="J207" s="49"/>
      <c r="K207" s="59">
        <f t="shared" si="24"/>
        <v>3</v>
      </c>
      <c r="L207" s="49">
        <v>3</v>
      </c>
      <c r="M207" s="49">
        <v>3</v>
      </c>
      <c r="N207" s="49">
        <v>3</v>
      </c>
      <c r="O207" s="49">
        <v>2</v>
      </c>
      <c r="P207" s="49">
        <v>2</v>
      </c>
      <c r="Q207" s="59">
        <f t="shared" si="25"/>
        <v>2.6</v>
      </c>
      <c r="R207" s="49"/>
      <c r="S207" s="49"/>
      <c r="T207" s="49"/>
      <c r="U207" s="49"/>
      <c r="V207" s="49"/>
      <c r="W207" s="59" t="str">
        <f t="shared" si="26"/>
        <v>A</v>
      </c>
      <c r="X207" s="49">
        <v>3</v>
      </c>
      <c r="Y207" s="49"/>
      <c r="Z207" s="49"/>
      <c r="AA207" s="49"/>
      <c r="AB207" s="49"/>
      <c r="AC207" s="59">
        <f t="shared" si="27"/>
        <v>3</v>
      </c>
      <c r="AD207" s="49"/>
      <c r="AE207" s="49"/>
      <c r="AF207" s="49"/>
      <c r="AG207" s="49"/>
      <c r="AH207" s="49"/>
      <c r="AI207" s="59" t="str">
        <f t="shared" si="28"/>
        <v>A</v>
      </c>
      <c r="AJ207" s="49">
        <v>2</v>
      </c>
      <c r="AK207" s="49">
        <v>3</v>
      </c>
      <c r="AL207" s="49"/>
      <c r="AM207" s="49">
        <v>3</v>
      </c>
      <c r="AN207" s="49"/>
      <c r="AO207" s="59">
        <f t="shared" si="29"/>
        <v>2.6666666666666665</v>
      </c>
      <c r="AP207" s="49">
        <v>3</v>
      </c>
      <c r="AQ207" s="49"/>
      <c r="AR207" s="49"/>
      <c r="AS207" s="49"/>
      <c r="AT207" s="49"/>
      <c r="AU207" s="59">
        <f t="shared" si="30"/>
        <v>3</v>
      </c>
      <c r="AV207" s="49"/>
      <c r="AW207" s="49"/>
      <c r="AX207" s="49"/>
      <c r="AY207" s="49">
        <v>3</v>
      </c>
      <c r="AZ207" s="49">
        <v>3</v>
      </c>
      <c r="BA207" s="59">
        <f t="shared" si="31"/>
        <v>3</v>
      </c>
    </row>
    <row r="208" spans="1:53" ht="23.1" customHeight="1" x14ac:dyDescent="0.3">
      <c r="A208" s="7">
        <v>206</v>
      </c>
      <c r="B208" s="7" t="s">
        <v>446</v>
      </c>
      <c r="C208" s="7" t="s">
        <v>447</v>
      </c>
      <c r="D208" s="7" t="s">
        <v>450</v>
      </c>
      <c r="E208" s="7" t="s">
        <v>289</v>
      </c>
      <c r="F208" s="7"/>
      <c r="G208" s="7"/>
      <c r="H208" s="49">
        <f>IFERROR(VLOOKUP(B208,[1]Debate!$A$5:$O$262,3,FALSE),"0")</f>
        <v>2</v>
      </c>
      <c r="I208" s="7"/>
      <c r="J208" s="7"/>
      <c r="K208" s="59">
        <f t="shared" si="24"/>
        <v>2</v>
      </c>
      <c r="L208" s="49">
        <v>3</v>
      </c>
      <c r="M208" s="49">
        <v>3</v>
      </c>
      <c r="N208" s="49">
        <v>3</v>
      </c>
      <c r="O208" s="49">
        <v>1.5</v>
      </c>
      <c r="P208" s="49">
        <v>2</v>
      </c>
      <c r="Q208" s="59">
        <f t="shared" si="25"/>
        <v>2.5</v>
      </c>
      <c r="R208" s="49"/>
      <c r="S208" s="49"/>
      <c r="T208" s="7"/>
      <c r="U208" s="49"/>
      <c r="V208" s="7"/>
      <c r="W208" s="59" t="str">
        <f t="shared" si="26"/>
        <v>A</v>
      </c>
      <c r="X208" s="49">
        <v>2</v>
      </c>
      <c r="Y208" s="49"/>
      <c r="Z208" s="7"/>
      <c r="AA208" s="7"/>
      <c r="AB208" s="7"/>
      <c r="AC208" s="59">
        <f t="shared" si="27"/>
        <v>2</v>
      </c>
      <c r="AD208" s="49"/>
      <c r="AE208" s="7"/>
      <c r="AF208" s="49"/>
      <c r="AG208" s="7"/>
      <c r="AH208" s="7"/>
      <c r="AI208" s="59" t="str">
        <f t="shared" si="28"/>
        <v>A</v>
      </c>
      <c r="AJ208" s="49">
        <v>2</v>
      </c>
      <c r="AK208" s="49">
        <v>2</v>
      </c>
      <c r="AL208" s="7"/>
      <c r="AM208" s="49">
        <v>1</v>
      </c>
      <c r="AN208" s="7"/>
      <c r="AO208" s="59">
        <f t="shared" si="29"/>
        <v>1.6666666666666667</v>
      </c>
      <c r="AP208" s="49">
        <v>3</v>
      </c>
      <c r="AQ208" s="49"/>
      <c r="AR208" s="49"/>
      <c r="AS208" s="7"/>
      <c r="AT208" s="7"/>
      <c r="AU208" s="59">
        <f t="shared" si="30"/>
        <v>3</v>
      </c>
      <c r="AV208" s="7"/>
      <c r="AW208" s="7"/>
      <c r="AX208" s="49"/>
      <c r="AY208" s="49">
        <v>2</v>
      </c>
      <c r="AZ208" s="49">
        <v>2</v>
      </c>
      <c r="BA208" s="59">
        <f t="shared" si="31"/>
        <v>2</v>
      </c>
    </row>
    <row r="209" spans="1:53" ht="23.1" customHeight="1" x14ac:dyDescent="0.3">
      <c r="A209" s="49">
        <v>207</v>
      </c>
      <c r="B209" s="49" t="s">
        <v>448</v>
      </c>
      <c r="C209" s="49" t="s">
        <v>449</v>
      </c>
      <c r="D209" s="49" t="s">
        <v>450</v>
      </c>
      <c r="E209" s="49" t="s">
        <v>289</v>
      </c>
      <c r="F209" s="49"/>
      <c r="G209" s="49"/>
      <c r="H209" s="49">
        <f>IFERROR(VLOOKUP(B209,[1]Debate!$A$5:$O$262,3,FALSE),"0")</f>
        <v>2</v>
      </c>
      <c r="I209" s="49"/>
      <c r="J209" s="49"/>
      <c r="K209" s="59">
        <f t="shared" si="24"/>
        <v>2</v>
      </c>
      <c r="L209" s="49">
        <v>3</v>
      </c>
      <c r="M209" s="49">
        <v>3</v>
      </c>
      <c r="N209" s="49">
        <v>3</v>
      </c>
      <c r="O209" s="49">
        <v>2.5</v>
      </c>
      <c r="P209" s="49">
        <v>2</v>
      </c>
      <c r="Q209" s="59">
        <f t="shared" si="25"/>
        <v>2.7</v>
      </c>
      <c r="R209" s="49"/>
      <c r="S209" s="49"/>
      <c r="T209" s="49"/>
      <c r="U209" s="49"/>
      <c r="V209" s="49"/>
      <c r="W209" s="59" t="str">
        <f t="shared" si="26"/>
        <v>A</v>
      </c>
      <c r="X209" s="49">
        <v>3</v>
      </c>
      <c r="Y209" s="49"/>
      <c r="Z209" s="49"/>
      <c r="AA209" s="49"/>
      <c r="AB209" s="49"/>
      <c r="AC209" s="59">
        <f t="shared" si="27"/>
        <v>3</v>
      </c>
      <c r="AD209" s="49"/>
      <c r="AE209" s="49"/>
      <c r="AF209" s="49"/>
      <c r="AG209" s="49"/>
      <c r="AH209" s="49"/>
      <c r="AI209" s="59" t="str">
        <f t="shared" si="28"/>
        <v>A</v>
      </c>
      <c r="AJ209" s="49">
        <v>3</v>
      </c>
      <c r="AK209" s="49">
        <v>2</v>
      </c>
      <c r="AL209" s="49"/>
      <c r="AM209" s="49">
        <v>2</v>
      </c>
      <c r="AN209" s="49"/>
      <c r="AO209" s="59">
        <f t="shared" si="29"/>
        <v>2.3333333333333335</v>
      </c>
      <c r="AP209" s="49">
        <v>3</v>
      </c>
      <c r="AQ209" s="49"/>
      <c r="AR209" s="49"/>
      <c r="AS209" s="49"/>
      <c r="AT209" s="49"/>
      <c r="AU209" s="59">
        <f t="shared" si="30"/>
        <v>3</v>
      </c>
      <c r="AV209" s="49"/>
      <c r="AW209" s="49"/>
      <c r="AX209" s="49"/>
      <c r="AY209" s="49">
        <v>4</v>
      </c>
      <c r="AZ209" s="49">
        <v>3</v>
      </c>
      <c r="BA209" s="59">
        <f t="shared" si="31"/>
        <v>3.5</v>
      </c>
    </row>
    <row r="210" spans="1:53" ht="23.1" customHeight="1" x14ac:dyDescent="0.3">
      <c r="A210" s="7">
        <v>208</v>
      </c>
      <c r="B210" s="7" t="s">
        <v>74</v>
      </c>
      <c r="C210" s="7" t="s">
        <v>494</v>
      </c>
      <c r="D210" s="7" t="s">
        <v>450</v>
      </c>
      <c r="E210" s="7" t="s">
        <v>289</v>
      </c>
      <c r="F210" s="7"/>
      <c r="G210" s="7"/>
      <c r="H210" s="49">
        <f>IFERROR(VLOOKUP(B210,[1]Debate!$A$5:$O$262,3,FALSE),"0")</f>
        <v>3</v>
      </c>
      <c r="I210" s="7"/>
      <c r="J210" s="7"/>
      <c r="K210" s="59">
        <f t="shared" si="24"/>
        <v>3</v>
      </c>
      <c r="L210" s="49">
        <v>5</v>
      </c>
      <c r="M210" s="49">
        <v>4</v>
      </c>
      <c r="N210" s="49">
        <v>4</v>
      </c>
      <c r="O210" s="49">
        <v>3</v>
      </c>
      <c r="P210" s="49">
        <v>4</v>
      </c>
      <c r="Q210" s="59">
        <f t="shared" si="25"/>
        <v>4</v>
      </c>
      <c r="R210" s="49"/>
      <c r="S210" s="49"/>
      <c r="T210" s="7"/>
      <c r="U210" s="49"/>
      <c r="V210" s="7"/>
      <c r="W210" s="59" t="str">
        <f t="shared" si="26"/>
        <v>A</v>
      </c>
      <c r="X210" s="49">
        <v>3</v>
      </c>
      <c r="Y210" s="49"/>
      <c r="Z210" s="7"/>
      <c r="AA210" s="7"/>
      <c r="AB210" s="7"/>
      <c r="AC210" s="59">
        <f t="shared" si="27"/>
        <v>3</v>
      </c>
      <c r="AD210" s="49"/>
      <c r="AE210" s="7"/>
      <c r="AF210" s="49"/>
      <c r="AG210" s="7"/>
      <c r="AH210" s="7"/>
      <c r="AI210" s="59" t="str">
        <f t="shared" si="28"/>
        <v>A</v>
      </c>
      <c r="AJ210" s="49">
        <v>4</v>
      </c>
      <c r="AK210" s="49">
        <v>4</v>
      </c>
      <c r="AL210" s="7"/>
      <c r="AM210" s="49">
        <v>3</v>
      </c>
      <c r="AN210" s="7"/>
      <c r="AO210" s="59">
        <f t="shared" si="29"/>
        <v>3.6666666666666665</v>
      </c>
      <c r="AP210" s="49">
        <v>3</v>
      </c>
      <c r="AQ210" s="49"/>
      <c r="AR210" s="49"/>
      <c r="AS210" s="7"/>
      <c r="AT210" s="7"/>
      <c r="AU210" s="59">
        <f t="shared" si="30"/>
        <v>3</v>
      </c>
      <c r="AV210" s="7"/>
      <c r="AW210" s="7"/>
      <c r="AX210" s="49"/>
      <c r="AY210" s="49">
        <v>3</v>
      </c>
      <c r="AZ210" s="49">
        <v>3</v>
      </c>
      <c r="BA210" s="59">
        <f t="shared" si="31"/>
        <v>3</v>
      </c>
    </row>
    <row r="211" spans="1:53" ht="23.1" customHeight="1" x14ac:dyDescent="0.3">
      <c r="A211" s="49">
        <v>209</v>
      </c>
      <c r="B211" s="49" t="s">
        <v>451</v>
      </c>
      <c r="C211" s="49" t="s">
        <v>452</v>
      </c>
      <c r="D211" s="49" t="s">
        <v>450</v>
      </c>
      <c r="E211" s="49" t="s">
        <v>289</v>
      </c>
      <c r="F211" s="49"/>
      <c r="G211" s="49"/>
      <c r="H211" s="49">
        <f>IFERROR(VLOOKUP(B211,[1]Debate!$A$5:$O$262,3,FALSE),"0")</f>
        <v>2</v>
      </c>
      <c r="I211" s="49"/>
      <c r="J211" s="49"/>
      <c r="K211" s="59">
        <f t="shared" si="24"/>
        <v>2</v>
      </c>
      <c r="L211" s="49">
        <v>2</v>
      </c>
      <c r="M211" s="49">
        <v>2</v>
      </c>
      <c r="N211" s="49">
        <v>2</v>
      </c>
      <c r="O211" s="49">
        <v>2</v>
      </c>
      <c r="P211" s="49">
        <v>2</v>
      </c>
      <c r="Q211" s="59">
        <f t="shared" si="25"/>
        <v>2</v>
      </c>
      <c r="R211" s="49"/>
      <c r="S211" s="49"/>
      <c r="T211" s="49"/>
      <c r="U211" s="49"/>
      <c r="V211" s="49"/>
      <c r="W211" s="59" t="str">
        <f t="shared" si="26"/>
        <v>A</v>
      </c>
      <c r="X211" s="49">
        <v>2</v>
      </c>
      <c r="Y211" s="49"/>
      <c r="Z211" s="49"/>
      <c r="AA211" s="49"/>
      <c r="AB211" s="49"/>
      <c r="AC211" s="59">
        <f t="shared" si="27"/>
        <v>2</v>
      </c>
      <c r="AD211" s="49"/>
      <c r="AE211" s="49"/>
      <c r="AF211" s="49"/>
      <c r="AG211" s="49"/>
      <c r="AH211" s="49"/>
      <c r="AI211" s="59" t="str">
        <f t="shared" si="28"/>
        <v>A</v>
      </c>
      <c r="AJ211" s="49">
        <v>2</v>
      </c>
      <c r="AK211" s="49">
        <v>2</v>
      </c>
      <c r="AL211" s="49"/>
      <c r="AM211" s="49">
        <v>2</v>
      </c>
      <c r="AN211" s="49"/>
      <c r="AO211" s="59">
        <f t="shared" si="29"/>
        <v>2</v>
      </c>
      <c r="AP211" s="49">
        <v>2</v>
      </c>
      <c r="AQ211" s="49"/>
      <c r="AR211" s="49"/>
      <c r="AS211" s="49"/>
      <c r="AT211" s="49"/>
      <c r="AU211" s="59">
        <f t="shared" si="30"/>
        <v>2</v>
      </c>
      <c r="AV211" s="49"/>
      <c r="AW211" s="49"/>
      <c r="AX211" s="49"/>
      <c r="AY211" s="49">
        <v>2</v>
      </c>
      <c r="AZ211" s="49">
        <v>2</v>
      </c>
      <c r="BA211" s="59">
        <f t="shared" si="31"/>
        <v>2</v>
      </c>
    </row>
    <row r="212" spans="1:53" ht="23.1" customHeight="1" x14ac:dyDescent="0.3">
      <c r="A212" s="7">
        <v>210</v>
      </c>
      <c r="B212" s="7" t="s">
        <v>453</v>
      </c>
      <c r="C212" s="7" t="s">
        <v>454</v>
      </c>
      <c r="D212" s="7" t="s">
        <v>450</v>
      </c>
      <c r="E212" s="7" t="s">
        <v>289</v>
      </c>
      <c r="F212" s="7"/>
      <c r="G212" s="7"/>
      <c r="H212" s="49">
        <f>IFERROR(VLOOKUP(B212,[1]Debate!$A$5:$O$262,3,FALSE),"0")</f>
        <v>2</v>
      </c>
      <c r="I212" s="7"/>
      <c r="J212" s="7"/>
      <c r="K212" s="59">
        <f t="shared" si="24"/>
        <v>2</v>
      </c>
      <c r="L212" s="49">
        <v>3</v>
      </c>
      <c r="M212" s="49">
        <v>3</v>
      </c>
      <c r="N212" s="49">
        <v>3</v>
      </c>
      <c r="O212" s="49">
        <v>3.5</v>
      </c>
      <c r="P212" s="49">
        <v>3</v>
      </c>
      <c r="Q212" s="59">
        <f t="shared" si="25"/>
        <v>3.1</v>
      </c>
      <c r="R212" s="49"/>
      <c r="S212" s="49"/>
      <c r="T212" s="7"/>
      <c r="U212" s="49"/>
      <c r="V212" s="7"/>
      <c r="W212" s="59" t="str">
        <f t="shared" si="26"/>
        <v>A</v>
      </c>
      <c r="X212" s="49">
        <v>3</v>
      </c>
      <c r="Y212" s="49"/>
      <c r="Z212" s="7"/>
      <c r="AA212" s="7"/>
      <c r="AB212" s="7"/>
      <c r="AC212" s="59">
        <f t="shared" si="27"/>
        <v>3</v>
      </c>
      <c r="AD212" s="49"/>
      <c r="AE212" s="7"/>
      <c r="AF212" s="49"/>
      <c r="AG212" s="7"/>
      <c r="AH212" s="7"/>
      <c r="AI212" s="59" t="str">
        <f t="shared" si="28"/>
        <v>A</v>
      </c>
      <c r="AJ212" s="49">
        <v>3</v>
      </c>
      <c r="AK212" s="49">
        <v>3</v>
      </c>
      <c r="AL212" s="7"/>
      <c r="AM212" s="49">
        <v>3</v>
      </c>
      <c r="AN212" s="7"/>
      <c r="AO212" s="59">
        <f t="shared" si="29"/>
        <v>3</v>
      </c>
      <c r="AP212" s="49">
        <v>3</v>
      </c>
      <c r="AQ212" s="49"/>
      <c r="AR212" s="49"/>
      <c r="AS212" s="7"/>
      <c r="AT212" s="7"/>
      <c r="AU212" s="59">
        <f t="shared" si="30"/>
        <v>3</v>
      </c>
      <c r="AV212" s="7"/>
      <c r="AW212" s="7"/>
      <c r="AX212" s="49"/>
      <c r="AY212" s="49">
        <v>3</v>
      </c>
      <c r="AZ212" s="49">
        <v>3</v>
      </c>
      <c r="BA212" s="59">
        <f t="shared" si="31"/>
        <v>3</v>
      </c>
    </row>
    <row r="213" spans="1:53" ht="23.1" customHeight="1" x14ac:dyDescent="0.3">
      <c r="A213" s="49">
        <v>211</v>
      </c>
      <c r="B213" s="49" t="s">
        <v>455</v>
      </c>
      <c r="C213" s="49" t="s">
        <v>456</v>
      </c>
      <c r="D213" s="49" t="s">
        <v>542</v>
      </c>
      <c r="E213" s="49" t="s">
        <v>289</v>
      </c>
      <c r="F213" s="49"/>
      <c r="G213" s="49"/>
      <c r="H213" s="49">
        <f>IFERROR(VLOOKUP(B213,[1]Debate!$A$5:$O$262,3,FALSE),"0")</f>
        <v>3</v>
      </c>
      <c r="I213" s="49"/>
      <c r="J213" s="49"/>
      <c r="K213" s="59">
        <f t="shared" si="24"/>
        <v>3</v>
      </c>
      <c r="L213" s="49">
        <v>4</v>
      </c>
      <c r="M213" s="49">
        <v>3</v>
      </c>
      <c r="N213" s="49">
        <v>3</v>
      </c>
      <c r="O213" s="49">
        <v>2.5</v>
      </c>
      <c r="P213" s="49">
        <v>3</v>
      </c>
      <c r="Q213" s="59">
        <f t="shared" si="25"/>
        <v>3.1</v>
      </c>
      <c r="R213" s="49"/>
      <c r="S213" s="49"/>
      <c r="T213" s="49"/>
      <c r="U213" s="49"/>
      <c r="V213" s="49"/>
      <c r="W213" s="59" t="str">
        <f t="shared" si="26"/>
        <v>A</v>
      </c>
      <c r="X213" s="49">
        <v>4</v>
      </c>
      <c r="Y213" s="49"/>
      <c r="Z213" s="49"/>
      <c r="AA213" s="49"/>
      <c r="AB213" s="49"/>
      <c r="AC213" s="59">
        <f t="shared" si="27"/>
        <v>4</v>
      </c>
      <c r="AD213" s="49"/>
      <c r="AE213" s="49"/>
      <c r="AF213" s="49"/>
      <c r="AG213" s="49"/>
      <c r="AH213" s="49"/>
      <c r="AI213" s="59" t="str">
        <f t="shared" si="28"/>
        <v>A</v>
      </c>
      <c r="AJ213" s="49">
        <v>4</v>
      </c>
      <c r="AK213" s="49">
        <v>3</v>
      </c>
      <c r="AL213" s="49"/>
      <c r="AM213" s="49">
        <v>4</v>
      </c>
      <c r="AN213" s="49"/>
      <c r="AO213" s="59">
        <f t="shared" si="29"/>
        <v>3.6666666666666665</v>
      </c>
      <c r="AP213" s="49">
        <v>3</v>
      </c>
      <c r="AQ213" s="49"/>
      <c r="AR213" s="49"/>
      <c r="AS213" s="49"/>
      <c r="AT213" s="49"/>
      <c r="AU213" s="59">
        <f t="shared" si="30"/>
        <v>3</v>
      </c>
      <c r="AV213" s="49"/>
      <c r="AW213" s="49"/>
      <c r="AX213" s="49"/>
      <c r="AY213" s="49">
        <v>4</v>
      </c>
      <c r="AZ213" s="49">
        <v>3</v>
      </c>
      <c r="BA213" s="59">
        <f t="shared" si="31"/>
        <v>3.5</v>
      </c>
    </row>
    <row r="214" spans="1:53" ht="23.1" customHeight="1" x14ac:dyDescent="0.3">
      <c r="A214" s="7">
        <v>212</v>
      </c>
      <c r="B214" s="7" t="s">
        <v>457</v>
      </c>
      <c r="C214" s="7" t="s">
        <v>458</v>
      </c>
      <c r="D214" s="7" t="s">
        <v>542</v>
      </c>
      <c r="E214" s="7" t="s">
        <v>289</v>
      </c>
      <c r="F214" s="7"/>
      <c r="G214" s="7"/>
      <c r="H214" s="49">
        <f>IFERROR(VLOOKUP(B214,[1]Debate!$A$5:$O$262,3,FALSE),"0")</f>
        <v>3</v>
      </c>
      <c r="I214" s="7"/>
      <c r="J214" s="7"/>
      <c r="K214" s="59">
        <f t="shared" si="24"/>
        <v>3</v>
      </c>
      <c r="L214" s="49">
        <v>5</v>
      </c>
      <c r="M214" s="49">
        <v>4</v>
      </c>
      <c r="N214" s="49">
        <v>4</v>
      </c>
      <c r="O214" s="49">
        <v>2</v>
      </c>
      <c r="P214" s="49">
        <v>5</v>
      </c>
      <c r="Q214" s="59">
        <f t="shared" si="25"/>
        <v>4</v>
      </c>
      <c r="R214" s="49"/>
      <c r="S214" s="49"/>
      <c r="T214" s="7"/>
      <c r="U214" s="49"/>
      <c r="V214" s="7"/>
      <c r="W214" s="59" t="str">
        <f t="shared" si="26"/>
        <v>A</v>
      </c>
      <c r="X214" s="49">
        <v>3</v>
      </c>
      <c r="Y214" s="49"/>
      <c r="Z214" s="7"/>
      <c r="AA214" s="7"/>
      <c r="AB214" s="7"/>
      <c r="AC214" s="59">
        <f t="shared" si="27"/>
        <v>3</v>
      </c>
      <c r="AD214" s="49"/>
      <c r="AE214" s="7"/>
      <c r="AF214" s="49"/>
      <c r="AG214" s="7"/>
      <c r="AH214" s="7"/>
      <c r="AI214" s="59" t="str">
        <f t="shared" si="28"/>
        <v>A</v>
      </c>
      <c r="AJ214" s="49">
        <v>3</v>
      </c>
      <c r="AK214" s="49">
        <v>3</v>
      </c>
      <c r="AL214" s="7"/>
      <c r="AM214" s="49">
        <v>3</v>
      </c>
      <c r="AN214" s="7"/>
      <c r="AO214" s="59">
        <f t="shared" si="29"/>
        <v>3</v>
      </c>
      <c r="AP214" s="49">
        <v>3</v>
      </c>
      <c r="AQ214" s="49"/>
      <c r="AR214" s="49"/>
      <c r="AS214" s="7"/>
      <c r="AT214" s="7"/>
      <c r="AU214" s="59">
        <f t="shared" si="30"/>
        <v>3</v>
      </c>
      <c r="AV214" s="7"/>
      <c r="AW214" s="7"/>
      <c r="AX214" s="49"/>
      <c r="AY214" s="49">
        <v>4</v>
      </c>
      <c r="AZ214" s="49">
        <v>4</v>
      </c>
      <c r="BA214" s="59">
        <f t="shared" si="31"/>
        <v>4</v>
      </c>
    </row>
    <row r="215" spans="1:53" ht="23.1" customHeight="1" x14ac:dyDescent="0.3">
      <c r="A215" s="49">
        <v>213</v>
      </c>
      <c r="B215" s="49" t="s">
        <v>459</v>
      </c>
      <c r="C215" s="49" t="s">
        <v>460</v>
      </c>
      <c r="D215" s="49" t="s">
        <v>542</v>
      </c>
      <c r="E215" s="49" t="s">
        <v>289</v>
      </c>
      <c r="F215" s="49"/>
      <c r="G215" s="49"/>
      <c r="H215" s="49">
        <f>IFERROR(VLOOKUP(B215,[1]Debate!$A$5:$O$262,3,FALSE),"0")</f>
        <v>4</v>
      </c>
      <c r="I215" s="49"/>
      <c r="J215" s="49"/>
      <c r="K215" s="59">
        <f t="shared" si="24"/>
        <v>4</v>
      </c>
      <c r="L215" s="49">
        <v>3.5</v>
      </c>
      <c r="M215" s="49">
        <v>4</v>
      </c>
      <c r="N215" s="49">
        <v>3.5</v>
      </c>
      <c r="O215" s="49">
        <v>3.75</v>
      </c>
      <c r="P215" s="49">
        <v>3.5</v>
      </c>
      <c r="Q215" s="59">
        <f t="shared" si="25"/>
        <v>3.65</v>
      </c>
      <c r="R215" s="49"/>
      <c r="S215" s="49"/>
      <c r="T215" s="49"/>
      <c r="U215" s="49"/>
      <c r="V215" s="49"/>
      <c r="W215" s="59" t="str">
        <f t="shared" si="26"/>
        <v>A</v>
      </c>
      <c r="X215" s="49">
        <v>3.5</v>
      </c>
      <c r="Y215" s="49"/>
      <c r="Z215" s="49"/>
      <c r="AA215" s="49"/>
      <c r="AB215" s="49"/>
      <c r="AC215" s="59">
        <f t="shared" si="27"/>
        <v>3.5</v>
      </c>
      <c r="AD215" s="49"/>
      <c r="AE215" s="49"/>
      <c r="AF215" s="49"/>
      <c r="AG215" s="49"/>
      <c r="AH215" s="49"/>
      <c r="AI215" s="59" t="str">
        <f t="shared" si="28"/>
        <v>A</v>
      </c>
      <c r="AJ215" s="49">
        <v>3.5</v>
      </c>
      <c r="AK215" s="49">
        <v>4</v>
      </c>
      <c r="AL215" s="49"/>
      <c r="AM215" s="49">
        <v>3.5</v>
      </c>
      <c r="AN215" s="49"/>
      <c r="AO215" s="59">
        <f t="shared" si="29"/>
        <v>3.6666666666666665</v>
      </c>
      <c r="AP215" s="49">
        <v>3.5</v>
      </c>
      <c r="AQ215" s="49"/>
      <c r="AR215" s="49"/>
      <c r="AS215" s="49"/>
      <c r="AT215" s="49"/>
      <c r="AU215" s="59">
        <f t="shared" si="30"/>
        <v>3.5</v>
      </c>
      <c r="AV215" s="49"/>
      <c r="AW215" s="49"/>
      <c r="AX215" s="49"/>
      <c r="AY215" s="49">
        <v>4</v>
      </c>
      <c r="AZ215" s="49">
        <v>4</v>
      </c>
      <c r="BA215" s="59">
        <f t="shared" si="31"/>
        <v>4</v>
      </c>
    </row>
    <row r="216" spans="1:53" ht="23.1" customHeight="1" x14ac:dyDescent="0.3">
      <c r="A216" s="7">
        <v>214</v>
      </c>
      <c r="B216" s="7" t="s">
        <v>461</v>
      </c>
      <c r="C216" s="7" t="s">
        <v>462</v>
      </c>
      <c r="D216" s="7" t="s">
        <v>450</v>
      </c>
      <c r="E216" s="7" t="s">
        <v>289</v>
      </c>
      <c r="F216" s="7"/>
      <c r="G216" s="7"/>
      <c r="H216" s="49">
        <f>IFERROR(VLOOKUP(B216,[1]Debate!$A$5:$O$262,3,FALSE),"0")</f>
        <v>2.5</v>
      </c>
      <c r="I216" s="7"/>
      <c r="J216" s="7"/>
      <c r="K216" s="59">
        <f t="shared" si="24"/>
        <v>2.5</v>
      </c>
      <c r="L216" s="49">
        <v>2.5</v>
      </c>
      <c r="M216" s="49">
        <v>3</v>
      </c>
      <c r="N216" s="49">
        <v>2.5</v>
      </c>
      <c r="O216" s="49">
        <v>2.75</v>
      </c>
      <c r="P216" s="49">
        <v>2.5</v>
      </c>
      <c r="Q216" s="59">
        <f t="shared" si="25"/>
        <v>2.65</v>
      </c>
      <c r="R216" s="49"/>
      <c r="S216" s="49"/>
      <c r="T216" s="7"/>
      <c r="U216" s="49"/>
      <c r="V216" s="7"/>
      <c r="W216" s="59" t="str">
        <f t="shared" si="26"/>
        <v>A</v>
      </c>
      <c r="X216" s="49">
        <v>3</v>
      </c>
      <c r="Y216" s="49"/>
      <c r="Z216" s="7"/>
      <c r="AA216" s="7"/>
      <c r="AB216" s="7"/>
      <c r="AC216" s="59">
        <f t="shared" si="27"/>
        <v>3</v>
      </c>
      <c r="AD216" s="49"/>
      <c r="AE216" s="7"/>
      <c r="AF216" s="49"/>
      <c r="AG216" s="7"/>
      <c r="AH216" s="7"/>
      <c r="AI216" s="59" t="str">
        <f t="shared" si="28"/>
        <v>A</v>
      </c>
      <c r="AJ216" s="49">
        <v>3</v>
      </c>
      <c r="AK216" s="49">
        <v>2.5</v>
      </c>
      <c r="AL216" s="7"/>
      <c r="AM216" s="49">
        <v>2.5</v>
      </c>
      <c r="AN216" s="7"/>
      <c r="AO216" s="59">
        <f t="shared" si="29"/>
        <v>2.6666666666666665</v>
      </c>
      <c r="AP216" s="49">
        <v>3</v>
      </c>
      <c r="AQ216" s="49"/>
      <c r="AR216" s="49"/>
      <c r="AS216" s="7"/>
      <c r="AT216" s="7"/>
      <c r="AU216" s="59">
        <f t="shared" si="30"/>
        <v>3</v>
      </c>
      <c r="AV216" s="7"/>
      <c r="AW216" s="7"/>
      <c r="AX216" s="49"/>
      <c r="AY216" s="49">
        <v>3</v>
      </c>
      <c r="AZ216" s="49">
        <v>3</v>
      </c>
      <c r="BA216" s="59">
        <f t="shared" si="31"/>
        <v>3</v>
      </c>
    </row>
    <row r="217" spans="1:53" ht="23.1" customHeight="1" x14ac:dyDescent="0.3">
      <c r="A217" s="49">
        <v>215</v>
      </c>
      <c r="B217" s="49" t="s">
        <v>463</v>
      </c>
      <c r="C217" s="49" t="s">
        <v>464</v>
      </c>
      <c r="D217" s="49" t="s">
        <v>450</v>
      </c>
      <c r="E217" s="49" t="s">
        <v>289</v>
      </c>
      <c r="F217" s="49"/>
      <c r="G217" s="49"/>
      <c r="H217" s="49">
        <f>IFERROR(VLOOKUP(B217,[1]Debate!$A$5:$O$262,3,FALSE),"0")</f>
        <v>3</v>
      </c>
      <c r="I217" s="49"/>
      <c r="J217" s="49"/>
      <c r="K217" s="59">
        <f t="shared" si="24"/>
        <v>3</v>
      </c>
      <c r="L217" s="49">
        <v>3</v>
      </c>
      <c r="M217" s="49">
        <v>4</v>
      </c>
      <c r="N217" s="49">
        <v>4</v>
      </c>
      <c r="O217" s="49">
        <v>2.5</v>
      </c>
      <c r="P217" s="49">
        <v>2</v>
      </c>
      <c r="Q217" s="59">
        <f t="shared" si="25"/>
        <v>3.1</v>
      </c>
      <c r="R217" s="49"/>
      <c r="S217" s="49"/>
      <c r="T217" s="49"/>
      <c r="U217" s="49"/>
      <c r="V217" s="49"/>
      <c r="W217" s="59" t="str">
        <f t="shared" si="26"/>
        <v>A</v>
      </c>
      <c r="X217" s="49">
        <v>3</v>
      </c>
      <c r="Y217" s="49"/>
      <c r="Z217" s="49"/>
      <c r="AA217" s="49"/>
      <c r="AB217" s="49"/>
      <c r="AC217" s="59">
        <f t="shared" si="27"/>
        <v>3</v>
      </c>
      <c r="AD217" s="49"/>
      <c r="AE217" s="49"/>
      <c r="AF217" s="49"/>
      <c r="AG217" s="49"/>
      <c r="AH217" s="49"/>
      <c r="AI217" s="59" t="str">
        <f t="shared" si="28"/>
        <v>A</v>
      </c>
      <c r="AJ217" s="49">
        <v>3</v>
      </c>
      <c r="AK217" s="49">
        <v>2</v>
      </c>
      <c r="AL217" s="49"/>
      <c r="AM217" s="49">
        <v>3</v>
      </c>
      <c r="AN217" s="49"/>
      <c r="AO217" s="59">
        <f t="shared" si="29"/>
        <v>2.6666666666666665</v>
      </c>
      <c r="AP217" s="49">
        <v>3</v>
      </c>
      <c r="AQ217" s="49"/>
      <c r="AR217" s="49"/>
      <c r="AS217" s="49"/>
      <c r="AT217" s="49"/>
      <c r="AU217" s="59">
        <f t="shared" si="30"/>
        <v>3</v>
      </c>
      <c r="AV217" s="49"/>
      <c r="AW217" s="49"/>
      <c r="AX217" s="49"/>
      <c r="AY217" s="49">
        <v>3</v>
      </c>
      <c r="AZ217" s="49">
        <v>3</v>
      </c>
      <c r="BA217" s="59">
        <f t="shared" si="31"/>
        <v>3</v>
      </c>
    </row>
    <row r="218" spans="1:53" ht="23.1" customHeight="1" x14ac:dyDescent="0.3">
      <c r="A218" s="7">
        <v>216</v>
      </c>
      <c r="B218" s="7" t="s">
        <v>465</v>
      </c>
      <c r="C218" s="7" t="s">
        <v>466</v>
      </c>
      <c r="D218" s="7" t="s">
        <v>450</v>
      </c>
      <c r="E218" s="7" t="s">
        <v>289</v>
      </c>
      <c r="F218" s="7"/>
      <c r="G218" s="7"/>
      <c r="H218" s="49">
        <f>IFERROR(VLOOKUP(B218,[1]Debate!$A$5:$O$262,3,FALSE),"0")</f>
        <v>1</v>
      </c>
      <c r="I218" s="7"/>
      <c r="J218" s="7"/>
      <c r="K218" s="59">
        <f t="shared" si="24"/>
        <v>1</v>
      </c>
      <c r="L218" s="49">
        <v>1</v>
      </c>
      <c r="M218" s="49">
        <v>1</v>
      </c>
      <c r="N218" s="49">
        <v>1</v>
      </c>
      <c r="O218" s="49">
        <v>1.5</v>
      </c>
      <c r="P218" s="49">
        <v>1</v>
      </c>
      <c r="Q218" s="59">
        <f t="shared" si="25"/>
        <v>1.1000000000000001</v>
      </c>
      <c r="R218" s="49"/>
      <c r="S218" s="49"/>
      <c r="T218" s="7"/>
      <c r="U218" s="49"/>
      <c r="V218" s="7"/>
      <c r="W218" s="59" t="str">
        <f t="shared" si="26"/>
        <v>A</v>
      </c>
      <c r="X218" s="49">
        <v>1</v>
      </c>
      <c r="Y218" s="49"/>
      <c r="Z218" s="7"/>
      <c r="AA218" s="7"/>
      <c r="AB218" s="7"/>
      <c r="AC218" s="59">
        <f t="shared" si="27"/>
        <v>1</v>
      </c>
      <c r="AD218" s="49"/>
      <c r="AE218" s="7"/>
      <c r="AF218" s="49"/>
      <c r="AG218" s="7"/>
      <c r="AH218" s="7"/>
      <c r="AI218" s="59" t="str">
        <f t="shared" si="28"/>
        <v>A</v>
      </c>
      <c r="AJ218" s="49">
        <v>1</v>
      </c>
      <c r="AK218" s="49">
        <v>1</v>
      </c>
      <c r="AL218" s="7"/>
      <c r="AM218" s="49">
        <v>1</v>
      </c>
      <c r="AN218" s="7"/>
      <c r="AO218" s="59">
        <f t="shared" si="29"/>
        <v>1</v>
      </c>
      <c r="AP218" s="49">
        <v>3</v>
      </c>
      <c r="AQ218" s="49"/>
      <c r="AR218" s="49"/>
      <c r="AS218" s="7"/>
      <c r="AT218" s="7"/>
      <c r="AU218" s="59">
        <f t="shared" si="30"/>
        <v>3</v>
      </c>
      <c r="AV218" s="7"/>
      <c r="AW218" s="7"/>
      <c r="AX218" s="49"/>
      <c r="AY218" s="49">
        <v>1</v>
      </c>
      <c r="AZ218" s="49">
        <v>1</v>
      </c>
      <c r="BA218" s="59">
        <f t="shared" si="31"/>
        <v>1</v>
      </c>
    </row>
    <row r="219" spans="1:53" ht="23.1" customHeight="1" x14ac:dyDescent="0.3">
      <c r="A219" s="49">
        <v>217</v>
      </c>
      <c r="B219" s="49" t="s">
        <v>467</v>
      </c>
      <c r="C219" s="49" t="s">
        <v>468</v>
      </c>
      <c r="D219" s="49" t="s">
        <v>542</v>
      </c>
      <c r="E219" s="49" t="s">
        <v>289</v>
      </c>
      <c r="F219" s="49"/>
      <c r="G219" s="49"/>
      <c r="H219" s="49">
        <f>IFERROR(VLOOKUP(B219,[1]Debate!$A$5:$O$262,3,FALSE),"0")</f>
        <v>3</v>
      </c>
      <c r="I219" s="49"/>
      <c r="J219" s="49"/>
      <c r="K219" s="59">
        <f t="shared" si="24"/>
        <v>3</v>
      </c>
      <c r="L219" s="49">
        <v>5</v>
      </c>
      <c r="M219" s="49">
        <v>4</v>
      </c>
      <c r="N219" s="49">
        <v>4</v>
      </c>
      <c r="O219" s="49">
        <v>3</v>
      </c>
      <c r="P219" s="49">
        <v>4</v>
      </c>
      <c r="Q219" s="59">
        <f t="shared" si="25"/>
        <v>4</v>
      </c>
      <c r="R219" s="49"/>
      <c r="S219" s="49"/>
      <c r="T219" s="49"/>
      <c r="U219" s="49"/>
      <c r="V219" s="49"/>
      <c r="W219" s="59" t="str">
        <f t="shared" si="26"/>
        <v>A</v>
      </c>
      <c r="X219" s="49">
        <v>4</v>
      </c>
      <c r="Y219" s="49"/>
      <c r="Z219" s="49"/>
      <c r="AA219" s="49"/>
      <c r="AB219" s="49"/>
      <c r="AC219" s="59">
        <f t="shared" si="27"/>
        <v>4</v>
      </c>
      <c r="AD219" s="49"/>
      <c r="AE219" s="49"/>
      <c r="AF219" s="49"/>
      <c r="AG219" s="49"/>
      <c r="AH219" s="49"/>
      <c r="AI219" s="59" t="str">
        <f t="shared" si="28"/>
        <v>A</v>
      </c>
      <c r="AJ219" s="49">
        <v>4</v>
      </c>
      <c r="AK219" s="49">
        <v>4</v>
      </c>
      <c r="AL219" s="49"/>
      <c r="AM219" s="49">
        <v>4</v>
      </c>
      <c r="AN219" s="49"/>
      <c r="AO219" s="59">
        <f t="shared" si="29"/>
        <v>4</v>
      </c>
      <c r="AP219" s="49">
        <v>3</v>
      </c>
      <c r="AQ219" s="49"/>
      <c r="AR219" s="49"/>
      <c r="AS219" s="49"/>
      <c r="AT219" s="49"/>
      <c r="AU219" s="59">
        <f t="shared" si="30"/>
        <v>3</v>
      </c>
      <c r="AV219" s="49"/>
      <c r="AW219" s="49"/>
      <c r="AX219" s="49"/>
      <c r="AY219" s="49">
        <v>4</v>
      </c>
      <c r="AZ219" s="49">
        <v>4</v>
      </c>
      <c r="BA219" s="59">
        <f t="shared" si="31"/>
        <v>4</v>
      </c>
    </row>
    <row r="220" spans="1:53" ht="23.1" customHeight="1" x14ac:dyDescent="0.3">
      <c r="A220" s="7">
        <v>218</v>
      </c>
      <c r="B220" s="7" t="s">
        <v>469</v>
      </c>
      <c r="C220" s="7" t="s">
        <v>470</v>
      </c>
      <c r="D220" s="7" t="s">
        <v>450</v>
      </c>
      <c r="E220" s="7" t="s">
        <v>289</v>
      </c>
      <c r="F220" s="7"/>
      <c r="G220" s="7"/>
      <c r="H220" s="49">
        <f>IFERROR(VLOOKUP(B220,[1]Debate!$A$5:$O$262,3,FALSE),"0")</f>
        <v>3</v>
      </c>
      <c r="I220" s="7"/>
      <c r="J220" s="7"/>
      <c r="K220" s="59">
        <f t="shared" si="24"/>
        <v>3</v>
      </c>
      <c r="L220" s="49">
        <v>2</v>
      </c>
      <c r="M220" s="49">
        <v>2</v>
      </c>
      <c r="N220" s="49">
        <v>3</v>
      </c>
      <c r="O220" s="49">
        <v>2</v>
      </c>
      <c r="P220" s="49">
        <v>2</v>
      </c>
      <c r="Q220" s="59">
        <f t="shared" si="25"/>
        <v>2.2000000000000002</v>
      </c>
      <c r="R220" s="49"/>
      <c r="S220" s="49"/>
      <c r="T220" s="7"/>
      <c r="U220" s="49"/>
      <c r="V220" s="7"/>
      <c r="W220" s="59" t="str">
        <f t="shared" si="26"/>
        <v>A</v>
      </c>
      <c r="X220" s="49">
        <v>3</v>
      </c>
      <c r="Y220" s="49"/>
      <c r="Z220" s="7"/>
      <c r="AA220" s="7"/>
      <c r="AB220" s="7"/>
      <c r="AC220" s="59">
        <f t="shared" si="27"/>
        <v>3</v>
      </c>
      <c r="AD220" s="49"/>
      <c r="AE220" s="7"/>
      <c r="AF220" s="49"/>
      <c r="AG220" s="7"/>
      <c r="AH220" s="7"/>
      <c r="AI220" s="59" t="str">
        <f t="shared" si="28"/>
        <v>A</v>
      </c>
      <c r="AJ220" s="49">
        <v>3</v>
      </c>
      <c r="AK220" s="49">
        <v>2</v>
      </c>
      <c r="AL220" s="7"/>
      <c r="AM220" s="49">
        <v>2</v>
      </c>
      <c r="AN220" s="7"/>
      <c r="AO220" s="59">
        <f t="shared" si="29"/>
        <v>2.3333333333333335</v>
      </c>
      <c r="AP220" s="49">
        <v>3</v>
      </c>
      <c r="AQ220" s="49"/>
      <c r="AR220" s="49"/>
      <c r="AS220" s="7"/>
      <c r="AT220" s="7"/>
      <c r="AU220" s="59">
        <f t="shared" si="30"/>
        <v>3</v>
      </c>
      <c r="AV220" s="7"/>
      <c r="AW220" s="7"/>
      <c r="AX220" s="49"/>
      <c r="AY220" s="49">
        <v>2</v>
      </c>
      <c r="AZ220" s="49">
        <v>3</v>
      </c>
      <c r="BA220" s="59">
        <f t="shared" si="31"/>
        <v>2.5</v>
      </c>
    </row>
    <row r="221" spans="1:53" ht="23.1" customHeight="1" x14ac:dyDescent="0.3">
      <c r="A221" s="49">
        <v>219</v>
      </c>
      <c r="B221" s="49" t="s">
        <v>471</v>
      </c>
      <c r="C221" s="49" t="s">
        <v>472</v>
      </c>
      <c r="D221" s="49" t="s">
        <v>450</v>
      </c>
      <c r="E221" s="49" t="s">
        <v>289</v>
      </c>
      <c r="F221" s="49"/>
      <c r="G221" s="49"/>
      <c r="H221" s="49">
        <f>IFERROR(VLOOKUP(B221,[1]Debate!$A$5:$O$262,3,FALSE),"0")</f>
        <v>3.5</v>
      </c>
      <c r="I221" s="49"/>
      <c r="J221" s="49"/>
      <c r="K221" s="59">
        <f t="shared" si="24"/>
        <v>3.5</v>
      </c>
      <c r="L221" s="49">
        <v>2.5</v>
      </c>
      <c r="M221" s="49">
        <v>3.5</v>
      </c>
      <c r="N221" s="49">
        <v>3</v>
      </c>
      <c r="O221" s="49">
        <v>3</v>
      </c>
      <c r="P221" s="49">
        <v>2.5</v>
      </c>
      <c r="Q221" s="59">
        <f t="shared" si="25"/>
        <v>2.9</v>
      </c>
      <c r="R221" s="49"/>
      <c r="S221" s="49"/>
      <c r="T221" s="49"/>
      <c r="U221" s="49"/>
      <c r="V221" s="49"/>
      <c r="W221" s="59" t="str">
        <f t="shared" si="26"/>
        <v>A</v>
      </c>
      <c r="X221" s="49">
        <v>2.5</v>
      </c>
      <c r="Y221" s="49"/>
      <c r="Z221" s="49"/>
      <c r="AA221" s="49"/>
      <c r="AB221" s="49"/>
      <c r="AC221" s="59">
        <f t="shared" si="27"/>
        <v>2.5</v>
      </c>
      <c r="AD221" s="49"/>
      <c r="AE221" s="49"/>
      <c r="AF221" s="49"/>
      <c r="AG221" s="49"/>
      <c r="AH221" s="49"/>
      <c r="AI221" s="59" t="str">
        <f t="shared" si="28"/>
        <v>A</v>
      </c>
      <c r="AJ221" s="49">
        <v>3</v>
      </c>
      <c r="AK221" s="49">
        <v>3.5</v>
      </c>
      <c r="AL221" s="49"/>
      <c r="AM221" s="49">
        <v>2.5</v>
      </c>
      <c r="AN221" s="49"/>
      <c r="AO221" s="59">
        <f t="shared" si="29"/>
        <v>3</v>
      </c>
      <c r="AP221" s="49">
        <v>3</v>
      </c>
      <c r="AQ221" s="49"/>
      <c r="AR221" s="49"/>
      <c r="AS221" s="49"/>
      <c r="AT221" s="49"/>
      <c r="AU221" s="59">
        <f t="shared" si="30"/>
        <v>3</v>
      </c>
      <c r="AV221" s="49"/>
      <c r="AW221" s="49"/>
      <c r="AX221" s="49"/>
      <c r="AY221" s="49">
        <v>3.5</v>
      </c>
      <c r="AZ221" s="49">
        <v>3.5</v>
      </c>
      <c r="BA221" s="59">
        <f t="shared" si="31"/>
        <v>3.5</v>
      </c>
    </row>
    <row r="222" spans="1:53" ht="23.1" customHeight="1" x14ac:dyDescent="0.3">
      <c r="A222" s="7">
        <v>220</v>
      </c>
      <c r="B222" s="7" t="s">
        <v>473</v>
      </c>
      <c r="C222" s="7" t="s">
        <v>474</v>
      </c>
      <c r="D222" s="7" t="s">
        <v>542</v>
      </c>
      <c r="E222" s="7" t="s">
        <v>289</v>
      </c>
      <c r="F222" s="7"/>
      <c r="G222" s="7"/>
      <c r="H222" s="49">
        <f>IFERROR(VLOOKUP(B222,[1]Debate!$A$5:$O$262,3,FALSE),"0")</f>
        <v>2</v>
      </c>
      <c r="I222" s="7"/>
      <c r="J222" s="7"/>
      <c r="K222" s="59">
        <f t="shared" si="24"/>
        <v>2</v>
      </c>
      <c r="L222" s="49">
        <v>2</v>
      </c>
      <c r="M222" s="49">
        <v>2</v>
      </c>
      <c r="N222" s="49">
        <v>2</v>
      </c>
      <c r="O222" s="49">
        <v>2.5</v>
      </c>
      <c r="P222" s="49">
        <v>2</v>
      </c>
      <c r="Q222" s="59">
        <f t="shared" si="25"/>
        <v>2.1</v>
      </c>
      <c r="R222" s="49"/>
      <c r="S222" s="49"/>
      <c r="T222" s="7"/>
      <c r="U222" s="49"/>
      <c r="V222" s="7"/>
      <c r="W222" s="59" t="str">
        <f t="shared" si="26"/>
        <v>A</v>
      </c>
      <c r="X222" s="49">
        <v>3</v>
      </c>
      <c r="Y222" s="49"/>
      <c r="Z222" s="7"/>
      <c r="AA222" s="7"/>
      <c r="AB222" s="7"/>
      <c r="AC222" s="59">
        <f t="shared" si="27"/>
        <v>3</v>
      </c>
      <c r="AD222" s="49"/>
      <c r="AE222" s="7"/>
      <c r="AF222" s="49"/>
      <c r="AG222" s="7"/>
      <c r="AH222" s="7"/>
      <c r="AI222" s="59" t="str">
        <f t="shared" si="28"/>
        <v>A</v>
      </c>
      <c r="AJ222" s="49">
        <v>2</v>
      </c>
      <c r="AK222" s="49">
        <v>3</v>
      </c>
      <c r="AL222" s="7"/>
      <c r="AM222" s="49">
        <v>2</v>
      </c>
      <c r="AN222" s="7"/>
      <c r="AO222" s="59">
        <f t="shared" si="29"/>
        <v>2.3333333333333335</v>
      </c>
      <c r="AP222" s="49">
        <v>2</v>
      </c>
      <c r="AQ222" s="49"/>
      <c r="AR222" s="49"/>
      <c r="AS222" s="7"/>
      <c r="AT222" s="7"/>
      <c r="AU222" s="59">
        <f t="shared" si="30"/>
        <v>2</v>
      </c>
      <c r="AV222" s="7"/>
      <c r="AW222" s="7"/>
      <c r="AX222" s="49"/>
      <c r="AY222" s="49">
        <v>2</v>
      </c>
      <c r="AZ222" s="49">
        <v>3</v>
      </c>
      <c r="BA222" s="59">
        <f t="shared" si="31"/>
        <v>2.5</v>
      </c>
    </row>
    <row r="223" spans="1:53" ht="23.1" customHeight="1" x14ac:dyDescent="0.3">
      <c r="A223" s="49">
        <v>221</v>
      </c>
      <c r="B223" s="49" t="s">
        <v>475</v>
      </c>
      <c r="C223" s="49" t="s">
        <v>476</v>
      </c>
      <c r="D223" s="49" t="s">
        <v>450</v>
      </c>
      <c r="E223" s="49" t="s">
        <v>289</v>
      </c>
      <c r="F223" s="49"/>
      <c r="G223" s="49"/>
      <c r="H223" s="49">
        <f>IFERROR(VLOOKUP(B223,[1]Debate!$A$5:$O$262,3,FALSE),"0")</f>
        <v>3</v>
      </c>
      <c r="I223" s="49"/>
      <c r="J223" s="49"/>
      <c r="K223" s="59">
        <f t="shared" si="24"/>
        <v>3</v>
      </c>
      <c r="L223" s="49">
        <v>3</v>
      </c>
      <c r="M223" s="49">
        <v>2</v>
      </c>
      <c r="N223" s="49">
        <v>2</v>
      </c>
      <c r="O223" s="49">
        <v>2.5</v>
      </c>
      <c r="P223" s="49">
        <v>2</v>
      </c>
      <c r="Q223" s="59">
        <f t="shared" si="25"/>
        <v>2.2999999999999998</v>
      </c>
      <c r="R223" s="49"/>
      <c r="S223" s="49"/>
      <c r="T223" s="49"/>
      <c r="U223" s="49"/>
      <c r="V223" s="49"/>
      <c r="W223" s="59" t="str">
        <f t="shared" si="26"/>
        <v>A</v>
      </c>
      <c r="X223" s="49">
        <v>3</v>
      </c>
      <c r="Y223" s="49"/>
      <c r="Z223" s="49"/>
      <c r="AA223" s="49"/>
      <c r="AB223" s="49"/>
      <c r="AC223" s="59">
        <f t="shared" si="27"/>
        <v>3</v>
      </c>
      <c r="AD223" s="49"/>
      <c r="AE223" s="49"/>
      <c r="AF223" s="49"/>
      <c r="AG223" s="49"/>
      <c r="AH223" s="49"/>
      <c r="AI223" s="59" t="str">
        <f t="shared" si="28"/>
        <v>A</v>
      </c>
      <c r="AJ223" s="49">
        <v>2</v>
      </c>
      <c r="AK223" s="49">
        <v>2</v>
      </c>
      <c r="AL223" s="49"/>
      <c r="AM223" s="49">
        <v>4</v>
      </c>
      <c r="AN223" s="49"/>
      <c r="AO223" s="59">
        <f t="shared" si="29"/>
        <v>2.6666666666666665</v>
      </c>
      <c r="AP223" s="49">
        <v>3</v>
      </c>
      <c r="AQ223" s="49"/>
      <c r="AR223" s="49"/>
      <c r="AS223" s="49"/>
      <c r="AT223" s="49"/>
      <c r="AU223" s="59">
        <f t="shared" si="30"/>
        <v>3</v>
      </c>
      <c r="AV223" s="49"/>
      <c r="AW223" s="49"/>
      <c r="AX223" s="49"/>
      <c r="AY223" s="49">
        <v>2</v>
      </c>
      <c r="AZ223" s="49">
        <v>2</v>
      </c>
      <c r="BA223" s="59">
        <f t="shared" si="31"/>
        <v>2</v>
      </c>
    </row>
    <row r="224" spans="1:53" ht="23.1" customHeight="1" x14ac:dyDescent="0.3">
      <c r="A224" s="7">
        <v>222</v>
      </c>
      <c r="B224" s="7" t="s">
        <v>477</v>
      </c>
      <c r="C224" s="7" t="s">
        <v>478</v>
      </c>
      <c r="D224" s="7" t="s">
        <v>450</v>
      </c>
      <c r="E224" s="7" t="s">
        <v>289</v>
      </c>
      <c r="F224" s="7"/>
      <c r="G224" s="7"/>
      <c r="H224" s="49">
        <f>IFERROR(VLOOKUP(B224,[1]Debate!$A$5:$O$262,3,FALSE),"0")</f>
        <v>2</v>
      </c>
      <c r="I224" s="7"/>
      <c r="J224" s="7"/>
      <c r="K224" s="59">
        <f t="shared" si="24"/>
        <v>2</v>
      </c>
      <c r="L224" s="49">
        <v>1</v>
      </c>
      <c r="M224" s="49">
        <v>2</v>
      </c>
      <c r="N224" s="49">
        <v>3</v>
      </c>
      <c r="O224" s="49">
        <v>1.5</v>
      </c>
      <c r="P224" s="49">
        <v>2</v>
      </c>
      <c r="Q224" s="59">
        <f t="shared" si="25"/>
        <v>1.9</v>
      </c>
      <c r="R224" s="49"/>
      <c r="S224" s="49"/>
      <c r="T224" s="7"/>
      <c r="U224" s="49"/>
      <c r="V224" s="7"/>
      <c r="W224" s="59" t="str">
        <f t="shared" si="26"/>
        <v>A</v>
      </c>
      <c r="X224" s="49">
        <v>2</v>
      </c>
      <c r="Y224" s="49"/>
      <c r="Z224" s="7"/>
      <c r="AA224" s="7"/>
      <c r="AB224" s="7"/>
      <c r="AC224" s="59">
        <f t="shared" si="27"/>
        <v>2</v>
      </c>
      <c r="AD224" s="49"/>
      <c r="AE224" s="7"/>
      <c r="AF224" s="49"/>
      <c r="AG224" s="7"/>
      <c r="AH224" s="7"/>
      <c r="AI224" s="59" t="str">
        <f t="shared" si="28"/>
        <v>A</v>
      </c>
      <c r="AJ224" s="49">
        <v>3</v>
      </c>
      <c r="AK224" s="49">
        <v>2</v>
      </c>
      <c r="AL224" s="7"/>
      <c r="AM224" s="49">
        <v>1</v>
      </c>
      <c r="AN224" s="7"/>
      <c r="AO224" s="59">
        <f t="shared" si="29"/>
        <v>2</v>
      </c>
      <c r="AP224" s="49">
        <v>3</v>
      </c>
      <c r="AQ224" s="49"/>
      <c r="AR224" s="49"/>
      <c r="AS224" s="7"/>
      <c r="AT224" s="7"/>
      <c r="AU224" s="59">
        <f t="shared" si="30"/>
        <v>3</v>
      </c>
      <c r="AV224" s="7"/>
      <c r="AW224" s="7"/>
      <c r="AX224" s="49"/>
      <c r="AY224" s="49">
        <v>3</v>
      </c>
      <c r="AZ224" s="49">
        <v>3</v>
      </c>
      <c r="BA224" s="59">
        <f t="shared" si="31"/>
        <v>3</v>
      </c>
    </row>
    <row r="225" spans="1:53" ht="23.1" customHeight="1" x14ac:dyDescent="0.3">
      <c r="A225" s="49">
        <v>223</v>
      </c>
      <c r="B225" s="49" t="s">
        <v>479</v>
      </c>
      <c r="C225" s="49" t="s">
        <v>480</v>
      </c>
      <c r="D225" s="49" t="s">
        <v>450</v>
      </c>
      <c r="E225" s="49" t="s">
        <v>289</v>
      </c>
      <c r="F225" s="49"/>
      <c r="G225" s="49"/>
      <c r="H225" s="49">
        <f>IFERROR(VLOOKUP(B225,[1]Debate!$A$5:$O$262,3,FALSE),"0")</f>
        <v>1</v>
      </c>
      <c r="I225" s="49"/>
      <c r="J225" s="49"/>
      <c r="K225" s="59">
        <f t="shared" si="24"/>
        <v>1</v>
      </c>
      <c r="L225" s="49">
        <v>1</v>
      </c>
      <c r="M225" s="49">
        <v>1</v>
      </c>
      <c r="N225" s="49">
        <v>1</v>
      </c>
      <c r="O225" s="49">
        <v>1</v>
      </c>
      <c r="P225" s="49">
        <v>1</v>
      </c>
      <c r="Q225" s="59">
        <f t="shared" si="25"/>
        <v>1</v>
      </c>
      <c r="R225" s="49"/>
      <c r="S225" s="49"/>
      <c r="T225" s="49"/>
      <c r="U225" s="49"/>
      <c r="V225" s="49"/>
      <c r="W225" s="59" t="str">
        <f t="shared" si="26"/>
        <v>A</v>
      </c>
      <c r="X225" s="49">
        <v>1</v>
      </c>
      <c r="Y225" s="49"/>
      <c r="Z225" s="49"/>
      <c r="AA225" s="49"/>
      <c r="AB225" s="49"/>
      <c r="AC225" s="59">
        <f t="shared" si="27"/>
        <v>1</v>
      </c>
      <c r="AD225" s="49"/>
      <c r="AE225" s="49"/>
      <c r="AF225" s="49"/>
      <c r="AG225" s="49"/>
      <c r="AH225" s="49"/>
      <c r="AI225" s="59" t="str">
        <f t="shared" si="28"/>
        <v>A</v>
      </c>
      <c r="AJ225" s="49">
        <v>1</v>
      </c>
      <c r="AK225" s="49">
        <v>1</v>
      </c>
      <c r="AL225" s="49"/>
      <c r="AM225" s="49">
        <v>1</v>
      </c>
      <c r="AN225" s="49"/>
      <c r="AO225" s="59">
        <f t="shared" si="29"/>
        <v>1</v>
      </c>
      <c r="AP225" s="49">
        <v>3</v>
      </c>
      <c r="AQ225" s="49"/>
      <c r="AR225" s="49"/>
      <c r="AS225" s="49"/>
      <c r="AT225" s="49"/>
      <c r="AU225" s="59">
        <f t="shared" si="30"/>
        <v>3</v>
      </c>
      <c r="AV225" s="49"/>
      <c r="AW225" s="49"/>
      <c r="AX225" s="49"/>
      <c r="AY225" s="49">
        <v>1</v>
      </c>
      <c r="AZ225" s="49">
        <v>1</v>
      </c>
      <c r="BA225" s="59">
        <f t="shared" si="31"/>
        <v>1</v>
      </c>
    </row>
    <row r="226" spans="1:53" ht="23.1" customHeight="1" x14ac:dyDescent="0.3">
      <c r="A226" s="7">
        <v>224</v>
      </c>
      <c r="B226" s="7" t="s">
        <v>481</v>
      </c>
      <c r="C226" s="7" t="s">
        <v>482</v>
      </c>
      <c r="D226" s="7" t="s">
        <v>450</v>
      </c>
      <c r="E226" s="7" t="s">
        <v>289</v>
      </c>
      <c r="F226" s="7"/>
      <c r="G226" s="7"/>
      <c r="H226" s="49">
        <f>IFERROR(VLOOKUP(B226,[1]Debate!$A$5:$O$262,3,FALSE),"0")</f>
        <v>2</v>
      </c>
      <c r="I226" s="7"/>
      <c r="J226" s="7"/>
      <c r="K226" s="59">
        <f t="shared" si="24"/>
        <v>2</v>
      </c>
      <c r="L226" s="49">
        <v>2</v>
      </c>
      <c r="M226" s="49">
        <v>2</v>
      </c>
      <c r="N226" s="49">
        <v>2</v>
      </c>
      <c r="O226" s="49">
        <v>1.5</v>
      </c>
      <c r="P226" s="49">
        <v>2</v>
      </c>
      <c r="Q226" s="59">
        <f t="shared" si="25"/>
        <v>1.9</v>
      </c>
      <c r="R226" s="49"/>
      <c r="S226" s="49"/>
      <c r="T226" s="7"/>
      <c r="U226" s="49"/>
      <c r="V226" s="7"/>
      <c r="W226" s="59" t="str">
        <f t="shared" si="26"/>
        <v>A</v>
      </c>
      <c r="X226" s="49">
        <v>3</v>
      </c>
      <c r="Y226" s="49"/>
      <c r="Z226" s="7"/>
      <c r="AA226" s="7"/>
      <c r="AB226" s="7"/>
      <c r="AC226" s="59">
        <f t="shared" si="27"/>
        <v>3</v>
      </c>
      <c r="AD226" s="49"/>
      <c r="AE226" s="7"/>
      <c r="AF226" s="49"/>
      <c r="AG226" s="7"/>
      <c r="AH226" s="7"/>
      <c r="AI226" s="59" t="str">
        <f t="shared" si="28"/>
        <v>A</v>
      </c>
      <c r="AJ226" s="49">
        <v>4</v>
      </c>
      <c r="AK226" s="49">
        <v>2</v>
      </c>
      <c r="AL226" s="7"/>
      <c r="AM226" s="49">
        <v>3</v>
      </c>
      <c r="AN226" s="7"/>
      <c r="AO226" s="59">
        <f t="shared" si="29"/>
        <v>3</v>
      </c>
      <c r="AP226" s="49">
        <v>3</v>
      </c>
      <c r="AQ226" s="49"/>
      <c r="AR226" s="49"/>
      <c r="AS226" s="7"/>
      <c r="AT226" s="7"/>
      <c r="AU226" s="59">
        <f t="shared" si="30"/>
        <v>3</v>
      </c>
      <c r="AV226" s="7"/>
      <c r="AW226" s="7"/>
      <c r="AX226" s="49"/>
      <c r="AY226" s="49">
        <v>2</v>
      </c>
      <c r="AZ226" s="49">
        <v>2</v>
      </c>
      <c r="BA226" s="59">
        <f t="shared" si="31"/>
        <v>2</v>
      </c>
    </row>
    <row r="227" spans="1:53" ht="23.1" customHeight="1" x14ac:dyDescent="0.3">
      <c r="A227" s="49">
        <v>225</v>
      </c>
      <c r="B227" s="49" t="s">
        <v>483</v>
      </c>
      <c r="C227" s="49" t="s">
        <v>540</v>
      </c>
      <c r="D227" s="49" t="s">
        <v>450</v>
      </c>
      <c r="E227" s="49" t="s">
        <v>289</v>
      </c>
      <c r="F227" s="49"/>
      <c r="G227" s="49"/>
      <c r="H227" s="49">
        <f>IFERROR(VLOOKUP(B227,[1]Debate!$A$5:$O$262,3,FALSE),"0")</f>
        <v>2</v>
      </c>
      <c r="I227" s="49"/>
      <c r="J227" s="49"/>
      <c r="K227" s="59">
        <f t="shared" si="24"/>
        <v>2</v>
      </c>
      <c r="L227" s="49">
        <v>4</v>
      </c>
      <c r="M227" s="49">
        <v>2</v>
      </c>
      <c r="N227" s="49">
        <v>2</v>
      </c>
      <c r="O227" s="49">
        <v>1.5</v>
      </c>
      <c r="P227" s="49">
        <v>2</v>
      </c>
      <c r="Q227" s="59">
        <f t="shared" si="25"/>
        <v>2.2999999999999998</v>
      </c>
      <c r="R227" s="49"/>
      <c r="S227" s="49"/>
      <c r="T227" s="49"/>
      <c r="U227" s="49"/>
      <c r="V227" s="49"/>
      <c r="W227" s="59" t="str">
        <f t="shared" si="26"/>
        <v>A</v>
      </c>
      <c r="X227" s="49">
        <v>3</v>
      </c>
      <c r="Y227" s="49"/>
      <c r="Z227" s="49"/>
      <c r="AA227" s="49"/>
      <c r="AB227" s="49"/>
      <c r="AC227" s="59">
        <f t="shared" si="27"/>
        <v>3</v>
      </c>
      <c r="AD227" s="49"/>
      <c r="AE227" s="49"/>
      <c r="AF227" s="49"/>
      <c r="AG227" s="49"/>
      <c r="AH227" s="49"/>
      <c r="AI227" s="59" t="str">
        <f t="shared" si="28"/>
        <v>A</v>
      </c>
      <c r="AJ227" s="49">
        <v>3</v>
      </c>
      <c r="AK227" s="49">
        <v>2</v>
      </c>
      <c r="AL227" s="49"/>
      <c r="AM227" s="49">
        <v>3</v>
      </c>
      <c r="AN227" s="49"/>
      <c r="AO227" s="59">
        <f t="shared" si="29"/>
        <v>2.6666666666666665</v>
      </c>
      <c r="AP227" s="49">
        <v>3</v>
      </c>
      <c r="AQ227" s="49"/>
      <c r="AR227" s="49"/>
      <c r="AS227" s="49"/>
      <c r="AT227" s="49"/>
      <c r="AU227" s="59">
        <f t="shared" si="30"/>
        <v>3</v>
      </c>
      <c r="AV227" s="49"/>
      <c r="AW227" s="49"/>
      <c r="AX227" s="49"/>
      <c r="AY227" s="49">
        <v>2</v>
      </c>
      <c r="AZ227" s="49">
        <v>3</v>
      </c>
      <c r="BA227" s="59">
        <f t="shared" si="31"/>
        <v>2.5</v>
      </c>
    </row>
    <row r="228" spans="1:53" ht="23.1" customHeight="1" x14ac:dyDescent="0.3">
      <c r="A228" s="7">
        <v>226</v>
      </c>
      <c r="B228" s="7" t="s">
        <v>484</v>
      </c>
      <c r="C228" s="7" t="s">
        <v>485</v>
      </c>
      <c r="D228" s="7" t="s">
        <v>450</v>
      </c>
      <c r="E228" s="7" t="s">
        <v>289</v>
      </c>
      <c r="F228" s="7"/>
      <c r="G228" s="7"/>
      <c r="H228" s="49">
        <f>IFERROR(VLOOKUP(B228,[1]Debate!$A$5:$O$262,3,FALSE),"0")</f>
        <v>2</v>
      </c>
      <c r="I228" s="7"/>
      <c r="J228" s="7"/>
      <c r="K228" s="59">
        <f t="shared" si="24"/>
        <v>2</v>
      </c>
      <c r="L228" s="49">
        <v>3</v>
      </c>
      <c r="M228" s="49">
        <v>2</v>
      </c>
      <c r="N228" s="49">
        <v>4</v>
      </c>
      <c r="O228" s="49">
        <v>2</v>
      </c>
      <c r="P228" s="49">
        <v>2</v>
      </c>
      <c r="Q228" s="59">
        <f t="shared" si="25"/>
        <v>2.6</v>
      </c>
      <c r="R228" s="49"/>
      <c r="S228" s="49"/>
      <c r="T228" s="7"/>
      <c r="U228" s="49"/>
      <c r="V228" s="7"/>
      <c r="W228" s="59" t="str">
        <f t="shared" si="26"/>
        <v>A</v>
      </c>
      <c r="X228" s="49">
        <v>3</v>
      </c>
      <c r="Y228" s="49"/>
      <c r="Z228" s="7"/>
      <c r="AA228" s="7"/>
      <c r="AB228" s="7"/>
      <c r="AC228" s="59">
        <f t="shared" si="27"/>
        <v>3</v>
      </c>
      <c r="AD228" s="49"/>
      <c r="AE228" s="7"/>
      <c r="AF228" s="49"/>
      <c r="AG228" s="7"/>
      <c r="AH228" s="7"/>
      <c r="AI228" s="59" t="str">
        <f t="shared" si="28"/>
        <v>A</v>
      </c>
      <c r="AJ228" s="49">
        <v>3</v>
      </c>
      <c r="AK228" s="49">
        <v>3</v>
      </c>
      <c r="AL228" s="7"/>
      <c r="AM228" s="49">
        <v>2</v>
      </c>
      <c r="AN228" s="7"/>
      <c r="AO228" s="59">
        <f t="shared" si="29"/>
        <v>2.6666666666666665</v>
      </c>
      <c r="AP228" s="49">
        <v>3</v>
      </c>
      <c r="AQ228" s="49"/>
      <c r="AR228" s="49"/>
      <c r="AS228" s="7"/>
      <c r="AT228" s="7"/>
      <c r="AU228" s="59">
        <f t="shared" si="30"/>
        <v>3</v>
      </c>
      <c r="AV228" s="7"/>
      <c r="AW228" s="7"/>
      <c r="AX228" s="49"/>
      <c r="AY228" s="49">
        <v>3</v>
      </c>
      <c r="AZ228" s="49">
        <v>3</v>
      </c>
      <c r="BA228" s="59">
        <f t="shared" si="31"/>
        <v>3</v>
      </c>
    </row>
    <row r="229" spans="1:53" ht="23.1" customHeight="1" x14ac:dyDescent="0.3">
      <c r="A229" s="49">
        <v>227</v>
      </c>
      <c r="B229" s="49" t="s">
        <v>486</v>
      </c>
      <c r="C229" s="49" t="s">
        <v>487</v>
      </c>
      <c r="D229" s="49" t="s">
        <v>450</v>
      </c>
      <c r="E229" s="49" t="s">
        <v>289</v>
      </c>
      <c r="F229" s="49"/>
      <c r="G229" s="49"/>
      <c r="H229" s="49">
        <f>IFERROR(VLOOKUP(B229,[1]Debate!$A$5:$O$262,3,FALSE),"0")</f>
        <v>1</v>
      </c>
      <c r="I229" s="49"/>
      <c r="J229" s="49"/>
      <c r="K229" s="59">
        <f t="shared" si="24"/>
        <v>1</v>
      </c>
      <c r="L229" s="49">
        <v>1</v>
      </c>
      <c r="M229" s="49">
        <v>1</v>
      </c>
      <c r="N229" s="49">
        <v>1</v>
      </c>
      <c r="O229" s="49">
        <v>1.5</v>
      </c>
      <c r="P229" s="49">
        <v>1</v>
      </c>
      <c r="Q229" s="59">
        <f t="shared" si="25"/>
        <v>1.1000000000000001</v>
      </c>
      <c r="R229" s="49"/>
      <c r="S229" s="49"/>
      <c r="T229" s="49"/>
      <c r="U229" s="49"/>
      <c r="V229" s="49"/>
      <c r="W229" s="59" t="str">
        <f t="shared" si="26"/>
        <v>A</v>
      </c>
      <c r="X229" s="49">
        <v>1</v>
      </c>
      <c r="Y229" s="49"/>
      <c r="Z229" s="49"/>
      <c r="AA229" s="49"/>
      <c r="AB229" s="49"/>
      <c r="AC229" s="59">
        <f t="shared" si="27"/>
        <v>1</v>
      </c>
      <c r="AD229" s="49"/>
      <c r="AE229" s="49"/>
      <c r="AF229" s="49"/>
      <c r="AG229" s="49"/>
      <c r="AH229" s="49"/>
      <c r="AI229" s="59" t="str">
        <f t="shared" si="28"/>
        <v>A</v>
      </c>
      <c r="AJ229" s="49">
        <v>1</v>
      </c>
      <c r="AK229" s="49">
        <v>1</v>
      </c>
      <c r="AL229" s="49"/>
      <c r="AM229" s="49">
        <v>1</v>
      </c>
      <c r="AN229" s="49"/>
      <c r="AO229" s="59">
        <f t="shared" si="29"/>
        <v>1</v>
      </c>
      <c r="AP229" s="49">
        <v>3</v>
      </c>
      <c r="AQ229" s="49"/>
      <c r="AR229" s="49"/>
      <c r="AS229" s="49"/>
      <c r="AT229" s="49"/>
      <c r="AU229" s="59">
        <f t="shared" si="30"/>
        <v>3</v>
      </c>
      <c r="AV229" s="49"/>
      <c r="AW229" s="49"/>
      <c r="AX229" s="49"/>
      <c r="AY229" s="49">
        <v>1</v>
      </c>
      <c r="AZ229" s="49">
        <v>1</v>
      </c>
      <c r="BA229" s="59">
        <f t="shared" si="31"/>
        <v>1</v>
      </c>
    </row>
    <row r="230" spans="1:53" ht="23.1" customHeight="1" x14ac:dyDescent="0.3">
      <c r="A230" s="7">
        <v>228</v>
      </c>
      <c r="B230" s="7" t="s">
        <v>541</v>
      </c>
      <c r="C230" s="7" t="s">
        <v>488</v>
      </c>
      <c r="D230" s="7" t="s">
        <v>545</v>
      </c>
      <c r="E230" s="7" t="s">
        <v>289</v>
      </c>
      <c r="F230" s="7"/>
      <c r="G230" s="7"/>
      <c r="H230" s="49">
        <f>IFERROR(VLOOKUP(B230,[1]Debate!$A$5:$O$262,3,FALSE),"0")</f>
        <v>1</v>
      </c>
      <c r="I230" s="7"/>
      <c r="J230" s="7"/>
      <c r="K230" s="59">
        <f t="shared" si="24"/>
        <v>1</v>
      </c>
      <c r="L230" s="49">
        <v>1</v>
      </c>
      <c r="M230" s="49">
        <v>1</v>
      </c>
      <c r="N230" s="49">
        <v>1</v>
      </c>
      <c r="O230" s="49">
        <v>1</v>
      </c>
      <c r="P230" s="49">
        <v>1</v>
      </c>
      <c r="Q230" s="59">
        <f t="shared" si="25"/>
        <v>1</v>
      </c>
      <c r="R230" s="49"/>
      <c r="S230" s="49">
        <v>3</v>
      </c>
      <c r="T230" s="7"/>
      <c r="U230" s="49">
        <v>3</v>
      </c>
      <c r="V230" s="7"/>
      <c r="W230" s="59">
        <f t="shared" si="26"/>
        <v>3</v>
      </c>
      <c r="X230" s="49">
        <v>1</v>
      </c>
      <c r="Y230" s="49"/>
      <c r="Z230" s="7"/>
      <c r="AA230" s="7"/>
      <c r="AB230" s="7"/>
      <c r="AC230" s="59">
        <f t="shared" si="27"/>
        <v>1</v>
      </c>
      <c r="AD230" s="49"/>
      <c r="AE230" s="7"/>
      <c r="AF230" s="49"/>
      <c r="AG230" s="7"/>
      <c r="AH230" s="7"/>
      <c r="AI230" s="59" t="str">
        <f t="shared" si="28"/>
        <v>A</v>
      </c>
      <c r="AJ230" s="49">
        <v>1</v>
      </c>
      <c r="AK230" s="49">
        <v>1</v>
      </c>
      <c r="AL230" s="7"/>
      <c r="AM230" s="49">
        <v>1</v>
      </c>
      <c r="AN230" s="7"/>
      <c r="AO230" s="59">
        <f t="shared" si="29"/>
        <v>1</v>
      </c>
      <c r="AP230" s="49">
        <v>1</v>
      </c>
      <c r="AQ230" s="49"/>
      <c r="AR230" s="49"/>
      <c r="AS230" s="7"/>
      <c r="AT230" s="7"/>
      <c r="AU230" s="59">
        <f t="shared" si="30"/>
        <v>1</v>
      </c>
      <c r="AV230" s="7"/>
      <c r="AW230" s="7"/>
      <c r="AX230" s="49"/>
      <c r="AY230" s="49">
        <v>1</v>
      </c>
      <c r="AZ230" s="49">
        <v>1</v>
      </c>
      <c r="BA230" s="59">
        <f t="shared" si="31"/>
        <v>1</v>
      </c>
    </row>
    <row r="231" spans="1:53" x14ac:dyDescent="0.3">
      <c r="AJ231" s="113"/>
      <c r="AR231" s="114"/>
    </row>
    <row r="232" spans="1:53" x14ac:dyDescent="0.3">
      <c r="AR232" s="112"/>
    </row>
  </sheetData>
  <mergeCells count="21">
    <mergeCell ref="AU1:AU2"/>
    <mergeCell ref="AV1:AZ1"/>
    <mergeCell ref="BA1:BA2"/>
    <mergeCell ref="AD1:AH1"/>
    <mergeCell ref="AI1:AI2"/>
    <mergeCell ref="AJ1:AN1"/>
    <mergeCell ref="AO1:AO2"/>
    <mergeCell ref="AP1:AT1"/>
    <mergeCell ref="Q1:Q2"/>
    <mergeCell ref="R1:V1"/>
    <mergeCell ref="W1:W2"/>
    <mergeCell ref="X1:AB1"/>
    <mergeCell ref="AC1:AC2"/>
    <mergeCell ref="L1:P1"/>
    <mergeCell ref="K1:K2"/>
    <mergeCell ref="A1:A2"/>
    <mergeCell ref="B1:B2"/>
    <mergeCell ref="C1:C2"/>
    <mergeCell ref="D1:D2"/>
    <mergeCell ref="E1:E2"/>
    <mergeCell ref="F1:J1"/>
  </mergeCells>
  <conditionalFormatting sqref="K3:K230">
    <cfRule type="containsText" dxfId="75" priority="12" operator="containsText" text="A">
      <formula>NOT(ISERROR(SEARCH("A",K3)))</formula>
    </cfRule>
  </conditionalFormatting>
  <conditionalFormatting sqref="Q3:Q230">
    <cfRule type="containsText" dxfId="74" priority="11" operator="containsText" text="A">
      <formula>NOT(ISERROR(SEARCH("A",Q3)))</formula>
    </cfRule>
  </conditionalFormatting>
  <conditionalFormatting sqref="W3:W230">
    <cfRule type="containsText" dxfId="73" priority="1" operator="containsText" text="A">
      <formula>NOT(ISERROR(SEARCH("A",W3)))</formula>
    </cfRule>
  </conditionalFormatting>
  <conditionalFormatting sqref="AC3:AC230">
    <cfRule type="containsText" dxfId="72" priority="2" operator="containsText" text="A">
      <formula>NOT(ISERROR(SEARCH("A",AC3)))</formula>
    </cfRule>
  </conditionalFormatting>
  <conditionalFormatting sqref="AI3:AI230">
    <cfRule type="containsText" dxfId="71" priority="3" operator="containsText" text="A">
      <formula>NOT(ISERROR(SEARCH("A",AI3)))</formula>
    </cfRule>
  </conditionalFormatting>
  <conditionalFormatting sqref="AO3:AO230">
    <cfRule type="containsText" dxfId="70" priority="7" operator="containsText" text="A">
      <formula>NOT(ISERROR(SEARCH("A",AO3)))</formula>
    </cfRule>
  </conditionalFormatting>
  <conditionalFormatting sqref="AU3:AU230">
    <cfRule type="containsText" dxfId="69" priority="4" operator="containsText" text="A">
      <formula>NOT(ISERROR(SEARCH("A",AU3)))</formula>
    </cfRule>
  </conditionalFormatting>
  <conditionalFormatting sqref="BA3:BA230">
    <cfRule type="containsText" dxfId="68" priority="5" operator="containsText" text="A">
      <formula>NOT(ISERROR(SEARCH("A",BA3)))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B136A-3906-4A2B-B76C-BF1649CB1F77}">
  <dimension ref="A1:BC232"/>
  <sheetViews>
    <sheetView topLeftCell="M1" workbookViewId="0">
      <selection activeCell="Q3" sqref="Q3"/>
    </sheetView>
  </sheetViews>
  <sheetFormatPr defaultRowHeight="15.6" x14ac:dyDescent="0.3"/>
  <cols>
    <col min="1" max="1" width="11.109375" style="110" customWidth="1"/>
    <col min="2" max="2" width="21.6640625" style="110" customWidth="1"/>
    <col min="3" max="3" width="22.77734375" style="108" customWidth="1"/>
    <col min="4" max="5" width="12.44140625" style="110" customWidth="1"/>
    <col min="6" max="8" width="11.109375" style="110" customWidth="1"/>
    <col min="9" max="10" width="12.21875" style="109" customWidth="1"/>
    <col min="11" max="11" width="12.77734375" style="111" customWidth="1"/>
    <col min="12" max="12" width="13" style="109" customWidth="1"/>
    <col min="13" max="16" width="12.21875" style="109" customWidth="1"/>
    <col min="17" max="17" width="12.77734375" style="111" customWidth="1"/>
    <col min="18" max="22" width="12.21875" style="109" customWidth="1"/>
    <col min="23" max="23" width="12.77734375" style="111" customWidth="1"/>
    <col min="24" max="28" width="12.21875" style="109" customWidth="1"/>
    <col min="29" max="29" width="12.77734375" style="111" customWidth="1"/>
    <col min="30" max="34" width="12.21875" style="109" customWidth="1"/>
    <col min="35" max="35" width="12.77734375" style="111" customWidth="1"/>
    <col min="36" max="40" width="12.21875" style="109" customWidth="1"/>
    <col min="41" max="41" width="12.77734375" style="111" customWidth="1"/>
    <col min="42" max="46" width="12.21875" style="109" customWidth="1"/>
    <col min="47" max="47" width="12.77734375" style="111" customWidth="1"/>
    <col min="48" max="52" width="12.21875" style="109" customWidth="1"/>
    <col min="53" max="53" width="12.77734375" style="111" customWidth="1"/>
    <col min="54" max="16384" width="8.88671875" style="109"/>
  </cols>
  <sheetData>
    <row r="1" spans="1:55" s="3" customFormat="1" ht="21.6" customHeight="1" x14ac:dyDescent="0.3">
      <c r="A1" s="127" t="s">
        <v>0</v>
      </c>
      <c r="B1" s="127" t="s">
        <v>26</v>
      </c>
      <c r="C1" s="129" t="s">
        <v>27</v>
      </c>
      <c r="D1" s="127" t="s">
        <v>489</v>
      </c>
      <c r="E1" s="127" t="s">
        <v>25</v>
      </c>
      <c r="F1" s="121" t="s">
        <v>495</v>
      </c>
      <c r="G1" s="121"/>
      <c r="H1" s="121"/>
      <c r="I1" s="121"/>
      <c r="J1" s="121"/>
      <c r="K1" s="123" t="s">
        <v>28</v>
      </c>
      <c r="L1" s="121" t="s">
        <v>496</v>
      </c>
      <c r="M1" s="121"/>
      <c r="N1" s="121"/>
      <c r="O1" s="121"/>
      <c r="P1" s="121"/>
      <c r="Q1" s="123" t="s">
        <v>28</v>
      </c>
      <c r="R1" s="121" t="s">
        <v>497</v>
      </c>
      <c r="S1" s="121"/>
      <c r="T1" s="121"/>
      <c r="U1" s="121"/>
      <c r="V1" s="121"/>
      <c r="W1" s="123" t="s">
        <v>28</v>
      </c>
      <c r="X1" s="121" t="s">
        <v>498</v>
      </c>
      <c r="Y1" s="121"/>
      <c r="Z1" s="121"/>
      <c r="AA1" s="121"/>
      <c r="AB1" s="121"/>
      <c r="AC1" s="123" t="s">
        <v>28</v>
      </c>
      <c r="AD1" s="121" t="s">
        <v>499</v>
      </c>
      <c r="AE1" s="121"/>
      <c r="AF1" s="121"/>
      <c r="AG1" s="121"/>
      <c r="AH1" s="121"/>
      <c r="AI1" s="123" t="s">
        <v>28</v>
      </c>
      <c r="AJ1" s="121" t="s">
        <v>500</v>
      </c>
      <c r="AK1" s="121"/>
      <c r="AL1" s="121"/>
      <c r="AM1" s="121"/>
      <c r="AN1" s="121"/>
      <c r="AO1" s="123" t="s">
        <v>28</v>
      </c>
      <c r="AP1" s="121" t="s">
        <v>501</v>
      </c>
      <c r="AQ1" s="121"/>
      <c r="AR1" s="121"/>
      <c r="AS1" s="121"/>
      <c r="AT1" s="121"/>
      <c r="AU1" s="123" t="s">
        <v>28</v>
      </c>
      <c r="AV1" s="121" t="s">
        <v>29</v>
      </c>
      <c r="AW1" s="121"/>
      <c r="AX1" s="121"/>
      <c r="AY1" s="121"/>
      <c r="AZ1" s="121"/>
      <c r="BA1" s="123" t="s">
        <v>28</v>
      </c>
    </row>
    <row r="2" spans="1:55" s="3" customFormat="1" ht="20.100000000000001" customHeight="1" x14ac:dyDescent="0.3">
      <c r="A2" s="128"/>
      <c r="B2" s="128"/>
      <c r="C2" s="130"/>
      <c r="D2" s="128"/>
      <c r="E2" s="128"/>
      <c r="F2" s="100" t="s">
        <v>502</v>
      </c>
      <c r="G2" s="100" t="s">
        <v>503</v>
      </c>
      <c r="H2" s="100" t="s">
        <v>504</v>
      </c>
      <c r="I2" s="100" t="s">
        <v>505</v>
      </c>
      <c r="J2" s="100" t="s">
        <v>506</v>
      </c>
      <c r="K2" s="133"/>
      <c r="L2" s="100" t="s">
        <v>507</v>
      </c>
      <c r="M2" s="100" t="s">
        <v>508</v>
      </c>
      <c r="N2" s="100" t="s">
        <v>509</v>
      </c>
      <c r="O2" s="100" t="s">
        <v>510</v>
      </c>
      <c r="P2" s="100" t="s">
        <v>511</v>
      </c>
      <c r="Q2" s="133"/>
      <c r="R2" s="100" t="s">
        <v>512</v>
      </c>
      <c r="S2" s="100" t="s">
        <v>513</v>
      </c>
      <c r="T2" s="100" t="s">
        <v>514</v>
      </c>
      <c r="U2" s="100" t="s">
        <v>515</v>
      </c>
      <c r="V2" s="100" t="s">
        <v>516</v>
      </c>
      <c r="W2" s="133"/>
      <c r="X2" s="100" t="s">
        <v>517</v>
      </c>
      <c r="Y2" s="100" t="s">
        <v>518</v>
      </c>
      <c r="Z2" s="100" t="s">
        <v>519</v>
      </c>
      <c r="AA2" s="100" t="s">
        <v>520</v>
      </c>
      <c r="AB2" s="100" t="s">
        <v>521</v>
      </c>
      <c r="AC2" s="133"/>
      <c r="AD2" s="100" t="s">
        <v>522</v>
      </c>
      <c r="AE2" s="100" t="s">
        <v>523</v>
      </c>
      <c r="AF2" s="100" t="s">
        <v>524</v>
      </c>
      <c r="AG2" s="100" t="s">
        <v>525</v>
      </c>
      <c r="AH2" s="100" t="s">
        <v>526</v>
      </c>
      <c r="AI2" s="133"/>
      <c r="AJ2" s="100" t="s">
        <v>527</v>
      </c>
      <c r="AK2" s="100" t="s">
        <v>528</v>
      </c>
      <c r="AL2" s="100" t="s">
        <v>529</v>
      </c>
      <c r="AM2" s="100" t="s">
        <v>530</v>
      </c>
      <c r="AN2" s="100" t="s">
        <v>531</v>
      </c>
      <c r="AO2" s="133"/>
      <c r="AP2" s="100" t="s">
        <v>532</v>
      </c>
      <c r="AQ2" s="100" t="s">
        <v>533</v>
      </c>
      <c r="AR2" s="100" t="s">
        <v>534</v>
      </c>
      <c r="AS2" s="100" t="s">
        <v>535</v>
      </c>
      <c r="AT2" s="100" t="s">
        <v>536</v>
      </c>
      <c r="AU2" s="133"/>
      <c r="AV2" s="100" t="s">
        <v>30</v>
      </c>
      <c r="AW2" s="100" t="s">
        <v>31</v>
      </c>
      <c r="AX2" s="100" t="s">
        <v>32</v>
      </c>
      <c r="AY2" s="100" t="s">
        <v>33</v>
      </c>
      <c r="AZ2" s="100" t="s">
        <v>34</v>
      </c>
      <c r="BA2" s="133"/>
      <c r="BC2" s="109"/>
    </row>
    <row r="3" spans="1:55" ht="23.1" customHeight="1" x14ac:dyDescent="0.3">
      <c r="A3" s="49">
        <v>1</v>
      </c>
      <c r="B3" s="49" t="s">
        <v>36</v>
      </c>
      <c r="C3" s="49" t="s">
        <v>37</v>
      </c>
      <c r="D3" s="49" t="s">
        <v>542</v>
      </c>
      <c r="E3" s="49" t="s">
        <v>35</v>
      </c>
      <c r="F3" s="49"/>
      <c r="G3" s="49"/>
      <c r="H3" s="49"/>
      <c r="I3" s="49"/>
      <c r="J3" s="49"/>
      <c r="K3" s="59" t="str">
        <f>IFERROR(AVERAGE(F3,G3,H3,I3,J3),"0")</f>
        <v>0</v>
      </c>
      <c r="L3" s="49">
        <v>3</v>
      </c>
      <c r="M3" s="49">
        <v>3</v>
      </c>
      <c r="N3" s="49">
        <v>3</v>
      </c>
      <c r="O3" s="49"/>
      <c r="P3" s="49">
        <v>3</v>
      </c>
      <c r="Q3" s="59">
        <f>IFERROR(AVERAGE(L3,M3,N3,O3,P3),"0")</f>
        <v>3</v>
      </c>
      <c r="R3" s="49">
        <v>2</v>
      </c>
      <c r="S3" s="49"/>
      <c r="T3" s="49"/>
      <c r="U3" s="49"/>
      <c r="V3" s="49"/>
      <c r="W3" s="59">
        <f>IFERROR(AVERAGE(R3,S3,T3,U3,V3),"0")</f>
        <v>2</v>
      </c>
      <c r="X3" s="49"/>
      <c r="Y3" s="49"/>
      <c r="Z3" s="49"/>
      <c r="AA3" s="49"/>
      <c r="AB3" s="49"/>
      <c r="AC3" s="59" t="str">
        <f>IFERROR(AVERAGE(X3,Y3,Z3,AA3,AB3),"0")</f>
        <v>0</v>
      </c>
      <c r="AD3" s="49"/>
      <c r="AE3" s="49"/>
      <c r="AF3" s="49"/>
      <c r="AG3" s="49"/>
      <c r="AH3" s="49"/>
      <c r="AI3" s="59" t="str">
        <f>IFERROR(AVERAGE(AD3,AE3,AF3,AG3,AH3),"0")</f>
        <v>0</v>
      </c>
      <c r="AJ3" s="49"/>
      <c r="AK3" s="49"/>
      <c r="AL3" s="49"/>
      <c r="AM3" s="49"/>
      <c r="AN3" s="49"/>
      <c r="AO3" s="59" t="str">
        <f>IFERROR(AVERAGE(AJ3,AK3,AL3,AM3,AN3),"0")</f>
        <v>0</v>
      </c>
      <c r="AP3" s="49"/>
      <c r="AQ3" s="49"/>
      <c r="AR3" s="49"/>
      <c r="AS3" s="49"/>
      <c r="AT3" s="49"/>
      <c r="AU3" s="59" t="str">
        <f>IFERROR(AVERAGE(AP3,AQ3,AR3,AS3,AT3),"0")</f>
        <v>0</v>
      </c>
      <c r="AV3" s="49"/>
      <c r="AW3" s="49"/>
      <c r="AX3" s="49"/>
      <c r="AY3" s="49"/>
      <c r="AZ3" s="49"/>
      <c r="BA3" s="59" t="str">
        <f>IFERROR(AVERAGE(AV3,AW3,AX3,AY3,AZ3),"0")</f>
        <v>0</v>
      </c>
    </row>
    <row r="4" spans="1:55" ht="23.1" customHeight="1" x14ac:dyDescent="0.3">
      <c r="A4" s="7">
        <v>2</v>
      </c>
      <c r="B4" s="7" t="s">
        <v>75</v>
      </c>
      <c r="C4" s="7" t="s">
        <v>76</v>
      </c>
      <c r="D4" s="7" t="s">
        <v>450</v>
      </c>
      <c r="E4" s="7" t="s">
        <v>35</v>
      </c>
      <c r="F4" s="7"/>
      <c r="G4" s="7"/>
      <c r="H4" s="49"/>
      <c r="I4" s="7"/>
      <c r="J4" s="7"/>
      <c r="K4" s="59" t="str">
        <f t="shared" ref="K4:K67" si="0">IFERROR(AVERAGE(F4,G4,H4,I4,J4),"0")</f>
        <v>0</v>
      </c>
      <c r="L4" s="49">
        <v>3</v>
      </c>
      <c r="M4" s="49">
        <v>2</v>
      </c>
      <c r="N4" s="49">
        <v>3</v>
      </c>
      <c r="O4" s="49"/>
      <c r="P4" s="49">
        <v>2</v>
      </c>
      <c r="Q4" s="59">
        <f t="shared" ref="Q4:Q67" si="1">IFERROR(AVERAGE(L4,M4,N4,O4,P4),"0")</f>
        <v>2.5</v>
      </c>
      <c r="R4" s="49">
        <v>2</v>
      </c>
      <c r="S4" s="49"/>
      <c r="T4" s="7"/>
      <c r="U4" s="49"/>
      <c r="V4" s="7"/>
      <c r="W4" s="59">
        <f t="shared" ref="W4:W67" si="2">IFERROR(AVERAGE(R4,S4,T4,U4,V4),"0")</f>
        <v>2</v>
      </c>
      <c r="X4" s="49"/>
      <c r="Y4" s="49"/>
      <c r="Z4" s="7"/>
      <c r="AA4" s="7"/>
      <c r="AB4" s="7"/>
      <c r="AC4" s="59" t="str">
        <f t="shared" ref="AC4:AC67" si="3">IFERROR(AVERAGE(X4,Y4,Z4,AA4,AB4),"0")</f>
        <v>0</v>
      </c>
      <c r="AD4" s="49"/>
      <c r="AE4" s="7"/>
      <c r="AF4" s="49"/>
      <c r="AG4" s="7"/>
      <c r="AH4" s="7"/>
      <c r="AI4" s="59" t="str">
        <f t="shared" ref="AI4:AI67" si="4">IFERROR(AVERAGE(AD4,AE4,AF4,AG4,AH4),"0")</f>
        <v>0</v>
      </c>
      <c r="AJ4" s="49"/>
      <c r="AK4" s="49"/>
      <c r="AL4" s="7"/>
      <c r="AM4" s="49"/>
      <c r="AN4" s="7"/>
      <c r="AO4" s="59" t="str">
        <f t="shared" ref="AO4:AO67" si="5">IFERROR(AVERAGE(AJ4,AK4,AL4,AM4,AN4),"0")</f>
        <v>0</v>
      </c>
      <c r="AP4" s="49"/>
      <c r="AQ4" s="49"/>
      <c r="AR4" s="49"/>
      <c r="AS4" s="7"/>
      <c r="AT4" s="7"/>
      <c r="AU4" s="59" t="str">
        <f t="shared" ref="AU4:AU67" si="6">IFERROR(AVERAGE(AP4,AQ4,AR4,AS4,AT4),"0")</f>
        <v>0</v>
      </c>
      <c r="AV4" s="7"/>
      <c r="AW4" s="7"/>
      <c r="AX4" s="49"/>
      <c r="AY4" s="49"/>
      <c r="AZ4" s="49"/>
      <c r="BA4" s="59" t="str">
        <f t="shared" ref="BA4:BA67" si="7">IFERROR(AVERAGE(AV4,AW4,AX4,AY4,AZ4),"0")</f>
        <v>0</v>
      </c>
    </row>
    <row r="5" spans="1:55" ht="23.1" customHeight="1" x14ac:dyDescent="0.3">
      <c r="A5" s="49">
        <v>3</v>
      </c>
      <c r="B5" s="49" t="s">
        <v>64</v>
      </c>
      <c r="C5" s="49" t="s">
        <v>65</v>
      </c>
      <c r="D5" s="49" t="s">
        <v>542</v>
      </c>
      <c r="E5" s="49" t="s">
        <v>35</v>
      </c>
      <c r="F5" s="49"/>
      <c r="G5" s="49"/>
      <c r="H5" s="49"/>
      <c r="I5" s="49"/>
      <c r="J5" s="49"/>
      <c r="K5" s="59" t="str">
        <f t="shared" si="0"/>
        <v>0</v>
      </c>
      <c r="L5" s="49">
        <v>2</v>
      </c>
      <c r="M5" s="49">
        <v>3</v>
      </c>
      <c r="N5" s="49">
        <v>3</v>
      </c>
      <c r="O5" s="49"/>
      <c r="P5" s="49">
        <v>2</v>
      </c>
      <c r="Q5" s="59">
        <f t="shared" si="1"/>
        <v>2.5</v>
      </c>
      <c r="R5" s="49">
        <v>3</v>
      </c>
      <c r="S5" s="49"/>
      <c r="T5" s="49"/>
      <c r="U5" s="49"/>
      <c r="V5" s="49"/>
      <c r="W5" s="59">
        <f t="shared" si="2"/>
        <v>3</v>
      </c>
      <c r="X5" s="49"/>
      <c r="Y5" s="49"/>
      <c r="Z5" s="49"/>
      <c r="AA5" s="49"/>
      <c r="AB5" s="49"/>
      <c r="AC5" s="59" t="str">
        <f t="shared" si="3"/>
        <v>0</v>
      </c>
      <c r="AD5" s="49"/>
      <c r="AE5" s="49"/>
      <c r="AF5" s="49"/>
      <c r="AG5" s="49"/>
      <c r="AH5" s="49"/>
      <c r="AI5" s="59" t="str">
        <f t="shared" si="4"/>
        <v>0</v>
      </c>
      <c r="AJ5" s="49"/>
      <c r="AK5" s="49"/>
      <c r="AL5" s="49"/>
      <c r="AM5" s="49"/>
      <c r="AN5" s="49"/>
      <c r="AO5" s="59" t="str">
        <f t="shared" si="5"/>
        <v>0</v>
      </c>
      <c r="AP5" s="49"/>
      <c r="AQ5" s="49"/>
      <c r="AR5" s="49"/>
      <c r="AS5" s="49"/>
      <c r="AT5" s="49"/>
      <c r="AU5" s="59" t="str">
        <f t="shared" si="6"/>
        <v>0</v>
      </c>
      <c r="AV5" s="49"/>
      <c r="AW5" s="49"/>
      <c r="AX5" s="49"/>
      <c r="AY5" s="49"/>
      <c r="AZ5" s="49"/>
      <c r="BA5" s="59" t="str">
        <f t="shared" si="7"/>
        <v>0</v>
      </c>
    </row>
    <row r="6" spans="1:55" ht="23.1" customHeight="1" x14ac:dyDescent="0.3">
      <c r="A6" s="7">
        <v>4</v>
      </c>
      <c r="B6" s="7" t="s">
        <v>99</v>
      </c>
      <c r="C6" s="7" t="s">
        <v>100</v>
      </c>
      <c r="D6" s="7" t="s">
        <v>450</v>
      </c>
      <c r="E6" s="7" t="s">
        <v>35</v>
      </c>
      <c r="F6" s="7"/>
      <c r="G6" s="7"/>
      <c r="H6" s="49"/>
      <c r="I6" s="7"/>
      <c r="J6" s="7"/>
      <c r="K6" s="59" t="str">
        <f t="shared" si="0"/>
        <v>0</v>
      </c>
      <c r="L6" s="49">
        <v>3</v>
      </c>
      <c r="M6" s="49">
        <v>3</v>
      </c>
      <c r="N6" s="49">
        <v>4</v>
      </c>
      <c r="O6" s="49"/>
      <c r="P6" s="49">
        <v>2</v>
      </c>
      <c r="Q6" s="59">
        <f t="shared" si="1"/>
        <v>3</v>
      </c>
      <c r="R6" s="49">
        <v>2</v>
      </c>
      <c r="S6" s="49"/>
      <c r="T6" s="7"/>
      <c r="U6" s="49"/>
      <c r="V6" s="7"/>
      <c r="W6" s="59">
        <f t="shared" si="2"/>
        <v>2</v>
      </c>
      <c r="X6" s="49"/>
      <c r="Y6" s="49"/>
      <c r="Z6" s="7"/>
      <c r="AA6" s="7"/>
      <c r="AB6" s="7"/>
      <c r="AC6" s="59" t="str">
        <f t="shared" si="3"/>
        <v>0</v>
      </c>
      <c r="AD6" s="49"/>
      <c r="AE6" s="7"/>
      <c r="AF6" s="49"/>
      <c r="AG6" s="7"/>
      <c r="AH6" s="7"/>
      <c r="AI6" s="59" t="str">
        <f t="shared" si="4"/>
        <v>0</v>
      </c>
      <c r="AJ6" s="49"/>
      <c r="AK6" s="49"/>
      <c r="AL6" s="7"/>
      <c r="AM6" s="49"/>
      <c r="AN6" s="7"/>
      <c r="AO6" s="59" t="str">
        <f t="shared" si="5"/>
        <v>0</v>
      </c>
      <c r="AP6" s="49"/>
      <c r="AQ6" s="49"/>
      <c r="AR6" s="49"/>
      <c r="AS6" s="7"/>
      <c r="AT6" s="7"/>
      <c r="AU6" s="59" t="str">
        <f t="shared" si="6"/>
        <v>0</v>
      </c>
      <c r="AV6" s="7"/>
      <c r="AW6" s="7"/>
      <c r="AX6" s="49"/>
      <c r="AY6" s="49"/>
      <c r="AZ6" s="49"/>
      <c r="BA6" s="59" t="str">
        <f t="shared" si="7"/>
        <v>0</v>
      </c>
    </row>
    <row r="7" spans="1:55" ht="23.1" customHeight="1" x14ac:dyDescent="0.3">
      <c r="A7" s="49">
        <v>5</v>
      </c>
      <c r="B7" s="49" t="s">
        <v>290</v>
      </c>
      <c r="C7" s="49" t="s">
        <v>538</v>
      </c>
      <c r="D7" s="49" t="s">
        <v>450</v>
      </c>
      <c r="E7" s="49" t="s">
        <v>289</v>
      </c>
      <c r="F7" s="49"/>
      <c r="G7" s="49"/>
      <c r="H7" s="49"/>
      <c r="I7" s="49"/>
      <c r="J7" s="49"/>
      <c r="K7" s="59" t="str">
        <f t="shared" si="0"/>
        <v>0</v>
      </c>
      <c r="L7" s="49">
        <v>1</v>
      </c>
      <c r="M7" s="49">
        <v>1</v>
      </c>
      <c r="N7" s="49">
        <v>1</v>
      </c>
      <c r="O7" s="49"/>
      <c r="P7" s="49">
        <v>1</v>
      </c>
      <c r="Q7" s="59">
        <f t="shared" si="1"/>
        <v>1</v>
      </c>
      <c r="R7" s="49">
        <v>1</v>
      </c>
      <c r="S7" s="49"/>
      <c r="T7" s="49"/>
      <c r="U7" s="49"/>
      <c r="V7" s="49"/>
      <c r="W7" s="59">
        <f t="shared" si="2"/>
        <v>1</v>
      </c>
      <c r="X7" s="49"/>
      <c r="Y7" s="49"/>
      <c r="Z7" s="49"/>
      <c r="AA7" s="49"/>
      <c r="AB7" s="49"/>
      <c r="AC7" s="59" t="str">
        <f t="shared" si="3"/>
        <v>0</v>
      </c>
      <c r="AD7" s="49"/>
      <c r="AE7" s="49"/>
      <c r="AF7" s="49"/>
      <c r="AG7" s="49"/>
      <c r="AH7" s="49"/>
      <c r="AI7" s="59" t="str">
        <f t="shared" si="4"/>
        <v>0</v>
      </c>
      <c r="AJ7" s="49"/>
      <c r="AK7" s="49"/>
      <c r="AL7" s="49"/>
      <c r="AM7" s="49"/>
      <c r="AN7" s="49"/>
      <c r="AO7" s="59" t="str">
        <f t="shared" si="5"/>
        <v>0</v>
      </c>
      <c r="AP7" s="49"/>
      <c r="AQ7" s="49"/>
      <c r="AR7" s="49"/>
      <c r="AS7" s="49"/>
      <c r="AT7" s="49"/>
      <c r="AU7" s="59" t="str">
        <f t="shared" si="6"/>
        <v>0</v>
      </c>
      <c r="AV7" s="49"/>
      <c r="AW7" s="49"/>
      <c r="AX7" s="49"/>
      <c r="AY7" s="49"/>
      <c r="AZ7" s="49"/>
      <c r="BA7" s="59" t="str">
        <f t="shared" si="7"/>
        <v>0</v>
      </c>
    </row>
    <row r="8" spans="1:55" ht="23.1" customHeight="1" x14ac:dyDescent="0.3">
      <c r="A8" s="7">
        <v>6</v>
      </c>
      <c r="B8" s="7" t="s">
        <v>101</v>
      </c>
      <c r="C8" s="7" t="s">
        <v>102</v>
      </c>
      <c r="D8" s="7" t="s">
        <v>450</v>
      </c>
      <c r="E8" s="7" t="s">
        <v>35</v>
      </c>
      <c r="F8" s="7"/>
      <c r="G8" s="7"/>
      <c r="H8" s="49"/>
      <c r="I8" s="7"/>
      <c r="J8" s="7"/>
      <c r="K8" s="59" t="str">
        <f t="shared" si="0"/>
        <v>0</v>
      </c>
      <c r="L8" s="49">
        <v>2</v>
      </c>
      <c r="M8" s="49">
        <v>3</v>
      </c>
      <c r="N8" s="49">
        <v>2</v>
      </c>
      <c r="O8" s="49"/>
      <c r="P8" s="49">
        <v>4</v>
      </c>
      <c r="Q8" s="59">
        <f t="shared" si="1"/>
        <v>2.75</v>
      </c>
      <c r="R8" s="49">
        <v>3</v>
      </c>
      <c r="S8" s="49"/>
      <c r="T8" s="7"/>
      <c r="U8" s="49"/>
      <c r="V8" s="7"/>
      <c r="W8" s="59">
        <f t="shared" si="2"/>
        <v>3</v>
      </c>
      <c r="X8" s="49"/>
      <c r="Y8" s="49"/>
      <c r="Z8" s="7"/>
      <c r="AA8" s="7"/>
      <c r="AB8" s="7"/>
      <c r="AC8" s="59" t="str">
        <f t="shared" si="3"/>
        <v>0</v>
      </c>
      <c r="AD8" s="49"/>
      <c r="AE8" s="7"/>
      <c r="AF8" s="49"/>
      <c r="AG8" s="7"/>
      <c r="AH8" s="7"/>
      <c r="AI8" s="59" t="str">
        <f t="shared" si="4"/>
        <v>0</v>
      </c>
      <c r="AJ8" s="49"/>
      <c r="AK8" s="49"/>
      <c r="AL8" s="7"/>
      <c r="AM8" s="49"/>
      <c r="AN8" s="7"/>
      <c r="AO8" s="59" t="str">
        <f t="shared" si="5"/>
        <v>0</v>
      </c>
      <c r="AP8" s="49"/>
      <c r="AQ8" s="49"/>
      <c r="AR8" s="49"/>
      <c r="AS8" s="7"/>
      <c r="AT8" s="7"/>
      <c r="AU8" s="59" t="str">
        <f t="shared" si="6"/>
        <v>0</v>
      </c>
      <c r="AV8" s="7"/>
      <c r="AW8" s="7"/>
      <c r="AX8" s="49"/>
      <c r="AY8" s="49"/>
      <c r="AZ8" s="49"/>
      <c r="BA8" s="59" t="str">
        <f t="shared" si="7"/>
        <v>0</v>
      </c>
    </row>
    <row r="9" spans="1:55" ht="23.1" customHeight="1" x14ac:dyDescent="0.3">
      <c r="A9" s="49">
        <v>7</v>
      </c>
      <c r="B9" s="49" t="s">
        <v>72</v>
      </c>
      <c r="C9" s="49" t="s">
        <v>73</v>
      </c>
      <c r="D9" s="49" t="s">
        <v>450</v>
      </c>
      <c r="E9" s="49" t="s">
        <v>35</v>
      </c>
      <c r="F9" s="49"/>
      <c r="G9" s="49"/>
      <c r="H9" s="49"/>
      <c r="I9" s="49"/>
      <c r="J9" s="49"/>
      <c r="K9" s="59" t="str">
        <f t="shared" si="0"/>
        <v>0</v>
      </c>
      <c r="L9" s="49">
        <v>3</v>
      </c>
      <c r="M9" s="49">
        <v>2</v>
      </c>
      <c r="N9" s="49">
        <v>2</v>
      </c>
      <c r="O9" s="49"/>
      <c r="P9" s="49">
        <v>2</v>
      </c>
      <c r="Q9" s="59">
        <f t="shared" si="1"/>
        <v>2.25</v>
      </c>
      <c r="R9" s="49">
        <v>3</v>
      </c>
      <c r="S9" s="49"/>
      <c r="T9" s="49"/>
      <c r="U9" s="49"/>
      <c r="V9" s="49"/>
      <c r="W9" s="59">
        <f t="shared" si="2"/>
        <v>3</v>
      </c>
      <c r="X9" s="49"/>
      <c r="Y9" s="49"/>
      <c r="Z9" s="49"/>
      <c r="AA9" s="49"/>
      <c r="AB9" s="49"/>
      <c r="AC9" s="59" t="str">
        <f t="shared" si="3"/>
        <v>0</v>
      </c>
      <c r="AD9" s="49"/>
      <c r="AE9" s="49"/>
      <c r="AF9" s="49"/>
      <c r="AG9" s="49"/>
      <c r="AH9" s="49"/>
      <c r="AI9" s="59" t="str">
        <f t="shared" si="4"/>
        <v>0</v>
      </c>
      <c r="AJ9" s="49"/>
      <c r="AK9" s="49"/>
      <c r="AL9" s="49"/>
      <c r="AM9" s="49"/>
      <c r="AN9" s="49"/>
      <c r="AO9" s="59" t="str">
        <f t="shared" si="5"/>
        <v>0</v>
      </c>
      <c r="AP9" s="49"/>
      <c r="AQ9" s="49"/>
      <c r="AR9" s="49"/>
      <c r="AS9" s="49"/>
      <c r="AT9" s="49"/>
      <c r="AU9" s="59" t="str">
        <f t="shared" si="6"/>
        <v>0</v>
      </c>
      <c r="AV9" s="49"/>
      <c r="AW9" s="49"/>
      <c r="AX9" s="49"/>
      <c r="AY9" s="49"/>
      <c r="AZ9" s="49"/>
      <c r="BA9" s="59" t="str">
        <f t="shared" si="7"/>
        <v>0</v>
      </c>
    </row>
    <row r="10" spans="1:55" ht="23.1" customHeight="1" x14ac:dyDescent="0.3">
      <c r="A10" s="7">
        <v>8</v>
      </c>
      <c r="B10" s="7" t="s">
        <v>291</v>
      </c>
      <c r="C10" s="7" t="s">
        <v>292</v>
      </c>
      <c r="D10" s="7" t="s">
        <v>450</v>
      </c>
      <c r="E10" s="7" t="s">
        <v>493</v>
      </c>
      <c r="F10" s="7"/>
      <c r="G10" s="7"/>
      <c r="H10" s="49"/>
      <c r="I10" s="7"/>
      <c r="J10" s="7"/>
      <c r="K10" s="59" t="str">
        <f t="shared" si="0"/>
        <v>0</v>
      </c>
      <c r="L10" s="49">
        <v>4</v>
      </c>
      <c r="M10" s="49">
        <v>2</v>
      </c>
      <c r="N10" s="49">
        <v>3</v>
      </c>
      <c r="O10" s="49"/>
      <c r="P10" s="49">
        <v>2</v>
      </c>
      <c r="Q10" s="59">
        <f t="shared" si="1"/>
        <v>2.75</v>
      </c>
      <c r="R10" s="49">
        <v>4</v>
      </c>
      <c r="S10" s="49"/>
      <c r="T10" s="7"/>
      <c r="U10" s="49"/>
      <c r="V10" s="7"/>
      <c r="W10" s="59">
        <f t="shared" si="2"/>
        <v>4</v>
      </c>
      <c r="X10" s="49"/>
      <c r="Y10" s="49"/>
      <c r="Z10" s="7"/>
      <c r="AA10" s="7"/>
      <c r="AB10" s="7"/>
      <c r="AC10" s="59" t="str">
        <f t="shared" si="3"/>
        <v>0</v>
      </c>
      <c r="AD10" s="49"/>
      <c r="AE10" s="7"/>
      <c r="AF10" s="49"/>
      <c r="AG10" s="7"/>
      <c r="AH10" s="7"/>
      <c r="AI10" s="59" t="str">
        <f t="shared" si="4"/>
        <v>0</v>
      </c>
      <c r="AJ10" s="49"/>
      <c r="AK10" s="49"/>
      <c r="AL10" s="7"/>
      <c r="AM10" s="49"/>
      <c r="AN10" s="7"/>
      <c r="AO10" s="59" t="str">
        <f t="shared" si="5"/>
        <v>0</v>
      </c>
      <c r="AP10" s="49"/>
      <c r="AQ10" s="49"/>
      <c r="AR10" s="49"/>
      <c r="AS10" s="7"/>
      <c r="AT10" s="7"/>
      <c r="AU10" s="59" t="str">
        <f t="shared" si="6"/>
        <v>0</v>
      </c>
      <c r="AV10" s="7"/>
      <c r="AW10" s="7"/>
      <c r="AX10" s="49"/>
      <c r="AY10" s="49"/>
      <c r="AZ10" s="49"/>
      <c r="BA10" s="59" t="str">
        <f t="shared" si="7"/>
        <v>0</v>
      </c>
    </row>
    <row r="11" spans="1:55" ht="23.1" customHeight="1" x14ac:dyDescent="0.3">
      <c r="A11" s="49">
        <v>9</v>
      </c>
      <c r="B11" s="49" t="s">
        <v>103</v>
      </c>
      <c r="C11" s="49" t="s">
        <v>104</v>
      </c>
      <c r="D11" s="49" t="s">
        <v>542</v>
      </c>
      <c r="E11" s="49" t="s">
        <v>35</v>
      </c>
      <c r="F11" s="49"/>
      <c r="G11" s="49"/>
      <c r="H11" s="49"/>
      <c r="I11" s="49"/>
      <c r="J11" s="49"/>
      <c r="K11" s="59" t="str">
        <f t="shared" si="0"/>
        <v>0</v>
      </c>
      <c r="L11" s="49">
        <v>3.5</v>
      </c>
      <c r="M11" s="49">
        <v>3.5</v>
      </c>
      <c r="N11" s="49">
        <v>3</v>
      </c>
      <c r="O11" s="49"/>
      <c r="P11" s="49">
        <v>3</v>
      </c>
      <c r="Q11" s="59">
        <f t="shared" si="1"/>
        <v>3.25</v>
      </c>
      <c r="R11" s="49">
        <v>3.5</v>
      </c>
      <c r="S11" s="49"/>
      <c r="T11" s="49"/>
      <c r="U11" s="49"/>
      <c r="V11" s="49"/>
      <c r="W11" s="59">
        <f t="shared" si="2"/>
        <v>3.5</v>
      </c>
      <c r="X11" s="49"/>
      <c r="Y11" s="49"/>
      <c r="Z11" s="49"/>
      <c r="AA11" s="49"/>
      <c r="AB11" s="49"/>
      <c r="AC11" s="59" t="str">
        <f t="shared" si="3"/>
        <v>0</v>
      </c>
      <c r="AD11" s="49"/>
      <c r="AE11" s="49"/>
      <c r="AF11" s="49"/>
      <c r="AG11" s="49"/>
      <c r="AH11" s="49"/>
      <c r="AI11" s="59" t="str">
        <f t="shared" si="4"/>
        <v>0</v>
      </c>
      <c r="AJ11" s="49"/>
      <c r="AK11" s="49"/>
      <c r="AL11" s="49"/>
      <c r="AM11" s="49"/>
      <c r="AN11" s="49"/>
      <c r="AO11" s="59" t="str">
        <f t="shared" si="5"/>
        <v>0</v>
      </c>
      <c r="AP11" s="49"/>
      <c r="AQ11" s="49"/>
      <c r="AR11" s="49"/>
      <c r="AS11" s="49"/>
      <c r="AT11" s="49"/>
      <c r="AU11" s="59" t="str">
        <f t="shared" si="6"/>
        <v>0</v>
      </c>
      <c r="AV11" s="49"/>
      <c r="AW11" s="49"/>
      <c r="AX11" s="49"/>
      <c r="AY11" s="49"/>
      <c r="AZ11" s="49"/>
      <c r="BA11" s="59" t="str">
        <f t="shared" si="7"/>
        <v>0</v>
      </c>
    </row>
    <row r="12" spans="1:55" ht="23.1" customHeight="1" x14ac:dyDescent="0.3">
      <c r="A12" s="7">
        <v>10</v>
      </c>
      <c r="B12" s="7" t="s">
        <v>68</v>
      </c>
      <c r="C12" s="7" t="s">
        <v>69</v>
      </c>
      <c r="D12" s="7" t="s">
        <v>450</v>
      </c>
      <c r="E12" s="7" t="s">
        <v>35</v>
      </c>
      <c r="F12" s="7"/>
      <c r="G12" s="7"/>
      <c r="H12" s="49"/>
      <c r="I12" s="7"/>
      <c r="J12" s="7"/>
      <c r="K12" s="59" t="str">
        <f t="shared" si="0"/>
        <v>0</v>
      </c>
      <c r="L12" s="49">
        <v>3</v>
      </c>
      <c r="M12" s="49">
        <v>4</v>
      </c>
      <c r="N12" s="49">
        <v>3</v>
      </c>
      <c r="O12" s="49"/>
      <c r="P12" s="49">
        <v>4</v>
      </c>
      <c r="Q12" s="59">
        <f t="shared" si="1"/>
        <v>3.5</v>
      </c>
      <c r="R12" s="49">
        <v>3</v>
      </c>
      <c r="S12" s="49"/>
      <c r="T12" s="7"/>
      <c r="U12" s="49"/>
      <c r="V12" s="7"/>
      <c r="W12" s="59">
        <f t="shared" si="2"/>
        <v>3</v>
      </c>
      <c r="X12" s="49"/>
      <c r="Y12" s="49"/>
      <c r="Z12" s="7"/>
      <c r="AA12" s="7"/>
      <c r="AB12" s="7"/>
      <c r="AC12" s="59" t="str">
        <f t="shared" si="3"/>
        <v>0</v>
      </c>
      <c r="AD12" s="49"/>
      <c r="AE12" s="7"/>
      <c r="AF12" s="49"/>
      <c r="AG12" s="7"/>
      <c r="AH12" s="7"/>
      <c r="AI12" s="59" t="str">
        <f t="shared" si="4"/>
        <v>0</v>
      </c>
      <c r="AJ12" s="49"/>
      <c r="AK12" s="49"/>
      <c r="AL12" s="7"/>
      <c r="AM12" s="49"/>
      <c r="AN12" s="7"/>
      <c r="AO12" s="59" t="str">
        <f t="shared" si="5"/>
        <v>0</v>
      </c>
      <c r="AP12" s="49"/>
      <c r="AQ12" s="49"/>
      <c r="AR12" s="49"/>
      <c r="AS12" s="7"/>
      <c r="AT12" s="7"/>
      <c r="AU12" s="59" t="str">
        <f t="shared" si="6"/>
        <v>0</v>
      </c>
      <c r="AV12" s="7"/>
      <c r="AW12" s="7"/>
      <c r="AX12" s="49"/>
      <c r="AY12" s="49"/>
      <c r="AZ12" s="49"/>
      <c r="BA12" s="59" t="str">
        <f t="shared" si="7"/>
        <v>0</v>
      </c>
    </row>
    <row r="13" spans="1:55" ht="23.1" customHeight="1" x14ac:dyDescent="0.3">
      <c r="A13" s="49">
        <v>11</v>
      </c>
      <c r="B13" s="49" t="s">
        <v>162</v>
      </c>
      <c r="C13" s="49" t="s">
        <v>163</v>
      </c>
      <c r="D13" s="49" t="s">
        <v>450</v>
      </c>
      <c r="E13" s="49" t="s">
        <v>161</v>
      </c>
      <c r="F13" s="49"/>
      <c r="G13" s="49"/>
      <c r="H13" s="49"/>
      <c r="I13" s="49"/>
      <c r="J13" s="49"/>
      <c r="K13" s="59" t="str">
        <f t="shared" si="0"/>
        <v>0</v>
      </c>
      <c r="L13" s="49">
        <v>4</v>
      </c>
      <c r="M13" s="49">
        <v>4</v>
      </c>
      <c r="N13" s="49">
        <v>4</v>
      </c>
      <c r="O13" s="49"/>
      <c r="P13" s="49">
        <v>2</v>
      </c>
      <c r="Q13" s="59">
        <f t="shared" si="1"/>
        <v>3.5</v>
      </c>
      <c r="R13" s="49">
        <v>2</v>
      </c>
      <c r="S13" s="49"/>
      <c r="T13" s="49"/>
      <c r="U13" s="49"/>
      <c r="V13" s="49"/>
      <c r="W13" s="59">
        <f t="shared" si="2"/>
        <v>2</v>
      </c>
      <c r="X13" s="49"/>
      <c r="Y13" s="49"/>
      <c r="Z13" s="49"/>
      <c r="AA13" s="49"/>
      <c r="AB13" s="49"/>
      <c r="AC13" s="59" t="str">
        <f t="shared" si="3"/>
        <v>0</v>
      </c>
      <c r="AD13" s="49"/>
      <c r="AE13" s="49"/>
      <c r="AF13" s="49"/>
      <c r="AG13" s="49"/>
      <c r="AH13" s="49"/>
      <c r="AI13" s="59" t="str">
        <f t="shared" si="4"/>
        <v>0</v>
      </c>
      <c r="AJ13" s="49"/>
      <c r="AK13" s="49"/>
      <c r="AL13" s="49"/>
      <c r="AM13" s="49"/>
      <c r="AN13" s="49"/>
      <c r="AO13" s="59" t="str">
        <f t="shared" si="5"/>
        <v>0</v>
      </c>
      <c r="AP13" s="49"/>
      <c r="AQ13" s="49"/>
      <c r="AR13" s="49"/>
      <c r="AS13" s="49"/>
      <c r="AT13" s="49"/>
      <c r="AU13" s="59" t="str">
        <f t="shared" si="6"/>
        <v>0</v>
      </c>
      <c r="AV13" s="49"/>
      <c r="AW13" s="49"/>
      <c r="AX13" s="49"/>
      <c r="AY13" s="49"/>
      <c r="AZ13" s="49"/>
      <c r="BA13" s="59" t="str">
        <f t="shared" si="7"/>
        <v>0</v>
      </c>
    </row>
    <row r="14" spans="1:55" ht="23.1" customHeight="1" x14ac:dyDescent="0.3">
      <c r="A14" s="7">
        <v>12</v>
      </c>
      <c r="B14" s="7" t="s">
        <v>178</v>
      </c>
      <c r="C14" s="7" t="s">
        <v>179</v>
      </c>
      <c r="D14" s="7" t="s">
        <v>450</v>
      </c>
      <c r="E14" s="7" t="s">
        <v>161</v>
      </c>
      <c r="F14" s="7"/>
      <c r="G14" s="7"/>
      <c r="H14" s="49"/>
      <c r="I14" s="7"/>
      <c r="J14" s="7"/>
      <c r="K14" s="59" t="str">
        <f t="shared" si="0"/>
        <v>0</v>
      </c>
      <c r="L14" s="49">
        <v>3</v>
      </c>
      <c r="M14" s="49">
        <v>3</v>
      </c>
      <c r="N14" s="49">
        <v>3</v>
      </c>
      <c r="O14" s="49"/>
      <c r="P14" s="49">
        <v>3</v>
      </c>
      <c r="Q14" s="59">
        <f t="shared" si="1"/>
        <v>3</v>
      </c>
      <c r="R14" s="49">
        <v>3</v>
      </c>
      <c r="S14" s="49"/>
      <c r="T14" s="7"/>
      <c r="U14" s="49"/>
      <c r="V14" s="7"/>
      <c r="W14" s="59">
        <f t="shared" si="2"/>
        <v>3</v>
      </c>
      <c r="X14" s="49"/>
      <c r="Y14" s="49"/>
      <c r="Z14" s="7"/>
      <c r="AA14" s="7"/>
      <c r="AB14" s="7"/>
      <c r="AC14" s="59" t="str">
        <f t="shared" si="3"/>
        <v>0</v>
      </c>
      <c r="AD14" s="49"/>
      <c r="AE14" s="7"/>
      <c r="AF14" s="49"/>
      <c r="AG14" s="7"/>
      <c r="AH14" s="7"/>
      <c r="AI14" s="59" t="str">
        <f t="shared" si="4"/>
        <v>0</v>
      </c>
      <c r="AJ14" s="49"/>
      <c r="AK14" s="49"/>
      <c r="AL14" s="7"/>
      <c r="AM14" s="49"/>
      <c r="AN14" s="7"/>
      <c r="AO14" s="59" t="str">
        <f t="shared" si="5"/>
        <v>0</v>
      </c>
      <c r="AP14" s="49"/>
      <c r="AQ14" s="49"/>
      <c r="AR14" s="49"/>
      <c r="AS14" s="7"/>
      <c r="AT14" s="7"/>
      <c r="AU14" s="59" t="str">
        <f t="shared" si="6"/>
        <v>0</v>
      </c>
      <c r="AV14" s="7"/>
      <c r="AW14" s="7"/>
      <c r="AX14" s="49"/>
      <c r="AY14" s="49"/>
      <c r="AZ14" s="49"/>
      <c r="BA14" s="59" t="str">
        <f t="shared" si="7"/>
        <v>0</v>
      </c>
    </row>
    <row r="15" spans="1:55" ht="23.1" customHeight="1" x14ac:dyDescent="0.3">
      <c r="A15" s="49">
        <v>13</v>
      </c>
      <c r="B15" s="49" t="s">
        <v>87</v>
      </c>
      <c r="C15" s="49" t="s">
        <v>88</v>
      </c>
      <c r="D15" s="49" t="s">
        <v>450</v>
      </c>
      <c r="E15" s="49" t="s">
        <v>35</v>
      </c>
      <c r="F15" s="49"/>
      <c r="G15" s="49"/>
      <c r="H15" s="49"/>
      <c r="I15" s="49"/>
      <c r="J15" s="49"/>
      <c r="K15" s="59" t="str">
        <f t="shared" si="0"/>
        <v>0</v>
      </c>
      <c r="L15" s="49">
        <v>4</v>
      </c>
      <c r="M15" s="49">
        <v>4</v>
      </c>
      <c r="N15" s="49">
        <v>3</v>
      </c>
      <c r="O15" s="49"/>
      <c r="P15" s="49">
        <v>3</v>
      </c>
      <c r="Q15" s="59">
        <f t="shared" si="1"/>
        <v>3.5</v>
      </c>
      <c r="R15" s="49">
        <v>4</v>
      </c>
      <c r="S15" s="49"/>
      <c r="T15" s="49"/>
      <c r="U15" s="49"/>
      <c r="V15" s="49"/>
      <c r="W15" s="59">
        <f t="shared" si="2"/>
        <v>4</v>
      </c>
      <c r="X15" s="49"/>
      <c r="Y15" s="49"/>
      <c r="Z15" s="49"/>
      <c r="AA15" s="49"/>
      <c r="AB15" s="49"/>
      <c r="AC15" s="59" t="str">
        <f t="shared" si="3"/>
        <v>0</v>
      </c>
      <c r="AD15" s="49"/>
      <c r="AE15" s="49"/>
      <c r="AF15" s="49"/>
      <c r="AG15" s="49"/>
      <c r="AH15" s="49"/>
      <c r="AI15" s="59" t="str">
        <f t="shared" si="4"/>
        <v>0</v>
      </c>
      <c r="AJ15" s="49"/>
      <c r="AK15" s="49"/>
      <c r="AL15" s="49"/>
      <c r="AM15" s="49"/>
      <c r="AN15" s="49"/>
      <c r="AO15" s="59" t="str">
        <f t="shared" si="5"/>
        <v>0</v>
      </c>
      <c r="AP15" s="49"/>
      <c r="AQ15" s="49"/>
      <c r="AR15" s="49"/>
      <c r="AS15" s="49"/>
      <c r="AT15" s="49"/>
      <c r="AU15" s="59" t="str">
        <f t="shared" si="6"/>
        <v>0</v>
      </c>
      <c r="AV15" s="49"/>
      <c r="AW15" s="49"/>
      <c r="AX15" s="49"/>
      <c r="AY15" s="49"/>
      <c r="AZ15" s="49"/>
      <c r="BA15" s="59" t="str">
        <f t="shared" si="7"/>
        <v>0</v>
      </c>
    </row>
    <row r="16" spans="1:55" ht="23.1" customHeight="1" x14ac:dyDescent="0.3">
      <c r="A16" s="7">
        <v>14</v>
      </c>
      <c r="B16" s="7" t="s">
        <v>194</v>
      </c>
      <c r="C16" s="7" t="s">
        <v>195</v>
      </c>
      <c r="D16" s="7" t="s">
        <v>542</v>
      </c>
      <c r="E16" s="7" t="s">
        <v>161</v>
      </c>
      <c r="F16" s="7"/>
      <c r="G16" s="7"/>
      <c r="H16" s="49"/>
      <c r="I16" s="7"/>
      <c r="J16" s="7"/>
      <c r="K16" s="59" t="str">
        <f t="shared" si="0"/>
        <v>0</v>
      </c>
      <c r="L16" s="49">
        <v>4</v>
      </c>
      <c r="M16" s="49">
        <v>3</v>
      </c>
      <c r="N16" s="49">
        <v>3.5</v>
      </c>
      <c r="O16" s="49"/>
      <c r="P16" s="49">
        <v>3.5</v>
      </c>
      <c r="Q16" s="59">
        <f t="shared" si="1"/>
        <v>3.5</v>
      </c>
      <c r="R16" s="49">
        <v>4</v>
      </c>
      <c r="S16" s="49"/>
      <c r="T16" s="7"/>
      <c r="U16" s="49"/>
      <c r="V16" s="7"/>
      <c r="W16" s="59">
        <f t="shared" si="2"/>
        <v>4</v>
      </c>
      <c r="X16" s="49"/>
      <c r="Y16" s="49"/>
      <c r="Z16" s="7"/>
      <c r="AA16" s="7"/>
      <c r="AB16" s="7"/>
      <c r="AC16" s="59" t="str">
        <f t="shared" si="3"/>
        <v>0</v>
      </c>
      <c r="AD16" s="49"/>
      <c r="AE16" s="7"/>
      <c r="AF16" s="49"/>
      <c r="AG16" s="7"/>
      <c r="AH16" s="7"/>
      <c r="AI16" s="59" t="str">
        <f t="shared" si="4"/>
        <v>0</v>
      </c>
      <c r="AJ16" s="49"/>
      <c r="AK16" s="49"/>
      <c r="AL16" s="7"/>
      <c r="AM16" s="49"/>
      <c r="AN16" s="7"/>
      <c r="AO16" s="59" t="str">
        <f t="shared" si="5"/>
        <v>0</v>
      </c>
      <c r="AP16" s="49"/>
      <c r="AQ16" s="49"/>
      <c r="AR16" s="49"/>
      <c r="AS16" s="7"/>
      <c r="AT16" s="7"/>
      <c r="AU16" s="59" t="str">
        <f t="shared" si="6"/>
        <v>0</v>
      </c>
      <c r="AV16" s="7"/>
      <c r="AW16" s="7"/>
      <c r="AX16" s="49"/>
      <c r="AY16" s="49"/>
      <c r="AZ16" s="49"/>
      <c r="BA16" s="59" t="str">
        <f t="shared" si="7"/>
        <v>0</v>
      </c>
    </row>
    <row r="17" spans="1:53" ht="23.1" customHeight="1" x14ac:dyDescent="0.3">
      <c r="A17" s="49">
        <v>15</v>
      </c>
      <c r="B17" s="49" t="s">
        <v>293</v>
      </c>
      <c r="C17" s="49" t="s">
        <v>294</v>
      </c>
      <c r="D17" s="49" t="s">
        <v>542</v>
      </c>
      <c r="E17" s="49" t="s">
        <v>493</v>
      </c>
      <c r="F17" s="49"/>
      <c r="G17" s="49"/>
      <c r="H17" s="49"/>
      <c r="I17" s="49"/>
      <c r="J17" s="49"/>
      <c r="K17" s="59" t="str">
        <f t="shared" si="0"/>
        <v>0</v>
      </c>
      <c r="L17" s="49" t="s">
        <v>581</v>
      </c>
      <c r="M17" s="49" t="s">
        <v>581</v>
      </c>
      <c r="N17" s="49" t="s">
        <v>581</v>
      </c>
      <c r="O17" s="49"/>
      <c r="P17" s="49" t="s">
        <v>581</v>
      </c>
      <c r="Q17" s="59" t="str">
        <f t="shared" si="1"/>
        <v>0</v>
      </c>
      <c r="R17" s="49" t="s">
        <v>581</v>
      </c>
      <c r="S17" s="49"/>
      <c r="T17" s="49"/>
      <c r="U17" s="49"/>
      <c r="V17" s="49"/>
      <c r="W17" s="59" t="str">
        <f t="shared" si="2"/>
        <v>0</v>
      </c>
      <c r="X17" s="49"/>
      <c r="Y17" s="49"/>
      <c r="Z17" s="49"/>
      <c r="AA17" s="49"/>
      <c r="AB17" s="49"/>
      <c r="AC17" s="59" t="str">
        <f t="shared" si="3"/>
        <v>0</v>
      </c>
      <c r="AD17" s="49"/>
      <c r="AE17" s="49"/>
      <c r="AF17" s="49"/>
      <c r="AG17" s="49"/>
      <c r="AH17" s="49"/>
      <c r="AI17" s="59" t="str">
        <f t="shared" si="4"/>
        <v>0</v>
      </c>
      <c r="AJ17" s="49"/>
      <c r="AK17" s="49"/>
      <c r="AL17" s="49"/>
      <c r="AM17" s="49"/>
      <c r="AN17" s="49"/>
      <c r="AO17" s="59" t="str">
        <f t="shared" si="5"/>
        <v>0</v>
      </c>
      <c r="AP17" s="49"/>
      <c r="AQ17" s="49"/>
      <c r="AR17" s="49"/>
      <c r="AS17" s="49"/>
      <c r="AT17" s="49"/>
      <c r="AU17" s="59" t="str">
        <f t="shared" si="6"/>
        <v>0</v>
      </c>
      <c r="AV17" s="49"/>
      <c r="AW17" s="49"/>
      <c r="AX17" s="49"/>
      <c r="AY17" s="49"/>
      <c r="AZ17" s="49"/>
      <c r="BA17" s="59" t="str">
        <f t="shared" si="7"/>
        <v>0</v>
      </c>
    </row>
    <row r="18" spans="1:53" ht="23.1" customHeight="1" x14ac:dyDescent="0.3">
      <c r="A18" s="7">
        <v>16</v>
      </c>
      <c r="B18" s="7" t="s">
        <v>105</v>
      </c>
      <c r="C18" s="7" t="s">
        <v>106</v>
      </c>
      <c r="D18" s="7" t="s">
        <v>450</v>
      </c>
      <c r="E18" s="7" t="s">
        <v>35</v>
      </c>
      <c r="F18" s="7"/>
      <c r="G18" s="7"/>
      <c r="H18" s="49"/>
      <c r="I18" s="7"/>
      <c r="J18" s="7"/>
      <c r="K18" s="59" t="str">
        <f t="shared" si="0"/>
        <v>0</v>
      </c>
      <c r="L18" s="49">
        <v>0</v>
      </c>
      <c r="M18" s="49">
        <v>0</v>
      </c>
      <c r="N18" s="49">
        <v>0</v>
      </c>
      <c r="O18" s="49"/>
      <c r="P18" s="49">
        <v>0</v>
      </c>
      <c r="Q18" s="59">
        <f t="shared" si="1"/>
        <v>0</v>
      </c>
      <c r="R18" s="49">
        <v>0</v>
      </c>
      <c r="S18" s="49"/>
      <c r="T18" s="7"/>
      <c r="U18" s="49"/>
      <c r="V18" s="7"/>
      <c r="W18" s="59">
        <f t="shared" si="2"/>
        <v>0</v>
      </c>
      <c r="X18" s="49"/>
      <c r="Y18" s="49"/>
      <c r="Z18" s="7"/>
      <c r="AA18" s="7"/>
      <c r="AB18" s="7"/>
      <c r="AC18" s="59" t="str">
        <f t="shared" si="3"/>
        <v>0</v>
      </c>
      <c r="AD18" s="49"/>
      <c r="AE18" s="7"/>
      <c r="AF18" s="49"/>
      <c r="AG18" s="7"/>
      <c r="AH18" s="7"/>
      <c r="AI18" s="59" t="str">
        <f t="shared" si="4"/>
        <v>0</v>
      </c>
      <c r="AJ18" s="49"/>
      <c r="AK18" s="49"/>
      <c r="AL18" s="7"/>
      <c r="AM18" s="49"/>
      <c r="AN18" s="7"/>
      <c r="AO18" s="59" t="str">
        <f t="shared" si="5"/>
        <v>0</v>
      </c>
      <c r="AP18" s="49"/>
      <c r="AQ18" s="49"/>
      <c r="AR18" s="49"/>
      <c r="AS18" s="7"/>
      <c r="AT18" s="7"/>
      <c r="AU18" s="59" t="str">
        <f t="shared" si="6"/>
        <v>0</v>
      </c>
      <c r="AV18" s="7"/>
      <c r="AW18" s="7"/>
      <c r="AX18" s="49"/>
      <c r="AY18" s="49"/>
      <c r="AZ18" s="49"/>
      <c r="BA18" s="59" t="str">
        <f t="shared" si="7"/>
        <v>0</v>
      </c>
    </row>
    <row r="19" spans="1:53" ht="23.1" customHeight="1" x14ac:dyDescent="0.3">
      <c r="A19" s="49">
        <v>17</v>
      </c>
      <c r="B19" s="49" t="s">
        <v>295</v>
      </c>
      <c r="C19" s="49" t="s">
        <v>296</v>
      </c>
      <c r="D19" s="49" t="s">
        <v>542</v>
      </c>
      <c r="E19" s="49" t="s">
        <v>493</v>
      </c>
      <c r="F19" s="49"/>
      <c r="G19" s="49"/>
      <c r="H19" s="49"/>
      <c r="I19" s="49"/>
      <c r="J19" s="49"/>
      <c r="K19" s="59" t="str">
        <f t="shared" si="0"/>
        <v>0</v>
      </c>
      <c r="L19" s="49">
        <v>4</v>
      </c>
      <c r="M19" s="49">
        <v>4</v>
      </c>
      <c r="N19" s="49">
        <v>4</v>
      </c>
      <c r="O19" s="49"/>
      <c r="P19" s="49">
        <v>4</v>
      </c>
      <c r="Q19" s="59">
        <f t="shared" si="1"/>
        <v>4</v>
      </c>
      <c r="R19" s="49">
        <v>4</v>
      </c>
      <c r="S19" s="49"/>
      <c r="T19" s="49"/>
      <c r="U19" s="49"/>
      <c r="V19" s="49"/>
      <c r="W19" s="59">
        <f t="shared" si="2"/>
        <v>4</v>
      </c>
      <c r="X19" s="49"/>
      <c r="Y19" s="49"/>
      <c r="Z19" s="49"/>
      <c r="AA19" s="49"/>
      <c r="AB19" s="49"/>
      <c r="AC19" s="59" t="str">
        <f t="shared" si="3"/>
        <v>0</v>
      </c>
      <c r="AD19" s="49"/>
      <c r="AE19" s="49"/>
      <c r="AF19" s="49"/>
      <c r="AG19" s="49"/>
      <c r="AH19" s="49"/>
      <c r="AI19" s="59" t="str">
        <f t="shared" si="4"/>
        <v>0</v>
      </c>
      <c r="AJ19" s="49"/>
      <c r="AK19" s="49"/>
      <c r="AL19" s="49"/>
      <c r="AM19" s="49"/>
      <c r="AN19" s="49"/>
      <c r="AO19" s="59" t="str">
        <f t="shared" si="5"/>
        <v>0</v>
      </c>
      <c r="AP19" s="49"/>
      <c r="AQ19" s="49"/>
      <c r="AR19" s="49"/>
      <c r="AS19" s="49"/>
      <c r="AT19" s="49"/>
      <c r="AU19" s="59" t="str">
        <f t="shared" si="6"/>
        <v>0</v>
      </c>
      <c r="AV19" s="49"/>
      <c r="AW19" s="49"/>
      <c r="AX19" s="49"/>
      <c r="AY19" s="49"/>
      <c r="AZ19" s="49"/>
      <c r="BA19" s="59" t="str">
        <f t="shared" si="7"/>
        <v>0</v>
      </c>
    </row>
    <row r="20" spans="1:53" ht="23.1" customHeight="1" x14ac:dyDescent="0.3">
      <c r="A20" s="7">
        <v>18</v>
      </c>
      <c r="B20" s="7" t="s">
        <v>107</v>
      </c>
      <c r="C20" s="7" t="s">
        <v>108</v>
      </c>
      <c r="D20" s="7" t="s">
        <v>543</v>
      </c>
      <c r="E20" s="7" t="s">
        <v>35</v>
      </c>
      <c r="F20" s="7"/>
      <c r="G20" s="7"/>
      <c r="H20" s="49"/>
      <c r="I20" s="7"/>
      <c r="J20" s="7"/>
      <c r="K20" s="59" t="str">
        <f t="shared" si="0"/>
        <v>0</v>
      </c>
      <c r="L20" s="49">
        <v>3</v>
      </c>
      <c r="M20" s="49">
        <v>2</v>
      </c>
      <c r="N20" s="49">
        <v>4</v>
      </c>
      <c r="O20" s="49"/>
      <c r="P20" s="49">
        <v>2</v>
      </c>
      <c r="Q20" s="59">
        <f t="shared" si="1"/>
        <v>2.75</v>
      </c>
      <c r="R20" s="49">
        <v>2</v>
      </c>
      <c r="S20" s="49"/>
      <c r="T20" s="7"/>
      <c r="U20" s="49"/>
      <c r="V20" s="7"/>
      <c r="W20" s="59">
        <f t="shared" si="2"/>
        <v>2</v>
      </c>
      <c r="X20" s="49"/>
      <c r="Y20" s="49"/>
      <c r="Z20" s="7"/>
      <c r="AA20" s="7"/>
      <c r="AB20" s="7"/>
      <c r="AC20" s="59" t="str">
        <f t="shared" si="3"/>
        <v>0</v>
      </c>
      <c r="AD20" s="49"/>
      <c r="AE20" s="7"/>
      <c r="AF20" s="49"/>
      <c r="AG20" s="7"/>
      <c r="AH20" s="7"/>
      <c r="AI20" s="59" t="str">
        <f t="shared" si="4"/>
        <v>0</v>
      </c>
      <c r="AJ20" s="49"/>
      <c r="AK20" s="49"/>
      <c r="AL20" s="7"/>
      <c r="AM20" s="49"/>
      <c r="AN20" s="7"/>
      <c r="AO20" s="59" t="str">
        <f t="shared" si="5"/>
        <v>0</v>
      </c>
      <c r="AP20" s="49"/>
      <c r="AQ20" s="49"/>
      <c r="AR20" s="49"/>
      <c r="AS20" s="7"/>
      <c r="AT20" s="7"/>
      <c r="AU20" s="59" t="str">
        <f t="shared" si="6"/>
        <v>0</v>
      </c>
      <c r="AV20" s="7"/>
      <c r="AW20" s="7"/>
      <c r="AX20" s="49"/>
      <c r="AY20" s="49"/>
      <c r="AZ20" s="49"/>
      <c r="BA20" s="59" t="str">
        <f t="shared" si="7"/>
        <v>0</v>
      </c>
    </row>
    <row r="21" spans="1:53" ht="23.1" customHeight="1" x14ac:dyDescent="0.3">
      <c r="A21" s="49">
        <v>19</v>
      </c>
      <c r="B21" s="49" t="s">
        <v>50</v>
      </c>
      <c r="C21" s="49" t="s">
        <v>51</v>
      </c>
      <c r="D21" s="49" t="s">
        <v>542</v>
      </c>
      <c r="E21" s="49" t="s">
        <v>35</v>
      </c>
      <c r="F21" s="49"/>
      <c r="G21" s="49"/>
      <c r="H21" s="49"/>
      <c r="I21" s="49"/>
      <c r="J21" s="49"/>
      <c r="K21" s="59" t="str">
        <f t="shared" si="0"/>
        <v>0</v>
      </c>
      <c r="L21" s="49">
        <v>4</v>
      </c>
      <c r="M21" s="49">
        <v>4</v>
      </c>
      <c r="N21" s="49">
        <v>3.5</v>
      </c>
      <c r="O21" s="49"/>
      <c r="P21" s="49">
        <v>3.5</v>
      </c>
      <c r="Q21" s="59">
        <f t="shared" si="1"/>
        <v>3.75</v>
      </c>
      <c r="R21" s="49">
        <v>3.5</v>
      </c>
      <c r="S21" s="49"/>
      <c r="T21" s="49"/>
      <c r="U21" s="49"/>
      <c r="V21" s="49"/>
      <c r="W21" s="59">
        <f t="shared" si="2"/>
        <v>3.5</v>
      </c>
      <c r="X21" s="49"/>
      <c r="Y21" s="49"/>
      <c r="Z21" s="49"/>
      <c r="AA21" s="49"/>
      <c r="AB21" s="49"/>
      <c r="AC21" s="59" t="str">
        <f t="shared" si="3"/>
        <v>0</v>
      </c>
      <c r="AD21" s="49"/>
      <c r="AE21" s="49"/>
      <c r="AF21" s="49"/>
      <c r="AG21" s="49"/>
      <c r="AH21" s="49"/>
      <c r="AI21" s="59" t="str">
        <f t="shared" si="4"/>
        <v>0</v>
      </c>
      <c r="AJ21" s="49"/>
      <c r="AK21" s="49"/>
      <c r="AL21" s="49"/>
      <c r="AM21" s="49"/>
      <c r="AN21" s="49"/>
      <c r="AO21" s="59" t="str">
        <f t="shared" si="5"/>
        <v>0</v>
      </c>
      <c r="AP21" s="49"/>
      <c r="AQ21" s="49"/>
      <c r="AR21" s="49"/>
      <c r="AS21" s="49"/>
      <c r="AT21" s="49"/>
      <c r="AU21" s="59" t="str">
        <f t="shared" si="6"/>
        <v>0</v>
      </c>
      <c r="AV21" s="49"/>
      <c r="AW21" s="49"/>
      <c r="AX21" s="49"/>
      <c r="AY21" s="49"/>
      <c r="AZ21" s="49"/>
      <c r="BA21" s="59" t="str">
        <f t="shared" si="7"/>
        <v>0</v>
      </c>
    </row>
    <row r="22" spans="1:53" ht="23.1" customHeight="1" x14ac:dyDescent="0.3">
      <c r="A22" s="7">
        <v>20</v>
      </c>
      <c r="B22" s="7" t="s">
        <v>196</v>
      </c>
      <c r="C22" s="7" t="s">
        <v>537</v>
      </c>
      <c r="D22" s="7" t="s">
        <v>450</v>
      </c>
      <c r="E22" s="7" t="s">
        <v>161</v>
      </c>
      <c r="F22" s="7"/>
      <c r="G22" s="7"/>
      <c r="H22" s="49"/>
      <c r="I22" s="7"/>
      <c r="J22" s="7"/>
      <c r="K22" s="59" t="str">
        <f t="shared" si="0"/>
        <v>0</v>
      </c>
      <c r="L22" s="49">
        <v>4</v>
      </c>
      <c r="M22" s="49">
        <v>4</v>
      </c>
      <c r="N22" s="49">
        <v>4</v>
      </c>
      <c r="O22" s="49"/>
      <c r="P22" s="49">
        <v>4</v>
      </c>
      <c r="Q22" s="59">
        <f t="shared" si="1"/>
        <v>4</v>
      </c>
      <c r="R22" s="49">
        <v>4</v>
      </c>
      <c r="S22" s="49"/>
      <c r="T22" s="7"/>
      <c r="U22" s="49"/>
      <c r="V22" s="7"/>
      <c r="W22" s="59">
        <f t="shared" si="2"/>
        <v>4</v>
      </c>
      <c r="X22" s="49"/>
      <c r="Y22" s="49"/>
      <c r="Z22" s="7"/>
      <c r="AA22" s="7"/>
      <c r="AB22" s="7"/>
      <c r="AC22" s="59" t="str">
        <f t="shared" si="3"/>
        <v>0</v>
      </c>
      <c r="AD22" s="49"/>
      <c r="AE22" s="7"/>
      <c r="AF22" s="49"/>
      <c r="AG22" s="7"/>
      <c r="AH22" s="7"/>
      <c r="AI22" s="59" t="str">
        <f t="shared" si="4"/>
        <v>0</v>
      </c>
      <c r="AJ22" s="49"/>
      <c r="AK22" s="49"/>
      <c r="AL22" s="7"/>
      <c r="AM22" s="49"/>
      <c r="AN22" s="7"/>
      <c r="AO22" s="59" t="str">
        <f t="shared" si="5"/>
        <v>0</v>
      </c>
      <c r="AP22" s="49"/>
      <c r="AQ22" s="49"/>
      <c r="AR22" s="49"/>
      <c r="AS22" s="7"/>
      <c r="AT22" s="7"/>
      <c r="AU22" s="59" t="str">
        <f t="shared" si="6"/>
        <v>0</v>
      </c>
      <c r="AV22" s="7"/>
      <c r="AW22" s="7"/>
      <c r="AX22" s="49"/>
      <c r="AY22" s="49"/>
      <c r="AZ22" s="49"/>
      <c r="BA22" s="59" t="str">
        <f t="shared" si="7"/>
        <v>0</v>
      </c>
    </row>
    <row r="23" spans="1:53" ht="23.1" customHeight="1" x14ac:dyDescent="0.3">
      <c r="A23" s="49">
        <v>21</v>
      </c>
      <c r="B23" s="49" t="s">
        <v>209</v>
      </c>
      <c r="C23" s="49" t="s">
        <v>210</v>
      </c>
      <c r="D23" s="49" t="s">
        <v>450</v>
      </c>
      <c r="E23" s="49" t="s">
        <v>161</v>
      </c>
      <c r="F23" s="49"/>
      <c r="G23" s="49"/>
      <c r="H23" s="49"/>
      <c r="I23" s="49"/>
      <c r="J23" s="49"/>
      <c r="K23" s="59" t="str">
        <f t="shared" si="0"/>
        <v>0</v>
      </c>
      <c r="L23" s="49">
        <v>2</v>
      </c>
      <c r="M23" s="49">
        <v>2</v>
      </c>
      <c r="N23" s="49">
        <v>2</v>
      </c>
      <c r="O23" s="49"/>
      <c r="P23" s="49">
        <v>4</v>
      </c>
      <c r="Q23" s="59">
        <f t="shared" si="1"/>
        <v>2.5</v>
      </c>
      <c r="R23" s="49">
        <v>3</v>
      </c>
      <c r="S23" s="49"/>
      <c r="T23" s="49"/>
      <c r="U23" s="49"/>
      <c r="V23" s="49"/>
      <c r="W23" s="59">
        <f t="shared" si="2"/>
        <v>3</v>
      </c>
      <c r="X23" s="49"/>
      <c r="Y23" s="49"/>
      <c r="Z23" s="49"/>
      <c r="AA23" s="49"/>
      <c r="AB23" s="49"/>
      <c r="AC23" s="59" t="str">
        <f t="shared" si="3"/>
        <v>0</v>
      </c>
      <c r="AD23" s="49"/>
      <c r="AE23" s="49"/>
      <c r="AF23" s="49"/>
      <c r="AG23" s="49"/>
      <c r="AH23" s="49"/>
      <c r="AI23" s="59" t="str">
        <f t="shared" si="4"/>
        <v>0</v>
      </c>
      <c r="AJ23" s="49"/>
      <c r="AK23" s="49"/>
      <c r="AL23" s="49"/>
      <c r="AM23" s="49"/>
      <c r="AN23" s="49"/>
      <c r="AO23" s="59" t="str">
        <f t="shared" si="5"/>
        <v>0</v>
      </c>
      <c r="AP23" s="49"/>
      <c r="AQ23" s="49"/>
      <c r="AR23" s="49"/>
      <c r="AS23" s="49"/>
      <c r="AT23" s="49"/>
      <c r="AU23" s="59" t="str">
        <f t="shared" si="6"/>
        <v>0</v>
      </c>
      <c r="AV23" s="49"/>
      <c r="AW23" s="49"/>
      <c r="AX23" s="49"/>
      <c r="AY23" s="49"/>
      <c r="AZ23" s="49"/>
      <c r="BA23" s="59" t="str">
        <f t="shared" si="7"/>
        <v>0</v>
      </c>
    </row>
    <row r="24" spans="1:53" ht="23.1" customHeight="1" x14ac:dyDescent="0.3">
      <c r="A24" s="7">
        <v>22</v>
      </c>
      <c r="B24" s="7" t="s">
        <v>58</v>
      </c>
      <c r="C24" s="7" t="s">
        <v>59</v>
      </c>
      <c r="D24" s="7" t="s">
        <v>450</v>
      </c>
      <c r="E24" s="7" t="s">
        <v>35</v>
      </c>
      <c r="F24" s="7"/>
      <c r="G24" s="7"/>
      <c r="H24" s="49"/>
      <c r="I24" s="7"/>
      <c r="J24" s="7"/>
      <c r="K24" s="59" t="str">
        <f t="shared" si="0"/>
        <v>0</v>
      </c>
      <c r="L24" s="49">
        <v>3</v>
      </c>
      <c r="M24" s="49">
        <v>3</v>
      </c>
      <c r="N24" s="49">
        <v>3</v>
      </c>
      <c r="O24" s="49"/>
      <c r="P24" s="49">
        <v>3</v>
      </c>
      <c r="Q24" s="59">
        <f t="shared" si="1"/>
        <v>3</v>
      </c>
      <c r="R24" s="49">
        <v>3</v>
      </c>
      <c r="S24" s="49"/>
      <c r="T24" s="7"/>
      <c r="U24" s="49"/>
      <c r="V24" s="7"/>
      <c r="W24" s="59">
        <f t="shared" si="2"/>
        <v>3</v>
      </c>
      <c r="X24" s="49"/>
      <c r="Y24" s="49"/>
      <c r="Z24" s="7"/>
      <c r="AA24" s="7"/>
      <c r="AB24" s="7"/>
      <c r="AC24" s="59" t="str">
        <f t="shared" si="3"/>
        <v>0</v>
      </c>
      <c r="AD24" s="49"/>
      <c r="AE24" s="7"/>
      <c r="AF24" s="49"/>
      <c r="AG24" s="7"/>
      <c r="AH24" s="7"/>
      <c r="AI24" s="59" t="str">
        <f t="shared" si="4"/>
        <v>0</v>
      </c>
      <c r="AJ24" s="49"/>
      <c r="AK24" s="49"/>
      <c r="AL24" s="7"/>
      <c r="AM24" s="49"/>
      <c r="AN24" s="7"/>
      <c r="AO24" s="59" t="str">
        <f t="shared" si="5"/>
        <v>0</v>
      </c>
      <c r="AP24" s="49"/>
      <c r="AQ24" s="49"/>
      <c r="AR24" s="49"/>
      <c r="AS24" s="7"/>
      <c r="AT24" s="7"/>
      <c r="AU24" s="59" t="str">
        <f t="shared" si="6"/>
        <v>0</v>
      </c>
      <c r="AV24" s="7"/>
      <c r="AW24" s="7"/>
      <c r="AX24" s="49"/>
      <c r="AY24" s="49"/>
      <c r="AZ24" s="49"/>
      <c r="BA24" s="59" t="str">
        <f t="shared" si="7"/>
        <v>0</v>
      </c>
    </row>
    <row r="25" spans="1:53" ht="23.1" customHeight="1" x14ac:dyDescent="0.3">
      <c r="A25" s="49">
        <v>23</v>
      </c>
      <c r="B25" s="49" t="s">
        <v>225</v>
      </c>
      <c r="C25" s="49" t="s">
        <v>226</v>
      </c>
      <c r="D25" s="49" t="s">
        <v>450</v>
      </c>
      <c r="E25" s="49" t="s">
        <v>161</v>
      </c>
      <c r="F25" s="49"/>
      <c r="G25" s="49"/>
      <c r="H25" s="49"/>
      <c r="I25" s="49"/>
      <c r="J25" s="49"/>
      <c r="K25" s="59" t="str">
        <f t="shared" si="0"/>
        <v>0</v>
      </c>
      <c r="L25" s="49">
        <v>3</v>
      </c>
      <c r="M25" s="49">
        <v>3</v>
      </c>
      <c r="N25" s="49">
        <v>2.5</v>
      </c>
      <c r="O25" s="49"/>
      <c r="P25" s="49">
        <v>2.5</v>
      </c>
      <c r="Q25" s="59">
        <f t="shared" si="1"/>
        <v>2.75</v>
      </c>
      <c r="R25" s="49">
        <v>3</v>
      </c>
      <c r="S25" s="49"/>
      <c r="T25" s="49"/>
      <c r="U25" s="49"/>
      <c r="V25" s="49"/>
      <c r="W25" s="59">
        <f t="shared" si="2"/>
        <v>3</v>
      </c>
      <c r="X25" s="49"/>
      <c r="Y25" s="49"/>
      <c r="Z25" s="49"/>
      <c r="AA25" s="49"/>
      <c r="AB25" s="49"/>
      <c r="AC25" s="59" t="str">
        <f t="shared" si="3"/>
        <v>0</v>
      </c>
      <c r="AD25" s="49"/>
      <c r="AE25" s="49"/>
      <c r="AF25" s="49"/>
      <c r="AG25" s="49"/>
      <c r="AH25" s="49"/>
      <c r="AI25" s="59" t="str">
        <f t="shared" si="4"/>
        <v>0</v>
      </c>
      <c r="AJ25" s="49"/>
      <c r="AK25" s="49"/>
      <c r="AL25" s="49"/>
      <c r="AM25" s="49"/>
      <c r="AN25" s="49"/>
      <c r="AO25" s="59" t="str">
        <f t="shared" si="5"/>
        <v>0</v>
      </c>
      <c r="AP25" s="49"/>
      <c r="AQ25" s="49"/>
      <c r="AR25" s="49"/>
      <c r="AS25" s="49"/>
      <c r="AT25" s="49"/>
      <c r="AU25" s="59" t="str">
        <f t="shared" si="6"/>
        <v>0</v>
      </c>
      <c r="AV25" s="49"/>
      <c r="AW25" s="49"/>
      <c r="AX25" s="49"/>
      <c r="AY25" s="49"/>
      <c r="AZ25" s="49"/>
      <c r="BA25" s="59" t="str">
        <f t="shared" si="7"/>
        <v>0</v>
      </c>
    </row>
    <row r="26" spans="1:53" ht="23.1" customHeight="1" x14ac:dyDescent="0.3">
      <c r="A26" s="7">
        <v>24</v>
      </c>
      <c r="B26" s="7" t="s">
        <v>297</v>
      </c>
      <c r="C26" s="7" t="s">
        <v>109</v>
      </c>
      <c r="D26" s="7" t="s">
        <v>450</v>
      </c>
      <c r="E26" s="7" t="s">
        <v>35</v>
      </c>
      <c r="F26" s="7"/>
      <c r="G26" s="7"/>
      <c r="H26" s="49"/>
      <c r="I26" s="7"/>
      <c r="J26" s="7"/>
      <c r="K26" s="59" t="str">
        <f t="shared" si="0"/>
        <v>0</v>
      </c>
      <c r="L26" s="49">
        <v>4</v>
      </c>
      <c r="M26" s="49">
        <v>3</v>
      </c>
      <c r="N26" s="49">
        <v>3</v>
      </c>
      <c r="O26" s="49"/>
      <c r="P26" s="49">
        <v>1</v>
      </c>
      <c r="Q26" s="59">
        <f t="shared" si="1"/>
        <v>2.75</v>
      </c>
      <c r="R26" s="49">
        <v>2</v>
      </c>
      <c r="S26" s="49"/>
      <c r="T26" s="7"/>
      <c r="U26" s="49"/>
      <c r="V26" s="7"/>
      <c r="W26" s="59">
        <f t="shared" si="2"/>
        <v>2</v>
      </c>
      <c r="X26" s="49"/>
      <c r="Y26" s="49"/>
      <c r="Z26" s="7"/>
      <c r="AA26" s="7"/>
      <c r="AB26" s="7"/>
      <c r="AC26" s="59" t="str">
        <f t="shared" si="3"/>
        <v>0</v>
      </c>
      <c r="AD26" s="49"/>
      <c r="AE26" s="7"/>
      <c r="AF26" s="49"/>
      <c r="AG26" s="7"/>
      <c r="AH26" s="7"/>
      <c r="AI26" s="59" t="str">
        <f t="shared" si="4"/>
        <v>0</v>
      </c>
      <c r="AJ26" s="49"/>
      <c r="AK26" s="49"/>
      <c r="AL26" s="7"/>
      <c r="AM26" s="49"/>
      <c r="AN26" s="7"/>
      <c r="AO26" s="59" t="str">
        <f t="shared" si="5"/>
        <v>0</v>
      </c>
      <c r="AP26" s="49"/>
      <c r="AQ26" s="49"/>
      <c r="AR26" s="49"/>
      <c r="AS26" s="7"/>
      <c r="AT26" s="7"/>
      <c r="AU26" s="59" t="str">
        <f t="shared" si="6"/>
        <v>0</v>
      </c>
      <c r="AV26" s="7"/>
      <c r="AW26" s="7"/>
      <c r="AX26" s="49"/>
      <c r="AY26" s="49"/>
      <c r="AZ26" s="49"/>
      <c r="BA26" s="59" t="str">
        <f t="shared" si="7"/>
        <v>0</v>
      </c>
    </row>
    <row r="27" spans="1:53" ht="23.1" customHeight="1" x14ac:dyDescent="0.3">
      <c r="A27" s="49">
        <v>25</v>
      </c>
      <c r="B27" s="49" t="s">
        <v>241</v>
      </c>
      <c r="C27" s="49" t="s">
        <v>242</v>
      </c>
      <c r="D27" s="49" t="s">
        <v>450</v>
      </c>
      <c r="E27" s="49" t="s">
        <v>161</v>
      </c>
      <c r="F27" s="49"/>
      <c r="G27" s="49"/>
      <c r="H27" s="49"/>
      <c r="I27" s="49"/>
      <c r="J27" s="49"/>
      <c r="K27" s="59" t="str">
        <f t="shared" si="0"/>
        <v>0</v>
      </c>
      <c r="L27" s="49">
        <v>4</v>
      </c>
      <c r="M27" s="49">
        <v>4</v>
      </c>
      <c r="N27" s="49">
        <v>4</v>
      </c>
      <c r="O27" s="49"/>
      <c r="P27" s="49">
        <v>3</v>
      </c>
      <c r="Q27" s="59">
        <f t="shared" si="1"/>
        <v>3.75</v>
      </c>
      <c r="R27" s="49">
        <v>3</v>
      </c>
      <c r="S27" s="49"/>
      <c r="T27" s="49"/>
      <c r="U27" s="49"/>
      <c r="V27" s="49"/>
      <c r="W27" s="59">
        <f t="shared" si="2"/>
        <v>3</v>
      </c>
      <c r="X27" s="49"/>
      <c r="Y27" s="49"/>
      <c r="Z27" s="49"/>
      <c r="AA27" s="49"/>
      <c r="AB27" s="49"/>
      <c r="AC27" s="59" t="str">
        <f t="shared" si="3"/>
        <v>0</v>
      </c>
      <c r="AD27" s="49"/>
      <c r="AE27" s="49"/>
      <c r="AF27" s="49"/>
      <c r="AG27" s="49"/>
      <c r="AH27" s="49"/>
      <c r="AI27" s="59" t="str">
        <f t="shared" si="4"/>
        <v>0</v>
      </c>
      <c r="AJ27" s="49"/>
      <c r="AK27" s="49"/>
      <c r="AL27" s="49"/>
      <c r="AM27" s="49"/>
      <c r="AN27" s="49"/>
      <c r="AO27" s="59" t="str">
        <f t="shared" si="5"/>
        <v>0</v>
      </c>
      <c r="AP27" s="49"/>
      <c r="AQ27" s="49"/>
      <c r="AR27" s="49"/>
      <c r="AS27" s="49"/>
      <c r="AT27" s="49"/>
      <c r="AU27" s="59" t="str">
        <f t="shared" si="6"/>
        <v>0</v>
      </c>
      <c r="AV27" s="49"/>
      <c r="AW27" s="49"/>
      <c r="AX27" s="49"/>
      <c r="AY27" s="49"/>
      <c r="AZ27" s="49"/>
      <c r="BA27" s="59" t="str">
        <f t="shared" si="7"/>
        <v>0</v>
      </c>
    </row>
    <row r="28" spans="1:53" ht="23.1" customHeight="1" x14ac:dyDescent="0.3">
      <c r="A28" s="7">
        <v>26</v>
      </c>
      <c r="B28" s="7" t="s">
        <v>298</v>
      </c>
      <c r="C28" s="7" t="s">
        <v>299</v>
      </c>
      <c r="D28" s="7" t="s">
        <v>542</v>
      </c>
      <c r="E28" s="7" t="s">
        <v>493</v>
      </c>
      <c r="F28" s="7"/>
      <c r="G28" s="7"/>
      <c r="H28" s="49"/>
      <c r="I28" s="7"/>
      <c r="J28" s="7"/>
      <c r="K28" s="59" t="str">
        <f t="shared" si="0"/>
        <v>0</v>
      </c>
      <c r="L28" s="49">
        <v>2</v>
      </c>
      <c r="M28" s="49">
        <v>3</v>
      </c>
      <c r="N28" s="49">
        <v>2</v>
      </c>
      <c r="O28" s="49"/>
      <c r="P28" s="49">
        <v>2</v>
      </c>
      <c r="Q28" s="59">
        <f t="shared" si="1"/>
        <v>2.25</v>
      </c>
      <c r="R28" s="49">
        <v>2</v>
      </c>
      <c r="S28" s="49"/>
      <c r="T28" s="7"/>
      <c r="U28" s="49"/>
      <c r="V28" s="7"/>
      <c r="W28" s="59">
        <f t="shared" si="2"/>
        <v>2</v>
      </c>
      <c r="X28" s="49"/>
      <c r="Y28" s="49"/>
      <c r="Z28" s="7"/>
      <c r="AA28" s="7"/>
      <c r="AB28" s="7"/>
      <c r="AC28" s="59" t="str">
        <f t="shared" si="3"/>
        <v>0</v>
      </c>
      <c r="AD28" s="49"/>
      <c r="AE28" s="7"/>
      <c r="AF28" s="49"/>
      <c r="AG28" s="7"/>
      <c r="AH28" s="7"/>
      <c r="AI28" s="59" t="str">
        <f t="shared" si="4"/>
        <v>0</v>
      </c>
      <c r="AJ28" s="49"/>
      <c r="AK28" s="49"/>
      <c r="AL28" s="7"/>
      <c r="AM28" s="49"/>
      <c r="AN28" s="7"/>
      <c r="AO28" s="59" t="str">
        <f t="shared" si="5"/>
        <v>0</v>
      </c>
      <c r="AP28" s="49"/>
      <c r="AQ28" s="49"/>
      <c r="AR28" s="49"/>
      <c r="AS28" s="7"/>
      <c r="AT28" s="7"/>
      <c r="AU28" s="59" t="str">
        <f t="shared" si="6"/>
        <v>0</v>
      </c>
      <c r="AV28" s="7"/>
      <c r="AW28" s="7"/>
      <c r="AX28" s="49"/>
      <c r="AY28" s="49"/>
      <c r="AZ28" s="49"/>
      <c r="BA28" s="59" t="str">
        <f t="shared" si="7"/>
        <v>0</v>
      </c>
    </row>
    <row r="29" spans="1:53" ht="23.1" customHeight="1" x14ac:dyDescent="0.3">
      <c r="A29" s="49">
        <v>27</v>
      </c>
      <c r="B29" s="49" t="s">
        <v>257</v>
      </c>
      <c r="C29" s="49" t="s">
        <v>258</v>
      </c>
      <c r="D29" s="49" t="s">
        <v>450</v>
      </c>
      <c r="E29" s="49" t="s">
        <v>161</v>
      </c>
      <c r="F29" s="49"/>
      <c r="G29" s="49"/>
      <c r="H29" s="49"/>
      <c r="I29" s="49"/>
      <c r="J29" s="49"/>
      <c r="K29" s="59" t="str">
        <f t="shared" si="0"/>
        <v>0</v>
      </c>
      <c r="L29" s="49">
        <v>4</v>
      </c>
      <c r="M29" s="49">
        <v>4</v>
      </c>
      <c r="N29" s="49">
        <v>4</v>
      </c>
      <c r="O29" s="49"/>
      <c r="P29" s="49">
        <v>4</v>
      </c>
      <c r="Q29" s="59">
        <f t="shared" si="1"/>
        <v>4</v>
      </c>
      <c r="R29" s="49">
        <v>4</v>
      </c>
      <c r="S29" s="49"/>
      <c r="T29" s="49"/>
      <c r="U29" s="49"/>
      <c r="V29" s="49"/>
      <c r="W29" s="59">
        <f t="shared" si="2"/>
        <v>4</v>
      </c>
      <c r="X29" s="49"/>
      <c r="Y29" s="49"/>
      <c r="Z29" s="49"/>
      <c r="AA29" s="49"/>
      <c r="AB29" s="49"/>
      <c r="AC29" s="59" t="str">
        <f t="shared" si="3"/>
        <v>0</v>
      </c>
      <c r="AD29" s="49"/>
      <c r="AE29" s="49"/>
      <c r="AF29" s="49"/>
      <c r="AG29" s="49"/>
      <c r="AH29" s="49"/>
      <c r="AI29" s="59" t="str">
        <f t="shared" si="4"/>
        <v>0</v>
      </c>
      <c r="AJ29" s="49"/>
      <c r="AK29" s="49"/>
      <c r="AL29" s="49"/>
      <c r="AM29" s="49"/>
      <c r="AN29" s="49"/>
      <c r="AO29" s="59" t="str">
        <f t="shared" si="5"/>
        <v>0</v>
      </c>
      <c r="AP29" s="49"/>
      <c r="AQ29" s="49"/>
      <c r="AR29" s="49"/>
      <c r="AS29" s="49"/>
      <c r="AT29" s="49"/>
      <c r="AU29" s="59" t="str">
        <f t="shared" si="6"/>
        <v>0</v>
      </c>
      <c r="AV29" s="49"/>
      <c r="AW29" s="49"/>
      <c r="AX29" s="49"/>
      <c r="AY29" s="49"/>
      <c r="AZ29" s="49"/>
      <c r="BA29" s="59" t="str">
        <f t="shared" si="7"/>
        <v>0</v>
      </c>
    </row>
    <row r="30" spans="1:53" ht="23.1" customHeight="1" x14ac:dyDescent="0.3">
      <c r="A30" s="7">
        <v>28</v>
      </c>
      <c r="B30" s="7" t="s">
        <v>66</v>
      </c>
      <c r="C30" s="7" t="s">
        <v>67</v>
      </c>
      <c r="D30" s="7" t="s">
        <v>450</v>
      </c>
      <c r="E30" s="7" t="s">
        <v>35</v>
      </c>
      <c r="F30" s="7"/>
      <c r="G30" s="7"/>
      <c r="H30" s="49"/>
      <c r="I30" s="7"/>
      <c r="J30" s="7"/>
      <c r="K30" s="59" t="str">
        <f t="shared" si="0"/>
        <v>0</v>
      </c>
      <c r="L30" s="49">
        <v>3</v>
      </c>
      <c r="M30" s="49">
        <v>2</v>
      </c>
      <c r="N30" s="49">
        <v>3</v>
      </c>
      <c r="O30" s="49"/>
      <c r="P30" s="49">
        <v>2</v>
      </c>
      <c r="Q30" s="59">
        <f t="shared" si="1"/>
        <v>2.5</v>
      </c>
      <c r="R30" s="49">
        <v>2</v>
      </c>
      <c r="S30" s="49"/>
      <c r="T30" s="7"/>
      <c r="U30" s="49"/>
      <c r="V30" s="7"/>
      <c r="W30" s="59">
        <f t="shared" si="2"/>
        <v>2</v>
      </c>
      <c r="X30" s="49"/>
      <c r="Y30" s="49"/>
      <c r="Z30" s="7"/>
      <c r="AA30" s="7"/>
      <c r="AB30" s="7"/>
      <c r="AC30" s="59" t="str">
        <f t="shared" si="3"/>
        <v>0</v>
      </c>
      <c r="AD30" s="49"/>
      <c r="AE30" s="7"/>
      <c r="AF30" s="49"/>
      <c r="AG30" s="7"/>
      <c r="AH30" s="7"/>
      <c r="AI30" s="59" t="str">
        <f t="shared" si="4"/>
        <v>0</v>
      </c>
      <c r="AJ30" s="49"/>
      <c r="AK30" s="49"/>
      <c r="AL30" s="7"/>
      <c r="AM30" s="49"/>
      <c r="AN30" s="7"/>
      <c r="AO30" s="59" t="str">
        <f t="shared" si="5"/>
        <v>0</v>
      </c>
      <c r="AP30" s="49"/>
      <c r="AQ30" s="49"/>
      <c r="AR30" s="49"/>
      <c r="AS30" s="7"/>
      <c r="AT30" s="7"/>
      <c r="AU30" s="59" t="str">
        <f t="shared" si="6"/>
        <v>0</v>
      </c>
      <c r="AV30" s="7"/>
      <c r="AW30" s="7"/>
      <c r="AX30" s="49"/>
      <c r="AY30" s="49"/>
      <c r="AZ30" s="49"/>
      <c r="BA30" s="59" t="str">
        <f t="shared" si="7"/>
        <v>0</v>
      </c>
    </row>
    <row r="31" spans="1:53" ht="23.1" customHeight="1" x14ac:dyDescent="0.3">
      <c r="A31" s="49">
        <v>29</v>
      </c>
      <c r="B31" s="49" t="s">
        <v>300</v>
      </c>
      <c r="C31" s="49" t="s">
        <v>301</v>
      </c>
      <c r="D31" s="49" t="s">
        <v>450</v>
      </c>
      <c r="E31" s="49" t="s">
        <v>493</v>
      </c>
      <c r="F31" s="49"/>
      <c r="G31" s="49"/>
      <c r="H31" s="49"/>
      <c r="I31" s="49"/>
      <c r="J31" s="49"/>
      <c r="K31" s="59" t="str">
        <f t="shared" si="0"/>
        <v>0</v>
      </c>
      <c r="L31" s="49">
        <v>2</v>
      </c>
      <c r="M31" s="49">
        <v>2</v>
      </c>
      <c r="N31" s="49">
        <v>1</v>
      </c>
      <c r="O31" s="49"/>
      <c r="P31" s="49">
        <v>2</v>
      </c>
      <c r="Q31" s="59">
        <f t="shared" si="1"/>
        <v>1.75</v>
      </c>
      <c r="R31" s="49">
        <v>2</v>
      </c>
      <c r="S31" s="49"/>
      <c r="T31" s="49"/>
      <c r="U31" s="49"/>
      <c r="V31" s="49"/>
      <c r="W31" s="59">
        <f t="shared" si="2"/>
        <v>2</v>
      </c>
      <c r="X31" s="49"/>
      <c r="Y31" s="49"/>
      <c r="Z31" s="49"/>
      <c r="AA31" s="49"/>
      <c r="AB31" s="49"/>
      <c r="AC31" s="59" t="str">
        <f t="shared" si="3"/>
        <v>0</v>
      </c>
      <c r="AD31" s="49"/>
      <c r="AE31" s="49"/>
      <c r="AF31" s="49"/>
      <c r="AG31" s="49"/>
      <c r="AH31" s="49"/>
      <c r="AI31" s="59" t="str">
        <f t="shared" si="4"/>
        <v>0</v>
      </c>
      <c r="AJ31" s="49"/>
      <c r="AK31" s="49"/>
      <c r="AL31" s="49"/>
      <c r="AM31" s="49"/>
      <c r="AN31" s="49"/>
      <c r="AO31" s="59" t="str">
        <f t="shared" si="5"/>
        <v>0</v>
      </c>
      <c r="AP31" s="49"/>
      <c r="AQ31" s="49"/>
      <c r="AR31" s="49"/>
      <c r="AS31" s="49"/>
      <c r="AT31" s="49"/>
      <c r="AU31" s="59" t="str">
        <f t="shared" si="6"/>
        <v>0</v>
      </c>
      <c r="AV31" s="49"/>
      <c r="AW31" s="49"/>
      <c r="AX31" s="49"/>
      <c r="AY31" s="49"/>
      <c r="AZ31" s="49"/>
      <c r="BA31" s="59" t="str">
        <f t="shared" si="7"/>
        <v>0</v>
      </c>
    </row>
    <row r="32" spans="1:53" ht="23.1" customHeight="1" x14ac:dyDescent="0.3">
      <c r="A32" s="7">
        <v>30</v>
      </c>
      <c r="B32" s="7" t="s">
        <v>40</v>
      </c>
      <c r="C32" s="7" t="s">
        <v>41</v>
      </c>
      <c r="D32" s="7" t="s">
        <v>450</v>
      </c>
      <c r="E32" s="7" t="s">
        <v>35</v>
      </c>
      <c r="F32" s="7"/>
      <c r="G32" s="7"/>
      <c r="H32" s="49"/>
      <c r="I32" s="7"/>
      <c r="J32" s="7"/>
      <c r="K32" s="59" t="str">
        <f t="shared" si="0"/>
        <v>0</v>
      </c>
      <c r="L32" s="49">
        <v>4</v>
      </c>
      <c r="M32" s="49">
        <v>3</v>
      </c>
      <c r="N32" s="49">
        <v>4</v>
      </c>
      <c r="O32" s="49"/>
      <c r="P32" s="49">
        <v>3</v>
      </c>
      <c r="Q32" s="59">
        <f t="shared" si="1"/>
        <v>3.5</v>
      </c>
      <c r="R32" s="49">
        <v>3</v>
      </c>
      <c r="S32" s="49"/>
      <c r="T32" s="7"/>
      <c r="U32" s="49"/>
      <c r="V32" s="7"/>
      <c r="W32" s="59">
        <f t="shared" si="2"/>
        <v>3</v>
      </c>
      <c r="X32" s="49"/>
      <c r="Y32" s="49"/>
      <c r="Z32" s="7"/>
      <c r="AA32" s="7"/>
      <c r="AB32" s="7"/>
      <c r="AC32" s="59" t="str">
        <f t="shared" si="3"/>
        <v>0</v>
      </c>
      <c r="AD32" s="49"/>
      <c r="AE32" s="7"/>
      <c r="AF32" s="49"/>
      <c r="AG32" s="7"/>
      <c r="AH32" s="7"/>
      <c r="AI32" s="59" t="str">
        <f t="shared" si="4"/>
        <v>0</v>
      </c>
      <c r="AJ32" s="49"/>
      <c r="AK32" s="49"/>
      <c r="AL32" s="7"/>
      <c r="AM32" s="49"/>
      <c r="AN32" s="7"/>
      <c r="AO32" s="59" t="str">
        <f t="shared" si="5"/>
        <v>0</v>
      </c>
      <c r="AP32" s="49"/>
      <c r="AQ32" s="49"/>
      <c r="AR32" s="49"/>
      <c r="AS32" s="7"/>
      <c r="AT32" s="7"/>
      <c r="AU32" s="59" t="str">
        <f t="shared" si="6"/>
        <v>0</v>
      </c>
      <c r="AV32" s="7"/>
      <c r="AW32" s="7"/>
      <c r="AX32" s="49"/>
      <c r="AY32" s="49"/>
      <c r="AZ32" s="49"/>
      <c r="BA32" s="59" t="str">
        <f t="shared" si="7"/>
        <v>0</v>
      </c>
    </row>
    <row r="33" spans="1:53" ht="23.1" customHeight="1" x14ac:dyDescent="0.3">
      <c r="A33" s="49">
        <v>31</v>
      </c>
      <c r="B33" s="49" t="s">
        <v>110</v>
      </c>
      <c r="C33" s="49" t="s">
        <v>111</v>
      </c>
      <c r="D33" s="49" t="s">
        <v>450</v>
      </c>
      <c r="E33" s="49" t="s">
        <v>35</v>
      </c>
      <c r="F33" s="49"/>
      <c r="G33" s="49"/>
      <c r="H33" s="49"/>
      <c r="I33" s="49"/>
      <c r="J33" s="49"/>
      <c r="K33" s="59" t="str">
        <f t="shared" si="0"/>
        <v>0</v>
      </c>
      <c r="L33" s="49">
        <v>3</v>
      </c>
      <c r="M33" s="49">
        <v>4</v>
      </c>
      <c r="N33" s="49">
        <v>3</v>
      </c>
      <c r="O33" s="49"/>
      <c r="P33" s="49">
        <v>4</v>
      </c>
      <c r="Q33" s="59">
        <f t="shared" si="1"/>
        <v>3.5</v>
      </c>
      <c r="R33" s="49">
        <v>3</v>
      </c>
      <c r="S33" s="49"/>
      <c r="T33" s="49"/>
      <c r="U33" s="49"/>
      <c r="V33" s="49"/>
      <c r="W33" s="59">
        <f t="shared" si="2"/>
        <v>3</v>
      </c>
      <c r="X33" s="49"/>
      <c r="Y33" s="49"/>
      <c r="Z33" s="49"/>
      <c r="AA33" s="49"/>
      <c r="AB33" s="49"/>
      <c r="AC33" s="59" t="str">
        <f t="shared" si="3"/>
        <v>0</v>
      </c>
      <c r="AD33" s="49"/>
      <c r="AE33" s="49"/>
      <c r="AF33" s="49"/>
      <c r="AG33" s="49"/>
      <c r="AH33" s="49"/>
      <c r="AI33" s="59" t="str">
        <f t="shared" si="4"/>
        <v>0</v>
      </c>
      <c r="AJ33" s="49"/>
      <c r="AK33" s="49"/>
      <c r="AL33" s="49"/>
      <c r="AM33" s="49"/>
      <c r="AN33" s="49"/>
      <c r="AO33" s="59" t="str">
        <f t="shared" si="5"/>
        <v>0</v>
      </c>
      <c r="AP33" s="49"/>
      <c r="AQ33" s="49"/>
      <c r="AR33" s="49"/>
      <c r="AS33" s="49"/>
      <c r="AT33" s="49"/>
      <c r="AU33" s="59" t="str">
        <f t="shared" si="6"/>
        <v>0</v>
      </c>
      <c r="AV33" s="49"/>
      <c r="AW33" s="49"/>
      <c r="AX33" s="49"/>
      <c r="AY33" s="49"/>
      <c r="AZ33" s="49"/>
      <c r="BA33" s="59" t="str">
        <f t="shared" si="7"/>
        <v>0</v>
      </c>
    </row>
    <row r="34" spans="1:53" ht="23.1" customHeight="1" x14ac:dyDescent="0.3">
      <c r="A34" s="7">
        <v>32</v>
      </c>
      <c r="B34" s="7" t="s">
        <v>243</v>
      </c>
      <c r="C34" s="7" t="s">
        <v>244</v>
      </c>
      <c r="D34" s="7" t="s">
        <v>542</v>
      </c>
      <c r="E34" s="7" t="s">
        <v>161</v>
      </c>
      <c r="F34" s="7"/>
      <c r="G34" s="7"/>
      <c r="H34" s="49"/>
      <c r="I34" s="7"/>
      <c r="J34" s="7"/>
      <c r="K34" s="59" t="str">
        <f t="shared" si="0"/>
        <v>0</v>
      </c>
      <c r="L34" s="49">
        <v>2</v>
      </c>
      <c r="M34" s="49">
        <v>3</v>
      </c>
      <c r="N34" s="49">
        <v>4</v>
      </c>
      <c r="O34" s="49"/>
      <c r="P34" s="49">
        <v>3</v>
      </c>
      <c r="Q34" s="59">
        <f t="shared" si="1"/>
        <v>3</v>
      </c>
      <c r="R34" s="49">
        <v>3</v>
      </c>
      <c r="S34" s="49"/>
      <c r="T34" s="7"/>
      <c r="U34" s="49"/>
      <c r="V34" s="7"/>
      <c r="W34" s="59">
        <f t="shared" si="2"/>
        <v>3</v>
      </c>
      <c r="X34" s="49"/>
      <c r="Y34" s="49"/>
      <c r="Z34" s="7"/>
      <c r="AA34" s="7"/>
      <c r="AB34" s="7"/>
      <c r="AC34" s="59" t="str">
        <f t="shared" si="3"/>
        <v>0</v>
      </c>
      <c r="AD34" s="49"/>
      <c r="AE34" s="7"/>
      <c r="AF34" s="49"/>
      <c r="AG34" s="7"/>
      <c r="AH34" s="7"/>
      <c r="AI34" s="59" t="str">
        <f t="shared" si="4"/>
        <v>0</v>
      </c>
      <c r="AJ34" s="49"/>
      <c r="AK34" s="49"/>
      <c r="AL34" s="7"/>
      <c r="AM34" s="49"/>
      <c r="AN34" s="7"/>
      <c r="AO34" s="59" t="str">
        <f t="shared" si="5"/>
        <v>0</v>
      </c>
      <c r="AP34" s="49"/>
      <c r="AQ34" s="49"/>
      <c r="AR34" s="49"/>
      <c r="AS34" s="7"/>
      <c r="AT34" s="7"/>
      <c r="AU34" s="59" t="str">
        <f t="shared" si="6"/>
        <v>0</v>
      </c>
      <c r="AV34" s="7"/>
      <c r="AW34" s="7"/>
      <c r="AX34" s="49"/>
      <c r="AY34" s="49"/>
      <c r="AZ34" s="49"/>
      <c r="BA34" s="59" t="str">
        <f t="shared" si="7"/>
        <v>0</v>
      </c>
    </row>
    <row r="35" spans="1:53" ht="23.1" customHeight="1" x14ac:dyDescent="0.3">
      <c r="A35" s="49">
        <v>33</v>
      </c>
      <c r="B35" s="49" t="s">
        <v>211</v>
      </c>
      <c r="C35" s="49" t="s">
        <v>212</v>
      </c>
      <c r="D35" s="49" t="s">
        <v>542</v>
      </c>
      <c r="E35" s="49" t="s">
        <v>161</v>
      </c>
      <c r="F35" s="49"/>
      <c r="G35" s="49"/>
      <c r="H35" s="49"/>
      <c r="I35" s="49"/>
      <c r="J35" s="49"/>
      <c r="K35" s="59" t="str">
        <f t="shared" si="0"/>
        <v>0</v>
      </c>
      <c r="L35" s="49">
        <v>3</v>
      </c>
      <c r="M35" s="49">
        <v>2.5</v>
      </c>
      <c r="N35" s="49">
        <v>3</v>
      </c>
      <c r="O35" s="49"/>
      <c r="P35" s="49">
        <v>3</v>
      </c>
      <c r="Q35" s="59">
        <f t="shared" si="1"/>
        <v>2.875</v>
      </c>
      <c r="R35" s="49">
        <v>3</v>
      </c>
      <c r="S35" s="49"/>
      <c r="T35" s="49"/>
      <c r="U35" s="49"/>
      <c r="V35" s="49"/>
      <c r="W35" s="59">
        <f t="shared" si="2"/>
        <v>3</v>
      </c>
      <c r="X35" s="49"/>
      <c r="Y35" s="49"/>
      <c r="Z35" s="49"/>
      <c r="AA35" s="49"/>
      <c r="AB35" s="49"/>
      <c r="AC35" s="59" t="str">
        <f t="shared" si="3"/>
        <v>0</v>
      </c>
      <c r="AD35" s="49"/>
      <c r="AE35" s="49"/>
      <c r="AF35" s="49"/>
      <c r="AG35" s="49"/>
      <c r="AH35" s="49"/>
      <c r="AI35" s="59" t="str">
        <f t="shared" si="4"/>
        <v>0</v>
      </c>
      <c r="AJ35" s="49"/>
      <c r="AK35" s="49"/>
      <c r="AL35" s="49"/>
      <c r="AM35" s="49"/>
      <c r="AN35" s="49"/>
      <c r="AO35" s="59" t="str">
        <f t="shared" si="5"/>
        <v>0</v>
      </c>
      <c r="AP35" s="49"/>
      <c r="AQ35" s="49"/>
      <c r="AR35" s="49"/>
      <c r="AS35" s="49"/>
      <c r="AT35" s="49"/>
      <c r="AU35" s="59" t="str">
        <f t="shared" si="6"/>
        <v>0</v>
      </c>
      <c r="AV35" s="49"/>
      <c r="AW35" s="49"/>
      <c r="AX35" s="49"/>
      <c r="AY35" s="49"/>
      <c r="AZ35" s="49"/>
      <c r="BA35" s="59" t="str">
        <f t="shared" si="7"/>
        <v>0</v>
      </c>
    </row>
    <row r="36" spans="1:53" ht="23.1" customHeight="1" x14ac:dyDescent="0.3">
      <c r="A36" s="7">
        <v>34</v>
      </c>
      <c r="B36" s="7" t="s">
        <v>95</v>
      </c>
      <c r="C36" s="7" t="s">
        <v>96</v>
      </c>
      <c r="D36" s="7" t="s">
        <v>542</v>
      </c>
      <c r="E36" s="7" t="s">
        <v>35</v>
      </c>
      <c r="F36" s="7"/>
      <c r="G36" s="7"/>
      <c r="H36" s="49"/>
      <c r="I36" s="7"/>
      <c r="J36" s="7"/>
      <c r="K36" s="59" t="str">
        <f t="shared" si="0"/>
        <v>0</v>
      </c>
      <c r="L36" s="49">
        <v>4</v>
      </c>
      <c r="M36" s="49">
        <v>4</v>
      </c>
      <c r="N36" s="49">
        <v>3</v>
      </c>
      <c r="O36" s="49"/>
      <c r="P36" s="49">
        <v>3</v>
      </c>
      <c r="Q36" s="59">
        <f t="shared" si="1"/>
        <v>3.5</v>
      </c>
      <c r="R36" s="49">
        <v>4</v>
      </c>
      <c r="S36" s="49"/>
      <c r="T36" s="7"/>
      <c r="U36" s="49"/>
      <c r="V36" s="7"/>
      <c r="W36" s="59">
        <f t="shared" si="2"/>
        <v>4</v>
      </c>
      <c r="X36" s="49"/>
      <c r="Y36" s="49"/>
      <c r="Z36" s="7"/>
      <c r="AA36" s="7"/>
      <c r="AB36" s="7"/>
      <c r="AC36" s="59" t="str">
        <f t="shared" si="3"/>
        <v>0</v>
      </c>
      <c r="AD36" s="49"/>
      <c r="AE36" s="7"/>
      <c r="AF36" s="49"/>
      <c r="AG36" s="7"/>
      <c r="AH36" s="7"/>
      <c r="AI36" s="59" t="str">
        <f t="shared" si="4"/>
        <v>0</v>
      </c>
      <c r="AJ36" s="49"/>
      <c r="AK36" s="49"/>
      <c r="AL36" s="7"/>
      <c r="AM36" s="49"/>
      <c r="AN36" s="7"/>
      <c r="AO36" s="59" t="str">
        <f t="shared" si="5"/>
        <v>0</v>
      </c>
      <c r="AP36" s="49"/>
      <c r="AQ36" s="49"/>
      <c r="AR36" s="49"/>
      <c r="AS36" s="7"/>
      <c r="AT36" s="7"/>
      <c r="AU36" s="59" t="str">
        <f t="shared" si="6"/>
        <v>0</v>
      </c>
      <c r="AV36" s="7"/>
      <c r="AW36" s="7"/>
      <c r="AX36" s="49"/>
      <c r="AY36" s="49"/>
      <c r="AZ36" s="49"/>
      <c r="BA36" s="59" t="str">
        <f t="shared" si="7"/>
        <v>0</v>
      </c>
    </row>
    <row r="37" spans="1:53" ht="23.1" customHeight="1" x14ac:dyDescent="0.3">
      <c r="A37" s="49">
        <v>35</v>
      </c>
      <c r="B37" s="49" t="s">
        <v>273</v>
      </c>
      <c r="C37" s="49" t="s">
        <v>274</v>
      </c>
      <c r="D37" s="49" t="s">
        <v>450</v>
      </c>
      <c r="E37" s="49" t="s">
        <v>161</v>
      </c>
      <c r="F37" s="49"/>
      <c r="G37" s="49"/>
      <c r="H37" s="49"/>
      <c r="I37" s="49"/>
      <c r="J37" s="49"/>
      <c r="K37" s="59" t="str">
        <f t="shared" si="0"/>
        <v>0</v>
      </c>
      <c r="L37" s="49">
        <v>3</v>
      </c>
      <c r="M37" s="49">
        <v>3</v>
      </c>
      <c r="N37" s="49">
        <v>3</v>
      </c>
      <c r="O37" s="49"/>
      <c r="P37" s="49">
        <v>2</v>
      </c>
      <c r="Q37" s="59">
        <f t="shared" si="1"/>
        <v>2.75</v>
      </c>
      <c r="R37" s="49">
        <v>3</v>
      </c>
      <c r="S37" s="49"/>
      <c r="T37" s="49"/>
      <c r="U37" s="49"/>
      <c r="V37" s="49"/>
      <c r="W37" s="59">
        <f t="shared" si="2"/>
        <v>3</v>
      </c>
      <c r="X37" s="49"/>
      <c r="Y37" s="49"/>
      <c r="Z37" s="49"/>
      <c r="AA37" s="49"/>
      <c r="AB37" s="49"/>
      <c r="AC37" s="59" t="str">
        <f t="shared" si="3"/>
        <v>0</v>
      </c>
      <c r="AD37" s="49"/>
      <c r="AE37" s="49"/>
      <c r="AF37" s="49"/>
      <c r="AG37" s="49"/>
      <c r="AH37" s="49"/>
      <c r="AI37" s="59" t="str">
        <f t="shared" si="4"/>
        <v>0</v>
      </c>
      <c r="AJ37" s="49"/>
      <c r="AK37" s="49"/>
      <c r="AL37" s="49"/>
      <c r="AM37" s="49"/>
      <c r="AN37" s="49"/>
      <c r="AO37" s="59" t="str">
        <f t="shared" si="5"/>
        <v>0</v>
      </c>
      <c r="AP37" s="49"/>
      <c r="AQ37" s="49"/>
      <c r="AR37" s="49"/>
      <c r="AS37" s="49"/>
      <c r="AT37" s="49"/>
      <c r="AU37" s="59" t="str">
        <f t="shared" si="6"/>
        <v>0</v>
      </c>
      <c r="AV37" s="49"/>
      <c r="AW37" s="49"/>
      <c r="AX37" s="49"/>
      <c r="AY37" s="49"/>
      <c r="AZ37" s="49"/>
      <c r="BA37" s="59" t="str">
        <f t="shared" si="7"/>
        <v>0</v>
      </c>
    </row>
    <row r="38" spans="1:53" ht="23.1" customHeight="1" x14ac:dyDescent="0.3">
      <c r="A38" s="7">
        <v>36</v>
      </c>
      <c r="B38" s="7" t="s">
        <v>112</v>
      </c>
      <c r="C38" s="7" t="s">
        <v>113</v>
      </c>
      <c r="D38" s="7" t="s">
        <v>450</v>
      </c>
      <c r="E38" s="7" t="s">
        <v>35</v>
      </c>
      <c r="F38" s="7"/>
      <c r="G38" s="7"/>
      <c r="H38" s="49"/>
      <c r="I38" s="7"/>
      <c r="J38" s="7"/>
      <c r="K38" s="59" t="str">
        <f t="shared" si="0"/>
        <v>0</v>
      </c>
      <c r="L38" s="49">
        <v>3</v>
      </c>
      <c r="M38" s="49">
        <v>3</v>
      </c>
      <c r="N38" s="49">
        <v>3</v>
      </c>
      <c r="O38" s="49"/>
      <c r="P38" s="49">
        <v>3</v>
      </c>
      <c r="Q38" s="59">
        <f t="shared" si="1"/>
        <v>3</v>
      </c>
      <c r="R38" s="49">
        <v>3</v>
      </c>
      <c r="S38" s="49"/>
      <c r="T38" s="7"/>
      <c r="U38" s="49"/>
      <c r="V38" s="7"/>
      <c r="W38" s="59">
        <f t="shared" si="2"/>
        <v>3</v>
      </c>
      <c r="X38" s="49"/>
      <c r="Y38" s="49"/>
      <c r="Z38" s="7"/>
      <c r="AA38" s="7"/>
      <c r="AB38" s="7"/>
      <c r="AC38" s="59" t="str">
        <f t="shared" si="3"/>
        <v>0</v>
      </c>
      <c r="AD38" s="49"/>
      <c r="AE38" s="7"/>
      <c r="AF38" s="49"/>
      <c r="AG38" s="7"/>
      <c r="AH38" s="7"/>
      <c r="AI38" s="59" t="str">
        <f t="shared" si="4"/>
        <v>0</v>
      </c>
      <c r="AJ38" s="49"/>
      <c r="AK38" s="49"/>
      <c r="AL38" s="7"/>
      <c r="AM38" s="49"/>
      <c r="AN38" s="7"/>
      <c r="AO38" s="59" t="str">
        <f t="shared" si="5"/>
        <v>0</v>
      </c>
      <c r="AP38" s="49"/>
      <c r="AQ38" s="49"/>
      <c r="AR38" s="49"/>
      <c r="AS38" s="7"/>
      <c r="AT38" s="7"/>
      <c r="AU38" s="59" t="str">
        <f t="shared" si="6"/>
        <v>0</v>
      </c>
      <c r="AV38" s="7"/>
      <c r="AW38" s="7"/>
      <c r="AX38" s="49"/>
      <c r="AY38" s="49"/>
      <c r="AZ38" s="49"/>
      <c r="BA38" s="59" t="str">
        <f t="shared" si="7"/>
        <v>0</v>
      </c>
    </row>
    <row r="39" spans="1:53" ht="23.1" customHeight="1" x14ac:dyDescent="0.3">
      <c r="A39" s="49">
        <v>37</v>
      </c>
      <c r="B39" s="49" t="s">
        <v>302</v>
      </c>
      <c r="C39" s="49" t="s">
        <v>303</v>
      </c>
      <c r="D39" s="49" t="s">
        <v>450</v>
      </c>
      <c r="E39" s="49" t="s">
        <v>493</v>
      </c>
      <c r="F39" s="49"/>
      <c r="G39" s="49"/>
      <c r="H39" s="49"/>
      <c r="I39" s="49"/>
      <c r="J39" s="49"/>
      <c r="K39" s="59" t="str">
        <f t="shared" si="0"/>
        <v>0</v>
      </c>
      <c r="L39" s="49">
        <v>3</v>
      </c>
      <c r="M39" s="49">
        <v>4</v>
      </c>
      <c r="N39" s="49">
        <v>4</v>
      </c>
      <c r="O39" s="49"/>
      <c r="P39" s="49">
        <v>2</v>
      </c>
      <c r="Q39" s="59">
        <f t="shared" si="1"/>
        <v>3.25</v>
      </c>
      <c r="R39" s="49">
        <v>3</v>
      </c>
      <c r="S39" s="49"/>
      <c r="T39" s="49"/>
      <c r="U39" s="49"/>
      <c r="V39" s="49"/>
      <c r="W39" s="59">
        <f t="shared" si="2"/>
        <v>3</v>
      </c>
      <c r="X39" s="49"/>
      <c r="Y39" s="49"/>
      <c r="Z39" s="49"/>
      <c r="AA39" s="49"/>
      <c r="AB39" s="49"/>
      <c r="AC39" s="59" t="str">
        <f t="shared" si="3"/>
        <v>0</v>
      </c>
      <c r="AD39" s="49"/>
      <c r="AE39" s="49"/>
      <c r="AF39" s="49"/>
      <c r="AG39" s="49"/>
      <c r="AH39" s="49"/>
      <c r="AI39" s="59" t="str">
        <f t="shared" si="4"/>
        <v>0</v>
      </c>
      <c r="AJ39" s="49"/>
      <c r="AK39" s="49"/>
      <c r="AL39" s="49"/>
      <c r="AM39" s="49"/>
      <c r="AN39" s="49"/>
      <c r="AO39" s="59" t="str">
        <f t="shared" si="5"/>
        <v>0</v>
      </c>
      <c r="AP39" s="49"/>
      <c r="AQ39" s="49"/>
      <c r="AR39" s="49"/>
      <c r="AS39" s="49"/>
      <c r="AT39" s="49"/>
      <c r="AU39" s="59" t="str">
        <f t="shared" si="6"/>
        <v>0</v>
      </c>
      <c r="AV39" s="49"/>
      <c r="AW39" s="49"/>
      <c r="AX39" s="49"/>
      <c r="AY39" s="49"/>
      <c r="AZ39" s="49"/>
      <c r="BA39" s="59" t="str">
        <f t="shared" si="7"/>
        <v>0</v>
      </c>
    </row>
    <row r="40" spans="1:53" ht="23.1" customHeight="1" x14ac:dyDescent="0.3">
      <c r="A40" s="7">
        <v>38</v>
      </c>
      <c r="B40" s="7" t="s">
        <v>227</v>
      </c>
      <c r="C40" s="7" t="s">
        <v>228</v>
      </c>
      <c r="D40" s="7" t="s">
        <v>542</v>
      </c>
      <c r="E40" s="7" t="s">
        <v>161</v>
      </c>
      <c r="F40" s="7"/>
      <c r="G40" s="7"/>
      <c r="H40" s="49"/>
      <c r="I40" s="7"/>
      <c r="J40" s="7"/>
      <c r="K40" s="59" t="str">
        <f t="shared" si="0"/>
        <v>0</v>
      </c>
      <c r="L40" s="49">
        <v>3.5</v>
      </c>
      <c r="M40" s="49">
        <v>3</v>
      </c>
      <c r="N40" s="49">
        <v>2.5</v>
      </c>
      <c r="O40" s="49"/>
      <c r="P40" s="49">
        <v>2.5</v>
      </c>
      <c r="Q40" s="59">
        <f t="shared" si="1"/>
        <v>2.875</v>
      </c>
      <c r="R40" s="49">
        <v>2.5</v>
      </c>
      <c r="S40" s="49"/>
      <c r="T40" s="7"/>
      <c r="U40" s="49"/>
      <c r="V40" s="7"/>
      <c r="W40" s="59">
        <f t="shared" si="2"/>
        <v>2.5</v>
      </c>
      <c r="X40" s="49"/>
      <c r="Y40" s="49"/>
      <c r="Z40" s="7"/>
      <c r="AA40" s="7"/>
      <c r="AB40" s="7"/>
      <c r="AC40" s="59" t="str">
        <f t="shared" si="3"/>
        <v>0</v>
      </c>
      <c r="AD40" s="49"/>
      <c r="AE40" s="7"/>
      <c r="AF40" s="49"/>
      <c r="AG40" s="7"/>
      <c r="AH40" s="7"/>
      <c r="AI40" s="59" t="str">
        <f t="shared" si="4"/>
        <v>0</v>
      </c>
      <c r="AJ40" s="49"/>
      <c r="AK40" s="49"/>
      <c r="AL40" s="7"/>
      <c r="AM40" s="49"/>
      <c r="AN40" s="7"/>
      <c r="AO40" s="59" t="str">
        <f t="shared" si="5"/>
        <v>0</v>
      </c>
      <c r="AP40" s="49"/>
      <c r="AQ40" s="49"/>
      <c r="AR40" s="49"/>
      <c r="AS40" s="7"/>
      <c r="AT40" s="7"/>
      <c r="AU40" s="59" t="str">
        <f t="shared" si="6"/>
        <v>0</v>
      </c>
      <c r="AV40" s="7"/>
      <c r="AW40" s="7"/>
      <c r="AX40" s="49"/>
      <c r="AY40" s="49"/>
      <c r="AZ40" s="49"/>
      <c r="BA40" s="59" t="str">
        <f t="shared" si="7"/>
        <v>0</v>
      </c>
    </row>
    <row r="41" spans="1:53" ht="23.1" customHeight="1" x14ac:dyDescent="0.3">
      <c r="A41" s="49">
        <v>39</v>
      </c>
      <c r="B41" s="49" t="s">
        <v>304</v>
      </c>
      <c r="C41" s="49" t="s">
        <v>305</v>
      </c>
      <c r="D41" s="49" t="s">
        <v>542</v>
      </c>
      <c r="E41" s="49" t="s">
        <v>493</v>
      </c>
      <c r="F41" s="49"/>
      <c r="G41" s="49"/>
      <c r="H41" s="49"/>
      <c r="I41" s="49"/>
      <c r="J41" s="49"/>
      <c r="K41" s="59" t="str">
        <f t="shared" si="0"/>
        <v>0</v>
      </c>
      <c r="L41" s="49">
        <v>4</v>
      </c>
      <c r="M41" s="49">
        <v>3.5</v>
      </c>
      <c r="N41" s="49">
        <v>3</v>
      </c>
      <c r="O41" s="49"/>
      <c r="P41" s="49">
        <v>3</v>
      </c>
      <c r="Q41" s="59">
        <f t="shared" si="1"/>
        <v>3.375</v>
      </c>
      <c r="R41" s="49">
        <v>3</v>
      </c>
      <c r="S41" s="49"/>
      <c r="T41" s="49"/>
      <c r="U41" s="49"/>
      <c r="V41" s="49"/>
      <c r="W41" s="59">
        <f t="shared" si="2"/>
        <v>3</v>
      </c>
      <c r="X41" s="49"/>
      <c r="Y41" s="49"/>
      <c r="Z41" s="49"/>
      <c r="AA41" s="49"/>
      <c r="AB41" s="49"/>
      <c r="AC41" s="59" t="str">
        <f t="shared" si="3"/>
        <v>0</v>
      </c>
      <c r="AD41" s="49"/>
      <c r="AE41" s="49"/>
      <c r="AF41" s="49"/>
      <c r="AG41" s="49"/>
      <c r="AH41" s="49"/>
      <c r="AI41" s="59" t="str">
        <f t="shared" si="4"/>
        <v>0</v>
      </c>
      <c r="AJ41" s="49"/>
      <c r="AK41" s="49"/>
      <c r="AL41" s="49"/>
      <c r="AM41" s="49"/>
      <c r="AN41" s="49"/>
      <c r="AO41" s="59" t="str">
        <f t="shared" si="5"/>
        <v>0</v>
      </c>
      <c r="AP41" s="49"/>
      <c r="AQ41" s="49"/>
      <c r="AR41" s="49"/>
      <c r="AS41" s="49"/>
      <c r="AT41" s="49"/>
      <c r="AU41" s="59" t="str">
        <f t="shared" si="6"/>
        <v>0</v>
      </c>
      <c r="AV41" s="49"/>
      <c r="AW41" s="49"/>
      <c r="AX41" s="49"/>
      <c r="AY41" s="49"/>
      <c r="AZ41" s="49"/>
      <c r="BA41" s="59" t="str">
        <f t="shared" si="7"/>
        <v>0</v>
      </c>
    </row>
    <row r="42" spans="1:53" ht="23.1" customHeight="1" x14ac:dyDescent="0.3">
      <c r="A42" s="7">
        <v>40</v>
      </c>
      <c r="B42" s="7" t="s">
        <v>89</v>
      </c>
      <c r="C42" s="7" t="s">
        <v>90</v>
      </c>
      <c r="D42" s="7" t="s">
        <v>450</v>
      </c>
      <c r="E42" s="7" t="s">
        <v>35</v>
      </c>
      <c r="F42" s="7"/>
      <c r="G42" s="7"/>
      <c r="H42" s="49"/>
      <c r="I42" s="7"/>
      <c r="J42" s="7"/>
      <c r="K42" s="59" t="str">
        <f t="shared" si="0"/>
        <v>0</v>
      </c>
      <c r="L42" s="49">
        <v>3</v>
      </c>
      <c r="M42" s="49">
        <v>4</v>
      </c>
      <c r="N42" s="49">
        <v>3</v>
      </c>
      <c r="O42" s="49"/>
      <c r="P42" s="49">
        <v>4</v>
      </c>
      <c r="Q42" s="59">
        <f t="shared" si="1"/>
        <v>3.5</v>
      </c>
      <c r="R42" s="49">
        <v>3</v>
      </c>
      <c r="S42" s="49"/>
      <c r="T42" s="7"/>
      <c r="U42" s="49"/>
      <c r="V42" s="7"/>
      <c r="W42" s="59">
        <f t="shared" si="2"/>
        <v>3</v>
      </c>
      <c r="X42" s="49"/>
      <c r="Y42" s="49"/>
      <c r="Z42" s="7"/>
      <c r="AA42" s="7"/>
      <c r="AB42" s="7"/>
      <c r="AC42" s="59" t="str">
        <f t="shared" si="3"/>
        <v>0</v>
      </c>
      <c r="AD42" s="49"/>
      <c r="AE42" s="7"/>
      <c r="AF42" s="49"/>
      <c r="AG42" s="7"/>
      <c r="AH42" s="7"/>
      <c r="AI42" s="59" t="str">
        <f t="shared" si="4"/>
        <v>0</v>
      </c>
      <c r="AJ42" s="49"/>
      <c r="AK42" s="49"/>
      <c r="AL42" s="7"/>
      <c r="AM42" s="49"/>
      <c r="AN42" s="7"/>
      <c r="AO42" s="59" t="str">
        <f t="shared" si="5"/>
        <v>0</v>
      </c>
      <c r="AP42" s="49"/>
      <c r="AQ42" s="49"/>
      <c r="AR42" s="49"/>
      <c r="AS42" s="7"/>
      <c r="AT42" s="7"/>
      <c r="AU42" s="59" t="str">
        <f t="shared" si="6"/>
        <v>0</v>
      </c>
      <c r="AV42" s="7"/>
      <c r="AW42" s="7"/>
      <c r="AX42" s="49"/>
      <c r="AY42" s="49"/>
      <c r="AZ42" s="49"/>
      <c r="BA42" s="59" t="str">
        <f t="shared" si="7"/>
        <v>0</v>
      </c>
    </row>
    <row r="43" spans="1:53" ht="23.1" customHeight="1" x14ac:dyDescent="0.3">
      <c r="A43" s="49">
        <v>41</v>
      </c>
      <c r="B43" s="49" t="s">
        <v>306</v>
      </c>
      <c r="C43" s="49" t="s">
        <v>307</v>
      </c>
      <c r="D43" s="49" t="s">
        <v>542</v>
      </c>
      <c r="E43" s="49" t="s">
        <v>493</v>
      </c>
      <c r="F43" s="49"/>
      <c r="G43" s="49"/>
      <c r="H43" s="49"/>
      <c r="I43" s="49"/>
      <c r="J43" s="49"/>
      <c r="K43" s="59" t="str">
        <f t="shared" si="0"/>
        <v>0</v>
      </c>
      <c r="L43" s="49">
        <v>3</v>
      </c>
      <c r="M43" s="49">
        <v>3.5</v>
      </c>
      <c r="N43" s="49">
        <v>3</v>
      </c>
      <c r="O43" s="49"/>
      <c r="P43" s="49">
        <v>3</v>
      </c>
      <c r="Q43" s="59">
        <f t="shared" si="1"/>
        <v>3.125</v>
      </c>
      <c r="R43" s="49">
        <v>3</v>
      </c>
      <c r="S43" s="49"/>
      <c r="T43" s="49"/>
      <c r="U43" s="49"/>
      <c r="V43" s="49"/>
      <c r="W43" s="59">
        <f t="shared" si="2"/>
        <v>3</v>
      </c>
      <c r="X43" s="49"/>
      <c r="Y43" s="49"/>
      <c r="Z43" s="49"/>
      <c r="AA43" s="49"/>
      <c r="AB43" s="49"/>
      <c r="AC43" s="59" t="str">
        <f t="shared" si="3"/>
        <v>0</v>
      </c>
      <c r="AD43" s="49"/>
      <c r="AE43" s="49"/>
      <c r="AF43" s="49"/>
      <c r="AG43" s="49"/>
      <c r="AH43" s="49"/>
      <c r="AI43" s="59" t="str">
        <f t="shared" si="4"/>
        <v>0</v>
      </c>
      <c r="AJ43" s="49"/>
      <c r="AK43" s="49"/>
      <c r="AL43" s="49"/>
      <c r="AM43" s="49"/>
      <c r="AN43" s="49"/>
      <c r="AO43" s="59" t="str">
        <f t="shared" si="5"/>
        <v>0</v>
      </c>
      <c r="AP43" s="49"/>
      <c r="AQ43" s="49"/>
      <c r="AR43" s="49"/>
      <c r="AS43" s="49"/>
      <c r="AT43" s="49"/>
      <c r="AU43" s="59" t="str">
        <f t="shared" si="6"/>
        <v>0</v>
      </c>
      <c r="AV43" s="49"/>
      <c r="AW43" s="49"/>
      <c r="AX43" s="49"/>
      <c r="AY43" s="49"/>
      <c r="AZ43" s="49"/>
      <c r="BA43" s="59" t="str">
        <f t="shared" si="7"/>
        <v>0</v>
      </c>
    </row>
    <row r="44" spans="1:53" ht="23.1" customHeight="1" x14ac:dyDescent="0.3">
      <c r="A44" s="7">
        <v>42</v>
      </c>
      <c r="B44" s="7" t="s">
        <v>245</v>
      </c>
      <c r="C44" s="7" t="s">
        <v>246</v>
      </c>
      <c r="D44" s="7" t="s">
        <v>542</v>
      </c>
      <c r="E44" s="7" t="s">
        <v>161</v>
      </c>
      <c r="F44" s="7"/>
      <c r="G44" s="7"/>
      <c r="H44" s="49"/>
      <c r="I44" s="7"/>
      <c r="J44" s="7"/>
      <c r="K44" s="59" t="str">
        <f t="shared" si="0"/>
        <v>0</v>
      </c>
      <c r="L44" s="49">
        <v>3</v>
      </c>
      <c r="M44" s="49">
        <v>3</v>
      </c>
      <c r="N44" s="49">
        <v>2.5</v>
      </c>
      <c r="O44" s="49"/>
      <c r="P44" s="49">
        <v>2.5</v>
      </c>
      <c r="Q44" s="59">
        <f t="shared" si="1"/>
        <v>2.75</v>
      </c>
      <c r="R44" s="49">
        <v>2.5</v>
      </c>
      <c r="S44" s="49"/>
      <c r="T44" s="7"/>
      <c r="U44" s="49"/>
      <c r="V44" s="7"/>
      <c r="W44" s="59">
        <f t="shared" si="2"/>
        <v>2.5</v>
      </c>
      <c r="X44" s="49"/>
      <c r="Y44" s="49"/>
      <c r="Z44" s="7"/>
      <c r="AA44" s="7"/>
      <c r="AB44" s="7"/>
      <c r="AC44" s="59" t="str">
        <f t="shared" si="3"/>
        <v>0</v>
      </c>
      <c r="AD44" s="49"/>
      <c r="AE44" s="7"/>
      <c r="AF44" s="49"/>
      <c r="AG44" s="7"/>
      <c r="AH44" s="7"/>
      <c r="AI44" s="59" t="str">
        <f t="shared" si="4"/>
        <v>0</v>
      </c>
      <c r="AJ44" s="49"/>
      <c r="AK44" s="49"/>
      <c r="AL44" s="7"/>
      <c r="AM44" s="49"/>
      <c r="AN44" s="7"/>
      <c r="AO44" s="59" t="str">
        <f t="shared" si="5"/>
        <v>0</v>
      </c>
      <c r="AP44" s="49"/>
      <c r="AQ44" s="49"/>
      <c r="AR44" s="49"/>
      <c r="AS44" s="7"/>
      <c r="AT44" s="7"/>
      <c r="AU44" s="59" t="str">
        <f t="shared" si="6"/>
        <v>0</v>
      </c>
      <c r="AV44" s="7"/>
      <c r="AW44" s="7"/>
      <c r="AX44" s="49"/>
      <c r="AY44" s="49"/>
      <c r="AZ44" s="49"/>
      <c r="BA44" s="59" t="str">
        <f t="shared" si="7"/>
        <v>0</v>
      </c>
    </row>
    <row r="45" spans="1:53" ht="23.1" customHeight="1" x14ac:dyDescent="0.3">
      <c r="A45" s="49">
        <v>43</v>
      </c>
      <c r="B45" s="49" t="s">
        <v>114</v>
      </c>
      <c r="C45" s="49" t="s">
        <v>115</v>
      </c>
      <c r="D45" s="49" t="s">
        <v>450</v>
      </c>
      <c r="E45" s="49" t="s">
        <v>35</v>
      </c>
      <c r="F45" s="49"/>
      <c r="G45" s="49"/>
      <c r="H45" s="49"/>
      <c r="I45" s="49"/>
      <c r="J45" s="49"/>
      <c r="K45" s="59" t="str">
        <f t="shared" si="0"/>
        <v>0</v>
      </c>
      <c r="L45" s="49">
        <v>4</v>
      </c>
      <c r="M45" s="49">
        <v>4</v>
      </c>
      <c r="N45" s="49">
        <v>4</v>
      </c>
      <c r="O45" s="49"/>
      <c r="P45" s="49">
        <v>4</v>
      </c>
      <c r="Q45" s="59">
        <f t="shared" si="1"/>
        <v>4</v>
      </c>
      <c r="R45" s="49">
        <v>4</v>
      </c>
      <c r="S45" s="49"/>
      <c r="T45" s="49"/>
      <c r="U45" s="49"/>
      <c r="V45" s="49"/>
      <c r="W45" s="59">
        <f t="shared" si="2"/>
        <v>4</v>
      </c>
      <c r="X45" s="49"/>
      <c r="Y45" s="49"/>
      <c r="Z45" s="49"/>
      <c r="AA45" s="49"/>
      <c r="AB45" s="49"/>
      <c r="AC45" s="59" t="str">
        <f t="shared" si="3"/>
        <v>0</v>
      </c>
      <c r="AD45" s="49"/>
      <c r="AE45" s="49"/>
      <c r="AF45" s="49"/>
      <c r="AG45" s="49"/>
      <c r="AH45" s="49"/>
      <c r="AI45" s="59" t="str">
        <f t="shared" si="4"/>
        <v>0</v>
      </c>
      <c r="AJ45" s="49"/>
      <c r="AK45" s="49"/>
      <c r="AL45" s="49"/>
      <c r="AM45" s="49"/>
      <c r="AN45" s="49"/>
      <c r="AO45" s="59" t="str">
        <f t="shared" si="5"/>
        <v>0</v>
      </c>
      <c r="AP45" s="49"/>
      <c r="AQ45" s="49"/>
      <c r="AR45" s="49"/>
      <c r="AS45" s="49"/>
      <c r="AT45" s="49"/>
      <c r="AU45" s="59" t="str">
        <f t="shared" si="6"/>
        <v>0</v>
      </c>
      <c r="AV45" s="49"/>
      <c r="AW45" s="49"/>
      <c r="AX45" s="49"/>
      <c r="AY45" s="49"/>
      <c r="AZ45" s="49"/>
      <c r="BA45" s="59" t="str">
        <f t="shared" si="7"/>
        <v>0</v>
      </c>
    </row>
    <row r="46" spans="1:53" ht="23.1" customHeight="1" x14ac:dyDescent="0.3">
      <c r="A46" s="7">
        <v>44</v>
      </c>
      <c r="B46" s="7" t="s">
        <v>116</v>
      </c>
      <c r="C46" s="7" t="s">
        <v>117</v>
      </c>
      <c r="D46" s="7" t="s">
        <v>542</v>
      </c>
      <c r="E46" s="7" t="s">
        <v>35</v>
      </c>
      <c r="F46" s="7"/>
      <c r="G46" s="7"/>
      <c r="H46" s="49"/>
      <c r="I46" s="7"/>
      <c r="J46" s="7"/>
      <c r="K46" s="59" t="str">
        <f t="shared" si="0"/>
        <v>0</v>
      </c>
      <c r="L46" s="49">
        <v>3</v>
      </c>
      <c r="M46" s="49">
        <v>4</v>
      </c>
      <c r="N46" s="49">
        <v>4</v>
      </c>
      <c r="O46" s="49"/>
      <c r="P46" s="49">
        <v>3</v>
      </c>
      <c r="Q46" s="59">
        <f t="shared" si="1"/>
        <v>3.5</v>
      </c>
      <c r="R46" s="49">
        <v>3</v>
      </c>
      <c r="S46" s="49"/>
      <c r="T46" s="7"/>
      <c r="U46" s="49"/>
      <c r="V46" s="7"/>
      <c r="W46" s="59">
        <f t="shared" si="2"/>
        <v>3</v>
      </c>
      <c r="X46" s="49"/>
      <c r="Y46" s="49"/>
      <c r="Z46" s="7"/>
      <c r="AA46" s="7"/>
      <c r="AB46" s="7"/>
      <c r="AC46" s="59" t="str">
        <f t="shared" si="3"/>
        <v>0</v>
      </c>
      <c r="AD46" s="49"/>
      <c r="AE46" s="7"/>
      <c r="AF46" s="49"/>
      <c r="AG46" s="7"/>
      <c r="AH46" s="7"/>
      <c r="AI46" s="59" t="str">
        <f t="shared" si="4"/>
        <v>0</v>
      </c>
      <c r="AJ46" s="49"/>
      <c r="AK46" s="49"/>
      <c r="AL46" s="7"/>
      <c r="AM46" s="49"/>
      <c r="AN46" s="7"/>
      <c r="AO46" s="59" t="str">
        <f t="shared" si="5"/>
        <v>0</v>
      </c>
      <c r="AP46" s="49"/>
      <c r="AQ46" s="49"/>
      <c r="AR46" s="49"/>
      <c r="AS46" s="7"/>
      <c r="AT46" s="7"/>
      <c r="AU46" s="59" t="str">
        <f t="shared" si="6"/>
        <v>0</v>
      </c>
      <c r="AV46" s="7"/>
      <c r="AW46" s="7"/>
      <c r="AX46" s="49"/>
      <c r="AY46" s="49"/>
      <c r="AZ46" s="49"/>
      <c r="BA46" s="59" t="str">
        <f t="shared" si="7"/>
        <v>0</v>
      </c>
    </row>
    <row r="47" spans="1:53" ht="23.1" customHeight="1" x14ac:dyDescent="0.3">
      <c r="A47" s="49">
        <v>45</v>
      </c>
      <c r="B47" s="49" t="s">
        <v>180</v>
      </c>
      <c r="C47" s="49" t="s">
        <v>181</v>
      </c>
      <c r="D47" s="49" t="s">
        <v>450</v>
      </c>
      <c r="E47" s="49" t="s">
        <v>161</v>
      </c>
      <c r="F47" s="49"/>
      <c r="G47" s="49"/>
      <c r="H47" s="49"/>
      <c r="I47" s="49"/>
      <c r="J47" s="49"/>
      <c r="K47" s="59" t="str">
        <f t="shared" si="0"/>
        <v>0</v>
      </c>
      <c r="L47" s="49" t="s">
        <v>581</v>
      </c>
      <c r="M47" s="49" t="s">
        <v>581</v>
      </c>
      <c r="N47" s="49" t="s">
        <v>581</v>
      </c>
      <c r="O47" s="49"/>
      <c r="P47" s="49" t="s">
        <v>581</v>
      </c>
      <c r="Q47" s="59" t="str">
        <f t="shared" si="1"/>
        <v>0</v>
      </c>
      <c r="R47" s="49" t="s">
        <v>581</v>
      </c>
      <c r="S47" s="49"/>
      <c r="T47" s="49"/>
      <c r="U47" s="49"/>
      <c r="V47" s="49"/>
      <c r="W47" s="59" t="str">
        <f t="shared" si="2"/>
        <v>0</v>
      </c>
      <c r="X47" s="49"/>
      <c r="Y47" s="49"/>
      <c r="Z47" s="49"/>
      <c r="AA47" s="49"/>
      <c r="AB47" s="49"/>
      <c r="AC47" s="59" t="str">
        <f t="shared" si="3"/>
        <v>0</v>
      </c>
      <c r="AD47" s="49"/>
      <c r="AE47" s="49"/>
      <c r="AF47" s="49"/>
      <c r="AG47" s="49"/>
      <c r="AH47" s="49"/>
      <c r="AI47" s="59" t="str">
        <f t="shared" si="4"/>
        <v>0</v>
      </c>
      <c r="AJ47" s="49"/>
      <c r="AK47" s="49"/>
      <c r="AL47" s="49"/>
      <c r="AM47" s="49"/>
      <c r="AN47" s="49"/>
      <c r="AO47" s="59" t="str">
        <f t="shared" si="5"/>
        <v>0</v>
      </c>
      <c r="AP47" s="49"/>
      <c r="AQ47" s="49"/>
      <c r="AR47" s="49"/>
      <c r="AS47" s="49"/>
      <c r="AT47" s="49"/>
      <c r="AU47" s="59" t="str">
        <f t="shared" si="6"/>
        <v>0</v>
      </c>
      <c r="AV47" s="49"/>
      <c r="AW47" s="49"/>
      <c r="AX47" s="49"/>
      <c r="AY47" s="49"/>
      <c r="AZ47" s="49"/>
      <c r="BA47" s="59" t="str">
        <f t="shared" si="7"/>
        <v>0</v>
      </c>
    </row>
    <row r="48" spans="1:53" ht="23.1" customHeight="1" x14ac:dyDescent="0.3">
      <c r="A48" s="7">
        <v>46</v>
      </c>
      <c r="B48" s="7" t="s">
        <v>308</v>
      </c>
      <c r="C48" s="7" t="s">
        <v>309</v>
      </c>
      <c r="D48" s="7" t="s">
        <v>542</v>
      </c>
      <c r="E48" s="7" t="s">
        <v>493</v>
      </c>
      <c r="F48" s="7"/>
      <c r="G48" s="7"/>
      <c r="H48" s="49"/>
      <c r="I48" s="7"/>
      <c r="J48" s="7"/>
      <c r="K48" s="59" t="str">
        <f t="shared" si="0"/>
        <v>0</v>
      </c>
      <c r="L48" s="49">
        <v>4</v>
      </c>
      <c r="M48" s="49">
        <v>4</v>
      </c>
      <c r="N48" s="49">
        <v>4</v>
      </c>
      <c r="O48" s="49"/>
      <c r="P48" s="49">
        <v>2</v>
      </c>
      <c r="Q48" s="59">
        <f t="shared" si="1"/>
        <v>3.5</v>
      </c>
      <c r="R48" s="49">
        <v>2</v>
      </c>
      <c r="S48" s="49"/>
      <c r="T48" s="7"/>
      <c r="U48" s="49"/>
      <c r="V48" s="7"/>
      <c r="W48" s="59">
        <f t="shared" si="2"/>
        <v>2</v>
      </c>
      <c r="X48" s="49"/>
      <c r="Y48" s="49"/>
      <c r="Z48" s="7"/>
      <c r="AA48" s="7"/>
      <c r="AB48" s="7"/>
      <c r="AC48" s="59" t="str">
        <f t="shared" si="3"/>
        <v>0</v>
      </c>
      <c r="AD48" s="49"/>
      <c r="AE48" s="7"/>
      <c r="AF48" s="49"/>
      <c r="AG48" s="7"/>
      <c r="AH48" s="7"/>
      <c r="AI48" s="59" t="str">
        <f t="shared" si="4"/>
        <v>0</v>
      </c>
      <c r="AJ48" s="49"/>
      <c r="AK48" s="49"/>
      <c r="AL48" s="7"/>
      <c r="AM48" s="49"/>
      <c r="AN48" s="7"/>
      <c r="AO48" s="59" t="str">
        <f t="shared" si="5"/>
        <v>0</v>
      </c>
      <c r="AP48" s="49"/>
      <c r="AQ48" s="49"/>
      <c r="AR48" s="49"/>
      <c r="AS48" s="7"/>
      <c r="AT48" s="7"/>
      <c r="AU48" s="59" t="str">
        <f t="shared" si="6"/>
        <v>0</v>
      </c>
      <c r="AV48" s="7"/>
      <c r="AW48" s="7"/>
      <c r="AX48" s="49"/>
      <c r="AY48" s="49"/>
      <c r="AZ48" s="49"/>
      <c r="BA48" s="59" t="str">
        <f t="shared" si="7"/>
        <v>0</v>
      </c>
    </row>
    <row r="49" spans="1:53" ht="23.1" customHeight="1" x14ac:dyDescent="0.3">
      <c r="A49" s="49">
        <v>47</v>
      </c>
      <c r="B49" s="49" t="s">
        <v>118</v>
      </c>
      <c r="C49" s="49" t="s">
        <v>119</v>
      </c>
      <c r="D49" s="49" t="s">
        <v>450</v>
      </c>
      <c r="E49" s="49" t="s">
        <v>35</v>
      </c>
      <c r="F49" s="49"/>
      <c r="G49" s="49"/>
      <c r="H49" s="49"/>
      <c r="I49" s="49"/>
      <c r="J49" s="49"/>
      <c r="K49" s="59" t="str">
        <f t="shared" si="0"/>
        <v>0</v>
      </c>
      <c r="L49" s="49">
        <v>2</v>
      </c>
      <c r="M49" s="49">
        <v>2</v>
      </c>
      <c r="N49" s="49">
        <v>2</v>
      </c>
      <c r="O49" s="49"/>
      <c r="P49" s="49">
        <v>2</v>
      </c>
      <c r="Q49" s="59">
        <f t="shared" si="1"/>
        <v>2</v>
      </c>
      <c r="R49" s="49">
        <v>2</v>
      </c>
      <c r="S49" s="49"/>
      <c r="T49" s="49"/>
      <c r="U49" s="49"/>
      <c r="V49" s="49"/>
      <c r="W49" s="59">
        <f t="shared" si="2"/>
        <v>2</v>
      </c>
      <c r="X49" s="49"/>
      <c r="Y49" s="49"/>
      <c r="Z49" s="49"/>
      <c r="AA49" s="49"/>
      <c r="AB49" s="49"/>
      <c r="AC49" s="59" t="str">
        <f t="shared" si="3"/>
        <v>0</v>
      </c>
      <c r="AD49" s="49"/>
      <c r="AE49" s="49"/>
      <c r="AF49" s="49"/>
      <c r="AG49" s="49"/>
      <c r="AH49" s="49"/>
      <c r="AI49" s="59" t="str">
        <f t="shared" si="4"/>
        <v>0</v>
      </c>
      <c r="AJ49" s="49"/>
      <c r="AK49" s="49"/>
      <c r="AL49" s="49"/>
      <c r="AM49" s="49"/>
      <c r="AN49" s="49"/>
      <c r="AO49" s="59" t="str">
        <f t="shared" si="5"/>
        <v>0</v>
      </c>
      <c r="AP49" s="49"/>
      <c r="AQ49" s="49"/>
      <c r="AR49" s="49"/>
      <c r="AS49" s="49"/>
      <c r="AT49" s="49"/>
      <c r="AU49" s="59" t="str">
        <f t="shared" si="6"/>
        <v>0</v>
      </c>
      <c r="AV49" s="49"/>
      <c r="AW49" s="49"/>
      <c r="AX49" s="49"/>
      <c r="AY49" s="49"/>
      <c r="AZ49" s="49"/>
      <c r="BA49" s="59" t="str">
        <f t="shared" si="7"/>
        <v>0</v>
      </c>
    </row>
    <row r="50" spans="1:53" ht="23.1" customHeight="1" x14ac:dyDescent="0.3">
      <c r="A50" s="7">
        <v>48</v>
      </c>
      <c r="B50" s="7" t="s">
        <v>197</v>
      </c>
      <c r="C50" s="7" t="s">
        <v>198</v>
      </c>
      <c r="D50" s="7" t="s">
        <v>450</v>
      </c>
      <c r="E50" s="7" t="s">
        <v>161</v>
      </c>
      <c r="F50" s="7"/>
      <c r="G50" s="7"/>
      <c r="H50" s="49"/>
      <c r="I50" s="7"/>
      <c r="J50" s="7"/>
      <c r="K50" s="59" t="str">
        <f t="shared" si="0"/>
        <v>0</v>
      </c>
      <c r="L50" s="49">
        <v>2.5</v>
      </c>
      <c r="M50" s="49">
        <v>3</v>
      </c>
      <c r="N50" s="49">
        <v>2.5</v>
      </c>
      <c r="O50" s="49"/>
      <c r="P50" s="49">
        <v>2.5</v>
      </c>
      <c r="Q50" s="59">
        <f t="shared" si="1"/>
        <v>2.625</v>
      </c>
      <c r="R50" s="49">
        <v>3</v>
      </c>
      <c r="S50" s="49"/>
      <c r="T50" s="7"/>
      <c r="U50" s="49"/>
      <c r="V50" s="7"/>
      <c r="W50" s="59">
        <f t="shared" si="2"/>
        <v>3</v>
      </c>
      <c r="X50" s="49"/>
      <c r="Y50" s="49"/>
      <c r="Z50" s="7"/>
      <c r="AA50" s="7"/>
      <c r="AB50" s="7"/>
      <c r="AC50" s="59" t="str">
        <f t="shared" si="3"/>
        <v>0</v>
      </c>
      <c r="AD50" s="49"/>
      <c r="AE50" s="7"/>
      <c r="AF50" s="49"/>
      <c r="AG50" s="7"/>
      <c r="AH50" s="7"/>
      <c r="AI50" s="59" t="str">
        <f t="shared" si="4"/>
        <v>0</v>
      </c>
      <c r="AJ50" s="49"/>
      <c r="AK50" s="49"/>
      <c r="AL50" s="7"/>
      <c r="AM50" s="49"/>
      <c r="AN50" s="7"/>
      <c r="AO50" s="59" t="str">
        <f t="shared" si="5"/>
        <v>0</v>
      </c>
      <c r="AP50" s="49"/>
      <c r="AQ50" s="49"/>
      <c r="AR50" s="49"/>
      <c r="AS50" s="7"/>
      <c r="AT50" s="7"/>
      <c r="AU50" s="59" t="str">
        <f t="shared" si="6"/>
        <v>0</v>
      </c>
      <c r="AV50" s="7"/>
      <c r="AW50" s="7"/>
      <c r="AX50" s="49"/>
      <c r="AY50" s="49"/>
      <c r="AZ50" s="49"/>
      <c r="BA50" s="59" t="str">
        <f t="shared" si="7"/>
        <v>0</v>
      </c>
    </row>
    <row r="51" spans="1:53" ht="23.1" customHeight="1" x14ac:dyDescent="0.3">
      <c r="A51" s="49">
        <v>49</v>
      </c>
      <c r="B51" s="49" t="s">
        <v>310</v>
      </c>
      <c r="C51" s="49" t="s">
        <v>311</v>
      </c>
      <c r="D51" s="49" t="s">
        <v>450</v>
      </c>
      <c r="E51" s="49" t="s">
        <v>493</v>
      </c>
      <c r="F51" s="49"/>
      <c r="G51" s="49"/>
      <c r="H51" s="49"/>
      <c r="I51" s="49"/>
      <c r="J51" s="49"/>
      <c r="K51" s="59" t="str">
        <f t="shared" si="0"/>
        <v>0</v>
      </c>
      <c r="L51" s="49">
        <v>4</v>
      </c>
      <c r="M51" s="49">
        <v>5</v>
      </c>
      <c r="N51" s="49">
        <v>5</v>
      </c>
      <c r="O51" s="49"/>
      <c r="P51" s="49">
        <v>4</v>
      </c>
      <c r="Q51" s="59">
        <f t="shared" si="1"/>
        <v>4.5</v>
      </c>
      <c r="R51" s="49">
        <v>5</v>
      </c>
      <c r="S51" s="49"/>
      <c r="T51" s="49"/>
      <c r="U51" s="49"/>
      <c r="V51" s="49"/>
      <c r="W51" s="59">
        <f t="shared" si="2"/>
        <v>5</v>
      </c>
      <c r="X51" s="49"/>
      <c r="Y51" s="49"/>
      <c r="Z51" s="49"/>
      <c r="AA51" s="49"/>
      <c r="AB51" s="49"/>
      <c r="AC51" s="59" t="str">
        <f t="shared" si="3"/>
        <v>0</v>
      </c>
      <c r="AD51" s="49"/>
      <c r="AE51" s="49"/>
      <c r="AF51" s="49"/>
      <c r="AG51" s="49"/>
      <c r="AH51" s="49"/>
      <c r="AI51" s="59" t="str">
        <f t="shared" si="4"/>
        <v>0</v>
      </c>
      <c r="AJ51" s="49"/>
      <c r="AK51" s="49"/>
      <c r="AL51" s="49"/>
      <c r="AM51" s="49"/>
      <c r="AN51" s="49"/>
      <c r="AO51" s="59" t="str">
        <f t="shared" si="5"/>
        <v>0</v>
      </c>
      <c r="AP51" s="49"/>
      <c r="AQ51" s="49"/>
      <c r="AR51" s="49"/>
      <c r="AS51" s="49"/>
      <c r="AT51" s="49"/>
      <c r="AU51" s="59" t="str">
        <f t="shared" si="6"/>
        <v>0</v>
      </c>
      <c r="AV51" s="49"/>
      <c r="AW51" s="49"/>
      <c r="AX51" s="49"/>
      <c r="AY51" s="49"/>
      <c r="AZ51" s="49"/>
      <c r="BA51" s="59" t="str">
        <f t="shared" si="7"/>
        <v>0</v>
      </c>
    </row>
    <row r="52" spans="1:53" ht="23.1" customHeight="1" x14ac:dyDescent="0.3">
      <c r="A52" s="7">
        <v>50</v>
      </c>
      <c r="B52" s="7" t="s">
        <v>122</v>
      </c>
      <c r="C52" s="7" t="s">
        <v>123</v>
      </c>
      <c r="D52" s="7" t="s">
        <v>450</v>
      </c>
      <c r="E52" s="7" t="s">
        <v>35</v>
      </c>
      <c r="F52" s="7"/>
      <c r="G52" s="7"/>
      <c r="H52" s="49"/>
      <c r="I52" s="7"/>
      <c r="J52" s="7"/>
      <c r="K52" s="59" t="str">
        <f t="shared" si="0"/>
        <v>0</v>
      </c>
      <c r="L52" s="49">
        <v>2.5</v>
      </c>
      <c r="M52" s="49">
        <v>1.5</v>
      </c>
      <c r="N52" s="49">
        <v>2</v>
      </c>
      <c r="O52" s="49"/>
      <c r="P52" s="49">
        <v>2</v>
      </c>
      <c r="Q52" s="59">
        <f t="shared" si="1"/>
        <v>2</v>
      </c>
      <c r="R52" s="49">
        <v>2.5</v>
      </c>
      <c r="S52" s="49"/>
      <c r="T52" s="7"/>
      <c r="U52" s="49"/>
      <c r="V52" s="7"/>
      <c r="W52" s="59">
        <f t="shared" si="2"/>
        <v>2.5</v>
      </c>
      <c r="X52" s="49"/>
      <c r="Y52" s="49"/>
      <c r="Z52" s="7"/>
      <c r="AA52" s="7"/>
      <c r="AB52" s="7"/>
      <c r="AC52" s="59" t="str">
        <f t="shared" si="3"/>
        <v>0</v>
      </c>
      <c r="AD52" s="49"/>
      <c r="AE52" s="7"/>
      <c r="AF52" s="49"/>
      <c r="AG52" s="7"/>
      <c r="AH52" s="7"/>
      <c r="AI52" s="59" t="str">
        <f t="shared" si="4"/>
        <v>0</v>
      </c>
      <c r="AJ52" s="49"/>
      <c r="AK52" s="49"/>
      <c r="AL52" s="7"/>
      <c r="AM52" s="49"/>
      <c r="AN52" s="7"/>
      <c r="AO52" s="59" t="str">
        <f t="shared" si="5"/>
        <v>0</v>
      </c>
      <c r="AP52" s="49"/>
      <c r="AQ52" s="49"/>
      <c r="AR52" s="49"/>
      <c r="AS52" s="7"/>
      <c r="AT52" s="7"/>
      <c r="AU52" s="59" t="str">
        <f t="shared" si="6"/>
        <v>0</v>
      </c>
      <c r="AV52" s="7"/>
      <c r="AW52" s="7"/>
      <c r="AX52" s="49"/>
      <c r="AY52" s="49"/>
      <c r="AZ52" s="49"/>
      <c r="BA52" s="59" t="str">
        <f t="shared" si="7"/>
        <v>0</v>
      </c>
    </row>
    <row r="53" spans="1:53" ht="23.1" customHeight="1" x14ac:dyDescent="0.3">
      <c r="A53" s="49">
        <v>51</v>
      </c>
      <c r="B53" s="49" t="s">
        <v>259</v>
      </c>
      <c r="C53" s="49" t="s">
        <v>260</v>
      </c>
      <c r="D53" s="49" t="s">
        <v>542</v>
      </c>
      <c r="E53" s="49" t="s">
        <v>161</v>
      </c>
      <c r="F53" s="49"/>
      <c r="G53" s="49"/>
      <c r="H53" s="49"/>
      <c r="I53" s="49"/>
      <c r="J53" s="49"/>
      <c r="K53" s="59" t="str">
        <f t="shared" si="0"/>
        <v>0</v>
      </c>
      <c r="L53" s="49">
        <v>3</v>
      </c>
      <c r="M53" s="49">
        <v>4</v>
      </c>
      <c r="N53" s="49">
        <v>3</v>
      </c>
      <c r="O53" s="49"/>
      <c r="P53" s="49">
        <v>2</v>
      </c>
      <c r="Q53" s="59">
        <f t="shared" si="1"/>
        <v>3</v>
      </c>
      <c r="R53" s="49">
        <v>3</v>
      </c>
      <c r="S53" s="49"/>
      <c r="T53" s="49"/>
      <c r="U53" s="49"/>
      <c r="V53" s="49"/>
      <c r="W53" s="59">
        <f t="shared" si="2"/>
        <v>3</v>
      </c>
      <c r="X53" s="49"/>
      <c r="Y53" s="49"/>
      <c r="Z53" s="49"/>
      <c r="AA53" s="49"/>
      <c r="AB53" s="49"/>
      <c r="AC53" s="59" t="str">
        <f t="shared" si="3"/>
        <v>0</v>
      </c>
      <c r="AD53" s="49"/>
      <c r="AE53" s="49"/>
      <c r="AF53" s="49"/>
      <c r="AG53" s="49"/>
      <c r="AH53" s="49"/>
      <c r="AI53" s="59" t="str">
        <f t="shared" si="4"/>
        <v>0</v>
      </c>
      <c r="AJ53" s="49"/>
      <c r="AK53" s="49"/>
      <c r="AL53" s="49"/>
      <c r="AM53" s="49"/>
      <c r="AN53" s="49"/>
      <c r="AO53" s="59" t="str">
        <f t="shared" si="5"/>
        <v>0</v>
      </c>
      <c r="AP53" s="49"/>
      <c r="AQ53" s="49"/>
      <c r="AR53" s="49"/>
      <c r="AS53" s="49"/>
      <c r="AT53" s="49"/>
      <c r="AU53" s="59" t="str">
        <f t="shared" si="6"/>
        <v>0</v>
      </c>
      <c r="AV53" s="49"/>
      <c r="AW53" s="49"/>
      <c r="AX53" s="49"/>
      <c r="AY53" s="49"/>
      <c r="AZ53" s="49"/>
      <c r="BA53" s="59" t="str">
        <f t="shared" si="7"/>
        <v>0</v>
      </c>
    </row>
    <row r="54" spans="1:53" ht="23.1" customHeight="1" x14ac:dyDescent="0.3">
      <c r="A54" s="7">
        <v>52</v>
      </c>
      <c r="B54" s="7" t="s">
        <v>213</v>
      </c>
      <c r="C54" s="7" t="s">
        <v>214</v>
      </c>
      <c r="D54" s="7" t="s">
        <v>450</v>
      </c>
      <c r="E54" s="7" t="s">
        <v>161</v>
      </c>
      <c r="F54" s="7"/>
      <c r="G54" s="7"/>
      <c r="H54" s="49"/>
      <c r="I54" s="7"/>
      <c r="J54" s="7"/>
      <c r="K54" s="59" t="str">
        <f t="shared" si="0"/>
        <v>0</v>
      </c>
      <c r="L54" s="49">
        <v>3</v>
      </c>
      <c r="M54" s="49">
        <v>4</v>
      </c>
      <c r="N54" s="49">
        <v>3</v>
      </c>
      <c r="O54" s="49"/>
      <c r="P54" s="49">
        <v>3</v>
      </c>
      <c r="Q54" s="59">
        <f t="shared" si="1"/>
        <v>3.25</v>
      </c>
      <c r="R54" s="49">
        <v>3</v>
      </c>
      <c r="S54" s="49"/>
      <c r="T54" s="7"/>
      <c r="U54" s="49"/>
      <c r="V54" s="7"/>
      <c r="W54" s="59">
        <f t="shared" si="2"/>
        <v>3</v>
      </c>
      <c r="X54" s="49"/>
      <c r="Y54" s="49"/>
      <c r="Z54" s="7"/>
      <c r="AA54" s="7"/>
      <c r="AB54" s="7"/>
      <c r="AC54" s="59" t="str">
        <f t="shared" si="3"/>
        <v>0</v>
      </c>
      <c r="AD54" s="49"/>
      <c r="AE54" s="7"/>
      <c r="AF54" s="49"/>
      <c r="AG54" s="7"/>
      <c r="AH54" s="7"/>
      <c r="AI54" s="59" t="str">
        <f t="shared" si="4"/>
        <v>0</v>
      </c>
      <c r="AJ54" s="49"/>
      <c r="AK54" s="49"/>
      <c r="AL54" s="7"/>
      <c r="AM54" s="49"/>
      <c r="AN54" s="7"/>
      <c r="AO54" s="59" t="str">
        <f t="shared" si="5"/>
        <v>0</v>
      </c>
      <c r="AP54" s="49"/>
      <c r="AQ54" s="49"/>
      <c r="AR54" s="49"/>
      <c r="AS54" s="7"/>
      <c r="AT54" s="7"/>
      <c r="AU54" s="59" t="str">
        <f t="shared" si="6"/>
        <v>0</v>
      </c>
      <c r="AV54" s="7"/>
      <c r="AW54" s="7"/>
      <c r="AX54" s="49"/>
      <c r="AY54" s="49"/>
      <c r="AZ54" s="49"/>
      <c r="BA54" s="59" t="str">
        <f t="shared" si="7"/>
        <v>0</v>
      </c>
    </row>
    <row r="55" spans="1:53" ht="23.1" customHeight="1" x14ac:dyDescent="0.3">
      <c r="A55" s="49">
        <v>53</v>
      </c>
      <c r="B55" s="49" t="s">
        <v>229</v>
      </c>
      <c r="C55" s="49" t="s">
        <v>230</v>
      </c>
      <c r="D55" s="49" t="s">
        <v>450</v>
      </c>
      <c r="E55" s="49" t="s">
        <v>161</v>
      </c>
      <c r="F55" s="49"/>
      <c r="G55" s="49"/>
      <c r="H55" s="49"/>
      <c r="I55" s="49"/>
      <c r="J55" s="49"/>
      <c r="K55" s="59" t="str">
        <f t="shared" si="0"/>
        <v>0</v>
      </c>
      <c r="L55" s="49">
        <v>2</v>
      </c>
      <c r="M55" s="49">
        <v>3</v>
      </c>
      <c r="N55" s="49">
        <v>2</v>
      </c>
      <c r="O55" s="49"/>
      <c r="P55" s="49">
        <v>1</v>
      </c>
      <c r="Q55" s="59">
        <f t="shared" si="1"/>
        <v>2</v>
      </c>
      <c r="R55" s="49">
        <v>2</v>
      </c>
      <c r="S55" s="49"/>
      <c r="T55" s="49"/>
      <c r="U55" s="49"/>
      <c r="V55" s="49"/>
      <c r="W55" s="59">
        <f t="shared" si="2"/>
        <v>2</v>
      </c>
      <c r="X55" s="49"/>
      <c r="Y55" s="49"/>
      <c r="Z55" s="49"/>
      <c r="AA55" s="49"/>
      <c r="AB55" s="49"/>
      <c r="AC55" s="59" t="str">
        <f t="shared" si="3"/>
        <v>0</v>
      </c>
      <c r="AD55" s="49"/>
      <c r="AE55" s="49"/>
      <c r="AF55" s="49"/>
      <c r="AG55" s="49"/>
      <c r="AH55" s="49"/>
      <c r="AI55" s="59" t="str">
        <f t="shared" si="4"/>
        <v>0</v>
      </c>
      <c r="AJ55" s="49"/>
      <c r="AK55" s="49"/>
      <c r="AL55" s="49"/>
      <c r="AM55" s="49"/>
      <c r="AN55" s="49"/>
      <c r="AO55" s="59" t="str">
        <f t="shared" si="5"/>
        <v>0</v>
      </c>
      <c r="AP55" s="49"/>
      <c r="AQ55" s="49"/>
      <c r="AR55" s="49"/>
      <c r="AS55" s="49"/>
      <c r="AT55" s="49"/>
      <c r="AU55" s="59" t="str">
        <f t="shared" si="6"/>
        <v>0</v>
      </c>
      <c r="AV55" s="49"/>
      <c r="AW55" s="49"/>
      <c r="AX55" s="49"/>
      <c r="AY55" s="49"/>
      <c r="AZ55" s="49"/>
      <c r="BA55" s="59" t="str">
        <f t="shared" si="7"/>
        <v>0</v>
      </c>
    </row>
    <row r="56" spans="1:53" ht="23.1" customHeight="1" x14ac:dyDescent="0.3">
      <c r="A56" s="7">
        <v>54</v>
      </c>
      <c r="B56" s="7" t="s">
        <v>312</v>
      </c>
      <c r="C56" s="7" t="s">
        <v>313</v>
      </c>
      <c r="D56" s="7" t="s">
        <v>450</v>
      </c>
      <c r="E56" s="7" t="s">
        <v>493</v>
      </c>
      <c r="F56" s="7"/>
      <c r="G56" s="7"/>
      <c r="H56" s="49"/>
      <c r="I56" s="7"/>
      <c r="J56" s="7"/>
      <c r="K56" s="59" t="str">
        <f t="shared" si="0"/>
        <v>0</v>
      </c>
      <c r="L56" s="49">
        <v>3</v>
      </c>
      <c r="M56" s="49">
        <v>4</v>
      </c>
      <c r="N56" s="49">
        <v>3</v>
      </c>
      <c r="O56" s="49"/>
      <c r="P56" s="49">
        <v>1</v>
      </c>
      <c r="Q56" s="59">
        <f t="shared" si="1"/>
        <v>2.75</v>
      </c>
      <c r="R56" s="49">
        <v>2</v>
      </c>
      <c r="S56" s="49"/>
      <c r="T56" s="7"/>
      <c r="U56" s="49"/>
      <c r="V56" s="7"/>
      <c r="W56" s="59">
        <f t="shared" si="2"/>
        <v>2</v>
      </c>
      <c r="X56" s="49"/>
      <c r="Y56" s="49"/>
      <c r="Z56" s="7"/>
      <c r="AA56" s="7"/>
      <c r="AB56" s="7"/>
      <c r="AC56" s="59" t="str">
        <f t="shared" si="3"/>
        <v>0</v>
      </c>
      <c r="AD56" s="49"/>
      <c r="AE56" s="7"/>
      <c r="AF56" s="49"/>
      <c r="AG56" s="7"/>
      <c r="AH56" s="7"/>
      <c r="AI56" s="59" t="str">
        <f t="shared" si="4"/>
        <v>0</v>
      </c>
      <c r="AJ56" s="49"/>
      <c r="AK56" s="49"/>
      <c r="AL56" s="7"/>
      <c r="AM56" s="49"/>
      <c r="AN56" s="7"/>
      <c r="AO56" s="59" t="str">
        <f t="shared" si="5"/>
        <v>0</v>
      </c>
      <c r="AP56" s="49"/>
      <c r="AQ56" s="49"/>
      <c r="AR56" s="49"/>
      <c r="AS56" s="7"/>
      <c r="AT56" s="7"/>
      <c r="AU56" s="59" t="str">
        <f t="shared" si="6"/>
        <v>0</v>
      </c>
      <c r="AV56" s="7"/>
      <c r="AW56" s="7"/>
      <c r="AX56" s="49"/>
      <c r="AY56" s="49"/>
      <c r="AZ56" s="49"/>
      <c r="BA56" s="59" t="str">
        <f t="shared" si="7"/>
        <v>0</v>
      </c>
    </row>
    <row r="57" spans="1:53" ht="23.1" customHeight="1" x14ac:dyDescent="0.3">
      <c r="A57" s="49">
        <v>55</v>
      </c>
      <c r="B57" s="49" t="s">
        <v>247</v>
      </c>
      <c r="C57" s="49" t="s">
        <v>248</v>
      </c>
      <c r="D57" s="49" t="s">
        <v>450</v>
      </c>
      <c r="E57" s="49" t="s">
        <v>161</v>
      </c>
      <c r="F57" s="49"/>
      <c r="G57" s="49"/>
      <c r="H57" s="49"/>
      <c r="I57" s="49"/>
      <c r="J57" s="49"/>
      <c r="K57" s="59" t="str">
        <f t="shared" si="0"/>
        <v>0</v>
      </c>
      <c r="L57" s="49">
        <v>4</v>
      </c>
      <c r="M57" s="49">
        <v>4</v>
      </c>
      <c r="N57" s="49">
        <v>3</v>
      </c>
      <c r="O57" s="49"/>
      <c r="P57" s="49">
        <v>2</v>
      </c>
      <c r="Q57" s="59">
        <f t="shared" si="1"/>
        <v>3.25</v>
      </c>
      <c r="R57" s="49">
        <v>2</v>
      </c>
      <c r="S57" s="49"/>
      <c r="T57" s="49"/>
      <c r="U57" s="49"/>
      <c r="V57" s="49"/>
      <c r="W57" s="59">
        <f t="shared" si="2"/>
        <v>2</v>
      </c>
      <c r="X57" s="49"/>
      <c r="Y57" s="49"/>
      <c r="Z57" s="49"/>
      <c r="AA57" s="49"/>
      <c r="AB57" s="49"/>
      <c r="AC57" s="59" t="str">
        <f t="shared" si="3"/>
        <v>0</v>
      </c>
      <c r="AD57" s="49"/>
      <c r="AE57" s="49"/>
      <c r="AF57" s="49"/>
      <c r="AG57" s="49"/>
      <c r="AH57" s="49"/>
      <c r="AI57" s="59" t="str">
        <f t="shared" si="4"/>
        <v>0</v>
      </c>
      <c r="AJ57" s="49"/>
      <c r="AK57" s="49"/>
      <c r="AL57" s="49"/>
      <c r="AM57" s="49"/>
      <c r="AN57" s="49"/>
      <c r="AO57" s="59" t="str">
        <f t="shared" si="5"/>
        <v>0</v>
      </c>
      <c r="AP57" s="49"/>
      <c r="AQ57" s="49"/>
      <c r="AR57" s="49"/>
      <c r="AS57" s="49"/>
      <c r="AT57" s="49"/>
      <c r="AU57" s="59" t="str">
        <f t="shared" si="6"/>
        <v>0</v>
      </c>
      <c r="AV57" s="49"/>
      <c r="AW57" s="49"/>
      <c r="AX57" s="49"/>
      <c r="AY57" s="49"/>
      <c r="AZ57" s="49"/>
      <c r="BA57" s="59" t="str">
        <f t="shared" si="7"/>
        <v>0</v>
      </c>
    </row>
    <row r="58" spans="1:53" ht="23.1" customHeight="1" x14ac:dyDescent="0.3">
      <c r="A58" s="7">
        <v>56</v>
      </c>
      <c r="B58" s="7" t="s">
        <v>124</v>
      </c>
      <c r="C58" s="7" t="s">
        <v>125</v>
      </c>
      <c r="D58" s="7" t="s">
        <v>542</v>
      </c>
      <c r="E58" s="7" t="s">
        <v>35</v>
      </c>
      <c r="F58" s="7"/>
      <c r="G58" s="7"/>
      <c r="H58" s="49"/>
      <c r="I58" s="7"/>
      <c r="J58" s="7"/>
      <c r="K58" s="59" t="str">
        <f t="shared" si="0"/>
        <v>0</v>
      </c>
      <c r="L58" s="49">
        <v>3</v>
      </c>
      <c r="M58" s="49">
        <v>3</v>
      </c>
      <c r="N58" s="49">
        <v>4</v>
      </c>
      <c r="O58" s="49"/>
      <c r="P58" s="49">
        <v>2</v>
      </c>
      <c r="Q58" s="59">
        <f t="shared" si="1"/>
        <v>3</v>
      </c>
      <c r="R58" s="49">
        <v>2</v>
      </c>
      <c r="S58" s="49"/>
      <c r="T58" s="7"/>
      <c r="U58" s="49"/>
      <c r="V58" s="7"/>
      <c r="W58" s="59">
        <f t="shared" si="2"/>
        <v>2</v>
      </c>
      <c r="X58" s="49"/>
      <c r="Y58" s="49"/>
      <c r="Z58" s="7"/>
      <c r="AA58" s="7"/>
      <c r="AB58" s="7"/>
      <c r="AC58" s="59" t="str">
        <f t="shared" si="3"/>
        <v>0</v>
      </c>
      <c r="AD58" s="49"/>
      <c r="AE58" s="7"/>
      <c r="AF58" s="49"/>
      <c r="AG58" s="7"/>
      <c r="AH58" s="7"/>
      <c r="AI58" s="59" t="str">
        <f t="shared" si="4"/>
        <v>0</v>
      </c>
      <c r="AJ58" s="49"/>
      <c r="AK58" s="49"/>
      <c r="AL58" s="7"/>
      <c r="AM58" s="49"/>
      <c r="AN58" s="7"/>
      <c r="AO58" s="59" t="str">
        <f t="shared" si="5"/>
        <v>0</v>
      </c>
      <c r="AP58" s="49"/>
      <c r="AQ58" s="49"/>
      <c r="AR58" s="49"/>
      <c r="AS58" s="7"/>
      <c r="AT58" s="7"/>
      <c r="AU58" s="59" t="str">
        <f t="shared" si="6"/>
        <v>0</v>
      </c>
      <c r="AV58" s="7"/>
      <c r="AW58" s="7"/>
      <c r="AX58" s="49"/>
      <c r="AY58" s="49"/>
      <c r="AZ58" s="49"/>
      <c r="BA58" s="59" t="str">
        <f t="shared" si="7"/>
        <v>0</v>
      </c>
    </row>
    <row r="59" spans="1:53" ht="23.1" customHeight="1" x14ac:dyDescent="0.3">
      <c r="A59" s="49">
        <v>57</v>
      </c>
      <c r="B59" s="49" t="s">
        <v>314</v>
      </c>
      <c r="C59" s="49" t="s">
        <v>315</v>
      </c>
      <c r="D59" s="49" t="s">
        <v>542</v>
      </c>
      <c r="E59" s="49" t="s">
        <v>493</v>
      </c>
      <c r="F59" s="49"/>
      <c r="G59" s="49"/>
      <c r="H59" s="49"/>
      <c r="I59" s="49"/>
      <c r="J59" s="49"/>
      <c r="K59" s="59" t="str">
        <f t="shared" si="0"/>
        <v>0</v>
      </c>
      <c r="L59" s="49">
        <v>3</v>
      </c>
      <c r="M59" s="49">
        <v>4</v>
      </c>
      <c r="N59" s="49">
        <v>4</v>
      </c>
      <c r="O59" s="49"/>
      <c r="P59" s="49">
        <v>2</v>
      </c>
      <c r="Q59" s="59">
        <f t="shared" si="1"/>
        <v>3.25</v>
      </c>
      <c r="R59" s="49">
        <v>2</v>
      </c>
      <c r="S59" s="49"/>
      <c r="T59" s="49"/>
      <c r="U59" s="49"/>
      <c r="V59" s="49"/>
      <c r="W59" s="59">
        <f t="shared" si="2"/>
        <v>2</v>
      </c>
      <c r="X59" s="49"/>
      <c r="Y59" s="49"/>
      <c r="Z59" s="49"/>
      <c r="AA59" s="49"/>
      <c r="AB59" s="49"/>
      <c r="AC59" s="59" t="str">
        <f t="shared" si="3"/>
        <v>0</v>
      </c>
      <c r="AD59" s="49"/>
      <c r="AE59" s="49"/>
      <c r="AF59" s="49"/>
      <c r="AG59" s="49"/>
      <c r="AH59" s="49"/>
      <c r="AI59" s="59" t="str">
        <f t="shared" si="4"/>
        <v>0</v>
      </c>
      <c r="AJ59" s="49"/>
      <c r="AK59" s="49"/>
      <c r="AL59" s="49"/>
      <c r="AM59" s="49"/>
      <c r="AN59" s="49"/>
      <c r="AO59" s="59" t="str">
        <f t="shared" si="5"/>
        <v>0</v>
      </c>
      <c r="AP59" s="49"/>
      <c r="AQ59" s="49"/>
      <c r="AR59" s="49"/>
      <c r="AS59" s="49"/>
      <c r="AT59" s="49"/>
      <c r="AU59" s="59" t="str">
        <f t="shared" si="6"/>
        <v>0</v>
      </c>
      <c r="AV59" s="49"/>
      <c r="AW59" s="49"/>
      <c r="AX59" s="49"/>
      <c r="AY59" s="49"/>
      <c r="AZ59" s="49"/>
      <c r="BA59" s="59" t="str">
        <f t="shared" si="7"/>
        <v>0</v>
      </c>
    </row>
    <row r="60" spans="1:53" ht="23.1" customHeight="1" x14ac:dyDescent="0.3">
      <c r="A60" s="7">
        <v>58</v>
      </c>
      <c r="B60" s="7" t="s">
        <v>316</v>
      </c>
      <c r="C60" s="7" t="s">
        <v>317</v>
      </c>
      <c r="D60" s="7" t="s">
        <v>450</v>
      </c>
      <c r="E60" s="7" t="s">
        <v>493</v>
      </c>
      <c r="F60" s="7"/>
      <c r="G60" s="7"/>
      <c r="H60" s="49"/>
      <c r="I60" s="7"/>
      <c r="J60" s="7"/>
      <c r="K60" s="59" t="str">
        <f t="shared" si="0"/>
        <v>0</v>
      </c>
      <c r="L60" s="49">
        <v>2</v>
      </c>
      <c r="M60" s="49">
        <v>2</v>
      </c>
      <c r="N60" s="49">
        <v>2</v>
      </c>
      <c r="O60" s="49"/>
      <c r="P60" s="49">
        <v>2</v>
      </c>
      <c r="Q60" s="59">
        <f t="shared" si="1"/>
        <v>2</v>
      </c>
      <c r="R60" s="49">
        <v>2</v>
      </c>
      <c r="S60" s="49"/>
      <c r="T60" s="7"/>
      <c r="U60" s="49"/>
      <c r="V60" s="7"/>
      <c r="W60" s="59">
        <f t="shared" si="2"/>
        <v>2</v>
      </c>
      <c r="X60" s="49"/>
      <c r="Y60" s="49"/>
      <c r="Z60" s="7"/>
      <c r="AA60" s="7"/>
      <c r="AB60" s="7"/>
      <c r="AC60" s="59" t="str">
        <f t="shared" si="3"/>
        <v>0</v>
      </c>
      <c r="AD60" s="49"/>
      <c r="AE60" s="7"/>
      <c r="AF60" s="49"/>
      <c r="AG60" s="7"/>
      <c r="AH60" s="7"/>
      <c r="AI60" s="59" t="str">
        <f t="shared" si="4"/>
        <v>0</v>
      </c>
      <c r="AJ60" s="49"/>
      <c r="AK60" s="49"/>
      <c r="AL60" s="7"/>
      <c r="AM60" s="49"/>
      <c r="AN60" s="7"/>
      <c r="AO60" s="59" t="str">
        <f t="shared" si="5"/>
        <v>0</v>
      </c>
      <c r="AP60" s="49"/>
      <c r="AQ60" s="49"/>
      <c r="AR60" s="49"/>
      <c r="AS60" s="7"/>
      <c r="AT60" s="7"/>
      <c r="AU60" s="59" t="str">
        <f t="shared" si="6"/>
        <v>0</v>
      </c>
      <c r="AV60" s="7"/>
      <c r="AW60" s="7"/>
      <c r="AX60" s="49"/>
      <c r="AY60" s="49"/>
      <c r="AZ60" s="49"/>
      <c r="BA60" s="59" t="str">
        <f t="shared" si="7"/>
        <v>0</v>
      </c>
    </row>
    <row r="61" spans="1:53" ht="23.1" customHeight="1" x14ac:dyDescent="0.3">
      <c r="A61" s="49">
        <v>59</v>
      </c>
      <c r="B61" s="49" t="s">
        <v>126</v>
      </c>
      <c r="C61" s="49" t="s">
        <v>127</v>
      </c>
      <c r="D61" s="49" t="s">
        <v>450</v>
      </c>
      <c r="E61" s="49" t="s">
        <v>35</v>
      </c>
      <c r="F61" s="49"/>
      <c r="G61" s="49"/>
      <c r="H61" s="49"/>
      <c r="I61" s="49"/>
      <c r="J61" s="49"/>
      <c r="K61" s="59" t="str">
        <f t="shared" si="0"/>
        <v>0</v>
      </c>
      <c r="L61" s="49">
        <v>4</v>
      </c>
      <c r="M61" s="49">
        <v>3</v>
      </c>
      <c r="N61" s="49">
        <v>4</v>
      </c>
      <c r="O61" s="49"/>
      <c r="P61" s="49">
        <v>3</v>
      </c>
      <c r="Q61" s="59">
        <f t="shared" si="1"/>
        <v>3.5</v>
      </c>
      <c r="R61" s="49">
        <v>3</v>
      </c>
      <c r="S61" s="49"/>
      <c r="T61" s="49"/>
      <c r="U61" s="49"/>
      <c r="V61" s="49"/>
      <c r="W61" s="59">
        <f t="shared" si="2"/>
        <v>3</v>
      </c>
      <c r="X61" s="49"/>
      <c r="Y61" s="49"/>
      <c r="Z61" s="49"/>
      <c r="AA61" s="49"/>
      <c r="AB61" s="49"/>
      <c r="AC61" s="59" t="str">
        <f t="shared" si="3"/>
        <v>0</v>
      </c>
      <c r="AD61" s="49"/>
      <c r="AE61" s="49"/>
      <c r="AF61" s="49"/>
      <c r="AG61" s="49"/>
      <c r="AH61" s="49"/>
      <c r="AI61" s="59" t="str">
        <f t="shared" si="4"/>
        <v>0</v>
      </c>
      <c r="AJ61" s="49"/>
      <c r="AK61" s="49"/>
      <c r="AL61" s="49"/>
      <c r="AM61" s="49"/>
      <c r="AN61" s="49"/>
      <c r="AO61" s="59" t="str">
        <f t="shared" si="5"/>
        <v>0</v>
      </c>
      <c r="AP61" s="49"/>
      <c r="AQ61" s="49"/>
      <c r="AR61" s="49"/>
      <c r="AS61" s="49"/>
      <c r="AT61" s="49"/>
      <c r="AU61" s="59" t="str">
        <f t="shared" si="6"/>
        <v>0</v>
      </c>
      <c r="AV61" s="49"/>
      <c r="AW61" s="49"/>
      <c r="AX61" s="49"/>
      <c r="AY61" s="49"/>
      <c r="AZ61" s="49"/>
      <c r="BA61" s="59" t="str">
        <f t="shared" si="7"/>
        <v>0</v>
      </c>
    </row>
    <row r="62" spans="1:53" ht="23.1" customHeight="1" x14ac:dyDescent="0.3">
      <c r="A62" s="7">
        <v>60</v>
      </c>
      <c r="B62" s="7" t="s">
        <v>42</v>
      </c>
      <c r="C62" s="7" t="s">
        <v>43</v>
      </c>
      <c r="D62" s="7" t="s">
        <v>450</v>
      </c>
      <c r="E62" s="7" t="s">
        <v>35</v>
      </c>
      <c r="F62" s="7"/>
      <c r="G62" s="7"/>
      <c r="H62" s="49"/>
      <c r="I62" s="7"/>
      <c r="J62" s="7"/>
      <c r="K62" s="59" t="str">
        <f t="shared" si="0"/>
        <v>0</v>
      </c>
      <c r="L62" s="49">
        <v>3</v>
      </c>
      <c r="M62" s="49">
        <v>3</v>
      </c>
      <c r="N62" s="49">
        <v>2.5</v>
      </c>
      <c r="O62" s="49"/>
      <c r="P62" s="49">
        <v>2.5</v>
      </c>
      <c r="Q62" s="59">
        <f t="shared" si="1"/>
        <v>2.75</v>
      </c>
      <c r="R62" s="49">
        <v>3</v>
      </c>
      <c r="S62" s="49"/>
      <c r="T62" s="7"/>
      <c r="U62" s="49"/>
      <c r="V62" s="7"/>
      <c r="W62" s="59">
        <f t="shared" si="2"/>
        <v>3</v>
      </c>
      <c r="X62" s="49"/>
      <c r="Y62" s="49"/>
      <c r="Z62" s="7"/>
      <c r="AA62" s="7"/>
      <c r="AB62" s="7"/>
      <c r="AC62" s="59" t="str">
        <f t="shared" si="3"/>
        <v>0</v>
      </c>
      <c r="AD62" s="49"/>
      <c r="AE62" s="7"/>
      <c r="AF62" s="49"/>
      <c r="AG62" s="7"/>
      <c r="AH62" s="7"/>
      <c r="AI62" s="59" t="str">
        <f t="shared" si="4"/>
        <v>0</v>
      </c>
      <c r="AJ62" s="49"/>
      <c r="AK62" s="49"/>
      <c r="AL62" s="7"/>
      <c r="AM62" s="49"/>
      <c r="AN62" s="7"/>
      <c r="AO62" s="59" t="str">
        <f t="shared" si="5"/>
        <v>0</v>
      </c>
      <c r="AP62" s="49"/>
      <c r="AQ62" s="49"/>
      <c r="AR62" s="49"/>
      <c r="AS62" s="7"/>
      <c r="AT62" s="7"/>
      <c r="AU62" s="59" t="str">
        <f t="shared" si="6"/>
        <v>0</v>
      </c>
      <c r="AV62" s="7"/>
      <c r="AW62" s="7"/>
      <c r="AX62" s="49"/>
      <c r="AY62" s="49"/>
      <c r="AZ62" s="49"/>
      <c r="BA62" s="59" t="str">
        <f t="shared" si="7"/>
        <v>0</v>
      </c>
    </row>
    <row r="63" spans="1:53" ht="23.1" customHeight="1" x14ac:dyDescent="0.3">
      <c r="A63" s="49">
        <v>61</v>
      </c>
      <c r="B63" s="49" t="s">
        <v>128</v>
      </c>
      <c r="C63" s="49" t="s">
        <v>129</v>
      </c>
      <c r="D63" s="49" t="s">
        <v>450</v>
      </c>
      <c r="E63" s="49" t="s">
        <v>35</v>
      </c>
      <c r="F63" s="49"/>
      <c r="G63" s="49"/>
      <c r="H63" s="49"/>
      <c r="I63" s="49"/>
      <c r="J63" s="49"/>
      <c r="K63" s="59" t="str">
        <f t="shared" si="0"/>
        <v>0</v>
      </c>
      <c r="L63" s="49">
        <v>2</v>
      </c>
      <c r="M63" s="49">
        <v>3</v>
      </c>
      <c r="N63" s="49">
        <v>2</v>
      </c>
      <c r="O63" s="49"/>
      <c r="P63" s="49">
        <v>3</v>
      </c>
      <c r="Q63" s="59">
        <f t="shared" si="1"/>
        <v>2.5</v>
      </c>
      <c r="R63" s="49">
        <v>1</v>
      </c>
      <c r="S63" s="49"/>
      <c r="T63" s="49"/>
      <c r="U63" s="49"/>
      <c r="V63" s="49"/>
      <c r="W63" s="59">
        <f t="shared" si="2"/>
        <v>1</v>
      </c>
      <c r="X63" s="49"/>
      <c r="Y63" s="49"/>
      <c r="Z63" s="49"/>
      <c r="AA63" s="49"/>
      <c r="AB63" s="49"/>
      <c r="AC63" s="59" t="str">
        <f t="shared" si="3"/>
        <v>0</v>
      </c>
      <c r="AD63" s="49"/>
      <c r="AE63" s="49"/>
      <c r="AF63" s="49"/>
      <c r="AG63" s="49"/>
      <c r="AH63" s="49"/>
      <c r="AI63" s="59" t="str">
        <f t="shared" si="4"/>
        <v>0</v>
      </c>
      <c r="AJ63" s="49"/>
      <c r="AK63" s="49"/>
      <c r="AL63" s="49"/>
      <c r="AM63" s="49"/>
      <c r="AN63" s="49"/>
      <c r="AO63" s="59" t="str">
        <f t="shared" si="5"/>
        <v>0</v>
      </c>
      <c r="AP63" s="49"/>
      <c r="AQ63" s="49"/>
      <c r="AR63" s="49"/>
      <c r="AS63" s="49"/>
      <c r="AT63" s="49"/>
      <c r="AU63" s="59" t="str">
        <f t="shared" si="6"/>
        <v>0</v>
      </c>
      <c r="AV63" s="49"/>
      <c r="AW63" s="49"/>
      <c r="AX63" s="49"/>
      <c r="AY63" s="49"/>
      <c r="AZ63" s="49"/>
      <c r="BA63" s="59" t="str">
        <f t="shared" si="7"/>
        <v>0</v>
      </c>
    </row>
    <row r="64" spans="1:53" ht="23.1" customHeight="1" x14ac:dyDescent="0.3">
      <c r="A64" s="7">
        <v>62</v>
      </c>
      <c r="B64" s="7" t="s">
        <v>275</v>
      </c>
      <c r="C64" s="7" t="s">
        <v>276</v>
      </c>
      <c r="D64" s="7" t="s">
        <v>542</v>
      </c>
      <c r="E64" s="7" t="s">
        <v>161</v>
      </c>
      <c r="F64" s="7"/>
      <c r="G64" s="7"/>
      <c r="H64" s="49"/>
      <c r="I64" s="7"/>
      <c r="J64" s="7"/>
      <c r="K64" s="59" t="str">
        <f t="shared" si="0"/>
        <v>0</v>
      </c>
      <c r="L64" s="49">
        <v>4</v>
      </c>
      <c r="M64" s="49">
        <v>2</v>
      </c>
      <c r="N64" s="49">
        <v>2</v>
      </c>
      <c r="O64" s="49"/>
      <c r="P64" s="49">
        <v>1</v>
      </c>
      <c r="Q64" s="59">
        <f t="shared" si="1"/>
        <v>2.25</v>
      </c>
      <c r="R64" s="49">
        <v>3</v>
      </c>
      <c r="S64" s="49"/>
      <c r="T64" s="7"/>
      <c r="U64" s="49"/>
      <c r="V64" s="7"/>
      <c r="W64" s="59">
        <f t="shared" si="2"/>
        <v>3</v>
      </c>
      <c r="X64" s="49"/>
      <c r="Y64" s="49"/>
      <c r="Z64" s="7"/>
      <c r="AA64" s="7"/>
      <c r="AB64" s="7"/>
      <c r="AC64" s="59" t="str">
        <f t="shared" si="3"/>
        <v>0</v>
      </c>
      <c r="AD64" s="49"/>
      <c r="AE64" s="7"/>
      <c r="AF64" s="49"/>
      <c r="AG64" s="7"/>
      <c r="AH64" s="7"/>
      <c r="AI64" s="59" t="str">
        <f t="shared" si="4"/>
        <v>0</v>
      </c>
      <c r="AJ64" s="49"/>
      <c r="AK64" s="49"/>
      <c r="AL64" s="7"/>
      <c r="AM64" s="49"/>
      <c r="AN64" s="7"/>
      <c r="AO64" s="59" t="str">
        <f t="shared" si="5"/>
        <v>0</v>
      </c>
      <c r="AP64" s="49"/>
      <c r="AQ64" s="49"/>
      <c r="AR64" s="49"/>
      <c r="AS64" s="7"/>
      <c r="AT64" s="7"/>
      <c r="AU64" s="59" t="str">
        <f t="shared" si="6"/>
        <v>0</v>
      </c>
      <c r="AV64" s="7"/>
      <c r="AW64" s="7"/>
      <c r="AX64" s="49"/>
      <c r="AY64" s="49"/>
      <c r="AZ64" s="49"/>
      <c r="BA64" s="59" t="str">
        <f t="shared" si="7"/>
        <v>0</v>
      </c>
    </row>
    <row r="65" spans="1:53" ht="23.1" customHeight="1" x14ac:dyDescent="0.3">
      <c r="A65" s="49">
        <v>63</v>
      </c>
      <c r="B65" s="49" t="s">
        <v>60</v>
      </c>
      <c r="C65" s="49" t="s">
        <v>61</v>
      </c>
      <c r="D65" s="49" t="s">
        <v>450</v>
      </c>
      <c r="E65" s="49" t="s">
        <v>35</v>
      </c>
      <c r="F65" s="49"/>
      <c r="G65" s="49"/>
      <c r="H65" s="49"/>
      <c r="I65" s="49"/>
      <c r="J65" s="49"/>
      <c r="K65" s="59" t="str">
        <f t="shared" si="0"/>
        <v>0</v>
      </c>
      <c r="L65" s="49">
        <v>3</v>
      </c>
      <c r="M65" s="49">
        <v>4</v>
      </c>
      <c r="N65" s="49">
        <v>3</v>
      </c>
      <c r="O65" s="49"/>
      <c r="P65" s="49">
        <v>2</v>
      </c>
      <c r="Q65" s="59">
        <f t="shared" si="1"/>
        <v>3</v>
      </c>
      <c r="R65" s="49">
        <v>2</v>
      </c>
      <c r="S65" s="49"/>
      <c r="T65" s="49"/>
      <c r="U65" s="49"/>
      <c r="V65" s="49"/>
      <c r="W65" s="59">
        <f t="shared" si="2"/>
        <v>2</v>
      </c>
      <c r="X65" s="49"/>
      <c r="Y65" s="49"/>
      <c r="Z65" s="49"/>
      <c r="AA65" s="49"/>
      <c r="AB65" s="49"/>
      <c r="AC65" s="59" t="str">
        <f t="shared" si="3"/>
        <v>0</v>
      </c>
      <c r="AD65" s="49"/>
      <c r="AE65" s="49"/>
      <c r="AF65" s="49"/>
      <c r="AG65" s="49"/>
      <c r="AH65" s="49"/>
      <c r="AI65" s="59" t="str">
        <f t="shared" si="4"/>
        <v>0</v>
      </c>
      <c r="AJ65" s="49"/>
      <c r="AK65" s="49"/>
      <c r="AL65" s="49"/>
      <c r="AM65" s="49"/>
      <c r="AN65" s="49"/>
      <c r="AO65" s="59" t="str">
        <f t="shared" si="5"/>
        <v>0</v>
      </c>
      <c r="AP65" s="49"/>
      <c r="AQ65" s="49"/>
      <c r="AR65" s="49"/>
      <c r="AS65" s="49"/>
      <c r="AT65" s="49"/>
      <c r="AU65" s="59" t="str">
        <f t="shared" si="6"/>
        <v>0</v>
      </c>
      <c r="AV65" s="49"/>
      <c r="AW65" s="49"/>
      <c r="AX65" s="49"/>
      <c r="AY65" s="49"/>
      <c r="AZ65" s="49"/>
      <c r="BA65" s="59" t="str">
        <f t="shared" si="7"/>
        <v>0</v>
      </c>
    </row>
    <row r="66" spans="1:53" ht="23.1" customHeight="1" x14ac:dyDescent="0.3">
      <c r="A66" s="7">
        <v>64</v>
      </c>
      <c r="B66" s="7" t="s">
        <v>318</v>
      </c>
      <c r="C66" s="7" t="s">
        <v>319</v>
      </c>
      <c r="D66" s="7" t="s">
        <v>450</v>
      </c>
      <c r="E66" s="7" t="s">
        <v>493</v>
      </c>
      <c r="F66" s="7"/>
      <c r="G66" s="7"/>
      <c r="H66" s="49"/>
      <c r="I66" s="7"/>
      <c r="J66" s="7"/>
      <c r="K66" s="59" t="str">
        <f t="shared" si="0"/>
        <v>0</v>
      </c>
      <c r="L66" s="49">
        <v>4</v>
      </c>
      <c r="M66" s="49">
        <v>4</v>
      </c>
      <c r="N66" s="49">
        <v>3</v>
      </c>
      <c r="O66" s="49"/>
      <c r="P66" s="49">
        <v>2</v>
      </c>
      <c r="Q66" s="59">
        <f t="shared" si="1"/>
        <v>3.25</v>
      </c>
      <c r="R66" s="49">
        <v>3</v>
      </c>
      <c r="S66" s="49"/>
      <c r="T66" s="7"/>
      <c r="U66" s="49"/>
      <c r="V66" s="7"/>
      <c r="W66" s="59">
        <f t="shared" si="2"/>
        <v>3</v>
      </c>
      <c r="X66" s="49"/>
      <c r="Y66" s="49"/>
      <c r="Z66" s="7"/>
      <c r="AA66" s="7"/>
      <c r="AB66" s="7"/>
      <c r="AC66" s="59" t="str">
        <f t="shared" si="3"/>
        <v>0</v>
      </c>
      <c r="AD66" s="49"/>
      <c r="AE66" s="7"/>
      <c r="AF66" s="49"/>
      <c r="AG66" s="7"/>
      <c r="AH66" s="7"/>
      <c r="AI66" s="59" t="str">
        <f t="shared" si="4"/>
        <v>0</v>
      </c>
      <c r="AJ66" s="49"/>
      <c r="AK66" s="49"/>
      <c r="AL66" s="7"/>
      <c r="AM66" s="49"/>
      <c r="AN66" s="7"/>
      <c r="AO66" s="59" t="str">
        <f t="shared" si="5"/>
        <v>0</v>
      </c>
      <c r="AP66" s="49"/>
      <c r="AQ66" s="49"/>
      <c r="AR66" s="49"/>
      <c r="AS66" s="7"/>
      <c r="AT66" s="7"/>
      <c r="AU66" s="59" t="str">
        <f t="shared" si="6"/>
        <v>0</v>
      </c>
      <c r="AV66" s="7"/>
      <c r="AW66" s="7"/>
      <c r="AX66" s="49"/>
      <c r="AY66" s="49"/>
      <c r="AZ66" s="49"/>
      <c r="BA66" s="59" t="str">
        <f t="shared" si="7"/>
        <v>0</v>
      </c>
    </row>
    <row r="67" spans="1:53" ht="23.1" customHeight="1" x14ac:dyDescent="0.3">
      <c r="A67" s="49">
        <v>65</v>
      </c>
      <c r="B67" s="49" t="s">
        <v>91</v>
      </c>
      <c r="C67" s="49" t="s">
        <v>92</v>
      </c>
      <c r="D67" s="49" t="s">
        <v>450</v>
      </c>
      <c r="E67" s="49" t="s">
        <v>35</v>
      </c>
      <c r="F67" s="49"/>
      <c r="G67" s="49"/>
      <c r="H67" s="49"/>
      <c r="I67" s="49"/>
      <c r="J67" s="49"/>
      <c r="K67" s="59" t="str">
        <f t="shared" si="0"/>
        <v>0</v>
      </c>
      <c r="L67" s="49">
        <v>3</v>
      </c>
      <c r="M67" s="49">
        <v>3</v>
      </c>
      <c r="N67" s="49">
        <v>3</v>
      </c>
      <c r="O67" s="49"/>
      <c r="P67" s="49">
        <v>5</v>
      </c>
      <c r="Q67" s="59">
        <f t="shared" si="1"/>
        <v>3.5</v>
      </c>
      <c r="R67" s="49">
        <v>4</v>
      </c>
      <c r="S67" s="49"/>
      <c r="T67" s="49"/>
      <c r="U67" s="49"/>
      <c r="V67" s="49"/>
      <c r="W67" s="59">
        <f t="shared" si="2"/>
        <v>4</v>
      </c>
      <c r="X67" s="49"/>
      <c r="Y67" s="49"/>
      <c r="Z67" s="49"/>
      <c r="AA67" s="49"/>
      <c r="AB67" s="49"/>
      <c r="AC67" s="59" t="str">
        <f t="shared" si="3"/>
        <v>0</v>
      </c>
      <c r="AD67" s="49"/>
      <c r="AE67" s="49"/>
      <c r="AF67" s="49"/>
      <c r="AG67" s="49"/>
      <c r="AH67" s="49"/>
      <c r="AI67" s="59" t="str">
        <f t="shared" si="4"/>
        <v>0</v>
      </c>
      <c r="AJ67" s="49"/>
      <c r="AK67" s="49"/>
      <c r="AL67" s="49"/>
      <c r="AM67" s="49"/>
      <c r="AN67" s="49"/>
      <c r="AO67" s="59" t="str">
        <f t="shared" si="5"/>
        <v>0</v>
      </c>
      <c r="AP67" s="49"/>
      <c r="AQ67" s="49"/>
      <c r="AR67" s="49"/>
      <c r="AS67" s="49"/>
      <c r="AT67" s="49"/>
      <c r="AU67" s="59" t="str">
        <f t="shared" si="6"/>
        <v>0</v>
      </c>
      <c r="AV67" s="49"/>
      <c r="AW67" s="49"/>
      <c r="AX67" s="49"/>
      <c r="AY67" s="49"/>
      <c r="AZ67" s="49"/>
      <c r="BA67" s="59" t="str">
        <f t="shared" si="7"/>
        <v>0</v>
      </c>
    </row>
    <row r="68" spans="1:53" ht="23.1" customHeight="1" x14ac:dyDescent="0.3">
      <c r="A68" s="7">
        <v>66</v>
      </c>
      <c r="B68" s="7" t="s">
        <v>261</v>
      </c>
      <c r="C68" s="7" t="s">
        <v>262</v>
      </c>
      <c r="D68" s="7" t="s">
        <v>450</v>
      </c>
      <c r="E68" s="7" t="s">
        <v>161</v>
      </c>
      <c r="F68" s="7"/>
      <c r="G68" s="7"/>
      <c r="H68" s="49"/>
      <c r="I68" s="7"/>
      <c r="J68" s="7"/>
      <c r="K68" s="59" t="str">
        <f t="shared" ref="K68:K131" si="8">IFERROR(AVERAGE(F68,G68,H68,I68,J68),"0")</f>
        <v>0</v>
      </c>
      <c r="L68" s="49" t="s">
        <v>581</v>
      </c>
      <c r="M68" s="49" t="s">
        <v>581</v>
      </c>
      <c r="N68" s="49" t="s">
        <v>581</v>
      </c>
      <c r="O68" s="49"/>
      <c r="P68" s="49" t="s">
        <v>581</v>
      </c>
      <c r="Q68" s="59" t="str">
        <f t="shared" ref="Q68:Q131" si="9">IFERROR(AVERAGE(L68,M68,N68,O68,P68),"0")</f>
        <v>0</v>
      </c>
      <c r="R68" s="49" t="s">
        <v>581</v>
      </c>
      <c r="S68" s="49"/>
      <c r="T68" s="7"/>
      <c r="U68" s="49"/>
      <c r="V68" s="7"/>
      <c r="W68" s="59" t="str">
        <f t="shared" ref="W68:W131" si="10">IFERROR(AVERAGE(R68,S68,T68,U68,V68),"0")</f>
        <v>0</v>
      </c>
      <c r="X68" s="49"/>
      <c r="Y68" s="49"/>
      <c r="Z68" s="7"/>
      <c r="AA68" s="7"/>
      <c r="AB68" s="7"/>
      <c r="AC68" s="59" t="str">
        <f t="shared" ref="AC68:AC131" si="11">IFERROR(AVERAGE(X68,Y68,Z68,AA68,AB68),"0")</f>
        <v>0</v>
      </c>
      <c r="AD68" s="49"/>
      <c r="AE68" s="7"/>
      <c r="AF68" s="49"/>
      <c r="AG68" s="7"/>
      <c r="AH68" s="7"/>
      <c r="AI68" s="59" t="str">
        <f t="shared" ref="AI68:AI131" si="12">IFERROR(AVERAGE(AD68,AE68,AF68,AG68,AH68),"0")</f>
        <v>0</v>
      </c>
      <c r="AJ68" s="49"/>
      <c r="AK68" s="49"/>
      <c r="AL68" s="7"/>
      <c r="AM68" s="49"/>
      <c r="AN68" s="7"/>
      <c r="AO68" s="59" t="str">
        <f t="shared" ref="AO68:AO131" si="13">IFERROR(AVERAGE(AJ68,AK68,AL68,AM68,AN68),"0")</f>
        <v>0</v>
      </c>
      <c r="AP68" s="49"/>
      <c r="AQ68" s="49"/>
      <c r="AR68" s="49"/>
      <c r="AS68" s="7"/>
      <c r="AT68" s="7"/>
      <c r="AU68" s="59" t="str">
        <f t="shared" ref="AU68:AU131" si="14">IFERROR(AVERAGE(AP68,AQ68,AR68,AS68,AT68),"0")</f>
        <v>0</v>
      </c>
      <c r="AV68" s="7"/>
      <c r="AW68" s="7"/>
      <c r="AX68" s="49"/>
      <c r="AY68" s="49"/>
      <c r="AZ68" s="49"/>
      <c r="BA68" s="59" t="str">
        <f t="shared" ref="BA68:BA131" si="15">IFERROR(AVERAGE(AV68,AW68,AX68,AY68,AZ68),"0")</f>
        <v>0</v>
      </c>
    </row>
    <row r="69" spans="1:53" ht="23.1" customHeight="1" x14ac:dyDescent="0.3">
      <c r="A69" s="49">
        <v>67</v>
      </c>
      <c r="B69" s="49" t="s">
        <v>277</v>
      </c>
      <c r="C69" s="49" t="s">
        <v>278</v>
      </c>
      <c r="D69" s="49" t="s">
        <v>450</v>
      </c>
      <c r="E69" s="49" t="s">
        <v>161</v>
      </c>
      <c r="F69" s="49"/>
      <c r="G69" s="49"/>
      <c r="H69" s="49"/>
      <c r="I69" s="49"/>
      <c r="J69" s="49"/>
      <c r="K69" s="59" t="str">
        <f t="shared" si="8"/>
        <v>0</v>
      </c>
      <c r="L69" s="49">
        <v>4</v>
      </c>
      <c r="M69" s="49">
        <v>4</v>
      </c>
      <c r="N69" s="49">
        <v>4</v>
      </c>
      <c r="O69" s="49"/>
      <c r="P69" s="49">
        <v>3</v>
      </c>
      <c r="Q69" s="59">
        <f t="shared" si="9"/>
        <v>3.75</v>
      </c>
      <c r="R69" s="49">
        <v>2</v>
      </c>
      <c r="S69" s="49"/>
      <c r="T69" s="49"/>
      <c r="U69" s="49"/>
      <c r="V69" s="49"/>
      <c r="W69" s="59">
        <f t="shared" si="10"/>
        <v>2</v>
      </c>
      <c r="X69" s="49"/>
      <c r="Y69" s="49"/>
      <c r="Z69" s="49"/>
      <c r="AA69" s="49"/>
      <c r="AB69" s="49"/>
      <c r="AC69" s="59" t="str">
        <f t="shared" si="11"/>
        <v>0</v>
      </c>
      <c r="AD69" s="49"/>
      <c r="AE69" s="49"/>
      <c r="AF69" s="49"/>
      <c r="AG69" s="49"/>
      <c r="AH69" s="49"/>
      <c r="AI69" s="59" t="str">
        <f t="shared" si="12"/>
        <v>0</v>
      </c>
      <c r="AJ69" s="49"/>
      <c r="AK69" s="49"/>
      <c r="AL69" s="49"/>
      <c r="AM69" s="49"/>
      <c r="AN69" s="49"/>
      <c r="AO69" s="59" t="str">
        <f t="shared" si="13"/>
        <v>0</v>
      </c>
      <c r="AP69" s="49"/>
      <c r="AQ69" s="49"/>
      <c r="AR69" s="49"/>
      <c r="AS69" s="49"/>
      <c r="AT69" s="49"/>
      <c r="AU69" s="59" t="str">
        <f t="shared" si="14"/>
        <v>0</v>
      </c>
      <c r="AV69" s="49"/>
      <c r="AW69" s="49"/>
      <c r="AX69" s="49"/>
      <c r="AY69" s="49"/>
      <c r="AZ69" s="49"/>
      <c r="BA69" s="59" t="str">
        <f t="shared" si="15"/>
        <v>0</v>
      </c>
    </row>
    <row r="70" spans="1:53" ht="23.1" customHeight="1" x14ac:dyDescent="0.3">
      <c r="A70" s="7">
        <v>68</v>
      </c>
      <c r="B70" s="7" t="s">
        <v>164</v>
      </c>
      <c r="C70" s="7" t="s">
        <v>165</v>
      </c>
      <c r="D70" s="7" t="s">
        <v>450</v>
      </c>
      <c r="E70" s="7" t="s">
        <v>161</v>
      </c>
      <c r="F70" s="7"/>
      <c r="G70" s="7"/>
      <c r="H70" s="49"/>
      <c r="I70" s="7"/>
      <c r="J70" s="7"/>
      <c r="K70" s="59" t="str">
        <f t="shared" si="8"/>
        <v>0</v>
      </c>
      <c r="L70" s="49">
        <v>2</v>
      </c>
      <c r="M70" s="49">
        <v>2</v>
      </c>
      <c r="N70" s="49">
        <v>2</v>
      </c>
      <c r="O70" s="49"/>
      <c r="P70" s="49">
        <v>2</v>
      </c>
      <c r="Q70" s="59">
        <f t="shared" si="9"/>
        <v>2</v>
      </c>
      <c r="R70" s="49">
        <v>2</v>
      </c>
      <c r="S70" s="49"/>
      <c r="T70" s="7"/>
      <c r="U70" s="49"/>
      <c r="V70" s="7"/>
      <c r="W70" s="59">
        <f t="shared" si="10"/>
        <v>2</v>
      </c>
      <c r="X70" s="49"/>
      <c r="Y70" s="49"/>
      <c r="Z70" s="7"/>
      <c r="AA70" s="7"/>
      <c r="AB70" s="7"/>
      <c r="AC70" s="59" t="str">
        <f t="shared" si="11"/>
        <v>0</v>
      </c>
      <c r="AD70" s="49"/>
      <c r="AE70" s="7"/>
      <c r="AF70" s="49"/>
      <c r="AG70" s="7"/>
      <c r="AH70" s="7"/>
      <c r="AI70" s="59" t="str">
        <f t="shared" si="12"/>
        <v>0</v>
      </c>
      <c r="AJ70" s="49"/>
      <c r="AK70" s="49"/>
      <c r="AL70" s="7"/>
      <c r="AM70" s="49"/>
      <c r="AN70" s="7"/>
      <c r="AO70" s="59" t="str">
        <f t="shared" si="13"/>
        <v>0</v>
      </c>
      <c r="AP70" s="49"/>
      <c r="AQ70" s="49"/>
      <c r="AR70" s="49"/>
      <c r="AS70" s="7"/>
      <c r="AT70" s="7"/>
      <c r="AU70" s="59" t="str">
        <f t="shared" si="14"/>
        <v>0</v>
      </c>
      <c r="AV70" s="7"/>
      <c r="AW70" s="7"/>
      <c r="AX70" s="49"/>
      <c r="AY70" s="49"/>
      <c r="AZ70" s="49"/>
      <c r="BA70" s="59" t="str">
        <f t="shared" si="15"/>
        <v>0</v>
      </c>
    </row>
    <row r="71" spans="1:53" ht="23.1" customHeight="1" x14ac:dyDescent="0.3">
      <c r="A71" s="49">
        <v>69</v>
      </c>
      <c r="B71" s="49" t="s">
        <v>130</v>
      </c>
      <c r="C71" s="49" t="s">
        <v>131</v>
      </c>
      <c r="D71" s="49" t="s">
        <v>542</v>
      </c>
      <c r="E71" s="49" t="s">
        <v>35</v>
      </c>
      <c r="F71" s="49"/>
      <c r="G71" s="49"/>
      <c r="H71" s="49"/>
      <c r="I71" s="49"/>
      <c r="J71" s="49"/>
      <c r="K71" s="59" t="str">
        <f t="shared" si="8"/>
        <v>0</v>
      </c>
      <c r="L71" s="49">
        <v>3</v>
      </c>
      <c r="M71" s="49">
        <v>4</v>
      </c>
      <c r="N71" s="49">
        <v>2</v>
      </c>
      <c r="O71" s="49"/>
      <c r="P71" s="49">
        <v>2</v>
      </c>
      <c r="Q71" s="59">
        <f t="shared" si="9"/>
        <v>2.75</v>
      </c>
      <c r="R71" s="49">
        <v>3</v>
      </c>
      <c r="S71" s="49"/>
      <c r="T71" s="49"/>
      <c r="U71" s="49"/>
      <c r="V71" s="49"/>
      <c r="W71" s="59">
        <f t="shared" si="10"/>
        <v>3</v>
      </c>
      <c r="X71" s="49"/>
      <c r="Y71" s="49"/>
      <c r="Z71" s="49"/>
      <c r="AA71" s="49"/>
      <c r="AB71" s="49"/>
      <c r="AC71" s="59" t="str">
        <f t="shared" si="11"/>
        <v>0</v>
      </c>
      <c r="AD71" s="49"/>
      <c r="AE71" s="49"/>
      <c r="AF71" s="49"/>
      <c r="AG71" s="49"/>
      <c r="AH71" s="49"/>
      <c r="AI71" s="59" t="str">
        <f t="shared" si="12"/>
        <v>0</v>
      </c>
      <c r="AJ71" s="49"/>
      <c r="AK71" s="49"/>
      <c r="AL71" s="49"/>
      <c r="AM71" s="49"/>
      <c r="AN71" s="49"/>
      <c r="AO71" s="59" t="str">
        <f t="shared" si="13"/>
        <v>0</v>
      </c>
      <c r="AP71" s="49"/>
      <c r="AQ71" s="49"/>
      <c r="AR71" s="49"/>
      <c r="AS71" s="49"/>
      <c r="AT71" s="49"/>
      <c r="AU71" s="59" t="str">
        <f t="shared" si="14"/>
        <v>0</v>
      </c>
      <c r="AV71" s="49"/>
      <c r="AW71" s="49"/>
      <c r="AX71" s="49"/>
      <c r="AY71" s="49"/>
      <c r="AZ71" s="49"/>
      <c r="BA71" s="59" t="str">
        <f t="shared" si="15"/>
        <v>0</v>
      </c>
    </row>
    <row r="72" spans="1:53" ht="23.1" customHeight="1" x14ac:dyDescent="0.3">
      <c r="A72" s="7">
        <v>70</v>
      </c>
      <c r="B72" s="7" t="s">
        <v>320</v>
      </c>
      <c r="C72" s="7" t="s">
        <v>321</v>
      </c>
      <c r="D72" s="7" t="s">
        <v>542</v>
      </c>
      <c r="E72" s="7" t="s">
        <v>493</v>
      </c>
      <c r="F72" s="7"/>
      <c r="G72" s="7"/>
      <c r="H72" s="49"/>
      <c r="I72" s="7"/>
      <c r="J72" s="7"/>
      <c r="K72" s="59" t="str">
        <f t="shared" si="8"/>
        <v>0</v>
      </c>
      <c r="L72" s="49">
        <v>3</v>
      </c>
      <c r="M72" s="49">
        <v>2</v>
      </c>
      <c r="N72" s="49">
        <v>3</v>
      </c>
      <c r="O72" s="49"/>
      <c r="P72" s="49">
        <v>2</v>
      </c>
      <c r="Q72" s="59">
        <f t="shared" si="9"/>
        <v>2.5</v>
      </c>
      <c r="R72" s="49">
        <v>2</v>
      </c>
      <c r="S72" s="49"/>
      <c r="T72" s="7"/>
      <c r="U72" s="49"/>
      <c r="V72" s="7"/>
      <c r="W72" s="59">
        <f t="shared" si="10"/>
        <v>2</v>
      </c>
      <c r="X72" s="49"/>
      <c r="Y72" s="49"/>
      <c r="Z72" s="7"/>
      <c r="AA72" s="7"/>
      <c r="AB72" s="7"/>
      <c r="AC72" s="59" t="str">
        <f t="shared" si="11"/>
        <v>0</v>
      </c>
      <c r="AD72" s="49"/>
      <c r="AE72" s="7"/>
      <c r="AF72" s="49"/>
      <c r="AG72" s="7"/>
      <c r="AH72" s="7"/>
      <c r="AI72" s="59" t="str">
        <f t="shared" si="12"/>
        <v>0</v>
      </c>
      <c r="AJ72" s="49"/>
      <c r="AK72" s="49"/>
      <c r="AL72" s="7"/>
      <c r="AM72" s="49"/>
      <c r="AN72" s="7"/>
      <c r="AO72" s="59" t="str">
        <f t="shared" si="13"/>
        <v>0</v>
      </c>
      <c r="AP72" s="49"/>
      <c r="AQ72" s="49"/>
      <c r="AR72" s="49"/>
      <c r="AS72" s="7"/>
      <c r="AT72" s="7"/>
      <c r="AU72" s="59" t="str">
        <f t="shared" si="14"/>
        <v>0</v>
      </c>
      <c r="AV72" s="7"/>
      <c r="AW72" s="7"/>
      <c r="AX72" s="49"/>
      <c r="AY72" s="49"/>
      <c r="AZ72" s="49"/>
      <c r="BA72" s="59" t="str">
        <f t="shared" si="15"/>
        <v>0</v>
      </c>
    </row>
    <row r="73" spans="1:53" ht="23.1" customHeight="1" x14ac:dyDescent="0.3">
      <c r="A73" s="49">
        <v>71</v>
      </c>
      <c r="B73" s="49" t="s">
        <v>132</v>
      </c>
      <c r="C73" s="49" t="s">
        <v>133</v>
      </c>
      <c r="D73" s="49" t="s">
        <v>542</v>
      </c>
      <c r="E73" s="49" t="s">
        <v>35</v>
      </c>
      <c r="F73" s="49"/>
      <c r="G73" s="49"/>
      <c r="H73" s="49"/>
      <c r="I73" s="49"/>
      <c r="J73" s="49"/>
      <c r="K73" s="59" t="str">
        <f t="shared" si="8"/>
        <v>0</v>
      </c>
      <c r="L73" s="49">
        <v>0</v>
      </c>
      <c r="M73" s="49">
        <v>0</v>
      </c>
      <c r="N73" s="49">
        <v>0</v>
      </c>
      <c r="O73" s="49"/>
      <c r="P73" s="49">
        <v>0</v>
      </c>
      <c r="Q73" s="59">
        <f t="shared" si="9"/>
        <v>0</v>
      </c>
      <c r="R73" s="49">
        <v>0</v>
      </c>
      <c r="S73" s="49"/>
      <c r="T73" s="49"/>
      <c r="U73" s="49"/>
      <c r="V73" s="49"/>
      <c r="W73" s="59">
        <f t="shared" si="10"/>
        <v>0</v>
      </c>
      <c r="X73" s="49"/>
      <c r="Y73" s="49"/>
      <c r="Z73" s="49"/>
      <c r="AA73" s="49"/>
      <c r="AB73" s="49"/>
      <c r="AC73" s="59" t="str">
        <f t="shared" si="11"/>
        <v>0</v>
      </c>
      <c r="AD73" s="49"/>
      <c r="AE73" s="49"/>
      <c r="AF73" s="49"/>
      <c r="AG73" s="49"/>
      <c r="AH73" s="49"/>
      <c r="AI73" s="59" t="str">
        <f t="shared" si="12"/>
        <v>0</v>
      </c>
      <c r="AJ73" s="49"/>
      <c r="AK73" s="49"/>
      <c r="AL73" s="49"/>
      <c r="AM73" s="49"/>
      <c r="AN73" s="49"/>
      <c r="AO73" s="59" t="str">
        <f t="shared" si="13"/>
        <v>0</v>
      </c>
      <c r="AP73" s="49"/>
      <c r="AQ73" s="49"/>
      <c r="AR73" s="49"/>
      <c r="AS73" s="49"/>
      <c r="AT73" s="49"/>
      <c r="AU73" s="59" t="str">
        <f t="shared" si="14"/>
        <v>0</v>
      </c>
      <c r="AV73" s="49"/>
      <c r="AW73" s="49"/>
      <c r="AX73" s="49"/>
      <c r="AY73" s="49"/>
      <c r="AZ73" s="49"/>
      <c r="BA73" s="59" t="str">
        <f t="shared" si="15"/>
        <v>0</v>
      </c>
    </row>
    <row r="74" spans="1:53" ht="23.1" customHeight="1" x14ac:dyDescent="0.3">
      <c r="A74" s="7">
        <v>72</v>
      </c>
      <c r="B74" s="7" t="s">
        <v>166</v>
      </c>
      <c r="C74" s="7" t="s">
        <v>167</v>
      </c>
      <c r="D74" s="7" t="s">
        <v>542</v>
      </c>
      <c r="E74" s="7" t="s">
        <v>161</v>
      </c>
      <c r="F74" s="7"/>
      <c r="G74" s="7"/>
      <c r="H74" s="49"/>
      <c r="I74" s="7"/>
      <c r="J74" s="7"/>
      <c r="K74" s="59" t="str">
        <f t="shared" si="8"/>
        <v>0</v>
      </c>
      <c r="L74" s="49">
        <v>2.5</v>
      </c>
      <c r="M74" s="49">
        <v>2</v>
      </c>
      <c r="N74" s="49">
        <v>2</v>
      </c>
      <c r="O74" s="49"/>
      <c r="P74" s="49">
        <v>2</v>
      </c>
      <c r="Q74" s="59">
        <f t="shared" si="9"/>
        <v>2.125</v>
      </c>
      <c r="R74" s="49">
        <v>2.5</v>
      </c>
      <c r="S74" s="49"/>
      <c r="T74" s="7"/>
      <c r="U74" s="49"/>
      <c r="V74" s="7"/>
      <c r="W74" s="59">
        <f t="shared" si="10"/>
        <v>2.5</v>
      </c>
      <c r="X74" s="49"/>
      <c r="Y74" s="49"/>
      <c r="Z74" s="7"/>
      <c r="AA74" s="7"/>
      <c r="AB74" s="7"/>
      <c r="AC74" s="59" t="str">
        <f t="shared" si="11"/>
        <v>0</v>
      </c>
      <c r="AD74" s="49"/>
      <c r="AE74" s="7"/>
      <c r="AF74" s="49"/>
      <c r="AG74" s="7"/>
      <c r="AH74" s="7"/>
      <c r="AI74" s="59" t="str">
        <f t="shared" si="12"/>
        <v>0</v>
      </c>
      <c r="AJ74" s="49"/>
      <c r="AK74" s="49"/>
      <c r="AL74" s="7"/>
      <c r="AM74" s="49"/>
      <c r="AN74" s="7"/>
      <c r="AO74" s="59" t="str">
        <f t="shared" si="13"/>
        <v>0</v>
      </c>
      <c r="AP74" s="49"/>
      <c r="AQ74" s="49"/>
      <c r="AR74" s="49"/>
      <c r="AS74" s="7"/>
      <c r="AT74" s="7"/>
      <c r="AU74" s="59" t="str">
        <f t="shared" si="14"/>
        <v>0</v>
      </c>
      <c r="AV74" s="7"/>
      <c r="AW74" s="7"/>
      <c r="AX74" s="49"/>
      <c r="AY74" s="49"/>
      <c r="AZ74" s="49"/>
      <c r="BA74" s="59" t="str">
        <f t="shared" si="15"/>
        <v>0</v>
      </c>
    </row>
    <row r="75" spans="1:53" ht="23.1" customHeight="1" x14ac:dyDescent="0.3">
      <c r="A75" s="49">
        <v>73</v>
      </c>
      <c r="B75" s="49" t="s">
        <v>182</v>
      </c>
      <c r="C75" s="49" t="s">
        <v>183</v>
      </c>
      <c r="D75" s="49" t="s">
        <v>450</v>
      </c>
      <c r="E75" s="49" t="s">
        <v>161</v>
      </c>
      <c r="F75" s="49"/>
      <c r="G75" s="49"/>
      <c r="H75" s="49"/>
      <c r="I75" s="49"/>
      <c r="J75" s="49"/>
      <c r="K75" s="59" t="str">
        <f t="shared" si="8"/>
        <v>0</v>
      </c>
      <c r="L75" s="49">
        <v>3</v>
      </c>
      <c r="M75" s="49">
        <v>3</v>
      </c>
      <c r="N75" s="49">
        <v>3</v>
      </c>
      <c r="O75" s="49"/>
      <c r="P75" s="49">
        <v>2</v>
      </c>
      <c r="Q75" s="59">
        <f t="shared" si="9"/>
        <v>2.75</v>
      </c>
      <c r="R75" s="49">
        <v>3</v>
      </c>
      <c r="S75" s="49"/>
      <c r="T75" s="49"/>
      <c r="U75" s="49"/>
      <c r="V75" s="49"/>
      <c r="W75" s="59">
        <f t="shared" si="10"/>
        <v>3</v>
      </c>
      <c r="X75" s="49"/>
      <c r="Y75" s="49"/>
      <c r="Z75" s="49"/>
      <c r="AA75" s="49"/>
      <c r="AB75" s="49"/>
      <c r="AC75" s="59" t="str">
        <f t="shared" si="11"/>
        <v>0</v>
      </c>
      <c r="AD75" s="49"/>
      <c r="AE75" s="49"/>
      <c r="AF75" s="49"/>
      <c r="AG75" s="49"/>
      <c r="AH75" s="49"/>
      <c r="AI75" s="59" t="str">
        <f t="shared" si="12"/>
        <v>0</v>
      </c>
      <c r="AJ75" s="49"/>
      <c r="AK75" s="49"/>
      <c r="AL75" s="49"/>
      <c r="AM75" s="49"/>
      <c r="AN75" s="49"/>
      <c r="AO75" s="59" t="str">
        <f t="shared" si="13"/>
        <v>0</v>
      </c>
      <c r="AP75" s="49"/>
      <c r="AQ75" s="49"/>
      <c r="AR75" s="49"/>
      <c r="AS75" s="49"/>
      <c r="AT75" s="49"/>
      <c r="AU75" s="59" t="str">
        <f t="shared" si="14"/>
        <v>0</v>
      </c>
      <c r="AV75" s="49"/>
      <c r="AW75" s="49"/>
      <c r="AX75" s="49"/>
      <c r="AY75" s="49"/>
      <c r="AZ75" s="49"/>
      <c r="BA75" s="59" t="str">
        <f t="shared" si="15"/>
        <v>0</v>
      </c>
    </row>
    <row r="76" spans="1:53" ht="23.1" customHeight="1" x14ac:dyDescent="0.3">
      <c r="A76" s="7">
        <v>74</v>
      </c>
      <c r="B76" s="7" t="s">
        <v>322</v>
      </c>
      <c r="C76" s="7" t="s">
        <v>323</v>
      </c>
      <c r="D76" s="7" t="s">
        <v>450</v>
      </c>
      <c r="E76" s="7" t="s">
        <v>493</v>
      </c>
      <c r="F76" s="7"/>
      <c r="G76" s="7"/>
      <c r="H76" s="49"/>
      <c r="I76" s="7"/>
      <c r="J76" s="7"/>
      <c r="K76" s="59" t="str">
        <f t="shared" si="8"/>
        <v>0</v>
      </c>
      <c r="L76" s="49">
        <v>2</v>
      </c>
      <c r="M76" s="49">
        <v>3</v>
      </c>
      <c r="N76" s="49">
        <v>3</v>
      </c>
      <c r="O76" s="49"/>
      <c r="P76" s="49">
        <v>3</v>
      </c>
      <c r="Q76" s="59">
        <f t="shared" si="9"/>
        <v>2.75</v>
      </c>
      <c r="R76" s="49">
        <v>2</v>
      </c>
      <c r="S76" s="49"/>
      <c r="T76" s="7"/>
      <c r="U76" s="49"/>
      <c r="V76" s="7"/>
      <c r="W76" s="59">
        <f t="shared" si="10"/>
        <v>2</v>
      </c>
      <c r="X76" s="49"/>
      <c r="Y76" s="49"/>
      <c r="Z76" s="7"/>
      <c r="AA76" s="7"/>
      <c r="AB76" s="7"/>
      <c r="AC76" s="59" t="str">
        <f t="shared" si="11"/>
        <v>0</v>
      </c>
      <c r="AD76" s="49"/>
      <c r="AE76" s="7"/>
      <c r="AF76" s="49"/>
      <c r="AG76" s="7"/>
      <c r="AH76" s="7"/>
      <c r="AI76" s="59" t="str">
        <f t="shared" si="12"/>
        <v>0</v>
      </c>
      <c r="AJ76" s="49"/>
      <c r="AK76" s="49"/>
      <c r="AL76" s="7"/>
      <c r="AM76" s="49"/>
      <c r="AN76" s="7"/>
      <c r="AO76" s="59" t="str">
        <f t="shared" si="13"/>
        <v>0</v>
      </c>
      <c r="AP76" s="49"/>
      <c r="AQ76" s="49"/>
      <c r="AR76" s="49"/>
      <c r="AS76" s="7"/>
      <c r="AT76" s="7"/>
      <c r="AU76" s="59" t="str">
        <f t="shared" si="14"/>
        <v>0</v>
      </c>
      <c r="AV76" s="7"/>
      <c r="AW76" s="7"/>
      <c r="AX76" s="49"/>
      <c r="AY76" s="49"/>
      <c r="AZ76" s="49"/>
      <c r="BA76" s="59" t="str">
        <f t="shared" si="15"/>
        <v>0</v>
      </c>
    </row>
    <row r="77" spans="1:53" ht="23.1" customHeight="1" x14ac:dyDescent="0.3">
      <c r="A77" s="49">
        <v>75</v>
      </c>
      <c r="B77" s="49" t="s">
        <v>324</v>
      </c>
      <c r="C77" s="49" t="s">
        <v>325</v>
      </c>
      <c r="D77" s="49" t="s">
        <v>450</v>
      </c>
      <c r="E77" s="49" t="s">
        <v>493</v>
      </c>
      <c r="F77" s="49"/>
      <c r="G77" s="49"/>
      <c r="H77" s="49"/>
      <c r="I77" s="49"/>
      <c r="J77" s="49"/>
      <c r="K77" s="59" t="str">
        <f t="shared" si="8"/>
        <v>0</v>
      </c>
      <c r="L77" s="49">
        <v>2.5</v>
      </c>
      <c r="M77" s="49">
        <v>2.5</v>
      </c>
      <c r="N77" s="49">
        <v>2</v>
      </c>
      <c r="O77" s="49"/>
      <c r="P77" s="49">
        <v>2</v>
      </c>
      <c r="Q77" s="59">
        <f t="shared" si="9"/>
        <v>2.25</v>
      </c>
      <c r="R77" s="49">
        <v>2</v>
      </c>
      <c r="S77" s="49"/>
      <c r="T77" s="49"/>
      <c r="U77" s="49"/>
      <c r="V77" s="49"/>
      <c r="W77" s="59">
        <f t="shared" si="10"/>
        <v>2</v>
      </c>
      <c r="X77" s="49"/>
      <c r="Y77" s="49"/>
      <c r="Z77" s="49"/>
      <c r="AA77" s="49"/>
      <c r="AB77" s="49"/>
      <c r="AC77" s="59" t="str">
        <f t="shared" si="11"/>
        <v>0</v>
      </c>
      <c r="AD77" s="49"/>
      <c r="AE77" s="49"/>
      <c r="AF77" s="49"/>
      <c r="AG77" s="49"/>
      <c r="AH77" s="49"/>
      <c r="AI77" s="59" t="str">
        <f t="shared" si="12"/>
        <v>0</v>
      </c>
      <c r="AJ77" s="49"/>
      <c r="AK77" s="49"/>
      <c r="AL77" s="49"/>
      <c r="AM77" s="49"/>
      <c r="AN77" s="49"/>
      <c r="AO77" s="59" t="str">
        <f t="shared" si="13"/>
        <v>0</v>
      </c>
      <c r="AP77" s="49"/>
      <c r="AQ77" s="49"/>
      <c r="AR77" s="49"/>
      <c r="AS77" s="49"/>
      <c r="AT77" s="49"/>
      <c r="AU77" s="59" t="str">
        <f t="shared" si="14"/>
        <v>0</v>
      </c>
      <c r="AV77" s="49"/>
      <c r="AW77" s="49"/>
      <c r="AX77" s="49"/>
      <c r="AY77" s="49"/>
      <c r="AZ77" s="49"/>
      <c r="BA77" s="59" t="str">
        <f t="shared" si="15"/>
        <v>0</v>
      </c>
    </row>
    <row r="78" spans="1:53" ht="23.1" customHeight="1" x14ac:dyDescent="0.3">
      <c r="A78" s="7">
        <v>76</v>
      </c>
      <c r="B78" s="7" t="s">
        <v>326</v>
      </c>
      <c r="C78" s="7" t="s">
        <v>327</v>
      </c>
      <c r="D78" s="7" t="s">
        <v>450</v>
      </c>
      <c r="E78" s="7" t="s">
        <v>493</v>
      </c>
      <c r="F78" s="7"/>
      <c r="G78" s="7"/>
      <c r="H78" s="49"/>
      <c r="I78" s="7"/>
      <c r="J78" s="7"/>
      <c r="K78" s="59" t="str">
        <f t="shared" si="8"/>
        <v>0</v>
      </c>
      <c r="L78" s="49">
        <v>4</v>
      </c>
      <c r="M78" s="49">
        <v>4</v>
      </c>
      <c r="N78" s="49">
        <v>4</v>
      </c>
      <c r="O78" s="49"/>
      <c r="P78" s="49">
        <v>4</v>
      </c>
      <c r="Q78" s="59">
        <f t="shared" si="9"/>
        <v>4</v>
      </c>
      <c r="R78" s="49">
        <v>4</v>
      </c>
      <c r="S78" s="49"/>
      <c r="T78" s="7"/>
      <c r="U78" s="49"/>
      <c r="V78" s="7"/>
      <c r="W78" s="59">
        <f t="shared" si="10"/>
        <v>4</v>
      </c>
      <c r="X78" s="49"/>
      <c r="Y78" s="49"/>
      <c r="Z78" s="7"/>
      <c r="AA78" s="7"/>
      <c r="AB78" s="7"/>
      <c r="AC78" s="59" t="str">
        <f t="shared" si="11"/>
        <v>0</v>
      </c>
      <c r="AD78" s="49"/>
      <c r="AE78" s="7"/>
      <c r="AF78" s="49"/>
      <c r="AG78" s="7"/>
      <c r="AH78" s="7"/>
      <c r="AI78" s="59" t="str">
        <f t="shared" si="12"/>
        <v>0</v>
      </c>
      <c r="AJ78" s="49"/>
      <c r="AK78" s="49"/>
      <c r="AL78" s="7"/>
      <c r="AM78" s="49"/>
      <c r="AN78" s="7"/>
      <c r="AO78" s="59" t="str">
        <f t="shared" si="13"/>
        <v>0</v>
      </c>
      <c r="AP78" s="49"/>
      <c r="AQ78" s="49"/>
      <c r="AR78" s="49"/>
      <c r="AS78" s="7"/>
      <c r="AT78" s="7"/>
      <c r="AU78" s="59" t="str">
        <f t="shared" si="14"/>
        <v>0</v>
      </c>
      <c r="AV78" s="7"/>
      <c r="AW78" s="7"/>
      <c r="AX78" s="49"/>
      <c r="AY78" s="49"/>
      <c r="AZ78" s="49"/>
      <c r="BA78" s="59" t="str">
        <f t="shared" si="15"/>
        <v>0</v>
      </c>
    </row>
    <row r="79" spans="1:53" ht="23.1" customHeight="1" x14ac:dyDescent="0.3">
      <c r="A79" s="49">
        <v>77</v>
      </c>
      <c r="B79" s="49" t="s">
        <v>328</v>
      </c>
      <c r="C79" s="49" t="s">
        <v>329</v>
      </c>
      <c r="D79" s="49" t="s">
        <v>450</v>
      </c>
      <c r="E79" s="49" t="s">
        <v>493</v>
      </c>
      <c r="F79" s="49"/>
      <c r="G79" s="49"/>
      <c r="H79" s="49"/>
      <c r="I79" s="49"/>
      <c r="J79" s="49"/>
      <c r="K79" s="59" t="str">
        <f t="shared" si="8"/>
        <v>0</v>
      </c>
      <c r="L79" s="49">
        <v>4</v>
      </c>
      <c r="M79" s="49">
        <v>2</v>
      </c>
      <c r="N79" s="49">
        <v>3</v>
      </c>
      <c r="O79" s="49"/>
      <c r="P79" s="49">
        <v>2</v>
      </c>
      <c r="Q79" s="59">
        <f t="shared" si="9"/>
        <v>2.75</v>
      </c>
      <c r="R79" s="49">
        <v>2</v>
      </c>
      <c r="S79" s="49"/>
      <c r="T79" s="49"/>
      <c r="U79" s="49"/>
      <c r="V79" s="49"/>
      <c r="W79" s="59">
        <f t="shared" si="10"/>
        <v>2</v>
      </c>
      <c r="X79" s="49"/>
      <c r="Y79" s="49"/>
      <c r="Z79" s="49"/>
      <c r="AA79" s="49"/>
      <c r="AB79" s="49"/>
      <c r="AC79" s="59" t="str">
        <f t="shared" si="11"/>
        <v>0</v>
      </c>
      <c r="AD79" s="49"/>
      <c r="AE79" s="49"/>
      <c r="AF79" s="49"/>
      <c r="AG79" s="49"/>
      <c r="AH79" s="49"/>
      <c r="AI79" s="59" t="str">
        <f t="shared" si="12"/>
        <v>0</v>
      </c>
      <c r="AJ79" s="49"/>
      <c r="AK79" s="49"/>
      <c r="AL79" s="49"/>
      <c r="AM79" s="49"/>
      <c r="AN79" s="49"/>
      <c r="AO79" s="59" t="str">
        <f t="shared" si="13"/>
        <v>0</v>
      </c>
      <c r="AP79" s="49"/>
      <c r="AQ79" s="49"/>
      <c r="AR79" s="49"/>
      <c r="AS79" s="49"/>
      <c r="AT79" s="49"/>
      <c r="AU79" s="59" t="str">
        <f t="shared" si="14"/>
        <v>0</v>
      </c>
      <c r="AV79" s="49"/>
      <c r="AW79" s="49"/>
      <c r="AX79" s="49"/>
      <c r="AY79" s="49"/>
      <c r="AZ79" s="49"/>
      <c r="BA79" s="59" t="str">
        <f t="shared" si="15"/>
        <v>0</v>
      </c>
    </row>
    <row r="80" spans="1:53" ht="23.1" customHeight="1" x14ac:dyDescent="0.3">
      <c r="A80" s="7">
        <v>78</v>
      </c>
      <c r="B80" s="7" t="s">
        <v>330</v>
      </c>
      <c r="C80" s="7" t="s">
        <v>331</v>
      </c>
      <c r="D80" s="7" t="s">
        <v>450</v>
      </c>
      <c r="E80" s="7" t="s">
        <v>493</v>
      </c>
      <c r="F80" s="7"/>
      <c r="G80" s="7"/>
      <c r="H80" s="49"/>
      <c r="I80" s="7"/>
      <c r="J80" s="7"/>
      <c r="K80" s="59" t="str">
        <f t="shared" si="8"/>
        <v>0</v>
      </c>
      <c r="L80" s="49">
        <v>3</v>
      </c>
      <c r="M80" s="49">
        <v>3</v>
      </c>
      <c r="N80" s="49">
        <v>3</v>
      </c>
      <c r="O80" s="49"/>
      <c r="P80" s="49">
        <v>3</v>
      </c>
      <c r="Q80" s="59">
        <f t="shared" si="9"/>
        <v>3</v>
      </c>
      <c r="R80" s="49">
        <v>3</v>
      </c>
      <c r="S80" s="49"/>
      <c r="T80" s="7"/>
      <c r="U80" s="49"/>
      <c r="V80" s="7"/>
      <c r="W80" s="59">
        <f t="shared" si="10"/>
        <v>3</v>
      </c>
      <c r="X80" s="49"/>
      <c r="Y80" s="49"/>
      <c r="Z80" s="7"/>
      <c r="AA80" s="7"/>
      <c r="AB80" s="7"/>
      <c r="AC80" s="59" t="str">
        <f t="shared" si="11"/>
        <v>0</v>
      </c>
      <c r="AD80" s="49"/>
      <c r="AE80" s="7"/>
      <c r="AF80" s="49"/>
      <c r="AG80" s="7"/>
      <c r="AH80" s="7"/>
      <c r="AI80" s="59" t="str">
        <f t="shared" si="12"/>
        <v>0</v>
      </c>
      <c r="AJ80" s="49"/>
      <c r="AK80" s="49"/>
      <c r="AL80" s="7"/>
      <c r="AM80" s="49"/>
      <c r="AN80" s="7"/>
      <c r="AO80" s="59" t="str">
        <f t="shared" si="13"/>
        <v>0</v>
      </c>
      <c r="AP80" s="49"/>
      <c r="AQ80" s="49"/>
      <c r="AR80" s="49"/>
      <c r="AS80" s="7"/>
      <c r="AT80" s="7"/>
      <c r="AU80" s="59" t="str">
        <f t="shared" si="14"/>
        <v>0</v>
      </c>
      <c r="AV80" s="7"/>
      <c r="AW80" s="7"/>
      <c r="AX80" s="49"/>
      <c r="AY80" s="49"/>
      <c r="AZ80" s="49"/>
      <c r="BA80" s="59" t="str">
        <f t="shared" si="15"/>
        <v>0</v>
      </c>
    </row>
    <row r="81" spans="1:53" ht="23.1" customHeight="1" x14ac:dyDescent="0.3">
      <c r="A81" s="49">
        <v>79</v>
      </c>
      <c r="B81" s="49" t="s">
        <v>199</v>
      </c>
      <c r="C81" s="49" t="s">
        <v>200</v>
      </c>
      <c r="D81" s="49" t="s">
        <v>450</v>
      </c>
      <c r="E81" s="49" t="s">
        <v>161</v>
      </c>
      <c r="F81" s="49"/>
      <c r="G81" s="49"/>
      <c r="H81" s="49"/>
      <c r="I81" s="49"/>
      <c r="J81" s="49"/>
      <c r="K81" s="59" t="str">
        <f t="shared" si="8"/>
        <v>0</v>
      </c>
      <c r="L81" s="49">
        <v>2</v>
      </c>
      <c r="M81" s="49">
        <v>3</v>
      </c>
      <c r="N81" s="49">
        <v>2</v>
      </c>
      <c r="O81" s="49"/>
      <c r="P81" s="49">
        <v>1</v>
      </c>
      <c r="Q81" s="59">
        <f t="shared" si="9"/>
        <v>2</v>
      </c>
      <c r="R81" s="49">
        <v>2</v>
      </c>
      <c r="S81" s="49"/>
      <c r="T81" s="49"/>
      <c r="U81" s="49"/>
      <c r="V81" s="49"/>
      <c r="W81" s="59">
        <f t="shared" si="10"/>
        <v>2</v>
      </c>
      <c r="X81" s="49"/>
      <c r="Y81" s="49"/>
      <c r="Z81" s="49"/>
      <c r="AA81" s="49"/>
      <c r="AB81" s="49"/>
      <c r="AC81" s="59" t="str">
        <f t="shared" si="11"/>
        <v>0</v>
      </c>
      <c r="AD81" s="49"/>
      <c r="AE81" s="49"/>
      <c r="AF81" s="49"/>
      <c r="AG81" s="49"/>
      <c r="AH81" s="49"/>
      <c r="AI81" s="59" t="str">
        <f t="shared" si="12"/>
        <v>0</v>
      </c>
      <c r="AJ81" s="49"/>
      <c r="AK81" s="49"/>
      <c r="AL81" s="49"/>
      <c r="AM81" s="49"/>
      <c r="AN81" s="49"/>
      <c r="AO81" s="59" t="str">
        <f t="shared" si="13"/>
        <v>0</v>
      </c>
      <c r="AP81" s="49"/>
      <c r="AQ81" s="49"/>
      <c r="AR81" s="49"/>
      <c r="AS81" s="49"/>
      <c r="AT81" s="49"/>
      <c r="AU81" s="59" t="str">
        <f t="shared" si="14"/>
        <v>0</v>
      </c>
      <c r="AV81" s="49"/>
      <c r="AW81" s="49"/>
      <c r="AX81" s="49"/>
      <c r="AY81" s="49"/>
      <c r="AZ81" s="49"/>
      <c r="BA81" s="59" t="str">
        <f t="shared" si="15"/>
        <v>0</v>
      </c>
    </row>
    <row r="82" spans="1:53" ht="23.1" customHeight="1" x14ac:dyDescent="0.3">
      <c r="A82" s="7">
        <v>80</v>
      </c>
      <c r="B82" s="7" t="s">
        <v>332</v>
      </c>
      <c r="C82" s="7" t="s">
        <v>333</v>
      </c>
      <c r="D82" s="7" t="s">
        <v>450</v>
      </c>
      <c r="E82" s="7" t="s">
        <v>493</v>
      </c>
      <c r="F82" s="7"/>
      <c r="G82" s="7"/>
      <c r="H82" s="49"/>
      <c r="I82" s="7"/>
      <c r="J82" s="7"/>
      <c r="K82" s="59" t="str">
        <f t="shared" si="8"/>
        <v>0</v>
      </c>
      <c r="L82" s="49">
        <v>3</v>
      </c>
      <c r="M82" s="49">
        <v>4</v>
      </c>
      <c r="N82" s="49">
        <v>2</v>
      </c>
      <c r="O82" s="49"/>
      <c r="P82" s="49">
        <v>2</v>
      </c>
      <c r="Q82" s="59">
        <f t="shared" si="9"/>
        <v>2.75</v>
      </c>
      <c r="R82" s="49">
        <v>2</v>
      </c>
      <c r="S82" s="49"/>
      <c r="T82" s="7"/>
      <c r="U82" s="49"/>
      <c r="V82" s="7"/>
      <c r="W82" s="59">
        <f t="shared" si="10"/>
        <v>2</v>
      </c>
      <c r="X82" s="49"/>
      <c r="Y82" s="49"/>
      <c r="Z82" s="7"/>
      <c r="AA82" s="7"/>
      <c r="AB82" s="7"/>
      <c r="AC82" s="59" t="str">
        <f t="shared" si="11"/>
        <v>0</v>
      </c>
      <c r="AD82" s="49"/>
      <c r="AE82" s="7"/>
      <c r="AF82" s="49"/>
      <c r="AG82" s="7"/>
      <c r="AH82" s="7"/>
      <c r="AI82" s="59" t="str">
        <f t="shared" si="12"/>
        <v>0</v>
      </c>
      <c r="AJ82" s="49"/>
      <c r="AK82" s="49"/>
      <c r="AL82" s="7"/>
      <c r="AM82" s="49"/>
      <c r="AN82" s="7"/>
      <c r="AO82" s="59" t="str">
        <f t="shared" si="13"/>
        <v>0</v>
      </c>
      <c r="AP82" s="49"/>
      <c r="AQ82" s="49"/>
      <c r="AR82" s="49"/>
      <c r="AS82" s="7"/>
      <c r="AT82" s="7"/>
      <c r="AU82" s="59" t="str">
        <f t="shared" si="14"/>
        <v>0</v>
      </c>
      <c r="AV82" s="7"/>
      <c r="AW82" s="7"/>
      <c r="AX82" s="49"/>
      <c r="AY82" s="49"/>
      <c r="AZ82" s="49"/>
      <c r="BA82" s="59" t="str">
        <f t="shared" si="15"/>
        <v>0</v>
      </c>
    </row>
    <row r="83" spans="1:53" ht="23.1" customHeight="1" x14ac:dyDescent="0.3">
      <c r="A83" s="49">
        <v>81</v>
      </c>
      <c r="B83" s="49" t="s">
        <v>334</v>
      </c>
      <c r="C83" s="49" t="s">
        <v>335</v>
      </c>
      <c r="D83" s="49" t="s">
        <v>542</v>
      </c>
      <c r="E83" s="49" t="s">
        <v>493</v>
      </c>
      <c r="F83" s="49"/>
      <c r="G83" s="49"/>
      <c r="H83" s="49"/>
      <c r="I83" s="49"/>
      <c r="J83" s="49"/>
      <c r="K83" s="59" t="str">
        <f t="shared" si="8"/>
        <v>0</v>
      </c>
      <c r="L83" s="49">
        <v>3</v>
      </c>
      <c r="M83" s="49">
        <v>2</v>
      </c>
      <c r="N83" s="49">
        <v>3</v>
      </c>
      <c r="O83" s="49"/>
      <c r="P83" s="49">
        <v>2</v>
      </c>
      <c r="Q83" s="59">
        <f t="shared" si="9"/>
        <v>2.5</v>
      </c>
      <c r="R83" s="49">
        <v>2</v>
      </c>
      <c r="S83" s="49"/>
      <c r="T83" s="49"/>
      <c r="U83" s="49"/>
      <c r="V83" s="49"/>
      <c r="W83" s="59">
        <f t="shared" si="10"/>
        <v>2</v>
      </c>
      <c r="X83" s="49"/>
      <c r="Y83" s="49"/>
      <c r="Z83" s="49"/>
      <c r="AA83" s="49"/>
      <c r="AB83" s="49"/>
      <c r="AC83" s="59" t="str">
        <f t="shared" si="11"/>
        <v>0</v>
      </c>
      <c r="AD83" s="49"/>
      <c r="AE83" s="49"/>
      <c r="AF83" s="49"/>
      <c r="AG83" s="49"/>
      <c r="AH83" s="49"/>
      <c r="AI83" s="59" t="str">
        <f t="shared" si="12"/>
        <v>0</v>
      </c>
      <c r="AJ83" s="49"/>
      <c r="AK83" s="49"/>
      <c r="AL83" s="49"/>
      <c r="AM83" s="49"/>
      <c r="AN83" s="49"/>
      <c r="AO83" s="59" t="str">
        <f t="shared" si="13"/>
        <v>0</v>
      </c>
      <c r="AP83" s="49"/>
      <c r="AQ83" s="49"/>
      <c r="AR83" s="49"/>
      <c r="AS83" s="49"/>
      <c r="AT83" s="49"/>
      <c r="AU83" s="59" t="str">
        <f t="shared" si="14"/>
        <v>0</v>
      </c>
      <c r="AV83" s="49"/>
      <c r="AW83" s="49"/>
      <c r="AX83" s="49"/>
      <c r="AY83" s="49"/>
      <c r="AZ83" s="49"/>
      <c r="BA83" s="59" t="str">
        <f t="shared" si="15"/>
        <v>0</v>
      </c>
    </row>
    <row r="84" spans="1:53" ht="23.1" customHeight="1" x14ac:dyDescent="0.3">
      <c r="A84" s="7">
        <v>82</v>
      </c>
      <c r="B84" s="7" t="s">
        <v>81</v>
      </c>
      <c r="C84" s="7" t="s">
        <v>82</v>
      </c>
      <c r="D84" s="7" t="s">
        <v>542</v>
      </c>
      <c r="E84" s="7" t="s">
        <v>35</v>
      </c>
      <c r="F84" s="7"/>
      <c r="G84" s="7"/>
      <c r="H84" s="49"/>
      <c r="I84" s="7"/>
      <c r="J84" s="7"/>
      <c r="K84" s="59" t="str">
        <f t="shared" si="8"/>
        <v>0</v>
      </c>
      <c r="L84" s="49">
        <v>4.5</v>
      </c>
      <c r="M84" s="49">
        <v>3.5</v>
      </c>
      <c r="N84" s="49">
        <v>3</v>
      </c>
      <c r="O84" s="49"/>
      <c r="P84" s="49">
        <v>3</v>
      </c>
      <c r="Q84" s="59">
        <f t="shared" si="9"/>
        <v>3.5</v>
      </c>
      <c r="R84" s="49">
        <v>2.5</v>
      </c>
      <c r="S84" s="49"/>
      <c r="T84" s="7"/>
      <c r="U84" s="49"/>
      <c r="V84" s="7"/>
      <c r="W84" s="59">
        <f t="shared" si="10"/>
        <v>2.5</v>
      </c>
      <c r="X84" s="49"/>
      <c r="Y84" s="49"/>
      <c r="Z84" s="7"/>
      <c r="AA84" s="7"/>
      <c r="AB84" s="7"/>
      <c r="AC84" s="59" t="str">
        <f t="shared" si="11"/>
        <v>0</v>
      </c>
      <c r="AD84" s="49"/>
      <c r="AE84" s="7"/>
      <c r="AF84" s="49"/>
      <c r="AG84" s="7"/>
      <c r="AH84" s="7"/>
      <c r="AI84" s="59" t="str">
        <f t="shared" si="12"/>
        <v>0</v>
      </c>
      <c r="AJ84" s="49"/>
      <c r="AK84" s="49"/>
      <c r="AL84" s="7"/>
      <c r="AM84" s="49"/>
      <c r="AN84" s="7"/>
      <c r="AO84" s="59" t="str">
        <f t="shared" si="13"/>
        <v>0</v>
      </c>
      <c r="AP84" s="49"/>
      <c r="AQ84" s="49"/>
      <c r="AR84" s="49"/>
      <c r="AS84" s="7"/>
      <c r="AT84" s="7"/>
      <c r="AU84" s="59" t="str">
        <f t="shared" si="14"/>
        <v>0</v>
      </c>
      <c r="AV84" s="7"/>
      <c r="AW84" s="7"/>
      <c r="AX84" s="49"/>
      <c r="AY84" s="49"/>
      <c r="AZ84" s="49"/>
      <c r="BA84" s="59" t="str">
        <f t="shared" si="15"/>
        <v>0</v>
      </c>
    </row>
    <row r="85" spans="1:53" ht="23.1" customHeight="1" x14ac:dyDescent="0.3">
      <c r="A85" s="49">
        <v>83</v>
      </c>
      <c r="B85" s="49" t="s">
        <v>70</v>
      </c>
      <c r="C85" s="49" t="s">
        <v>71</v>
      </c>
      <c r="D85" s="49" t="s">
        <v>450</v>
      </c>
      <c r="E85" s="49" t="s">
        <v>35</v>
      </c>
      <c r="F85" s="49"/>
      <c r="G85" s="49"/>
      <c r="H85" s="49"/>
      <c r="I85" s="49"/>
      <c r="J85" s="49"/>
      <c r="K85" s="59" t="str">
        <f t="shared" si="8"/>
        <v>0</v>
      </c>
      <c r="L85" s="49">
        <v>3</v>
      </c>
      <c r="M85" s="49">
        <v>3</v>
      </c>
      <c r="N85" s="49">
        <v>2</v>
      </c>
      <c r="O85" s="49"/>
      <c r="P85" s="49">
        <v>2</v>
      </c>
      <c r="Q85" s="59">
        <f t="shared" si="9"/>
        <v>2.5</v>
      </c>
      <c r="R85" s="49">
        <v>2</v>
      </c>
      <c r="S85" s="49"/>
      <c r="T85" s="49"/>
      <c r="U85" s="49"/>
      <c r="V85" s="49"/>
      <c r="W85" s="59">
        <f t="shared" si="10"/>
        <v>2</v>
      </c>
      <c r="X85" s="49"/>
      <c r="Y85" s="49"/>
      <c r="Z85" s="49"/>
      <c r="AA85" s="49"/>
      <c r="AB85" s="49"/>
      <c r="AC85" s="59" t="str">
        <f t="shared" si="11"/>
        <v>0</v>
      </c>
      <c r="AD85" s="49"/>
      <c r="AE85" s="49"/>
      <c r="AF85" s="49"/>
      <c r="AG85" s="49"/>
      <c r="AH85" s="49"/>
      <c r="AI85" s="59" t="str">
        <f t="shared" si="12"/>
        <v>0</v>
      </c>
      <c r="AJ85" s="49"/>
      <c r="AK85" s="49"/>
      <c r="AL85" s="49"/>
      <c r="AM85" s="49"/>
      <c r="AN85" s="49"/>
      <c r="AO85" s="59" t="str">
        <f t="shared" si="13"/>
        <v>0</v>
      </c>
      <c r="AP85" s="49"/>
      <c r="AQ85" s="49"/>
      <c r="AR85" s="49"/>
      <c r="AS85" s="49"/>
      <c r="AT85" s="49"/>
      <c r="AU85" s="59" t="str">
        <f t="shared" si="14"/>
        <v>0</v>
      </c>
      <c r="AV85" s="49"/>
      <c r="AW85" s="49"/>
      <c r="AX85" s="49"/>
      <c r="AY85" s="49"/>
      <c r="AZ85" s="49"/>
      <c r="BA85" s="59" t="str">
        <f t="shared" si="15"/>
        <v>0</v>
      </c>
    </row>
    <row r="86" spans="1:53" ht="23.1" customHeight="1" x14ac:dyDescent="0.3">
      <c r="A86" s="7">
        <v>84</v>
      </c>
      <c r="B86" s="7" t="s">
        <v>336</v>
      </c>
      <c r="C86" s="7" t="s">
        <v>337</v>
      </c>
      <c r="D86" s="7" t="s">
        <v>450</v>
      </c>
      <c r="E86" s="7" t="s">
        <v>493</v>
      </c>
      <c r="F86" s="7"/>
      <c r="G86" s="7"/>
      <c r="H86" s="49"/>
      <c r="I86" s="7"/>
      <c r="J86" s="7"/>
      <c r="K86" s="59" t="str">
        <f t="shared" si="8"/>
        <v>0</v>
      </c>
      <c r="L86" s="49">
        <v>3</v>
      </c>
      <c r="M86" s="49">
        <v>3</v>
      </c>
      <c r="N86" s="49">
        <v>3</v>
      </c>
      <c r="O86" s="49"/>
      <c r="P86" s="49">
        <v>3</v>
      </c>
      <c r="Q86" s="59">
        <f t="shared" si="9"/>
        <v>3</v>
      </c>
      <c r="R86" s="49">
        <v>3</v>
      </c>
      <c r="S86" s="49"/>
      <c r="T86" s="7"/>
      <c r="U86" s="49"/>
      <c r="V86" s="7"/>
      <c r="W86" s="59">
        <f t="shared" si="10"/>
        <v>3</v>
      </c>
      <c r="X86" s="49"/>
      <c r="Y86" s="49"/>
      <c r="Z86" s="7"/>
      <c r="AA86" s="7"/>
      <c r="AB86" s="7"/>
      <c r="AC86" s="59" t="str">
        <f t="shared" si="11"/>
        <v>0</v>
      </c>
      <c r="AD86" s="49"/>
      <c r="AE86" s="7"/>
      <c r="AF86" s="49"/>
      <c r="AG86" s="7"/>
      <c r="AH86" s="7"/>
      <c r="AI86" s="59" t="str">
        <f t="shared" si="12"/>
        <v>0</v>
      </c>
      <c r="AJ86" s="49"/>
      <c r="AK86" s="49"/>
      <c r="AL86" s="7"/>
      <c r="AM86" s="49"/>
      <c r="AN86" s="7"/>
      <c r="AO86" s="59" t="str">
        <f t="shared" si="13"/>
        <v>0</v>
      </c>
      <c r="AP86" s="49"/>
      <c r="AQ86" s="49"/>
      <c r="AR86" s="49"/>
      <c r="AS86" s="7"/>
      <c r="AT86" s="7"/>
      <c r="AU86" s="59" t="str">
        <f t="shared" si="14"/>
        <v>0</v>
      </c>
      <c r="AV86" s="7"/>
      <c r="AW86" s="7"/>
      <c r="AX86" s="49"/>
      <c r="AY86" s="49"/>
      <c r="AZ86" s="49"/>
      <c r="BA86" s="59" t="str">
        <f t="shared" si="15"/>
        <v>0</v>
      </c>
    </row>
    <row r="87" spans="1:53" ht="23.1" customHeight="1" x14ac:dyDescent="0.3">
      <c r="A87" s="49">
        <v>85</v>
      </c>
      <c r="B87" s="49" t="s">
        <v>134</v>
      </c>
      <c r="C87" s="49" t="s">
        <v>135</v>
      </c>
      <c r="D87" s="49" t="s">
        <v>450</v>
      </c>
      <c r="E87" s="49" t="s">
        <v>35</v>
      </c>
      <c r="F87" s="49"/>
      <c r="G87" s="49"/>
      <c r="H87" s="49"/>
      <c r="I87" s="49"/>
      <c r="J87" s="49"/>
      <c r="K87" s="59" t="str">
        <f t="shared" si="8"/>
        <v>0</v>
      </c>
      <c r="L87" s="49">
        <v>4</v>
      </c>
      <c r="M87" s="49">
        <v>4</v>
      </c>
      <c r="N87" s="49">
        <v>4</v>
      </c>
      <c r="O87" s="49"/>
      <c r="P87" s="49">
        <v>4</v>
      </c>
      <c r="Q87" s="59">
        <f t="shared" si="9"/>
        <v>4</v>
      </c>
      <c r="R87" s="49">
        <v>4</v>
      </c>
      <c r="S87" s="49"/>
      <c r="T87" s="49"/>
      <c r="U87" s="49"/>
      <c r="V87" s="49"/>
      <c r="W87" s="59">
        <f t="shared" si="10"/>
        <v>4</v>
      </c>
      <c r="X87" s="49"/>
      <c r="Y87" s="49"/>
      <c r="Z87" s="49"/>
      <c r="AA87" s="49"/>
      <c r="AB87" s="49"/>
      <c r="AC87" s="59" t="str">
        <f t="shared" si="11"/>
        <v>0</v>
      </c>
      <c r="AD87" s="49"/>
      <c r="AE87" s="49"/>
      <c r="AF87" s="49"/>
      <c r="AG87" s="49"/>
      <c r="AH87" s="49"/>
      <c r="AI87" s="59" t="str">
        <f t="shared" si="12"/>
        <v>0</v>
      </c>
      <c r="AJ87" s="49"/>
      <c r="AK87" s="49"/>
      <c r="AL87" s="49"/>
      <c r="AM87" s="49"/>
      <c r="AN87" s="49"/>
      <c r="AO87" s="59" t="str">
        <f t="shared" si="13"/>
        <v>0</v>
      </c>
      <c r="AP87" s="49"/>
      <c r="AQ87" s="49"/>
      <c r="AR87" s="49"/>
      <c r="AS87" s="49"/>
      <c r="AT87" s="49"/>
      <c r="AU87" s="59" t="str">
        <f t="shared" si="14"/>
        <v>0</v>
      </c>
      <c r="AV87" s="49"/>
      <c r="AW87" s="49"/>
      <c r="AX87" s="49"/>
      <c r="AY87" s="49"/>
      <c r="AZ87" s="49"/>
      <c r="BA87" s="59" t="str">
        <f t="shared" si="15"/>
        <v>0</v>
      </c>
    </row>
    <row r="88" spans="1:53" ht="23.1" customHeight="1" x14ac:dyDescent="0.3">
      <c r="A88" s="7">
        <v>86</v>
      </c>
      <c r="B88" s="7" t="s">
        <v>215</v>
      </c>
      <c r="C88" s="7" t="s">
        <v>216</v>
      </c>
      <c r="D88" s="7" t="s">
        <v>450</v>
      </c>
      <c r="E88" s="7" t="s">
        <v>161</v>
      </c>
      <c r="F88" s="7"/>
      <c r="G88" s="7"/>
      <c r="H88" s="49"/>
      <c r="I88" s="7"/>
      <c r="J88" s="7"/>
      <c r="K88" s="59" t="str">
        <f t="shared" si="8"/>
        <v>0</v>
      </c>
      <c r="L88" s="49">
        <v>3</v>
      </c>
      <c r="M88" s="49">
        <v>4</v>
      </c>
      <c r="N88" s="49">
        <v>3</v>
      </c>
      <c r="O88" s="49"/>
      <c r="P88" s="49">
        <v>2</v>
      </c>
      <c r="Q88" s="59">
        <f t="shared" si="9"/>
        <v>3</v>
      </c>
      <c r="R88" s="49">
        <v>2</v>
      </c>
      <c r="S88" s="49"/>
      <c r="T88" s="7"/>
      <c r="U88" s="49"/>
      <c r="V88" s="7"/>
      <c r="W88" s="59">
        <f t="shared" si="10"/>
        <v>2</v>
      </c>
      <c r="X88" s="49"/>
      <c r="Y88" s="49"/>
      <c r="Z88" s="7"/>
      <c r="AA88" s="7"/>
      <c r="AB88" s="7"/>
      <c r="AC88" s="59" t="str">
        <f t="shared" si="11"/>
        <v>0</v>
      </c>
      <c r="AD88" s="49"/>
      <c r="AE88" s="7"/>
      <c r="AF88" s="49"/>
      <c r="AG88" s="7"/>
      <c r="AH88" s="7"/>
      <c r="AI88" s="59" t="str">
        <f t="shared" si="12"/>
        <v>0</v>
      </c>
      <c r="AJ88" s="49"/>
      <c r="AK88" s="49"/>
      <c r="AL88" s="7"/>
      <c r="AM88" s="49"/>
      <c r="AN88" s="7"/>
      <c r="AO88" s="59" t="str">
        <f t="shared" si="13"/>
        <v>0</v>
      </c>
      <c r="AP88" s="49"/>
      <c r="AQ88" s="49"/>
      <c r="AR88" s="49"/>
      <c r="AS88" s="7"/>
      <c r="AT88" s="7"/>
      <c r="AU88" s="59" t="str">
        <f t="shared" si="14"/>
        <v>0</v>
      </c>
      <c r="AV88" s="7"/>
      <c r="AW88" s="7"/>
      <c r="AX88" s="49"/>
      <c r="AY88" s="49"/>
      <c r="AZ88" s="49"/>
      <c r="BA88" s="59" t="str">
        <f t="shared" si="15"/>
        <v>0</v>
      </c>
    </row>
    <row r="89" spans="1:53" ht="23.1" customHeight="1" x14ac:dyDescent="0.3">
      <c r="A89" s="49">
        <v>87</v>
      </c>
      <c r="B89" s="49" t="s">
        <v>338</v>
      </c>
      <c r="C89" s="49" t="s">
        <v>339</v>
      </c>
      <c r="D89" s="49" t="s">
        <v>542</v>
      </c>
      <c r="E89" s="49" t="s">
        <v>493</v>
      </c>
      <c r="F89" s="49"/>
      <c r="G89" s="49"/>
      <c r="H89" s="49"/>
      <c r="I89" s="49"/>
      <c r="J89" s="49"/>
      <c r="K89" s="59" t="str">
        <f t="shared" si="8"/>
        <v>0</v>
      </c>
      <c r="L89" s="49">
        <v>3</v>
      </c>
      <c r="M89" s="49">
        <v>4</v>
      </c>
      <c r="N89" s="49">
        <v>3</v>
      </c>
      <c r="O89" s="49"/>
      <c r="P89" s="49">
        <v>3</v>
      </c>
      <c r="Q89" s="59">
        <f t="shared" si="9"/>
        <v>3.25</v>
      </c>
      <c r="R89" s="49">
        <v>3</v>
      </c>
      <c r="S89" s="49"/>
      <c r="T89" s="49"/>
      <c r="U89" s="49"/>
      <c r="V89" s="49"/>
      <c r="W89" s="59">
        <f t="shared" si="10"/>
        <v>3</v>
      </c>
      <c r="X89" s="49"/>
      <c r="Y89" s="49"/>
      <c r="Z89" s="49"/>
      <c r="AA89" s="49"/>
      <c r="AB89" s="49"/>
      <c r="AC89" s="59" t="str">
        <f t="shared" si="11"/>
        <v>0</v>
      </c>
      <c r="AD89" s="49"/>
      <c r="AE89" s="49"/>
      <c r="AF89" s="49"/>
      <c r="AG89" s="49"/>
      <c r="AH89" s="49"/>
      <c r="AI89" s="59" t="str">
        <f t="shared" si="12"/>
        <v>0</v>
      </c>
      <c r="AJ89" s="49"/>
      <c r="AK89" s="49"/>
      <c r="AL89" s="49"/>
      <c r="AM89" s="49"/>
      <c r="AN89" s="49"/>
      <c r="AO89" s="59" t="str">
        <f t="shared" si="13"/>
        <v>0</v>
      </c>
      <c r="AP89" s="49"/>
      <c r="AQ89" s="49"/>
      <c r="AR89" s="49"/>
      <c r="AS89" s="49"/>
      <c r="AT89" s="49"/>
      <c r="AU89" s="59" t="str">
        <f t="shared" si="14"/>
        <v>0</v>
      </c>
      <c r="AV89" s="49"/>
      <c r="AW89" s="49"/>
      <c r="AX89" s="49"/>
      <c r="AY89" s="49"/>
      <c r="AZ89" s="49"/>
      <c r="BA89" s="59" t="str">
        <f t="shared" si="15"/>
        <v>0</v>
      </c>
    </row>
    <row r="90" spans="1:53" ht="23.1" customHeight="1" x14ac:dyDescent="0.3">
      <c r="A90" s="7">
        <v>88</v>
      </c>
      <c r="B90" s="7" t="s">
        <v>136</v>
      </c>
      <c r="C90" s="7" t="s">
        <v>137</v>
      </c>
      <c r="D90" s="7" t="s">
        <v>542</v>
      </c>
      <c r="E90" s="7" t="s">
        <v>35</v>
      </c>
      <c r="F90" s="7"/>
      <c r="G90" s="7"/>
      <c r="H90" s="49"/>
      <c r="I90" s="7"/>
      <c r="J90" s="7"/>
      <c r="K90" s="59" t="str">
        <f t="shared" si="8"/>
        <v>0</v>
      </c>
      <c r="L90" s="49">
        <v>4</v>
      </c>
      <c r="M90" s="49">
        <v>3</v>
      </c>
      <c r="N90" s="49">
        <v>4</v>
      </c>
      <c r="O90" s="49"/>
      <c r="P90" s="49">
        <v>3</v>
      </c>
      <c r="Q90" s="59">
        <f t="shared" si="9"/>
        <v>3.5</v>
      </c>
      <c r="R90" s="49">
        <v>3</v>
      </c>
      <c r="S90" s="49"/>
      <c r="T90" s="7"/>
      <c r="U90" s="49"/>
      <c r="V90" s="7"/>
      <c r="W90" s="59">
        <f t="shared" si="10"/>
        <v>3</v>
      </c>
      <c r="X90" s="49"/>
      <c r="Y90" s="49"/>
      <c r="Z90" s="7"/>
      <c r="AA90" s="7"/>
      <c r="AB90" s="7"/>
      <c r="AC90" s="59" t="str">
        <f t="shared" si="11"/>
        <v>0</v>
      </c>
      <c r="AD90" s="49"/>
      <c r="AE90" s="7"/>
      <c r="AF90" s="49"/>
      <c r="AG90" s="7"/>
      <c r="AH90" s="7"/>
      <c r="AI90" s="59" t="str">
        <f t="shared" si="12"/>
        <v>0</v>
      </c>
      <c r="AJ90" s="49"/>
      <c r="AK90" s="49"/>
      <c r="AL90" s="7"/>
      <c r="AM90" s="49"/>
      <c r="AN90" s="7"/>
      <c r="AO90" s="59" t="str">
        <f t="shared" si="13"/>
        <v>0</v>
      </c>
      <c r="AP90" s="49"/>
      <c r="AQ90" s="49"/>
      <c r="AR90" s="49"/>
      <c r="AS90" s="7"/>
      <c r="AT90" s="7"/>
      <c r="AU90" s="59" t="str">
        <f t="shared" si="14"/>
        <v>0</v>
      </c>
      <c r="AV90" s="7"/>
      <c r="AW90" s="7"/>
      <c r="AX90" s="49"/>
      <c r="AY90" s="49"/>
      <c r="AZ90" s="49"/>
      <c r="BA90" s="59" t="str">
        <f t="shared" si="15"/>
        <v>0</v>
      </c>
    </row>
    <row r="91" spans="1:53" ht="23.1" customHeight="1" x14ac:dyDescent="0.3">
      <c r="A91" s="49">
        <v>89</v>
      </c>
      <c r="B91" s="49" t="s">
        <v>62</v>
      </c>
      <c r="C91" s="49" t="s">
        <v>63</v>
      </c>
      <c r="D91" s="49" t="s">
        <v>542</v>
      </c>
      <c r="E91" s="49" t="s">
        <v>35</v>
      </c>
      <c r="F91" s="49"/>
      <c r="G91" s="49"/>
      <c r="H91" s="49"/>
      <c r="I91" s="49"/>
      <c r="J91" s="49"/>
      <c r="K91" s="59" t="str">
        <f t="shared" si="8"/>
        <v>0</v>
      </c>
      <c r="L91" s="49">
        <v>4</v>
      </c>
      <c r="M91" s="49">
        <v>4</v>
      </c>
      <c r="N91" s="49">
        <v>4</v>
      </c>
      <c r="O91" s="49"/>
      <c r="P91" s="49">
        <v>4</v>
      </c>
      <c r="Q91" s="59">
        <f t="shared" si="9"/>
        <v>4</v>
      </c>
      <c r="R91" s="49">
        <v>4</v>
      </c>
      <c r="S91" s="49"/>
      <c r="T91" s="49"/>
      <c r="U91" s="49"/>
      <c r="V91" s="49"/>
      <c r="W91" s="59">
        <f t="shared" si="10"/>
        <v>4</v>
      </c>
      <c r="X91" s="49"/>
      <c r="Y91" s="49"/>
      <c r="Z91" s="49"/>
      <c r="AA91" s="49"/>
      <c r="AB91" s="49"/>
      <c r="AC91" s="59" t="str">
        <f t="shared" si="11"/>
        <v>0</v>
      </c>
      <c r="AD91" s="49"/>
      <c r="AE91" s="49"/>
      <c r="AF91" s="49"/>
      <c r="AG91" s="49"/>
      <c r="AH91" s="49"/>
      <c r="AI91" s="59" t="str">
        <f t="shared" si="12"/>
        <v>0</v>
      </c>
      <c r="AJ91" s="49"/>
      <c r="AK91" s="49"/>
      <c r="AL91" s="49"/>
      <c r="AM91" s="49"/>
      <c r="AN91" s="49"/>
      <c r="AO91" s="59" t="str">
        <f t="shared" si="13"/>
        <v>0</v>
      </c>
      <c r="AP91" s="49"/>
      <c r="AQ91" s="49"/>
      <c r="AR91" s="49"/>
      <c r="AS91" s="49"/>
      <c r="AT91" s="49"/>
      <c r="AU91" s="59" t="str">
        <f t="shared" si="14"/>
        <v>0</v>
      </c>
      <c r="AV91" s="49"/>
      <c r="AW91" s="49"/>
      <c r="AX91" s="49"/>
      <c r="AY91" s="49"/>
      <c r="AZ91" s="49"/>
      <c r="BA91" s="59" t="str">
        <f t="shared" si="15"/>
        <v>0</v>
      </c>
    </row>
    <row r="92" spans="1:53" ht="23.1" customHeight="1" x14ac:dyDescent="0.3">
      <c r="A92" s="7">
        <v>90</v>
      </c>
      <c r="B92" s="7" t="s">
        <v>38</v>
      </c>
      <c r="C92" s="7" t="s">
        <v>39</v>
      </c>
      <c r="D92" s="7" t="s">
        <v>544</v>
      </c>
      <c r="E92" s="7" t="s">
        <v>35</v>
      </c>
      <c r="F92" s="7"/>
      <c r="G92" s="7"/>
      <c r="H92" s="49"/>
      <c r="I92" s="7"/>
      <c r="J92" s="7"/>
      <c r="K92" s="59" t="str">
        <f t="shared" si="8"/>
        <v>0</v>
      </c>
      <c r="L92" s="49">
        <v>1</v>
      </c>
      <c r="M92" s="49">
        <v>1</v>
      </c>
      <c r="N92" s="49">
        <v>1</v>
      </c>
      <c r="O92" s="49"/>
      <c r="P92" s="49">
        <v>3</v>
      </c>
      <c r="Q92" s="59">
        <f t="shared" si="9"/>
        <v>1.5</v>
      </c>
      <c r="R92" s="49">
        <v>1</v>
      </c>
      <c r="S92" s="49"/>
      <c r="T92" s="7"/>
      <c r="U92" s="49"/>
      <c r="V92" s="7"/>
      <c r="W92" s="59">
        <f t="shared" si="10"/>
        <v>1</v>
      </c>
      <c r="X92" s="49"/>
      <c r="Y92" s="49"/>
      <c r="Z92" s="7"/>
      <c r="AA92" s="7"/>
      <c r="AB92" s="7"/>
      <c r="AC92" s="59" t="str">
        <f t="shared" si="11"/>
        <v>0</v>
      </c>
      <c r="AD92" s="49"/>
      <c r="AE92" s="7"/>
      <c r="AF92" s="49"/>
      <c r="AG92" s="7"/>
      <c r="AH92" s="7"/>
      <c r="AI92" s="59" t="str">
        <f t="shared" si="12"/>
        <v>0</v>
      </c>
      <c r="AJ92" s="49"/>
      <c r="AK92" s="49"/>
      <c r="AL92" s="7"/>
      <c r="AM92" s="49"/>
      <c r="AN92" s="7"/>
      <c r="AO92" s="59" t="str">
        <f t="shared" si="13"/>
        <v>0</v>
      </c>
      <c r="AP92" s="49"/>
      <c r="AQ92" s="49"/>
      <c r="AR92" s="49"/>
      <c r="AS92" s="7"/>
      <c r="AT92" s="7"/>
      <c r="AU92" s="59" t="str">
        <f t="shared" si="14"/>
        <v>0</v>
      </c>
      <c r="AV92" s="7"/>
      <c r="AW92" s="7"/>
      <c r="AX92" s="49"/>
      <c r="AY92" s="49"/>
      <c r="AZ92" s="49"/>
      <c r="BA92" s="59" t="str">
        <f t="shared" si="15"/>
        <v>0</v>
      </c>
    </row>
    <row r="93" spans="1:53" ht="23.1" customHeight="1" x14ac:dyDescent="0.3">
      <c r="A93" s="49">
        <v>91</v>
      </c>
      <c r="B93" s="49" t="s">
        <v>138</v>
      </c>
      <c r="C93" s="49" t="s">
        <v>139</v>
      </c>
      <c r="D93" s="49" t="s">
        <v>450</v>
      </c>
      <c r="E93" s="49" t="s">
        <v>35</v>
      </c>
      <c r="F93" s="49"/>
      <c r="G93" s="49"/>
      <c r="H93" s="49"/>
      <c r="I93" s="49"/>
      <c r="J93" s="49"/>
      <c r="K93" s="59" t="str">
        <f t="shared" si="8"/>
        <v>0</v>
      </c>
      <c r="L93" s="49">
        <v>0</v>
      </c>
      <c r="M93" s="49">
        <v>0</v>
      </c>
      <c r="N93" s="49">
        <v>0</v>
      </c>
      <c r="O93" s="49"/>
      <c r="P93" s="49">
        <v>2</v>
      </c>
      <c r="Q93" s="59">
        <f t="shared" si="9"/>
        <v>0.5</v>
      </c>
      <c r="R93" s="49">
        <v>0</v>
      </c>
      <c r="S93" s="49"/>
      <c r="T93" s="49"/>
      <c r="U93" s="49"/>
      <c r="V93" s="49"/>
      <c r="W93" s="59">
        <f t="shared" si="10"/>
        <v>0</v>
      </c>
      <c r="X93" s="49"/>
      <c r="Y93" s="49"/>
      <c r="Z93" s="49"/>
      <c r="AA93" s="49"/>
      <c r="AB93" s="49"/>
      <c r="AC93" s="59" t="str">
        <f t="shared" si="11"/>
        <v>0</v>
      </c>
      <c r="AD93" s="49"/>
      <c r="AE93" s="49"/>
      <c r="AF93" s="49"/>
      <c r="AG93" s="49"/>
      <c r="AH93" s="49"/>
      <c r="AI93" s="59" t="str">
        <f t="shared" si="12"/>
        <v>0</v>
      </c>
      <c r="AJ93" s="49"/>
      <c r="AK93" s="49"/>
      <c r="AL93" s="49"/>
      <c r="AM93" s="49"/>
      <c r="AN93" s="49"/>
      <c r="AO93" s="59" t="str">
        <f t="shared" si="13"/>
        <v>0</v>
      </c>
      <c r="AP93" s="49"/>
      <c r="AQ93" s="49"/>
      <c r="AR93" s="49"/>
      <c r="AS93" s="49"/>
      <c r="AT93" s="49"/>
      <c r="AU93" s="59" t="str">
        <f t="shared" si="14"/>
        <v>0</v>
      </c>
      <c r="AV93" s="49"/>
      <c r="AW93" s="49"/>
      <c r="AX93" s="49"/>
      <c r="AY93" s="49"/>
      <c r="AZ93" s="49"/>
      <c r="BA93" s="59" t="str">
        <f t="shared" si="15"/>
        <v>0</v>
      </c>
    </row>
    <row r="94" spans="1:53" ht="23.1" customHeight="1" x14ac:dyDescent="0.3">
      <c r="A94" s="7">
        <v>92</v>
      </c>
      <c r="B94" s="7" t="s">
        <v>231</v>
      </c>
      <c r="C94" s="7" t="s">
        <v>232</v>
      </c>
      <c r="D94" s="7" t="s">
        <v>450</v>
      </c>
      <c r="E94" s="7" t="s">
        <v>161</v>
      </c>
      <c r="F94" s="7"/>
      <c r="G94" s="7"/>
      <c r="H94" s="49"/>
      <c r="I94" s="7"/>
      <c r="J94" s="7"/>
      <c r="K94" s="59" t="str">
        <f t="shared" si="8"/>
        <v>0</v>
      </c>
      <c r="L94" s="49">
        <v>3</v>
      </c>
      <c r="M94" s="49">
        <v>4</v>
      </c>
      <c r="N94" s="49">
        <v>4</v>
      </c>
      <c r="O94" s="49"/>
      <c r="P94" s="49">
        <v>2</v>
      </c>
      <c r="Q94" s="59">
        <f t="shared" si="9"/>
        <v>3.25</v>
      </c>
      <c r="R94" s="49">
        <v>2</v>
      </c>
      <c r="S94" s="49"/>
      <c r="T94" s="7"/>
      <c r="U94" s="49"/>
      <c r="V94" s="7"/>
      <c r="W94" s="59">
        <f t="shared" si="10"/>
        <v>2</v>
      </c>
      <c r="X94" s="49"/>
      <c r="Y94" s="49"/>
      <c r="Z94" s="7"/>
      <c r="AA94" s="7"/>
      <c r="AB94" s="7"/>
      <c r="AC94" s="59" t="str">
        <f t="shared" si="11"/>
        <v>0</v>
      </c>
      <c r="AD94" s="49"/>
      <c r="AE94" s="7"/>
      <c r="AF94" s="49"/>
      <c r="AG94" s="7"/>
      <c r="AH94" s="7"/>
      <c r="AI94" s="59" t="str">
        <f t="shared" si="12"/>
        <v>0</v>
      </c>
      <c r="AJ94" s="49"/>
      <c r="AK94" s="49"/>
      <c r="AL94" s="7"/>
      <c r="AM94" s="49"/>
      <c r="AN94" s="7"/>
      <c r="AO94" s="59" t="str">
        <f t="shared" si="13"/>
        <v>0</v>
      </c>
      <c r="AP94" s="49"/>
      <c r="AQ94" s="49"/>
      <c r="AR94" s="49"/>
      <c r="AS94" s="7"/>
      <c r="AT94" s="7"/>
      <c r="AU94" s="59" t="str">
        <f t="shared" si="14"/>
        <v>0</v>
      </c>
      <c r="AV94" s="7"/>
      <c r="AW94" s="7"/>
      <c r="AX94" s="49"/>
      <c r="AY94" s="49"/>
      <c r="AZ94" s="49"/>
      <c r="BA94" s="59" t="str">
        <f t="shared" si="15"/>
        <v>0</v>
      </c>
    </row>
    <row r="95" spans="1:53" ht="23.1" customHeight="1" x14ac:dyDescent="0.3">
      <c r="A95" s="49">
        <v>93</v>
      </c>
      <c r="B95" s="49" t="s">
        <v>340</v>
      </c>
      <c r="C95" s="49" t="s">
        <v>341</v>
      </c>
      <c r="D95" s="49" t="s">
        <v>542</v>
      </c>
      <c r="E95" s="49" t="s">
        <v>493</v>
      </c>
      <c r="F95" s="49"/>
      <c r="G95" s="49"/>
      <c r="H95" s="49"/>
      <c r="I95" s="49"/>
      <c r="J95" s="49"/>
      <c r="K95" s="59" t="str">
        <f t="shared" si="8"/>
        <v>0</v>
      </c>
      <c r="L95" s="49">
        <v>2</v>
      </c>
      <c r="M95" s="49">
        <v>2</v>
      </c>
      <c r="N95" s="49">
        <v>2</v>
      </c>
      <c r="O95" s="49"/>
      <c r="P95" s="49">
        <v>3</v>
      </c>
      <c r="Q95" s="59">
        <f t="shared" si="9"/>
        <v>2.25</v>
      </c>
      <c r="R95" s="49">
        <v>2</v>
      </c>
      <c r="S95" s="49"/>
      <c r="T95" s="49"/>
      <c r="U95" s="49"/>
      <c r="V95" s="49"/>
      <c r="W95" s="59">
        <f t="shared" si="10"/>
        <v>2</v>
      </c>
      <c r="X95" s="49"/>
      <c r="Y95" s="49"/>
      <c r="Z95" s="49"/>
      <c r="AA95" s="49"/>
      <c r="AB95" s="49"/>
      <c r="AC95" s="59" t="str">
        <f t="shared" si="11"/>
        <v>0</v>
      </c>
      <c r="AD95" s="49"/>
      <c r="AE95" s="49"/>
      <c r="AF95" s="49"/>
      <c r="AG95" s="49"/>
      <c r="AH95" s="49"/>
      <c r="AI95" s="59" t="str">
        <f t="shared" si="12"/>
        <v>0</v>
      </c>
      <c r="AJ95" s="49"/>
      <c r="AK95" s="49"/>
      <c r="AL95" s="49"/>
      <c r="AM95" s="49"/>
      <c r="AN95" s="49"/>
      <c r="AO95" s="59" t="str">
        <f t="shared" si="13"/>
        <v>0</v>
      </c>
      <c r="AP95" s="49"/>
      <c r="AQ95" s="49"/>
      <c r="AR95" s="49"/>
      <c r="AS95" s="49"/>
      <c r="AT95" s="49"/>
      <c r="AU95" s="59" t="str">
        <f t="shared" si="14"/>
        <v>0</v>
      </c>
      <c r="AV95" s="49"/>
      <c r="AW95" s="49"/>
      <c r="AX95" s="49"/>
      <c r="AY95" s="49"/>
      <c r="AZ95" s="49"/>
      <c r="BA95" s="59" t="str">
        <f t="shared" si="15"/>
        <v>0</v>
      </c>
    </row>
    <row r="96" spans="1:53" ht="23.1" customHeight="1" x14ac:dyDescent="0.3">
      <c r="A96" s="7">
        <v>94</v>
      </c>
      <c r="B96" s="7" t="s">
        <v>97</v>
      </c>
      <c r="C96" s="7" t="s">
        <v>98</v>
      </c>
      <c r="D96" s="7" t="s">
        <v>450</v>
      </c>
      <c r="E96" s="7" t="s">
        <v>35</v>
      </c>
      <c r="F96" s="7"/>
      <c r="G96" s="7"/>
      <c r="H96" s="49"/>
      <c r="I96" s="7"/>
      <c r="J96" s="7"/>
      <c r="K96" s="59" t="str">
        <f t="shared" si="8"/>
        <v>0</v>
      </c>
      <c r="L96" s="49">
        <v>4</v>
      </c>
      <c r="M96" s="49">
        <v>3</v>
      </c>
      <c r="N96" s="49">
        <v>3</v>
      </c>
      <c r="O96" s="49"/>
      <c r="P96" s="49">
        <v>3</v>
      </c>
      <c r="Q96" s="59">
        <f t="shared" si="9"/>
        <v>3.25</v>
      </c>
      <c r="R96" s="49">
        <v>3</v>
      </c>
      <c r="S96" s="49"/>
      <c r="T96" s="7"/>
      <c r="U96" s="49"/>
      <c r="V96" s="7"/>
      <c r="W96" s="59">
        <f t="shared" si="10"/>
        <v>3</v>
      </c>
      <c r="X96" s="49"/>
      <c r="Y96" s="49"/>
      <c r="Z96" s="7"/>
      <c r="AA96" s="7"/>
      <c r="AB96" s="7"/>
      <c r="AC96" s="59" t="str">
        <f t="shared" si="11"/>
        <v>0</v>
      </c>
      <c r="AD96" s="49"/>
      <c r="AE96" s="7"/>
      <c r="AF96" s="49"/>
      <c r="AG96" s="7"/>
      <c r="AH96" s="7"/>
      <c r="AI96" s="59" t="str">
        <f t="shared" si="12"/>
        <v>0</v>
      </c>
      <c r="AJ96" s="49"/>
      <c r="AK96" s="49"/>
      <c r="AL96" s="7"/>
      <c r="AM96" s="49"/>
      <c r="AN96" s="7"/>
      <c r="AO96" s="59" t="str">
        <f t="shared" si="13"/>
        <v>0</v>
      </c>
      <c r="AP96" s="49"/>
      <c r="AQ96" s="49"/>
      <c r="AR96" s="49"/>
      <c r="AS96" s="7"/>
      <c r="AT96" s="7"/>
      <c r="AU96" s="59" t="str">
        <f t="shared" si="14"/>
        <v>0</v>
      </c>
      <c r="AV96" s="7"/>
      <c r="AW96" s="7"/>
      <c r="AX96" s="49"/>
      <c r="AY96" s="49"/>
      <c r="AZ96" s="49"/>
      <c r="BA96" s="59" t="str">
        <f t="shared" si="15"/>
        <v>0</v>
      </c>
    </row>
    <row r="97" spans="1:53" ht="23.1" customHeight="1" x14ac:dyDescent="0.3">
      <c r="A97" s="49">
        <v>95</v>
      </c>
      <c r="B97" s="49" t="s">
        <v>249</v>
      </c>
      <c r="C97" s="49" t="s">
        <v>250</v>
      </c>
      <c r="D97" s="49" t="s">
        <v>450</v>
      </c>
      <c r="E97" s="49" t="s">
        <v>161</v>
      </c>
      <c r="F97" s="49"/>
      <c r="G97" s="49"/>
      <c r="H97" s="49"/>
      <c r="I97" s="49"/>
      <c r="J97" s="49"/>
      <c r="K97" s="59" t="str">
        <f t="shared" si="8"/>
        <v>0</v>
      </c>
      <c r="L97" s="49">
        <v>3</v>
      </c>
      <c r="M97" s="49">
        <v>3</v>
      </c>
      <c r="N97" s="49">
        <v>3</v>
      </c>
      <c r="O97" s="49"/>
      <c r="P97" s="49">
        <v>3</v>
      </c>
      <c r="Q97" s="59">
        <f t="shared" si="9"/>
        <v>3</v>
      </c>
      <c r="R97" s="49">
        <v>3</v>
      </c>
      <c r="S97" s="49"/>
      <c r="T97" s="49"/>
      <c r="U97" s="49"/>
      <c r="V97" s="49"/>
      <c r="W97" s="59">
        <f t="shared" si="10"/>
        <v>3</v>
      </c>
      <c r="X97" s="49"/>
      <c r="Y97" s="49"/>
      <c r="Z97" s="49"/>
      <c r="AA97" s="49"/>
      <c r="AB97" s="49"/>
      <c r="AC97" s="59" t="str">
        <f t="shared" si="11"/>
        <v>0</v>
      </c>
      <c r="AD97" s="49"/>
      <c r="AE97" s="49"/>
      <c r="AF97" s="49"/>
      <c r="AG97" s="49"/>
      <c r="AH97" s="49"/>
      <c r="AI97" s="59" t="str">
        <f t="shared" si="12"/>
        <v>0</v>
      </c>
      <c r="AJ97" s="49"/>
      <c r="AK97" s="49"/>
      <c r="AL97" s="49"/>
      <c r="AM97" s="49"/>
      <c r="AN97" s="49"/>
      <c r="AO97" s="59" t="str">
        <f t="shared" si="13"/>
        <v>0</v>
      </c>
      <c r="AP97" s="49"/>
      <c r="AQ97" s="49"/>
      <c r="AR97" s="49"/>
      <c r="AS97" s="49"/>
      <c r="AT97" s="49"/>
      <c r="AU97" s="59" t="str">
        <f t="shared" si="14"/>
        <v>0</v>
      </c>
      <c r="AV97" s="49"/>
      <c r="AW97" s="49"/>
      <c r="AX97" s="49"/>
      <c r="AY97" s="49"/>
      <c r="AZ97" s="49"/>
      <c r="BA97" s="59" t="str">
        <f t="shared" si="15"/>
        <v>0</v>
      </c>
    </row>
    <row r="98" spans="1:53" ht="23.1" customHeight="1" x14ac:dyDescent="0.3">
      <c r="A98" s="7">
        <v>96</v>
      </c>
      <c r="B98" s="7" t="s">
        <v>342</v>
      </c>
      <c r="C98" s="7" t="s">
        <v>343</v>
      </c>
      <c r="D98" s="7" t="s">
        <v>450</v>
      </c>
      <c r="E98" s="7" t="s">
        <v>493</v>
      </c>
      <c r="F98" s="7"/>
      <c r="G98" s="7"/>
      <c r="H98" s="49"/>
      <c r="I98" s="7"/>
      <c r="J98" s="7"/>
      <c r="K98" s="59" t="str">
        <f t="shared" si="8"/>
        <v>0</v>
      </c>
      <c r="L98" s="49">
        <v>3</v>
      </c>
      <c r="M98" s="49">
        <v>4</v>
      </c>
      <c r="N98" s="49">
        <v>3</v>
      </c>
      <c r="O98" s="49"/>
      <c r="P98" s="49">
        <v>2</v>
      </c>
      <c r="Q98" s="59">
        <f t="shared" si="9"/>
        <v>3</v>
      </c>
      <c r="R98" s="49">
        <v>2</v>
      </c>
      <c r="S98" s="49"/>
      <c r="T98" s="7"/>
      <c r="U98" s="49"/>
      <c r="V98" s="7"/>
      <c r="W98" s="59">
        <f t="shared" si="10"/>
        <v>2</v>
      </c>
      <c r="X98" s="49"/>
      <c r="Y98" s="49"/>
      <c r="Z98" s="7"/>
      <c r="AA98" s="7"/>
      <c r="AB98" s="7"/>
      <c r="AC98" s="59" t="str">
        <f t="shared" si="11"/>
        <v>0</v>
      </c>
      <c r="AD98" s="49"/>
      <c r="AE98" s="7"/>
      <c r="AF98" s="49"/>
      <c r="AG98" s="7"/>
      <c r="AH98" s="7"/>
      <c r="AI98" s="59" t="str">
        <f t="shared" si="12"/>
        <v>0</v>
      </c>
      <c r="AJ98" s="49"/>
      <c r="AK98" s="49"/>
      <c r="AL98" s="7"/>
      <c r="AM98" s="49"/>
      <c r="AN98" s="7"/>
      <c r="AO98" s="59" t="str">
        <f t="shared" si="13"/>
        <v>0</v>
      </c>
      <c r="AP98" s="49"/>
      <c r="AQ98" s="49"/>
      <c r="AR98" s="49"/>
      <c r="AS98" s="7"/>
      <c r="AT98" s="7"/>
      <c r="AU98" s="59" t="str">
        <f t="shared" si="14"/>
        <v>0</v>
      </c>
      <c r="AV98" s="7"/>
      <c r="AW98" s="7"/>
      <c r="AX98" s="49"/>
      <c r="AY98" s="49"/>
      <c r="AZ98" s="49"/>
      <c r="BA98" s="59" t="str">
        <f t="shared" si="15"/>
        <v>0</v>
      </c>
    </row>
    <row r="99" spans="1:53" ht="23.1" customHeight="1" x14ac:dyDescent="0.3">
      <c r="A99" s="49">
        <v>97</v>
      </c>
      <c r="B99" s="49" t="s">
        <v>184</v>
      </c>
      <c r="C99" s="49" t="s">
        <v>185</v>
      </c>
      <c r="D99" s="49" t="s">
        <v>542</v>
      </c>
      <c r="E99" s="49" t="s">
        <v>161</v>
      </c>
      <c r="F99" s="49"/>
      <c r="G99" s="49"/>
      <c r="H99" s="49"/>
      <c r="I99" s="49"/>
      <c r="J99" s="49"/>
      <c r="K99" s="59" t="str">
        <f t="shared" si="8"/>
        <v>0</v>
      </c>
      <c r="L99" s="49">
        <v>3.5</v>
      </c>
      <c r="M99" s="49">
        <v>3.5</v>
      </c>
      <c r="N99" s="49">
        <v>3</v>
      </c>
      <c r="O99" s="49"/>
      <c r="P99" s="49">
        <v>3</v>
      </c>
      <c r="Q99" s="59">
        <f t="shared" si="9"/>
        <v>3.25</v>
      </c>
      <c r="R99" s="49">
        <v>3</v>
      </c>
      <c r="S99" s="49"/>
      <c r="T99" s="49"/>
      <c r="U99" s="49"/>
      <c r="V99" s="49"/>
      <c r="W99" s="59">
        <f t="shared" si="10"/>
        <v>3</v>
      </c>
      <c r="X99" s="49"/>
      <c r="Y99" s="49"/>
      <c r="Z99" s="49"/>
      <c r="AA99" s="49"/>
      <c r="AB99" s="49"/>
      <c r="AC99" s="59" t="str">
        <f t="shared" si="11"/>
        <v>0</v>
      </c>
      <c r="AD99" s="49"/>
      <c r="AE99" s="49"/>
      <c r="AF99" s="49"/>
      <c r="AG99" s="49"/>
      <c r="AH99" s="49"/>
      <c r="AI99" s="59" t="str">
        <f t="shared" si="12"/>
        <v>0</v>
      </c>
      <c r="AJ99" s="49"/>
      <c r="AK99" s="49"/>
      <c r="AL99" s="49"/>
      <c r="AM99" s="49"/>
      <c r="AN99" s="49"/>
      <c r="AO99" s="59" t="str">
        <f t="shared" si="13"/>
        <v>0</v>
      </c>
      <c r="AP99" s="49"/>
      <c r="AQ99" s="49"/>
      <c r="AR99" s="49"/>
      <c r="AS99" s="49"/>
      <c r="AT99" s="49"/>
      <c r="AU99" s="59" t="str">
        <f t="shared" si="14"/>
        <v>0</v>
      </c>
      <c r="AV99" s="49"/>
      <c r="AW99" s="49"/>
      <c r="AX99" s="49"/>
      <c r="AY99" s="49"/>
      <c r="AZ99" s="49"/>
      <c r="BA99" s="59" t="str">
        <f t="shared" si="15"/>
        <v>0</v>
      </c>
    </row>
    <row r="100" spans="1:53" ht="23.1" customHeight="1" x14ac:dyDescent="0.3">
      <c r="A100" s="7">
        <v>98</v>
      </c>
      <c r="B100" s="7" t="s">
        <v>344</v>
      </c>
      <c r="C100" s="7" t="s">
        <v>345</v>
      </c>
      <c r="D100" s="7" t="s">
        <v>542</v>
      </c>
      <c r="E100" s="7" t="s">
        <v>493</v>
      </c>
      <c r="F100" s="7"/>
      <c r="G100" s="7"/>
      <c r="H100" s="49"/>
      <c r="I100" s="7"/>
      <c r="J100" s="7"/>
      <c r="K100" s="59" t="str">
        <f t="shared" si="8"/>
        <v>0</v>
      </c>
      <c r="L100" s="49">
        <v>3</v>
      </c>
      <c r="M100" s="49">
        <v>3</v>
      </c>
      <c r="N100" s="49">
        <v>3</v>
      </c>
      <c r="O100" s="49"/>
      <c r="P100" s="49">
        <v>2</v>
      </c>
      <c r="Q100" s="59">
        <f t="shared" si="9"/>
        <v>2.75</v>
      </c>
      <c r="R100" s="49">
        <v>3</v>
      </c>
      <c r="S100" s="49"/>
      <c r="T100" s="7"/>
      <c r="U100" s="49"/>
      <c r="V100" s="7"/>
      <c r="W100" s="59">
        <f t="shared" si="10"/>
        <v>3</v>
      </c>
      <c r="X100" s="49"/>
      <c r="Y100" s="49"/>
      <c r="Z100" s="7"/>
      <c r="AA100" s="7"/>
      <c r="AB100" s="7"/>
      <c r="AC100" s="59" t="str">
        <f t="shared" si="11"/>
        <v>0</v>
      </c>
      <c r="AD100" s="49"/>
      <c r="AE100" s="7"/>
      <c r="AF100" s="49"/>
      <c r="AG100" s="7"/>
      <c r="AH100" s="7"/>
      <c r="AI100" s="59" t="str">
        <f t="shared" si="12"/>
        <v>0</v>
      </c>
      <c r="AJ100" s="49"/>
      <c r="AK100" s="49"/>
      <c r="AL100" s="7"/>
      <c r="AM100" s="49"/>
      <c r="AN100" s="7"/>
      <c r="AO100" s="59" t="str">
        <f t="shared" si="13"/>
        <v>0</v>
      </c>
      <c r="AP100" s="49"/>
      <c r="AQ100" s="49"/>
      <c r="AR100" s="49"/>
      <c r="AS100" s="7"/>
      <c r="AT100" s="7"/>
      <c r="AU100" s="59" t="str">
        <f t="shared" si="14"/>
        <v>0</v>
      </c>
      <c r="AV100" s="7"/>
      <c r="AW100" s="7"/>
      <c r="AX100" s="49"/>
      <c r="AY100" s="49"/>
      <c r="AZ100" s="49"/>
      <c r="BA100" s="59" t="str">
        <f t="shared" si="15"/>
        <v>0</v>
      </c>
    </row>
    <row r="101" spans="1:53" ht="23.1" customHeight="1" x14ac:dyDescent="0.3">
      <c r="A101" s="49">
        <v>99</v>
      </c>
      <c r="B101" s="49" t="s">
        <v>263</v>
      </c>
      <c r="C101" s="49" t="s">
        <v>264</v>
      </c>
      <c r="D101" s="49" t="s">
        <v>450</v>
      </c>
      <c r="E101" s="49" t="s">
        <v>161</v>
      </c>
      <c r="F101" s="49"/>
      <c r="G101" s="49"/>
      <c r="H101" s="49"/>
      <c r="I101" s="49"/>
      <c r="J101" s="49"/>
      <c r="K101" s="59" t="str">
        <f t="shared" si="8"/>
        <v>0</v>
      </c>
      <c r="L101" s="49">
        <v>2</v>
      </c>
      <c r="M101" s="49">
        <v>2</v>
      </c>
      <c r="N101" s="49">
        <v>1</v>
      </c>
      <c r="O101" s="49"/>
      <c r="P101" s="49">
        <v>1</v>
      </c>
      <c r="Q101" s="59">
        <f t="shared" si="9"/>
        <v>1.5</v>
      </c>
      <c r="R101" s="49">
        <v>1</v>
      </c>
      <c r="S101" s="49"/>
      <c r="T101" s="49"/>
      <c r="U101" s="49"/>
      <c r="V101" s="49"/>
      <c r="W101" s="59">
        <f t="shared" si="10"/>
        <v>1</v>
      </c>
      <c r="X101" s="49"/>
      <c r="Y101" s="49"/>
      <c r="Z101" s="49"/>
      <c r="AA101" s="49"/>
      <c r="AB101" s="49"/>
      <c r="AC101" s="59" t="str">
        <f t="shared" si="11"/>
        <v>0</v>
      </c>
      <c r="AD101" s="49"/>
      <c r="AE101" s="49"/>
      <c r="AF101" s="49"/>
      <c r="AG101" s="49"/>
      <c r="AH101" s="49"/>
      <c r="AI101" s="59" t="str">
        <f t="shared" si="12"/>
        <v>0</v>
      </c>
      <c r="AJ101" s="49"/>
      <c r="AK101" s="49"/>
      <c r="AL101" s="49"/>
      <c r="AM101" s="49"/>
      <c r="AN101" s="49"/>
      <c r="AO101" s="59" t="str">
        <f t="shared" si="13"/>
        <v>0</v>
      </c>
      <c r="AP101" s="49"/>
      <c r="AQ101" s="49"/>
      <c r="AR101" s="49"/>
      <c r="AS101" s="49"/>
      <c r="AT101" s="49"/>
      <c r="AU101" s="59" t="str">
        <f t="shared" si="14"/>
        <v>0</v>
      </c>
      <c r="AV101" s="49"/>
      <c r="AW101" s="49"/>
      <c r="AX101" s="49"/>
      <c r="AY101" s="49"/>
      <c r="AZ101" s="49"/>
      <c r="BA101" s="59" t="str">
        <f t="shared" si="15"/>
        <v>0</v>
      </c>
    </row>
    <row r="102" spans="1:53" ht="23.1" customHeight="1" x14ac:dyDescent="0.3">
      <c r="A102" s="7">
        <v>100</v>
      </c>
      <c r="B102" s="7" t="s">
        <v>140</v>
      </c>
      <c r="C102" s="7" t="s">
        <v>141</v>
      </c>
      <c r="D102" s="7" t="s">
        <v>450</v>
      </c>
      <c r="E102" s="7" t="s">
        <v>35</v>
      </c>
      <c r="F102" s="7"/>
      <c r="G102" s="7"/>
      <c r="H102" s="49"/>
      <c r="I102" s="7"/>
      <c r="J102" s="7"/>
      <c r="K102" s="59" t="str">
        <f t="shared" si="8"/>
        <v>0</v>
      </c>
      <c r="L102" s="49">
        <v>1</v>
      </c>
      <c r="M102" s="49">
        <v>1</v>
      </c>
      <c r="N102" s="49">
        <v>1</v>
      </c>
      <c r="O102" s="49"/>
      <c r="P102" s="49">
        <v>1</v>
      </c>
      <c r="Q102" s="59">
        <f t="shared" si="9"/>
        <v>1</v>
      </c>
      <c r="R102" s="49">
        <v>1</v>
      </c>
      <c r="S102" s="49"/>
      <c r="T102" s="7"/>
      <c r="U102" s="49"/>
      <c r="V102" s="7"/>
      <c r="W102" s="59">
        <f t="shared" si="10"/>
        <v>1</v>
      </c>
      <c r="X102" s="49"/>
      <c r="Y102" s="49"/>
      <c r="Z102" s="7"/>
      <c r="AA102" s="7"/>
      <c r="AB102" s="7"/>
      <c r="AC102" s="59" t="str">
        <f t="shared" si="11"/>
        <v>0</v>
      </c>
      <c r="AD102" s="49"/>
      <c r="AE102" s="7"/>
      <c r="AF102" s="49"/>
      <c r="AG102" s="7"/>
      <c r="AH102" s="7"/>
      <c r="AI102" s="59" t="str">
        <f t="shared" si="12"/>
        <v>0</v>
      </c>
      <c r="AJ102" s="49"/>
      <c r="AK102" s="49"/>
      <c r="AL102" s="7"/>
      <c r="AM102" s="49"/>
      <c r="AN102" s="7"/>
      <c r="AO102" s="59" t="str">
        <f t="shared" si="13"/>
        <v>0</v>
      </c>
      <c r="AP102" s="49"/>
      <c r="AQ102" s="49"/>
      <c r="AR102" s="49"/>
      <c r="AS102" s="7"/>
      <c r="AT102" s="7"/>
      <c r="AU102" s="59" t="str">
        <f t="shared" si="14"/>
        <v>0</v>
      </c>
      <c r="AV102" s="7"/>
      <c r="AW102" s="7"/>
      <c r="AX102" s="49"/>
      <c r="AY102" s="49"/>
      <c r="AZ102" s="49"/>
      <c r="BA102" s="59" t="str">
        <f t="shared" si="15"/>
        <v>0</v>
      </c>
    </row>
    <row r="103" spans="1:53" ht="23.1" customHeight="1" x14ac:dyDescent="0.3">
      <c r="A103" s="49">
        <v>101</v>
      </c>
      <c r="B103" s="49" t="s">
        <v>346</v>
      </c>
      <c r="C103" s="49" t="s">
        <v>347</v>
      </c>
      <c r="D103" s="49" t="s">
        <v>450</v>
      </c>
      <c r="E103" s="49" t="s">
        <v>493</v>
      </c>
      <c r="F103" s="49"/>
      <c r="G103" s="49"/>
      <c r="H103" s="49"/>
      <c r="I103" s="49"/>
      <c r="J103" s="49"/>
      <c r="K103" s="59" t="str">
        <f t="shared" si="8"/>
        <v>0</v>
      </c>
      <c r="L103" s="49">
        <v>3</v>
      </c>
      <c r="M103" s="49">
        <v>4</v>
      </c>
      <c r="N103" s="49">
        <v>3</v>
      </c>
      <c r="O103" s="49"/>
      <c r="P103" s="49">
        <v>4</v>
      </c>
      <c r="Q103" s="59">
        <f t="shared" si="9"/>
        <v>3.5</v>
      </c>
      <c r="R103" s="49">
        <v>3</v>
      </c>
      <c r="S103" s="49"/>
      <c r="T103" s="49"/>
      <c r="U103" s="49"/>
      <c r="V103" s="49"/>
      <c r="W103" s="59">
        <f t="shared" si="10"/>
        <v>3</v>
      </c>
      <c r="X103" s="49"/>
      <c r="Y103" s="49"/>
      <c r="Z103" s="49"/>
      <c r="AA103" s="49"/>
      <c r="AB103" s="49"/>
      <c r="AC103" s="59" t="str">
        <f t="shared" si="11"/>
        <v>0</v>
      </c>
      <c r="AD103" s="49"/>
      <c r="AE103" s="49"/>
      <c r="AF103" s="49"/>
      <c r="AG103" s="49"/>
      <c r="AH103" s="49"/>
      <c r="AI103" s="59" t="str">
        <f t="shared" si="12"/>
        <v>0</v>
      </c>
      <c r="AJ103" s="49"/>
      <c r="AK103" s="49"/>
      <c r="AL103" s="49"/>
      <c r="AM103" s="49"/>
      <c r="AN103" s="49"/>
      <c r="AO103" s="59" t="str">
        <f t="shared" si="13"/>
        <v>0</v>
      </c>
      <c r="AP103" s="49"/>
      <c r="AQ103" s="49"/>
      <c r="AR103" s="49"/>
      <c r="AS103" s="49"/>
      <c r="AT103" s="49"/>
      <c r="AU103" s="59" t="str">
        <f t="shared" si="14"/>
        <v>0</v>
      </c>
      <c r="AV103" s="49"/>
      <c r="AW103" s="49"/>
      <c r="AX103" s="49"/>
      <c r="AY103" s="49"/>
      <c r="AZ103" s="49"/>
      <c r="BA103" s="59" t="str">
        <f t="shared" si="15"/>
        <v>0</v>
      </c>
    </row>
    <row r="104" spans="1:53" ht="23.1" customHeight="1" x14ac:dyDescent="0.3">
      <c r="A104" s="7">
        <v>102</v>
      </c>
      <c r="B104" s="7" t="s">
        <v>348</v>
      </c>
      <c r="C104" s="7" t="s">
        <v>349</v>
      </c>
      <c r="D104" s="7" t="s">
        <v>542</v>
      </c>
      <c r="E104" s="7" t="s">
        <v>493</v>
      </c>
      <c r="F104" s="7"/>
      <c r="G104" s="7"/>
      <c r="H104" s="49"/>
      <c r="I104" s="7"/>
      <c r="J104" s="7"/>
      <c r="K104" s="59" t="str">
        <f t="shared" si="8"/>
        <v>0</v>
      </c>
      <c r="L104" s="49">
        <v>3</v>
      </c>
      <c r="M104" s="49">
        <v>4</v>
      </c>
      <c r="N104" s="49">
        <v>4</v>
      </c>
      <c r="O104" s="49"/>
      <c r="P104" s="49">
        <v>2</v>
      </c>
      <c r="Q104" s="59">
        <f t="shared" si="9"/>
        <v>3.25</v>
      </c>
      <c r="R104" s="49">
        <v>3</v>
      </c>
      <c r="S104" s="49"/>
      <c r="T104" s="7"/>
      <c r="U104" s="49"/>
      <c r="V104" s="7"/>
      <c r="W104" s="59">
        <f t="shared" si="10"/>
        <v>3</v>
      </c>
      <c r="X104" s="49"/>
      <c r="Y104" s="49"/>
      <c r="Z104" s="7"/>
      <c r="AA104" s="7"/>
      <c r="AB104" s="7"/>
      <c r="AC104" s="59" t="str">
        <f t="shared" si="11"/>
        <v>0</v>
      </c>
      <c r="AD104" s="49"/>
      <c r="AE104" s="7"/>
      <c r="AF104" s="49"/>
      <c r="AG104" s="7"/>
      <c r="AH104" s="7"/>
      <c r="AI104" s="59" t="str">
        <f t="shared" si="12"/>
        <v>0</v>
      </c>
      <c r="AJ104" s="49"/>
      <c r="AK104" s="49"/>
      <c r="AL104" s="7"/>
      <c r="AM104" s="49"/>
      <c r="AN104" s="7"/>
      <c r="AO104" s="59" t="str">
        <f t="shared" si="13"/>
        <v>0</v>
      </c>
      <c r="AP104" s="49"/>
      <c r="AQ104" s="49"/>
      <c r="AR104" s="49"/>
      <c r="AS104" s="7"/>
      <c r="AT104" s="7"/>
      <c r="AU104" s="59" t="str">
        <f t="shared" si="14"/>
        <v>0</v>
      </c>
      <c r="AV104" s="7"/>
      <c r="AW104" s="7"/>
      <c r="AX104" s="49"/>
      <c r="AY104" s="49"/>
      <c r="AZ104" s="49"/>
      <c r="BA104" s="59" t="str">
        <f t="shared" si="15"/>
        <v>0</v>
      </c>
    </row>
    <row r="105" spans="1:53" ht="23.1" customHeight="1" x14ac:dyDescent="0.3">
      <c r="A105" s="49">
        <v>103</v>
      </c>
      <c r="B105" s="49" t="s">
        <v>142</v>
      </c>
      <c r="C105" s="49" t="s">
        <v>143</v>
      </c>
      <c r="D105" s="49" t="s">
        <v>542</v>
      </c>
      <c r="E105" s="49" t="s">
        <v>35</v>
      </c>
      <c r="F105" s="49"/>
      <c r="G105" s="49"/>
      <c r="H105" s="49"/>
      <c r="I105" s="49"/>
      <c r="J105" s="49"/>
      <c r="K105" s="59" t="str">
        <f t="shared" si="8"/>
        <v>0</v>
      </c>
      <c r="L105" s="49">
        <v>3</v>
      </c>
      <c r="M105" s="49">
        <v>3</v>
      </c>
      <c r="N105" s="49">
        <v>3</v>
      </c>
      <c r="O105" s="49"/>
      <c r="P105" s="49">
        <v>2</v>
      </c>
      <c r="Q105" s="59">
        <f t="shared" si="9"/>
        <v>2.75</v>
      </c>
      <c r="R105" s="49">
        <v>2</v>
      </c>
      <c r="S105" s="49"/>
      <c r="T105" s="49"/>
      <c r="U105" s="49"/>
      <c r="V105" s="49"/>
      <c r="W105" s="59">
        <f t="shared" si="10"/>
        <v>2</v>
      </c>
      <c r="X105" s="49"/>
      <c r="Y105" s="49"/>
      <c r="Z105" s="49"/>
      <c r="AA105" s="49"/>
      <c r="AB105" s="49"/>
      <c r="AC105" s="59" t="str">
        <f t="shared" si="11"/>
        <v>0</v>
      </c>
      <c r="AD105" s="49"/>
      <c r="AE105" s="49"/>
      <c r="AF105" s="49"/>
      <c r="AG105" s="49"/>
      <c r="AH105" s="49"/>
      <c r="AI105" s="59" t="str">
        <f t="shared" si="12"/>
        <v>0</v>
      </c>
      <c r="AJ105" s="49"/>
      <c r="AK105" s="49"/>
      <c r="AL105" s="49"/>
      <c r="AM105" s="49"/>
      <c r="AN105" s="49"/>
      <c r="AO105" s="59" t="str">
        <f t="shared" si="13"/>
        <v>0</v>
      </c>
      <c r="AP105" s="49"/>
      <c r="AQ105" s="49"/>
      <c r="AR105" s="49"/>
      <c r="AS105" s="49"/>
      <c r="AT105" s="49"/>
      <c r="AU105" s="59" t="str">
        <f t="shared" si="14"/>
        <v>0</v>
      </c>
      <c r="AV105" s="49"/>
      <c r="AW105" s="49"/>
      <c r="AX105" s="49"/>
      <c r="AY105" s="49"/>
      <c r="AZ105" s="49"/>
      <c r="BA105" s="59" t="str">
        <f t="shared" si="15"/>
        <v>0</v>
      </c>
    </row>
    <row r="106" spans="1:53" ht="23.1" customHeight="1" x14ac:dyDescent="0.3">
      <c r="A106" s="7">
        <v>104</v>
      </c>
      <c r="B106" s="7" t="s">
        <v>77</v>
      </c>
      <c r="C106" s="7" t="s">
        <v>78</v>
      </c>
      <c r="D106" s="7" t="s">
        <v>450</v>
      </c>
      <c r="E106" s="7" t="s">
        <v>35</v>
      </c>
      <c r="F106" s="7"/>
      <c r="G106" s="7"/>
      <c r="H106" s="49"/>
      <c r="I106" s="7"/>
      <c r="J106" s="7"/>
      <c r="K106" s="59" t="str">
        <f t="shared" si="8"/>
        <v>0</v>
      </c>
      <c r="L106" s="49">
        <v>2</v>
      </c>
      <c r="M106" s="49">
        <v>4</v>
      </c>
      <c r="N106" s="49">
        <v>3</v>
      </c>
      <c r="O106" s="49"/>
      <c r="P106" s="49">
        <v>5</v>
      </c>
      <c r="Q106" s="59">
        <f t="shared" si="9"/>
        <v>3.5</v>
      </c>
      <c r="R106" s="49">
        <v>4</v>
      </c>
      <c r="S106" s="49"/>
      <c r="T106" s="7"/>
      <c r="U106" s="49"/>
      <c r="V106" s="7"/>
      <c r="W106" s="59">
        <f t="shared" si="10"/>
        <v>4</v>
      </c>
      <c r="X106" s="49"/>
      <c r="Y106" s="49"/>
      <c r="Z106" s="7"/>
      <c r="AA106" s="7"/>
      <c r="AB106" s="7"/>
      <c r="AC106" s="59" t="str">
        <f t="shared" si="11"/>
        <v>0</v>
      </c>
      <c r="AD106" s="49"/>
      <c r="AE106" s="7"/>
      <c r="AF106" s="49"/>
      <c r="AG106" s="7"/>
      <c r="AH106" s="7"/>
      <c r="AI106" s="59" t="str">
        <f t="shared" si="12"/>
        <v>0</v>
      </c>
      <c r="AJ106" s="49"/>
      <c r="AK106" s="49"/>
      <c r="AL106" s="7"/>
      <c r="AM106" s="49"/>
      <c r="AN106" s="7"/>
      <c r="AO106" s="59" t="str">
        <f t="shared" si="13"/>
        <v>0</v>
      </c>
      <c r="AP106" s="49"/>
      <c r="AQ106" s="49"/>
      <c r="AR106" s="49"/>
      <c r="AS106" s="7"/>
      <c r="AT106" s="7"/>
      <c r="AU106" s="59" t="str">
        <f t="shared" si="14"/>
        <v>0</v>
      </c>
      <c r="AV106" s="7"/>
      <c r="AW106" s="7"/>
      <c r="AX106" s="49"/>
      <c r="AY106" s="49"/>
      <c r="AZ106" s="49"/>
      <c r="BA106" s="59" t="str">
        <f t="shared" si="15"/>
        <v>0</v>
      </c>
    </row>
    <row r="107" spans="1:53" ht="23.1" customHeight="1" x14ac:dyDescent="0.3">
      <c r="A107" s="49">
        <v>105</v>
      </c>
      <c r="B107" s="49" t="s">
        <v>144</v>
      </c>
      <c r="C107" s="49" t="s">
        <v>145</v>
      </c>
      <c r="D107" s="49" t="s">
        <v>542</v>
      </c>
      <c r="E107" s="49" t="s">
        <v>35</v>
      </c>
      <c r="F107" s="49"/>
      <c r="G107" s="49"/>
      <c r="H107" s="49"/>
      <c r="I107" s="49"/>
      <c r="J107" s="49"/>
      <c r="K107" s="59" t="str">
        <f t="shared" si="8"/>
        <v>0</v>
      </c>
      <c r="L107" s="49">
        <v>4</v>
      </c>
      <c r="M107" s="49">
        <v>4</v>
      </c>
      <c r="N107" s="49">
        <v>3</v>
      </c>
      <c r="O107" s="49"/>
      <c r="P107" s="49">
        <v>4</v>
      </c>
      <c r="Q107" s="59">
        <f t="shared" si="9"/>
        <v>3.75</v>
      </c>
      <c r="R107" s="49">
        <v>4</v>
      </c>
      <c r="S107" s="49"/>
      <c r="T107" s="49"/>
      <c r="U107" s="49"/>
      <c r="V107" s="49"/>
      <c r="W107" s="59">
        <f t="shared" si="10"/>
        <v>4</v>
      </c>
      <c r="X107" s="49"/>
      <c r="Y107" s="49"/>
      <c r="Z107" s="49"/>
      <c r="AA107" s="49"/>
      <c r="AB107" s="49"/>
      <c r="AC107" s="59" t="str">
        <f t="shared" si="11"/>
        <v>0</v>
      </c>
      <c r="AD107" s="49"/>
      <c r="AE107" s="49"/>
      <c r="AF107" s="49"/>
      <c r="AG107" s="49"/>
      <c r="AH107" s="49"/>
      <c r="AI107" s="59" t="str">
        <f t="shared" si="12"/>
        <v>0</v>
      </c>
      <c r="AJ107" s="49"/>
      <c r="AK107" s="49"/>
      <c r="AL107" s="49"/>
      <c r="AM107" s="49"/>
      <c r="AN107" s="49"/>
      <c r="AO107" s="59" t="str">
        <f t="shared" si="13"/>
        <v>0</v>
      </c>
      <c r="AP107" s="49"/>
      <c r="AQ107" s="49"/>
      <c r="AR107" s="49"/>
      <c r="AS107" s="49"/>
      <c r="AT107" s="49"/>
      <c r="AU107" s="59" t="str">
        <f t="shared" si="14"/>
        <v>0</v>
      </c>
      <c r="AV107" s="49"/>
      <c r="AW107" s="49"/>
      <c r="AX107" s="49"/>
      <c r="AY107" s="49"/>
      <c r="AZ107" s="49"/>
      <c r="BA107" s="59" t="str">
        <f t="shared" si="15"/>
        <v>0</v>
      </c>
    </row>
    <row r="108" spans="1:53" ht="23.1" customHeight="1" x14ac:dyDescent="0.3">
      <c r="A108" s="7">
        <v>106</v>
      </c>
      <c r="B108" s="7" t="s">
        <v>350</v>
      </c>
      <c r="C108" s="7" t="s">
        <v>351</v>
      </c>
      <c r="D108" s="7" t="s">
        <v>450</v>
      </c>
      <c r="E108" s="7" t="s">
        <v>493</v>
      </c>
      <c r="F108" s="7"/>
      <c r="G108" s="7"/>
      <c r="H108" s="49"/>
      <c r="I108" s="7"/>
      <c r="J108" s="7"/>
      <c r="K108" s="59" t="str">
        <f t="shared" si="8"/>
        <v>0</v>
      </c>
      <c r="L108" s="49">
        <v>3</v>
      </c>
      <c r="M108" s="49">
        <v>3</v>
      </c>
      <c r="N108" s="49">
        <v>3</v>
      </c>
      <c r="O108" s="49"/>
      <c r="P108" s="49">
        <v>3</v>
      </c>
      <c r="Q108" s="59">
        <f t="shared" si="9"/>
        <v>3</v>
      </c>
      <c r="R108" s="49">
        <v>3</v>
      </c>
      <c r="S108" s="49"/>
      <c r="T108" s="7"/>
      <c r="U108" s="49"/>
      <c r="V108" s="7"/>
      <c r="W108" s="59">
        <f t="shared" si="10"/>
        <v>3</v>
      </c>
      <c r="X108" s="49"/>
      <c r="Y108" s="49"/>
      <c r="Z108" s="7"/>
      <c r="AA108" s="7"/>
      <c r="AB108" s="7"/>
      <c r="AC108" s="59" t="str">
        <f t="shared" si="11"/>
        <v>0</v>
      </c>
      <c r="AD108" s="49"/>
      <c r="AE108" s="7"/>
      <c r="AF108" s="49"/>
      <c r="AG108" s="7"/>
      <c r="AH108" s="7"/>
      <c r="AI108" s="59" t="str">
        <f t="shared" si="12"/>
        <v>0</v>
      </c>
      <c r="AJ108" s="49"/>
      <c r="AK108" s="49"/>
      <c r="AL108" s="7"/>
      <c r="AM108" s="49"/>
      <c r="AN108" s="7"/>
      <c r="AO108" s="59" t="str">
        <f t="shared" si="13"/>
        <v>0</v>
      </c>
      <c r="AP108" s="49"/>
      <c r="AQ108" s="49"/>
      <c r="AR108" s="49"/>
      <c r="AS108" s="7"/>
      <c r="AT108" s="7"/>
      <c r="AU108" s="59" t="str">
        <f t="shared" si="14"/>
        <v>0</v>
      </c>
      <c r="AV108" s="7"/>
      <c r="AW108" s="7"/>
      <c r="AX108" s="49"/>
      <c r="AY108" s="49"/>
      <c r="AZ108" s="49"/>
      <c r="BA108" s="59" t="str">
        <f t="shared" si="15"/>
        <v>0</v>
      </c>
    </row>
    <row r="109" spans="1:53" ht="23.1" customHeight="1" x14ac:dyDescent="0.3">
      <c r="A109" s="49">
        <v>107</v>
      </c>
      <c r="B109" s="49" t="s">
        <v>352</v>
      </c>
      <c r="C109" s="49" t="s">
        <v>353</v>
      </c>
      <c r="D109" s="49" t="s">
        <v>542</v>
      </c>
      <c r="E109" s="49" t="s">
        <v>493</v>
      </c>
      <c r="F109" s="49"/>
      <c r="G109" s="49"/>
      <c r="H109" s="49"/>
      <c r="I109" s="49"/>
      <c r="J109" s="49"/>
      <c r="K109" s="59" t="str">
        <f t="shared" si="8"/>
        <v>0</v>
      </c>
      <c r="L109" s="49">
        <v>4</v>
      </c>
      <c r="M109" s="49">
        <v>3</v>
      </c>
      <c r="N109" s="49">
        <v>4</v>
      </c>
      <c r="O109" s="49"/>
      <c r="P109" s="49">
        <v>5</v>
      </c>
      <c r="Q109" s="59">
        <f t="shared" si="9"/>
        <v>4</v>
      </c>
      <c r="R109" s="49">
        <v>2</v>
      </c>
      <c r="S109" s="49"/>
      <c r="T109" s="49"/>
      <c r="U109" s="49"/>
      <c r="V109" s="49"/>
      <c r="W109" s="59">
        <f t="shared" si="10"/>
        <v>2</v>
      </c>
      <c r="X109" s="49"/>
      <c r="Y109" s="49"/>
      <c r="Z109" s="49"/>
      <c r="AA109" s="49"/>
      <c r="AB109" s="49"/>
      <c r="AC109" s="59" t="str">
        <f t="shared" si="11"/>
        <v>0</v>
      </c>
      <c r="AD109" s="49"/>
      <c r="AE109" s="49"/>
      <c r="AF109" s="49"/>
      <c r="AG109" s="49"/>
      <c r="AH109" s="49"/>
      <c r="AI109" s="59" t="str">
        <f t="shared" si="12"/>
        <v>0</v>
      </c>
      <c r="AJ109" s="49"/>
      <c r="AK109" s="49"/>
      <c r="AL109" s="49"/>
      <c r="AM109" s="49"/>
      <c r="AN109" s="49"/>
      <c r="AO109" s="59" t="str">
        <f t="shared" si="13"/>
        <v>0</v>
      </c>
      <c r="AP109" s="49"/>
      <c r="AQ109" s="49"/>
      <c r="AR109" s="49"/>
      <c r="AS109" s="49"/>
      <c r="AT109" s="49"/>
      <c r="AU109" s="59" t="str">
        <f t="shared" si="14"/>
        <v>0</v>
      </c>
      <c r="AV109" s="49"/>
      <c r="AW109" s="49"/>
      <c r="AX109" s="49"/>
      <c r="AY109" s="49"/>
      <c r="AZ109" s="49"/>
      <c r="BA109" s="59" t="str">
        <f t="shared" si="15"/>
        <v>0</v>
      </c>
    </row>
    <row r="110" spans="1:53" ht="23.1" customHeight="1" x14ac:dyDescent="0.3">
      <c r="A110" s="7">
        <v>108</v>
      </c>
      <c r="B110" s="7" t="s">
        <v>279</v>
      </c>
      <c r="C110" s="7" t="s">
        <v>280</v>
      </c>
      <c r="D110" s="7" t="s">
        <v>450</v>
      </c>
      <c r="E110" s="7" t="s">
        <v>161</v>
      </c>
      <c r="F110" s="7"/>
      <c r="G110" s="7"/>
      <c r="H110" s="49"/>
      <c r="I110" s="7"/>
      <c r="J110" s="7"/>
      <c r="K110" s="59" t="str">
        <f t="shared" si="8"/>
        <v>0</v>
      </c>
      <c r="L110" s="49">
        <v>3</v>
      </c>
      <c r="M110" s="49">
        <v>2</v>
      </c>
      <c r="N110" s="49">
        <v>2</v>
      </c>
      <c r="O110" s="49"/>
      <c r="P110" s="49">
        <v>1</v>
      </c>
      <c r="Q110" s="59">
        <f t="shared" si="9"/>
        <v>2</v>
      </c>
      <c r="R110" s="49">
        <v>1</v>
      </c>
      <c r="S110" s="49"/>
      <c r="T110" s="7"/>
      <c r="U110" s="49"/>
      <c r="V110" s="7"/>
      <c r="W110" s="59">
        <f t="shared" si="10"/>
        <v>1</v>
      </c>
      <c r="X110" s="49"/>
      <c r="Y110" s="49"/>
      <c r="Z110" s="7"/>
      <c r="AA110" s="7"/>
      <c r="AB110" s="7"/>
      <c r="AC110" s="59" t="str">
        <f t="shared" si="11"/>
        <v>0</v>
      </c>
      <c r="AD110" s="49"/>
      <c r="AE110" s="7"/>
      <c r="AF110" s="49"/>
      <c r="AG110" s="7"/>
      <c r="AH110" s="7"/>
      <c r="AI110" s="59" t="str">
        <f t="shared" si="12"/>
        <v>0</v>
      </c>
      <c r="AJ110" s="49"/>
      <c r="AK110" s="49"/>
      <c r="AL110" s="7"/>
      <c r="AM110" s="49"/>
      <c r="AN110" s="7"/>
      <c r="AO110" s="59" t="str">
        <f t="shared" si="13"/>
        <v>0</v>
      </c>
      <c r="AP110" s="49"/>
      <c r="AQ110" s="49"/>
      <c r="AR110" s="49"/>
      <c r="AS110" s="7"/>
      <c r="AT110" s="7"/>
      <c r="AU110" s="59" t="str">
        <f t="shared" si="14"/>
        <v>0</v>
      </c>
      <c r="AV110" s="7"/>
      <c r="AW110" s="7"/>
      <c r="AX110" s="49"/>
      <c r="AY110" s="49"/>
      <c r="AZ110" s="49"/>
      <c r="BA110" s="59" t="str">
        <f t="shared" si="15"/>
        <v>0</v>
      </c>
    </row>
    <row r="111" spans="1:53" ht="23.1" customHeight="1" x14ac:dyDescent="0.3">
      <c r="A111" s="49">
        <v>109</v>
      </c>
      <c r="B111" s="49" t="s">
        <v>168</v>
      </c>
      <c r="C111" s="49" t="s">
        <v>169</v>
      </c>
      <c r="D111" s="49" t="s">
        <v>450</v>
      </c>
      <c r="E111" s="49" t="s">
        <v>161</v>
      </c>
      <c r="F111" s="49"/>
      <c r="G111" s="49"/>
      <c r="H111" s="49"/>
      <c r="I111" s="49"/>
      <c r="J111" s="49"/>
      <c r="K111" s="59" t="str">
        <f t="shared" si="8"/>
        <v>0</v>
      </c>
      <c r="L111" s="49">
        <v>3</v>
      </c>
      <c r="M111" s="49">
        <v>4</v>
      </c>
      <c r="N111" s="49">
        <v>3</v>
      </c>
      <c r="O111" s="49"/>
      <c r="P111" s="49">
        <v>2</v>
      </c>
      <c r="Q111" s="59">
        <f t="shared" si="9"/>
        <v>3</v>
      </c>
      <c r="R111" s="49">
        <v>2</v>
      </c>
      <c r="S111" s="49"/>
      <c r="T111" s="49"/>
      <c r="U111" s="49"/>
      <c r="V111" s="49"/>
      <c r="W111" s="59">
        <f t="shared" si="10"/>
        <v>2</v>
      </c>
      <c r="X111" s="49"/>
      <c r="Y111" s="49"/>
      <c r="Z111" s="49"/>
      <c r="AA111" s="49"/>
      <c r="AB111" s="49"/>
      <c r="AC111" s="59" t="str">
        <f t="shared" si="11"/>
        <v>0</v>
      </c>
      <c r="AD111" s="49"/>
      <c r="AE111" s="49"/>
      <c r="AF111" s="49"/>
      <c r="AG111" s="49"/>
      <c r="AH111" s="49"/>
      <c r="AI111" s="59" t="str">
        <f t="shared" si="12"/>
        <v>0</v>
      </c>
      <c r="AJ111" s="49"/>
      <c r="AK111" s="49"/>
      <c r="AL111" s="49"/>
      <c r="AM111" s="49"/>
      <c r="AN111" s="49"/>
      <c r="AO111" s="59" t="str">
        <f t="shared" si="13"/>
        <v>0</v>
      </c>
      <c r="AP111" s="49"/>
      <c r="AQ111" s="49"/>
      <c r="AR111" s="49"/>
      <c r="AS111" s="49"/>
      <c r="AT111" s="49"/>
      <c r="AU111" s="59" t="str">
        <f t="shared" si="14"/>
        <v>0</v>
      </c>
      <c r="AV111" s="49"/>
      <c r="AW111" s="49"/>
      <c r="AX111" s="49"/>
      <c r="AY111" s="49"/>
      <c r="AZ111" s="49"/>
      <c r="BA111" s="59" t="str">
        <f t="shared" si="15"/>
        <v>0</v>
      </c>
    </row>
    <row r="112" spans="1:53" ht="23.1" customHeight="1" x14ac:dyDescent="0.3">
      <c r="A112" s="7">
        <v>110</v>
      </c>
      <c r="B112" s="7" t="s">
        <v>186</v>
      </c>
      <c r="C112" s="7" t="s">
        <v>187</v>
      </c>
      <c r="D112" s="7" t="s">
        <v>450</v>
      </c>
      <c r="E112" s="7" t="s">
        <v>161</v>
      </c>
      <c r="F112" s="7"/>
      <c r="G112" s="7"/>
      <c r="H112" s="49"/>
      <c r="I112" s="7"/>
      <c r="J112" s="7"/>
      <c r="K112" s="59" t="str">
        <f t="shared" si="8"/>
        <v>0</v>
      </c>
      <c r="L112" s="49">
        <v>3</v>
      </c>
      <c r="M112" s="49">
        <v>2</v>
      </c>
      <c r="N112" s="49">
        <v>2</v>
      </c>
      <c r="O112" s="49"/>
      <c r="P112" s="49">
        <v>2</v>
      </c>
      <c r="Q112" s="59">
        <f t="shared" si="9"/>
        <v>2.25</v>
      </c>
      <c r="R112" s="49">
        <v>2</v>
      </c>
      <c r="S112" s="49"/>
      <c r="T112" s="7"/>
      <c r="U112" s="49"/>
      <c r="V112" s="7"/>
      <c r="W112" s="59">
        <f t="shared" si="10"/>
        <v>2</v>
      </c>
      <c r="X112" s="49"/>
      <c r="Y112" s="49"/>
      <c r="Z112" s="7"/>
      <c r="AA112" s="7"/>
      <c r="AB112" s="7"/>
      <c r="AC112" s="59" t="str">
        <f t="shared" si="11"/>
        <v>0</v>
      </c>
      <c r="AD112" s="49"/>
      <c r="AE112" s="7"/>
      <c r="AF112" s="49"/>
      <c r="AG112" s="7"/>
      <c r="AH112" s="7"/>
      <c r="AI112" s="59" t="str">
        <f t="shared" si="12"/>
        <v>0</v>
      </c>
      <c r="AJ112" s="49"/>
      <c r="AK112" s="49"/>
      <c r="AL112" s="7"/>
      <c r="AM112" s="49"/>
      <c r="AN112" s="7"/>
      <c r="AO112" s="59" t="str">
        <f t="shared" si="13"/>
        <v>0</v>
      </c>
      <c r="AP112" s="49"/>
      <c r="AQ112" s="49"/>
      <c r="AR112" s="49"/>
      <c r="AS112" s="7"/>
      <c r="AT112" s="7"/>
      <c r="AU112" s="59" t="str">
        <f t="shared" si="14"/>
        <v>0</v>
      </c>
      <c r="AV112" s="7"/>
      <c r="AW112" s="7"/>
      <c r="AX112" s="49"/>
      <c r="AY112" s="49"/>
      <c r="AZ112" s="49"/>
      <c r="BA112" s="59" t="str">
        <f t="shared" si="15"/>
        <v>0</v>
      </c>
    </row>
    <row r="113" spans="1:53" ht="23.1" customHeight="1" x14ac:dyDescent="0.3">
      <c r="A113" s="49">
        <v>111</v>
      </c>
      <c r="B113" s="49" t="s">
        <v>233</v>
      </c>
      <c r="C113" s="49" t="s">
        <v>234</v>
      </c>
      <c r="D113" s="49" t="s">
        <v>450</v>
      </c>
      <c r="E113" s="49" t="s">
        <v>161</v>
      </c>
      <c r="F113" s="49"/>
      <c r="G113" s="49"/>
      <c r="H113" s="49"/>
      <c r="I113" s="49"/>
      <c r="J113" s="49"/>
      <c r="K113" s="59" t="str">
        <f t="shared" si="8"/>
        <v>0</v>
      </c>
      <c r="L113" s="49">
        <v>2</v>
      </c>
      <c r="M113" s="49">
        <v>3</v>
      </c>
      <c r="N113" s="49">
        <v>2</v>
      </c>
      <c r="O113" s="49"/>
      <c r="P113" s="49">
        <v>2</v>
      </c>
      <c r="Q113" s="59">
        <f t="shared" si="9"/>
        <v>2.25</v>
      </c>
      <c r="R113" s="49">
        <v>2</v>
      </c>
      <c r="S113" s="49"/>
      <c r="T113" s="49"/>
      <c r="U113" s="49"/>
      <c r="V113" s="49"/>
      <c r="W113" s="59">
        <f t="shared" si="10"/>
        <v>2</v>
      </c>
      <c r="X113" s="49"/>
      <c r="Y113" s="49"/>
      <c r="Z113" s="49"/>
      <c r="AA113" s="49"/>
      <c r="AB113" s="49"/>
      <c r="AC113" s="59" t="str">
        <f t="shared" si="11"/>
        <v>0</v>
      </c>
      <c r="AD113" s="49"/>
      <c r="AE113" s="49"/>
      <c r="AF113" s="49"/>
      <c r="AG113" s="49"/>
      <c r="AH113" s="49"/>
      <c r="AI113" s="59" t="str">
        <f t="shared" si="12"/>
        <v>0</v>
      </c>
      <c r="AJ113" s="49"/>
      <c r="AK113" s="49"/>
      <c r="AL113" s="49"/>
      <c r="AM113" s="49"/>
      <c r="AN113" s="49"/>
      <c r="AO113" s="59" t="str">
        <f t="shared" si="13"/>
        <v>0</v>
      </c>
      <c r="AP113" s="49"/>
      <c r="AQ113" s="49"/>
      <c r="AR113" s="49"/>
      <c r="AS113" s="49"/>
      <c r="AT113" s="49"/>
      <c r="AU113" s="59" t="str">
        <f t="shared" si="14"/>
        <v>0</v>
      </c>
      <c r="AV113" s="49"/>
      <c r="AW113" s="49"/>
      <c r="AX113" s="49"/>
      <c r="AY113" s="49"/>
      <c r="AZ113" s="49"/>
      <c r="BA113" s="59" t="str">
        <f t="shared" si="15"/>
        <v>0</v>
      </c>
    </row>
    <row r="114" spans="1:53" ht="23.1" customHeight="1" x14ac:dyDescent="0.3">
      <c r="A114" s="7">
        <v>112</v>
      </c>
      <c r="B114" s="7" t="s">
        <v>146</v>
      </c>
      <c r="C114" s="7" t="s">
        <v>147</v>
      </c>
      <c r="D114" s="7" t="s">
        <v>450</v>
      </c>
      <c r="E114" s="7" t="s">
        <v>35</v>
      </c>
      <c r="F114" s="7"/>
      <c r="G114" s="7"/>
      <c r="H114" s="49"/>
      <c r="I114" s="7"/>
      <c r="J114" s="7"/>
      <c r="K114" s="59" t="str">
        <f t="shared" si="8"/>
        <v>0</v>
      </c>
      <c r="L114" s="49">
        <v>3</v>
      </c>
      <c r="M114" s="49">
        <v>3</v>
      </c>
      <c r="N114" s="49">
        <v>3</v>
      </c>
      <c r="O114" s="49"/>
      <c r="P114" s="49">
        <v>2</v>
      </c>
      <c r="Q114" s="59">
        <f t="shared" si="9"/>
        <v>2.75</v>
      </c>
      <c r="R114" s="49">
        <v>1</v>
      </c>
      <c r="S114" s="49"/>
      <c r="T114" s="7"/>
      <c r="U114" s="49"/>
      <c r="V114" s="7"/>
      <c r="W114" s="59">
        <f t="shared" si="10"/>
        <v>1</v>
      </c>
      <c r="X114" s="49"/>
      <c r="Y114" s="49"/>
      <c r="Z114" s="7"/>
      <c r="AA114" s="7"/>
      <c r="AB114" s="7"/>
      <c r="AC114" s="59" t="str">
        <f t="shared" si="11"/>
        <v>0</v>
      </c>
      <c r="AD114" s="49"/>
      <c r="AE114" s="7"/>
      <c r="AF114" s="49"/>
      <c r="AG114" s="7"/>
      <c r="AH114" s="7"/>
      <c r="AI114" s="59" t="str">
        <f t="shared" si="12"/>
        <v>0</v>
      </c>
      <c r="AJ114" s="49"/>
      <c r="AK114" s="49"/>
      <c r="AL114" s="7"/>
      <c r="AM114" s="49"/>
      <c r="AN114" s="7"/>
      <c r="AO114" s="59" t="str">
        <f t="shared" si="13"/>
        <v>0</v>
      </c>
      <c r="AP114" s="49"/>
      <c r="AQ114" s="49"/>
      <c r="AR114" s="49"/>
      <c r="AS114" s="7"/>
      <c r="AT114" s="7"/>
      <c r="AU114" s="59" t="str">
        <f t="shared" si="14"/>
        <v>0</v>
      </c>
      <c r="AV114" s="7"/>
      <c r="AW114" s="7"/>
      <c r="AX114" s="49"/>
      <c r="AY114" s="49"/>
      <c r="AZ114" s="49"/>
      <c r="BA114" s="59" t="str">
        <f t="shared" si="15"/>
        <v>0</v>
      </c>
    </row>
    <row r="115" spans="1:53" ht="23.1" customHeight="1" x14ac:dyDescent="0.3">
      <c r="A115" s="49">
        <v>113</v>
      </c>
      <c r="B115" s="49" t="s">
        <v>201</v>
      </c>
      <c r="C115" s="49" t="s">
        <v>202</v>
      </c>
      <c r="D115" s="49" t="s">
        <v>450</v>
      </c>
      <c r="E115" s="49" t="s">
        <v>161</v>
      </c>
      <c r="F115" s="49"/>
      <c r="G115" s="49"/>
      <c r="H115" s="49"/>
      <c r="I115" s="49"/>
      <c r="J115" s="49"/>
      <c r="K115" s="59" t="str">
        <f t="shared" si="8"/>
        <v>0</v>
      </c>
      <c r="L115" s="49">
        <v>3</v>
      </c>
      <c r="M115" s="49">
        <v>3</v>
      </c>
      <c r="N115" s="49">
        <v>3</v>
      </c>
      <c r="O115" s="49"/>
      <c r="P115" s="49">
        <v>3</v>
      </c>
      <c r="Q115" s="59">
        <f t="shared" si="9"/>
        <v>3</v>
      </c>
      <c r="R115" s="49">
        <v>3</v>
      </c>
      <c r="S115" s="49"/>
      <c r="T115" s="49"/>
      <c r="U115" s="49"/>
      <c r="V115" s="49"/>
      <c r="W115" s="59">
        <f t="shared" si="10"/>
        <v>3</v>
      </c>
      <c r="X115" s="49"/>
      <c r="Y115" s="49"/>
      <c r="Z115" s="49"/>
      <c r="AA115" s="49"/>
      <c r="AB115" s="49"/>
      <c r="AC115" s="59" t="str">
        <f t="shared" si="11"/>
        <v>0</v>
      </c>
      <c r="AD115" s="49"/>
      <c r="AE115" s="49"/>
      <c r="AF115" s="49"/>
      <c r="AG115" s="49"/>
      <c r="AH115" s="49"/>
      <c r="AI115" s="59" t="str">
        <f t="shared" si="12"/>
        <v>0</v>
      </c>
      <c r="AJ115" s="49"/>
      <c r="AK115" s="49"/>
      <c r="AL115" s="49"/>
      <c r="AM115" s="49"/>
      <c r="AN115" s="49"/>
      <c r="AO115" s="59" t="str">
        <f t="shared" si="13"/>
        <v>0</v>
      </c>
      <c r="AP115" s="49"/>
      <c r="AQ115" s="49"/>
      <c r="AR115" s="49"/>
      <c r="AS115" s="49"/>
      <c r="AT115" s="49"/>
      <c r="AU115" s="59" t="str">
        <f t="shared" si="14"/>
        <v>0</v>
      </c>
      <c r="AV115" s="49"/>
      <c r="AW115" s="49"/>
      <c r="AX115" s="49"/>
      <c r="AY115" s="49"/>
      <c r="AZ115" s="49"/>
      <c r="BA115" s="59" t="str">
        <f t="shared" si="15"/>
        <v>0</v>
      </c>
    </row>
    <row r="116" spans="1:53" ht="23.1" customHeight="1" x14ac:dyDescent="0.3">
      <c r="A116" s="7">
        <v>114</v>
      </c>
      <c r="B116" s="7" t="s">
        <v>217</v>
      </c>
      <c r="C116" s="7" t="s">
        <v>218</v>
      </c>
      <c r="D116" s="7" t="s">
        <v>450</v>
      </c>
      <c r="E116" s="7" t="s">
        <v>161</v>
      </c>
      <c r="F116" s="7"/>
      <c r="G116" s="7"/>
      <c r="H116" s="49"/>
      <c r="I116" s="7"/>
      <c r="J116" s="7"/>
      <c r="K116" s="59" t="str">
        <f t="shared" si="8"/>
        <v>0</v>
      </c>
      <c r="L116" s="49">
        <v>2</v>
      </c>
      <c r="M116" s="49">
        <v>2</v>
      </c>
      <c r="N116" s="49">
        <v>2</v>
      </c>
      <c r="O116" s="49"/>
      <c r="P116" s="49">
        <v>2</v>
      </c>
      <c r="Q116" s="59">
        <f t="shared" si="9"/>
        <v>2</v>
      </c>
      <c r="R116" s="49">
        <v>2</v>
      </c>
      <c r="S116" s="49"/>
      <c r="T116" s="7"/>
      <c r="U116" s="49"/>
      <c r="V116" s="7"/>
      <c r="W116" s="59">
        <f t="shared" si="10"/>
        <v>2</v>
      </c>
      <c r="X116" s="49"/>
      <c r="Y116" s="49"/>
      <c r="Z116" s="7"/>
      <c r="AA116" s="7"/>
      <c r="AB116" s="7"/>
      <c r="AC116" s="59" t="str">
        <f t="shared" si="11"/>
        <v>0</v>
      </c>
      <c r="AD116" s="49"/>
      <c r="AE116" s="7"/>
      <c r="AF116" s="49"/>
      <c r="AG116" s="7"/>
      <c r="AH116" s="7"/>
      <c r="AI116" s="59" t="str">
        <f t="shared" si="12"/>
        <v>0</v>
      </c>
      <c r="AJ116" s="49"/>
      <c r="AK116" s="49"/>
      <c r="AL116" s="7"/>
      <c r="AM116" s="49"/>
      <c r="AN116" s="7"/>
      <c r="AO116" s="59" t="str">
        <f t="shared" si="13"/>
        <v>0</v>
      </c>
      <c r="AP116" s="49"/>
      <c r="AQ116" s="49"/>
      <c r="AR116" s="49"/>
      <c r="AS116" s="7"/>
      <c r="AT116" s="7"/>
      <c r="AU116" s="59" t="str">
        <f t="shared" si="14"/>
        <v>0</v>
      </c>
      <c r="AV116" s="7"/>
      <c r="AW116" s="7"/>
      <c r="AX116" s="49"/>
      <c r="AY116" s="49"/>
      <c r="AZ116" s="49"/>
      <c r="BA116" s="59" t="str">
        <f t="shared" si="15"/>
        <v>0</v>
      </c>
    </row>
    <row r="117" spans="1:53" ht="23.1" customHeight="1" x14ac:dyDescent="0.3">
      <c r="A117" s="49">
        <v>115</v>
      </c>
      <c r="B117" s="49" t="s">
        <v>235</v>
      </c>
      <c r="C117" s="49" t="s">
        <v>236</v>
      </c>
      <c r="D117" s="49" t="s">
        <v>450</v>
      </c>
      <c r="E117" s="49" t="s">
        <v>161</v>
      </c>
      <c r="F117" s="49"/>
      <c r="G117" s="49"/>
      <c r="H117" s="49"/>
      <c r="I117" s="49"/>
      <c r="J117" s="49"/>
      <c r="K117" s="59" t="str">
        <f t="shared" si="8"/>
        <v>0</v>
      </c>
      <c r="L117" s="49">
        <v>2.5</v>
      </c>
      <c r="M117" s="49">
        <v>2.5</v>
      </c>
      <c r="N117" s="49">
        <v>2.5</v>
      </c>
      <c r="O117" s="49"/>
      <c r="P117" s="49">
        <v>2.5</v>
      </c>
      <c r="Q117" s="59">
        <f t="shared" si="9"/>
        <v>2.5</v>
      </c>
      <c r="R117" s="49">
        <v>2.5</v>
      </c>
      <c r="S117" s="49"/>
      <c r="T117" s="49"/>
      <c r="U117" s="49"/>
      <c r="V117" s="49"/>
      <c r="W117" s="59">
        <f t="shared" si="10"/>
        <v>2.5</v>
      </c>
      <c r="X117" s="49"/>
      <c r="Y117" s="49"/>
      <c r="Z117" s="49"/>
      <c r="AA117" s="49"/>
      <c r="AB117" s="49"/>
      <c r="AC117" s="59" t="str">
        <f t="shared" si="11"/>
        <v>0</v>
      </c>
      <c r="AD117" s="49"/>
      <c r="AE117" s="49"/>
      <c r="AF117" s="49"/>
      <c r="AG117" s="49"/>
      <c r="AH117" s="49"/>
      <c r="AI117" s="59" t="str">
        <f t="shared" si="12"/>
        <v>0</v>
      </c>
      <c r="AJ117" s="49"/>
      <c r="AK117" s="49"/>
      <c r="AL117" s="49"/>
      <c r="AM117" s="49"/>
      <c r="AN117" s="49"/>
      <c r="AO117" s="59" t="str">
        <f t="shared" si="13"/>
        <v>0</v>
      </c>
      <c r="AP117" s="49"/>
      <c r="AQ117" s="49"/>
      <c r="AR117" s="49"/>
      <c r="AS117" s="49"/>
      <c r="AT117" s="49"/>
      <c r="AU117" s="59" t="str">
        <f t="shared" si="14"/>
        <v>0</v>
      </c>
      <c r="AV117" s="49"/>
      <c r="AW117" s="49"/>
      <c r="AX117" s="49"/>
      <c r="AY117" s="49"/>
      <c r="AZ117" s="49"/>
      <c r="BA117" s="59" t="str">
        <f t="shared" si="15"/>
        <v>0</v>
      </c>
    </row>
    <row r="118" spans="1:53" ht="23.1" customHeight="1" x14ac:dyDescent="0.3">
      <c r="A118" s="7">
        <v>116</v>
      </c>
      <c r="B118" s="7" t="s">
        <v>354</v>
      </c>
      <c r="C118" s="7" t="s">
        <v>355</v>
      </c>
      <c r="D118" s="7" t="s">
        <v>544</v>
      </c>
      <c r="E118" s="7" t="s">
        <v>493</v>
      </c>
      <c r="F118" s="7"/>
      <c r="G118" s="7"/>
      <c r="H118" s="49"/>
      <c r="I118" s="7"/>
      <c r="J118" s="7"/>
      <c r="K118" s="59" t="str">
        <f t="shared" si="8"/>
        <v>0</v>
      </c>
      <c r="L118" s="49">
        <v>4</v>
      </c>
      <c r="M118" s="49">
        <v>4</v>
      </c>
      <c r="N118" s="49">
        <v>4</v>
      </c>
      <c r="O118" s="49"/>
      <c r="P118" s="49">
        <v>4</v>
      </c>
      <c r="Q118" s="59">
        <f t="shared" si="9"/>
        <v>4</v>
      </c>
      <c r="R118" s="49">
        <v>4</v>
      </c>
      <c r="S118" s="49"/>
      <c r="T118" s="7"/>
      <c r="U118" s="49"/>
      <c r="V118" s="7"/>
      <c r="W118" s="59">
        <f t="shared" si="10"/>
        <v>4</v>
      </c>
      <c r="X118" s="49"/>
      <c r="Y118" s="49"/>
      <c r="Z118" s="7"/>
      <c r="AA118" s="7"/>
      <c r="AB118" s="7"/>
      <c r="AC118" s="59" t="str">
        <f t="shared" si="11"/>
        <v>0</v>
      </c>
      <c r="AD118" s="49"/>
      <c r="AE118" s="7"/>
      <c r="AF118" s="49"/>
      <c r="AG118" s="7"/>
      <c r="AH118" s="7"/>
      <c r="AI118" s="59" t="str">
        <f t="shared" si="12"/>
        <v>0</v>
      </c>
      <c r="AJ118" s="49"/>
      <c r="AK118" s="49"/>
      <c r="AL118" s="7"/>
      <c r="AM118" s="49"/>
      <c r="AN118" s="7"/>
      <c r="AO118" s="59" t="str">
        <f t="shared" si="13"/>
        <v>0</v>
      </c>
      <c r="AP118" s="49"/>
      <c r="AQ118" s="49"/>
      <c r="AR118" s="49"/>
      <c r="AS118" s="7"/>
      <c r="AT118" s="7"/>
      <c r="AU118" s="59" t="str">
        <f t="shared" si="14"/>
        <v>0</v>
      </c>
      <c r="AV118" s="7"/>
      <c r="AW118" s="7"/>
      <c r="AX118" s="49"/>
      <c r="AY118" s="49"/>
      <c r="AZ118" s="49"/>
      <c r="BA118" s="59" t="str">
        <f t="shared" si="15"/>
        <v>0</v>
      </c>
    </row>
    <row r="119" spans="1:53" ht="23.1" customHeight="1" x14ac:dyDescent="0.3">
      <c r="A119" s="49">
        <v>117</v>
      </c>
      <c r="B119" s="49" t="s">
        <v>203</v>
      </c>
      <c r="C119" s="49" t="s">
        <v>204</v>
      </c>
      <c r="D119" s="49" t="s">
        <v>542</v>
      </c>
      <c r="E119" s="49" t="s">
        <v>161</v>
      </c>
      <c r="F119" s="49"/>
      <c r="G119" s="49"/>
      <c r="H119" s="49"/>
      <c r="I119" s="49"/>
      <c r="J119" s="49"/>
      <c r="K119" s="59" t="str">
        <f t="shared" si="8"/>
        <v>0</v>
      </c>
      <c r="L119" s="49">
        <v>4</v>
      </c>
      <c r="M119" s="49">
        <v>4</v>
      </c>
      <c r="N119" s="49">
        <v>4</v>
      </c>
      <c r="O119" s="49"/>
      <c r="P119" s="49">
        <v>3</v>
      </c>
      <c r="Q119" s="59">
        <f t="shared" si="9"/>
        <v>3.75</v>
      </c>
      <c r="R119" s="49">
        <v>3</v>
      </c>
      <c r="S119" s="49"/>
      <c r="T119" s="49"/>
      <c r="U119" s="49"/>
      <c r="V119" s="49"/>
      <c r="W119" s="59">
        <f t="shared" si="10"/>
        <v>3</v>
      </c>
      <c r="X119" s="49"/>
      <c r="Y119" s="49"/>
      <c r="Z119" s="49"/>
      <c r="AA119" s="49"/>
      <c r="AB119" s="49"/>
      <c r="AC119" s="59" t="str">
        <f t="shared" si="11"/>
        <v>0</v>
      </c>
      <c r="AD119" s="49"/>
      <c r="AE119" s="49"/>
      <c r="AF119" s="49"/>
      <c r="AG119" s="49"/>
      <c r="AH119" s="49"/>
      <c r="AI119" s="59" t="str">
        <f t="shared" si="12"/>
        <v>0</v>
      </c>
      <c r="AJ119" s="49"/>
      <c r="AK119" s="49"/>
      <c r="AL119" s="49"/>
      <c r="AM119" s="49"/>
      <c r="AN119" s="49"/>
      <c r="AO119" s="59" t="str">
        <f t="shared" si="13"/>
        <v>0</v>
      </c>
      <c r="AP119" s="49"/>
      <c r="AQ119" s="49"/>
      <c r="AR119" s="49"/>
      <c r="AS119" s="49"/>
      <c r="AT119" s="49"/>
      <c r="AU119" s="59" t="str">
        <f t="shared" si="14"/>
        <v>0</v>
      </c>
      <c r="AV119" s="49"/>
      <c r="AW119" s="49"/>
      <c r="AX119" s="49"/>
      <c r="AY119" s="49"/>
      <c r="AZ119" s="49"/>
      <c r="BA119" s="59" t="str">
        <f t="shared" si="15"/>
        <v>0</v>
      </c>
    </row>
    <row r="120" spans="1:53" ht="23.1" customHeight="1" x14ac:dyDescent="0.3">
      <c r="A120" s="7">
        <v>118</v>
      </c>
      <c r="B120" s="7" t="s">
        <v>356</v>
      </c>
      <c r="C120" s="7" t="s">
        <v>357</v>
      </c>
      <c r="D120" s="7" t="s">
        <v>542</v>
      </c>
      <c r="E120" s="7" t="s">
        <v>493</v>
      </c>
      <c r="F120" s="7"/>
      <c r="G120" s="7"/>
      <c r="H120" s="49"/>
      <c r="I120" s="7"/>
      <c r="J120" s="7"/>
      <c r="K120" s="59" t="str">
        <f t="shared" si="8"/>
        <v>0</v>
      </c>
      <c r="L120" s="49">
        <v>3</v>
      </c>
      <c r="M120" s="49">
        <v>2</v>
      </c>
      <c r="N120" s="49">
        <v>3</v>
      </c>
      <c r="O120" s="49"/>
      <c r="P120" s="49">
        <v>2</v>
      </c>
      <c r="Q120" s="59">
        <f t="shared" si="9"/>
        <v>2.5</v>
      </c>
      <c r="R120" s="49">
        <v>3</v>
      </c>
      <c r="S120" s="49"/>
      <c r="T120" s="7"/>
      <c r="U120" s="49"/>
      <c r="V120" s="7"/>
      <c r="W120" s="59">
        <f t="shared" si="10"/>
        <v>3</v>
      </c>
      <c r="X120" s="49"/>
      <c r="Y120" s="49"/>
      <c r="Z120" s="7"/>
      <c r="AA120" s="7"/>
      <c r="AB120" s="7"/>
      <c r="AC120" s="59" t="str">
        <f t="shared" si="11"/>
        <v>0</v>
      </c>
      <c r="AD120" s="49"/>
      <c r="AE120" s="7"/>
      <c r="AF120" s="49"/>
      <c r="AG120" s="7"/>
      <c r="AH120" s="7"/>
      <c r="AI120" s="59" t="str">
        <f t="shared" si="12"/>
        <v>0</v>
      </c>
      <c r="AJ120" s="49"/>
      <c r="AK120" s="49"/>
      <c r="AL120" s="7"/>
      <c r="AM120" s="49"/>
      <c r="AN120" s="7"/>
      <c r="AO120" s="59" t="str">
        <f t="shared" si="13"/>
        <v>0</v>
      </c>
      <c r="AP120" s="49"/>
      <c r="AQ120" s="49"/>
      <c r="AR120" s="49"/>
      <c r="AS120" s="7"/>
      <c r="AT120" s="7"/>
      <c r="AU120" s="59" t="str">
        <f t="shared" si="14"/>
        <v>0</v>
      </c>
      <c r="AV120" s="7"/>
      <c r="AW120" s="7"/>
      <c r="AX120" s="49"/>
      <c r="AY120" s="49"/>
      <c r="AZ120" s="49"/>
      <c r="BA120" s="59" t="str">
        <f t="shared" si="15"/>
        <v>0</v>
      </c>
    </row>
    <row r="121" spans="1:53" ht="23.1" customHeight="1" x14ac:dyDescent="0.3">
      <c r="A121" s="49">
        <v>119</v>
      </c>
      <c r="B121" s="49" t="s">
        <v>358</v>
      </c>
      <c r="C121" s="49" t="s">
        <v>359</v>
      </c>
      <c r="D121" s="49" t="s">
        <v>542</v>
      </c>
      <c r="E121" s="49" t="s">
        <v>493</v>
      </c>
      <c r="F121" s="49"/>
      <c r="G121" s="49"/>
      <c r="H121" s="49"/>
      <c r="I121" s="49"/>
      <c r="J121" s="49"/>
      <c r="K121" s="59" t="str">
        <f t="shared" si="8"/>
        <v>0</v>
      </c>
      <c r="L121" s="49">
        <v>4</v>
      </c>
      <c r="M121" s="49">
        <v>4</v>
      </c>
      <c r="N121" s="49">
        <v>3.5</v>
      </c>
      <c r="O121" s="49"/>
      <c r="P121" s="49">
        <v>3.5</v>
      </c>
      <c r="Q121" s="59">
        <f t="shared" si="9"/>
        <v>3.75</v>
      </c>
      <c r="R121" s="49">
        <v>3.5</v>
      </c>
      <c r="S121" s="49"/>
      <c r="T121" s="49"/>
      <c r="U121" s="49"/>
      <c r="V121" s="49"/>
      <c r="W121" s="59">
        <f t="shared" si="10"/>
        <v>3.5</v>
      </c>
      <c r="X121" s="49"/>
      <c r="Y121" s="49"/>
      <c r="Z121" s="49"/>
      <c r="AA121" s="49"/>
      <c r="AB121" s="49"/>
      <c r="AC121" s="59" t="str">
        <f t="shared" si="11"/>
        <v>0</v>
      </c>
      <c r="AD121" s="49"/>
      <c r="AE121" s="49"/>
      <c r="AF121" s="49"/>
      <c r="AG121" s="49"/>
      <c r="AH121" s="49"/>
      <c r="AI121" s="59" t="str">
        <f t="shared" si="12"/>
        <v>0</v>
      </c>
      <c r="AJ121" s="49"/>
      <c r="AK121" s="49"/>
      <c r="AL121" s="49"/>
      <c r="AM121" s="49"/>
      <c r="AN121" s="49"/>
      <c r="AO121" s="59" t="str">
        <f t="shared" si="13"/>
        <v>0</v>
      </c>
      <c r="AP121" s="49"/>
      <c r="AQ121" s="49"/>
      <c r="AR121" s="49"/>
      <c r="AS121" s="49"/>
      <c r="AT121" s="49"/>
      <c r="AU121" s="59" t="str">
        <f t="shared" si="14"/>
        <v>0</v>
      </c>
      <c r="AV121" s="49"/>
      <c r="AW121" s="49"/>
      <c r="AX121" s="49"/>
      <c r="AY121" s="49"/>
      <c r="AZ121" s="49"/>
      <c r="BA121" s="59" t="str">
        <f t="shared" si="15"/>
        <v>0</v>
      </c>
    </row>
    <row r="122" spans="1:53" ht="23.1" customHeight="1" x14ac:dyDescent="0.3">
      <c r="A122" s="7">
        <v>120</v>
      </c>
      <c r="B122" s="7" t="s">
        <v>150</v>
      </c>
      <c r="C122" s="7" t="s">
        <v>151</v>
      </c>
      <c r="D122" s="7" t="s">
        <v>450</v>
      </c>
      <c r="E122" s="7" t="s">
        <v>35</v>
      </c>
      <c r="F122" s="7"/>
      <c r="G122" s="7"/>
      <c r="H122" s="49"/>
      <c r="I122" s="7"/>
      <c r="J122" s="7"/>
      <c r="K122" s="59" t="str">
        <f t="shared" si="8"/>
        <v>0</v>
      </c>
      <c r="L122" s="49">
        <v>2</v>
      </c>
      <c r="M122" s="49">
        <v>2</v>
      </c>
      <c r="N122" s="49">
        <v>2</v>
      </c>
      <c r="O122" s="49"/>
      <c r="P122" s="49">
        <v>2</v>
      </c>
      <c r="Q122" s="59">
        <f t="shared" si="9"/>
        <v>2</v>
      </c>
      <c r="R122" s="49">
        <v>2</v>
      </c>
      <c r="S122" s="49"/>
      <c r="T122" s="7"/>
      <c r="U122" s="49"/>
      <c r="V122" s="7"/>
      <c r="W122" s="59">
        <f t="shared" si="10"/>
        <v>2</v>
      </c>
      <c r="X122" s="49"/>
      <c r="Y122" s="49"/>
      <c r="Z122" s="7"/>
      <c r="AA122" s="7"/>
      <c r="AB122" s="7"/>
      <c r="AC122" s="59" t="str">
        <f t="shared" si="11"/>
        <v>0</v>
      </c>
      <c r="AD122" s="49"/>
      <c r="AE122" s="7"/>
      <c r="AF122" s="49"/>
      <c r="AG122" s="7"/>
      <c r="AH122" s="7"/>
      <c r="AI122" s="59" t="str">
        <f t="shared" si="12"/>
        <v>0</v>
      </c>
      <c r="AJ122" s="49"/>
      <c r="AK122" s="49"/>
      <c r="AL122" s="7"/>
      <c r="AM122" s="49"/>
      <c r="AN122" s="7"/>
      <c r="AO122" s="59" t="str">
        <f t="shared" si="13"/>
        <v>0</v>
      </c>
      <c r="AP122" s="49"/>
      <c r="AQ122" s="49"/>
      <c r="AR122" s="49"/>
      <c r="AS122" s="7"/>
      <c r="AT122" s="7"/>
      <c r="AU122" s="59" t="str">
        <f t="shared" si="14"/>
        <v>0</v>
      </c>
      <c r="AV122" s="7"/>
      <c r="AW122" s="7"/>
      <c r="AX122" s="49"/>
      <c r="AY122" s="49"/>
      <c r="AZ122" s="49"/>
      <c r="BA122" s="59" t="str">
        <f t="shared" si="15"/>
        <v>0</v>
      </c>
    </row>
    <row r="123" spans="1:53" ht="23.1" customHeight="1" x14ac:dyDescent="0.3">
      <c r="A123" s="49">
        <v>121</v>
      </c>
      <c r="B123" s="49" t="s">
        <v>360</v>
      </c>
      <c r="C123" s="49" t="s">
        <v>361</v>
      </c>
      <c r="D123" s="49" t="s">
        <v>450</v>
      </c>
      <c r="E123" s="49" t="s">
        <v>493</v>
      </c>
      <c r="F123" s="49"/>
      <c r="G123" s="49"/>
      <c r="H123" s="49"/>
      <c r="I123" s="49"/>
      <c r="J123" s="49"/>
      <c r="K123" s="59" t="str">
        <f t="shared" si="8"/>
        <v>0</v>
      </c>
      <c r="L123" s="49">
        <v>2</v>
      </c>
      <c r="M123" s="49">
        <v>1</v>
      </c>
      <c r="N123" s="49">
        <v>2</v>
      </c>
      <c r="O123" s="49"/>
      <c r="P123" s="49">
        <v>2</v>
      </c>
      <c r="Q123" s="59">
        <f t="shared" si="9"/>
        <v>1.75</v>
      </c>
      <c r="R123" s="49">
        <v>2</v>
      </c>
      <c r="S123" s="49"/>
      <c r="T123" s="49"/>
      <c r="U123" s="49"/>
      <c r="V123" s="49"/>
      <c r="W123" s="59">
        <f t="shared" si="10"/>
        <v>2</v>
      </c>
      <c r="X123" s="49"/>
      <c r="Y123" s="49"/>
      <c r="Z123" s="49"/>
      <c r="AA123" s="49"/>
      <c r="AB123" s="49"/>
      <c r="AC123" s="59" t="str">
        <f t="shared" si="11"/>
        <v>0</v>
      </c>
      <c r="AD123" s="49"/>
      <c r="AE123" s="49"/>
      <c r="AF123" s="49"/>
      <c r="AG123" s="49"/>
      <c r="AH123" s="49"/>
      <c r="AI123" s="59" t="str">
        <f t="shared" si="12"/>
        <v>0</v>
      </c>
      <c r="AJ123" s="49"/>
      <c r="AK123" s="49"/>
      <c r="AL123" s="49"/>
      <c r="AM123" s="49"/>
      <c r="AN123" s="49"/>
      <c r="AO123" s="59" t="str">
        <f t="shared" si="13"/>
        <v>0</v>
      </c>
      <c r="AP123" s="49"/>
      <c r="AQ123" s="49"/>
      <c r="AR123" s="49"/>
      <c r="AS123" s="49"/>
      <c r="AT123" s="49"/>
      <c r="AU123" s="59" t="str">
        <f t="shared" si="14"/>
        <v>0</v>
      </c>
      <c r="AV123" s="49"/>
      <c r="AW123" s="49"/>
      <c r="AX123" s="49"/>
      <c r="AY123" s="49"/>
      <c r="AZ123" s="49"/>
      <c r="BA123" s="59" t="str">
        <f t="shared" si="15"/>
        <v>0</v>
      </c>
    </row>
    <row r="124" spans="1:53" ht="23.1" customHeight="1" x14ac:dyDescent="0.3">
      <c r="A124" s="7">
        <v>122</v>
      </c>
      <c r="B124" s="7" t="s">
        <v>362</v>
      </c>
      <c r="C124" s="7" t="s">
        <v>363</v>
      </c>
      <c r="D124" s="7" t="s">
        <v>450</v>
      </c>
      <c r="E124" s="7" t="s">
        <v>493</v>
      </c>
      <c r="F124" s="7"/>
      <c r="G124" s="7"/>
      <c r="H124" s="49"/>
      <c r="I124" s="7"/>
      <c r="J124" s="7"/>
      <c r="K124" s="59" t="str">
        <f t="shared" si="8"/>
        <v>0</v>
      </c>
      <c r="L124" s="49">
        <v>4</v>
      </c>
      <c r="M124" s="49">
        <v>4</v>
      </c>
      <c r="N124" s="49">
        <v>4</v>
      </c>
      <c r="O124" s="49"/>
      <c r="P124" s="49">
        <v>4</v>
      </c>
      <c r="Q124" s="59">
        <f t="shared" si="9"/>
        <v>4</v>
      </c>
      <c r="R124" s="49">
        <v>4</v>
      </c>
      <c r="S124" s="49"/>
      <c r="T124" s="7"/>
      <c r="U124" s="49"/>
      <c r="V124" s="7"/>
      <c r="W124" s="59">
        <f t="shared" si="10"/>
        <v>4</v>
      </c>
      <c r="X124" s="49"/>
      <c r="Y124" s="49"/>
      <c r="Z124" s="7"/>
      <c r="AA124" s="7"/>
      <c r="AB124" s="7"/>
      <c r="AC124" s="59" t="str">
        <f t="shared" si="11"/>
        <v>0</v>
      </c>
      <c r="AD124" s="49"/>
      <c r="AE124" s="7"/>
      <c r="AF124" s="49"/>
      <c r="AG124" s="7"/>
      <c r="AH124" s="7"/>
      <c r="AI124" s="59" t="str">
        <f t="shared" si="12"/>
        <v>0</v>
      </c>
      <c r="AJ124" s="49"/>
      <c r="AK124" s="49"/>
      <c r="AL124" s="7"/>
      <c r="AM124" s="49"/>
      <c r="AN124" s="7"/>
      <c r="AO124" s="59" t="str">
        <f t="shared" si="13"/>
        <v>0</v>
      </c>
      <c r="AP124" s="49"/>
      <c r="AQ124" s="49"/>
      <c r="AR124" s="49"/>
      <c r="AS124" s="7"/>
      <c r="AT124" s="7"/>
      <c r="AU124" s="59" t="str">
        <f t="shared" si="14"/>
        <v>0</v>
      </c>
      <c r="AV124" s="7"/>
      <c r="AW124" s="7"/>
      <c r="AX124" s="49"/>
      <c r="AY124" s="49"/>
      <c r="AZ124" s="49"/>
      <c r="BA124" s="59" t="str">
        <f t="shared" si="15"/>
        <v>0</v>
      </c>
    </row>
    <row r="125" spans="1:53" ht="23.1" customHeight="1" x14ac:dyDescent="0.3">
      <c r="A125" s="49">
        <v>123</v>
      </c>
      <c r="B125" s="49" t="s">
        <v>364</v>
      </c>
      <c r="C125" s="49" t="s">
        <v>365</v>
      </c>
      <c r="D125" s="49" t="s">
        <v>450</v>
      </c>
      <c r="E125" s="49" t="s">
        <v>493</v>
      </c>
      <c r="F125" s="49"/>
      <c r="G125" s="49"/>
      <c r="H125" s="49"/>
      <c r="I125" s="49"/>
      <c r="J125" s="49"/>
      <c r="K125" s="59" t="str">
        <f t="shared" si="8"/>
        <v>0</v>
      </c>
      <c r="L125" s="49">
        <v>3</v>
      </c>
      <c r="M125" s="49">
        <v>4</v>
      </c>
      <c r="N125" s="49">
        <v>4</v>
      </c>
      <c r="O125" s="49"/>
      <c r="P125" s="49">
        <v>3</v>
      </c>
      <c r="Q125" s="59">
        <f t="shared" si="9"/>
        <v>3.5</v>
      </c>
      <c r="R125" s="49">
        <v>4</v>
      </c>
      <c r="S125" s="49"/>
      <c r="T125" s="49"/>
      <c r="U125" s="49"/>
      <c r="V125" s="49"/>
      <c r="W125" s="59">
        <f t="shared" si="10"/>
        <v>4</v>
      </c>
      <c r="X125" s="49"/>
      <c r="Y125" s="49"/>
      <c r="Z125" s="49"/>
      <c r="AA125" s="49"/>
      <c r="AB125" s="49"/>
      <c r="AC125" s="59" t="str">
        <f t="shared" si="11"/>
        <v>0</v>
      </c>
      <c r="AD125" s="49"/>
      <c r="AE125" s="49"/>
      <c r="AF125" s="49"/>
      <c r="AG125" s="49"/>
      <c r="AH125" s="49"/>
      <c r="AI125" s="59" t="str">
        <f t="shared" si="12"/>
        <v>0</v>
      </c>
      <c r="AJ125" s="49"/>
      <c r="AK125" s="49"/>
      <c r="AL125" s="49"/>
      <c r="AM125" s="49"/>
      <c r="AN125" s="49"/>
      <c r="AO125" s="59" t="str">
        <f t="shared" si="13"/>
        <v>0</v>
      </c>
      <c r="AP125" s="49"/>
      <c r="AQ125" s="49"/>
      <c r="AR125" s="49"/>
      <c r="AS125" s="49"/>
      <c r="AT125" s="49"/>
      <c r="AU125" s="59" t="str">
        <f t="shared" si="14"/>
        <v>0</v>
      </c>
      <c r="AV125" s="49"/>
      <c r="AW125" s="49"/>
      <c r="AX125" s="49"/>
      <c r="AY125" s="49"/>
      <c r="AZ125" s="49"/>
      <c r="BA125" s="59" t="str">
        <f t="shared" si="15"/>
        <v>0</v>
      </c>
    </row>
    <row r="126" spans="1:53" ht="23.1" customHeight="1" x14ac:dyDescent="0.3">
      <c r="A126" s="7">
        <v>124</v>
      </c>
      <c r="B126" s="7" t="s">
        <v>54</v>
      </c>
      <c r="C126" s="7" t="s">
        <v>55</v>
      </c>
      <c r="D126" s="7" t="s">
        <v>450</v>
      </c>
      <c r="E126" s="7" t="s">
        <v>35</v>
      </c>
      <c r="F126" s="7"/>
      <c r="G126" s="7"/>
      <c r="H126" s="49"/>
      <c r="I126" s="7"/>
      <c r="J126" s="7"/>
      <c r="K126" s="59" t="str">
        <f t="shared" si="8"/>
        <v>0</v>
      </c>
      <c r="L126" s="49">
        <v>3.5</v>
      </c>
      <c r="M126" s="49">
        <v>3</v>
      </c>
      <c r="N126" s="49">
        <v>3</v>
      </c>
      <c r="O126" s="49"/>
      <c r="P126" s="49">
        <v>3</v>
      </c>
      <c r="Q126" s="59">
        <f t="shared" si="9"/>
        <v>3.125</v>
      </c>
      <c r="R126" s="49">
        <v>3.5</v>
      </c>
      <c r="S126" s="49"/>
      <c r="T126" s="7"/>
      <c r="U126" s="49"/>
      <c r="V126" s="7"/>
      <c r="W126" s="59">
        <f t="shared" si="10"/>
        <v>3.5</v>
      </c>
      <c r="X126" s="49"/>
      <c r="Y126" s="49"/>
      <c r="Z126" s="7"/>
      <c r="AA126" s="7"/>
      <c r="AB126" s="7"/>
      <c r="AC126" s="59" t="str">
        <f t="shared" si="11"/>
        <v>0</v>
      </c>
      <c r="AD126" s="49"/>
      <c r="AE126" s="7"/>
      <c r="AF126" s="49"/>
      <c r="AG126" s="7"/>
      <c r="AH126" s="7"/>
      <c r="AI126" s="59" t="str">
        <f t="shared" si="12"/>
        <v>0</v>
      </c>
      <c r="AJ126" s="49"/>
      <c r="AK126" s="49"/>
      <c r="AL126" s="7"/>
      <c r="AM126" s="49"/>
      <c r="AN126" s="7"/>
      <c r="AO126" s="59" t="str">
        <f t="shared" si="13"/>
        <v>0</v>
      </c>
      <c r="AP126" s="49"/>
      <c r="AQ126" s="49"/>
      <c r="AR126" s="49"/>
      <c r="AS126" s="7"/>
      <c r="AT126" s="7"/>
      <c r="AU126" s="59" t="str">
        <f t="shared" si="14"/>
        <v>0</v>
      </c>
      <c r="AV126" s="7"/>
      <c r="AW126" s="7"/>
      <c r="AX126" s="49"/>
      <c r="AY126" s="49"/>
      <c r="AZ126" s="49"/>
      <c r="BA126" s="59" t="str">
        <f t="shared" si="15"/>
        <v>0</v>
      </c>
    </row>
    <row r="127" spans="1:53" ht="23.1" customHeight="1" x14ac:dyDescent="0.3">
      <c r="A127" s="49">
        <v>125</v>
      </c>
      <c r="B127" s="49" t="s">
        <v>219</v>
      </c>
      <c r="C127" s="49" t="s">
        <v>220</v>
      </c>
      <c r="D127" s="49" t="s">
        <v>542</v>
      </c>
      <c r="E127" s="49" t="s">
        <v>161</v>
      </c>
      <c r="F127" s="49"/>
      <c r="G127" s="49"/>
      <c r="H127" s="49"/>
      <c r="I127" s="49"/>
      <c r="J127" s="49"/>
      <c r="K127" s="59" t="str">
        <f t="shared" si="8"/>
        <v>0</v>
      </c>
      <c r="L127" s="49">
        <v>3.5</v>
      </c>
      <c r="M127" s="49">
        <v>4</v>
      </c>
      <c r="N127" s="49">
        <v>3</v>
      </c>
      <c r="O127" s="49"/>
      <c r="P127" s="49">
        <v>3</v>
      </c>
      <c r="Q127" s="59">
        <f t="shared" si="9"/>
        <v>3.375</v>
      </c>
      <c r="R127" s="49">
        <v>3.5</v>
      </c>
      <c r="S127" s="49"/>
      <c r="T127" s="49"/>
      <c r="U127" s="49"/>
      <c r="V127" s="49"/>
      <c r="W127" s="59">
        <f t="shared" si="10"/>
        <v>3.5</v>
      </c>
      <c r="X127" s="49"/>
      <c r="Y127" s="49"/>
      <c r="Z127" s="49"/>
      <c r="AA127" s="49"/>
      <c r="AB127" s="49"/>
      <c r="AC127" s="59" t="str">
        <f t="shared" si="11"/>
        <v>0</v>
      </c>
      <c r="AD127" s="49"/>
      <c r="AE127" s="49"/>
      <c r="AF127" s="49"/>
      <c r="AG127" s="49"/>
      <c r="AH127" s="49"/>
      <c r="AI127" s="59" t="str">
        <f t="shared" si="12"/>
        <v>0</v>
      </c>
      <c r="AJ127" s="49"/>
      <c r="AK127" s="49"/>
      <c r="AL127" s="49"/>
      <c r="AM127" s="49"/>
      <c r="AN127" s="49"/>
      <c r="AO127" s="59" t="str">
        <f t="shared" si="13"/>
        <v>0</v>
      </c>
      <c r="AP127" s="49"/>
      <c r="AQ127" s="49"/>
      <c r="AR127" s="49"/>
      <c r="AS127" s="49"/>
      <c r="AT127" s="49"/>
      <c r="AU127" s="59" t="str">
        <f t="shared" si="14"/>
        <v>0</v>
      </c>
      <c r="AV127" s="49"/>
      <c r="AW127" s="49"/>
      <c r="AX127" s="49"/>
      <c r="AY127" s="49"/>
      <c r="AZ127" s="49"/>
      <c r="BA127" s="59" t="str">
        <f t="shared" si="15"/>
        <v>0</v>
      </c>
    </row>
    <row r="128" spans="1:53" ht="23.1" customHeight="1" x14ac:dyDescent="0.3">
      <c r="A128" s="7">
        <v>126</v>
      </c>
      <c r="B128" s="7" t="s">
        <v>237</v>
      </c>
      <c r="C128" s="7" t="s">
        <v>238</v>
      </c>
      <c r="D128" s="7" t="s">
        <v>542</v>
      </c>
      <c r="E128" s="7" t="s">
        <v>161</v>
      </c>
      <c r="F128" s="7"/>
      <c r="G128" s="7"/>
      <c r="H128" s="49"/>
      <c r="I128" s="7"/>
      <c r="J128" s="7"/>
      <c r="K128" s="59" t="str">
        <f t="shared" si="8"/>
        <v>0</v>
      </c>
      <c r="L128" s="49">
        <v>2</v>
      </c>
      <c r="M128" s="49">
        <v>2</v>
      </c>
      <c r="N128" s="49">
        <v>2</v>
      </c>
      <c r="O128" s="49"/>
      <c r="P128" s="49">
        <v>2</v>
      </c>
      <c r="Q128" s="59">
        <f t="shared" si="9"/>
        <v>2</v>
      </c>
      <c r="R128" s="49">
        <v>2</v>
      </c>
      <c r="S128" s="49"/>
      <c r="T128" s="7"/>
      <c r="U128" s="49"/>
      <c r="V128" s="7"/>
      <c r="W128" s="59">
        <f t="shared" si="10"/>
        <v>2</v>
      </c>
      <c r="X128" s="49"/>
      <c r="Y128" s="49"/>
      <c r="Z128" s="7"/>
      <c r="AA128" s="7"/>
      <c r="AB128" s="7"/>
      <c r="AC128" s="59" t="str">
        <f t="shared" si="11"/>
        <v>0</v>
      </c>
      <c r="AD128" s="49"/>
      <c r="AE128" s="7"/>
      <c r="AF128" s="49"/>
      <c r="AG128" s="7"/>
      <c r="AH128" s="7"/>
      <c r="AI128" s="59" t="str">
        <f t="shared" si="12"/>
        <v>0</v>
      </c>
      <c r="AJ128" s="49"/>
      <c r="AK128" s="49"/>
      <c r="AL128" s="7"/>
      <c r="AM128" s="49"/>
      <c r="AN128" s="7"/>
      <c r="AO128" s="59" t="str">
        <f t="shared" si="13"/>
        <v>0</v>
      </c>
      <c r="AP128" s="49"/>
      <c r="AQ128" s="49"/>
      <c r="AR128" s="49"/>
      <c r="AS128" s="7"/>
      <c r="AT128" s="7"/>
      <c r="AU128" s="59" t="str">
        <f t="shared" si="14"/>
        <v>0</v>
      </c>
      <c r="AV128" s="7"/>
      <c r="AW128" s="7"/>
      <c r="AX128" s="49"/>
      <c r="AY128" s="49"/>
      <c r="AZ128" s="49"/>
      <c r="BA128" s="59" t="str">
        <f t="shared" si="15"/>
        <v>0</v>
      </c>
    </row>
    <row r="129" spans="1:53" ht="23.1" customHeight="1" x14ac:dyDescent="0.3">
      <c r="A129" s="49">
        <v>127</v>
      </c>
      <c r="B129" s="49" t="s">
        <v>366</v>
      </c>
      <c r="C129" s="49" t="s">
        <v>367</v>
      </c>
      <c r="D129" s="49" t="s">
        <v>542</v>
      </c>
      <c r="E129" s="49" t="s">
        <v>493</v>
      </c>
      <c r="F129" s="49"/>
      <c r="G129" s="49"/>
      <c r="H129" s="49"/>
      <c r="I129" s="49"/>
      <c r="J129" s="49"/>
      <c r="K129" s="59" t="str">
        <f t="shared" si="8"/>
        <v>0</v>
      </c>
      <c r="L129" s="49">
        <v>2</v>
      </c>
      <c r="M129" s="49">
        <v>2.5</v>
      </c>
      <c r="N129" s="49">
        <v>2.5</v>
      </c>
      <c r="O129" s="49"/>
      <c r="P129" s="49">
        <v>2.5</v>
      </c>
      <c r="Q129" s="59">
        <f t="shared" si="9"/>
        <v>2.375</v>
      </c>
      <c r="R129" s="49">
        <v>2</v>
      </c>
      <c r="S129" s="49"/>
      <c r="T129" s="49"/>
      <c r="U129" s="49"/>
      <c r="V129" s="49"/>
      <c r="W129" s="59">
        <f t="shared" si="10"/>
        <v>2</v>
      </c>
      <c r="X129" s="49"/>
      <c r="Y129" s="49"/>
      <c r="Z129" s="49"/>
      <c r="AA129" s="49"/>
      <c r="AB129" s="49"/>
      <c r="AC129" s="59" t="str">
        <f t="shared" si="11"/>
        <v>0</v>
      </c>
      <c r="AD129" s="49"/>
      <c r="AE129" s="49"/>
      <c r="AF129" s="49"/>
      <c r="AG129" s="49"/>
      <c r="AH129" s="49"/>
      <c r="AI129" s="59" t="str">
        <f t="shared" si="12"/>
        <v>0</v>
      </c>
      <c r="AJ129" s="49"/>
      <c r="AK129" s="49"/>
      <c r="AL129" s="49"/>
      <c r="AM129" s="49"/>
      <c r="AN129" s="49"/>
      <c r="AO129" s="59" t="str">
        <f t="shared" si="13"/>
        <v>0</v>
      </c>
      <c r="AP129" s="49"/>
      <c r="AQ129" s="49"/>
      <c r="AR129" s="49"/>
      <c r="AS129" s="49"/>
      <c r="AT129" s="49"/>
      <c r="AU129" s="59" t="str">
        <f t="shared" si="14"/>
        <v>0</v>
      </c>
      <c r="AV129" s="49"/>
      <c r="AW129" s="49"/>
      <c r="AX129" s="49"/>
      <c r="AY129" s="49"/>
      <c r="AZ129" s="49"/>
      <c r="BA129" s="59" t="str">
        <f t="shared" si="15"/>
        <v>0</v>
      </c>
    </row>
    <row r="130" spans="1:53" ht="23.1" customHeight="1" x14ac:dyDescent="0.3">
      <c r="A130" s="7">
        <v>128</v>
      </c>
      <c r="B130" s="7" t="s">
        <v>368</v>
      </c>
      <c r="C130" s="7" t="s">
        <v>369</v>
      </c>
      <c r="D130" s="7" t="s">
        <v>450</v>
      </c>
      <c r="E130" s="7" t="s">
        <v>493</v>
      </c>
      <c r="F130" s="7"/>
      <c r="G130" s="7"/>
      <c r="H130" s="49"/>
      <c r="I130" s="7"/>
      <c r="J130" s="7"/>
      <c r="K130" s="59" t="str">
        <f t="shared" si="8"/>
        <v>0</v>
      </c>
      <c r="L130" s="49">
        <v>3</v>
      </c>
      <c r="M130" s="49">
        <v>4</v>
      </c>
      <c r="N130" s="49">
        <v>4</v>
      </c>
      <c r="O130" s="49"/>
      <c r="P130" s="49">
        <v>3</v>
      </c>
      <c r="Q130" s="59">
        <f t="shared" si="9"/>
        <v>3.5</v>
      </c>
      <c r="R130" s="49">
        <v>3</v>
      </c>
      <c r="S130" s="49"/>
      <c r="T130" s="7"/>
      <c r="U130" s="49"/>
      <c r="V130" s="7"/>
      <c r="W130" s="59">
        <f t="shared" si="10"/>
        <v>3</v>
      </c>
      <c r="X130" s="49"/>
      <c r="Y130" s="49"/>
      <c r="Z130" s="7"/>
      <c r="AA130" s="7"/>
      <c r="AB130" s="7"/>
      <c r="AC130" s="59" t="str">
        <f t="shared" si="11"/>
        <v>0</v>
      </c>
      <c r="AD130" s="49"/>
      <c r="AE130" s="7"/>
      <c r="AF130" s="49"/>
      <c r="AG130" s="7"/>
      <c r="AH130" s="7"/>
      <c r="AI130" s="59" t="str">
        <f t="shared" si="12"/>
        <v>0</v>
      </c>
      <c r="AJ130" s="49"/>
      <c r="AK130" s="49"/>
      <c r="AL130" s="7"/>
      <c r="AM130" s="49"/>
      <c r="AN130" s="7"/>
      <c r="AO130" s="59" t="str">
        <f t="shared" si="13"/>
        <v>0</v>
      </c>
      <c r="AP130" s="49"/>
      <c r="AQ130" s="49"/>
      <c r="AR130" s="49"/>
      <c r="AS130" s="7"/>
      <c r="AT130" s="7"/>
      <c r="AU130" s="59" t="str">
        <f t="shared" si="14"/>
        <v>0</v>
      </c>
      <c r="AV130" s="7"/>
      <c r="AW130" s="7"/>
      <c r="AX130" s="49"/>
      <c r="AY130" s="49"/>
      <c r="AZ130" s="49"/>
      <c r="BA130" s="59" t="str">
        <f t="shared" si="15"/>
        <v>0</v>
      </c>
    </row>
    <row r="131" spans="1:53" ht="23.1" customHeight="1" x14ac:dyDescent="0.3">
      <c r="A131" s="49">
        <v>129</v>
      </c>
      <c r="B131" s="49" t="s">
        <v>251</v>
      </c>
      <c r="C131" s="49" t="s">
        <v>252</v>
      </c>
      <c r="D131" s="49" t="s">
        <v>542</v>
      </c>
      <c r="E131" s="49" t="s">
        <v>161</v>
      </c>
      <c r="F131" s="49"/>
      <c r="G131" s="49"/>
      <c r="H131" s="49"/>
      <c r="I131" s="49"/>
      <c r="J131" s="49"/>
      <c r="K131" s="59" t="str">
        <f t="shared" si="8"/>
        <v>0</v>
      </c>
      <c r="L131" s="49">
        <v>3</v>
      </c>
      <c r="M131" s="49">
        <v>4</v>
      </c>
      <c r="N131" s="49">
        <v>4</v>
      </c>
      <c r="O131" s="49"/>
      <c r="P131" s="49">
        <v>3</v>
      </c>
      <c r="Q131" s="59">
        <f t="shared" si="9"/>
        <v>3.5</v>
      </c>
      <c r="R131" s="49">
        <v>2</v>
      </c>
      <c r="S131" s="49"/>
      <c r="T131" s="49"/>
      <c r="U131" s="49"/>
      <c r="V131" s="49"/>
      <c r="W131" s="59">
        <f t="shared" si="10"/>
        <v>2</v>
      </c>
      <c r="X131" s="49"/>
      <c r="Y131" s="49"/>
      <c r="Z131" s="49"/>
      <c r="AA131" s="49"/>
      <c r="AB131" s="49"/>
      <c r="AC131" s="59" t="str">
        <f t="shared" si="11"/>
        <v>0</v>
      </c>
      <c r="AD131" s="49"/>
      <c r="AE131" s="49"/>
      <c r="AF131" s="49"/>
      <c r="AG131" s="49"/>
      <c r="AH131" s="49"/>
      <c r="AI131" s="59" t="str">
        <f t="shared" si="12"/>
        <v>0</v>
      </c>
      <c r="AJ131" s="49"/>
      <c r="AK131" s="49"/>
      <c r="AL131" s="49"/>
      <c r="AM131" s="49"/>
      <c r="AN131" s="49"/>
      <c r="AO131" s="59" t="str">
        <f t="shared" si="13"/>
        <v>0</v>
      </c>
      <c r="AP131" s="49"/>
      <c r="AQ131" s="49"/>
      <c r="AR131" s="49"/>
      <c r="AS131" s="49"/>
      <c r="AT131" s="49"/>
      <c r="AU131" s="59" t="str">
        <f t="shared" si="14"/>
        <v>0</v>
      </c>
      <c r="AV131" s="49"/>
      <c r="AW131" s="49"/>
      <c r="AX131" s="49"/>
      <c r="AY131" s="49"/>
      <c r="AZ131" s="49"/>
      <c r="BA131" s="59" t="str">
        <f t="shared" si="15"/>
        <v>0</v>
      </c>
    </row>
    <row r="132" spans="1:53" ht="23.1" customHeight="1" x14ac:dyDescent="0.3">
      <c r="A132" s="7">
        <v>130</v>
      </c>
      <c r="B132" s="7" t="s">
        <v>56</v>
      </c>
      <c r="C132" s="7" t="s">
        <v>57</v>
      </c>
      <c r="D132" s="7" t="s">
        <v>450</v>
      </c>
      <c r="E132" s="7" t="s">
        <v>35</v>
      </c>
      <c r="F132" s="7"/>
      <c r="G132" s="7"/>
      <c r="H132" s="49"/>
      <c r="I132" s="7"/>
      <c r="J132" s="7"/>
      <c r="K132" s="59" t="str">
        <f t="shared" ref="K132:K195" si="16">IFERROR(AVERAGE(F132,G132,H132,I132,J132),"0")</f>
        <v>0</v>
      </c>
      <c r="L132" s="49">
        <v>3.5</v>
      </c>
      <c r="M132" s="49">
        <v>3</v>
      </c>
      <c r="N132" s="49">
        <v>3.5</v>
      </c>
      <c r="O132" s="49"/>
      <c r="P132" s="49">
        <v>3.5</v>
      </c>
      <c r="Q132" s="59">
        <f t="shared" ref="Q132:Q195" si="17">IFERROR(AVERAGE(L132,M132,N132,O132,P132),"0")</f>
        <v>3.375</v>
      </c>
      <c r="R132" s="49">
        <v>3.5</v>
      </c>
      <c r="S132" s="49"/>
      <c r="T132" s="7"/>
      <c r="U132" s="49"/>
      <c r="V132" s="7"/>
      <c r="W132" s="59">
        <f t="shared" ref="W132:W195" si="18">IFERROR(AVERAGE(R132,S132,T132,U132,V132),"0")</f>
        <v>3.5</v>
      </c>
      <c r="X132" s="49"/>
      <c r="Y132" s="49"/>
      <c r="Z132" s="7"/>
      <c r="AA132" s="7"/>
      <c r="AB132" s="7"/>
      <c r="AC132" s="59" t="str">
        <f t="shared" ref="AC132:AC195" si="19">IFERROR(AVERAGE(X132,Y132,Z132,AA132,AB132),"0")</f>
        <v>0</v>
      </c>
      <c r="AD132" s="49"/>
      <c r="AE132" s="7"/>
      <c r="AF132" s="49"/>
      <c r="AG132" s="7"/>
      <c r="AH132" s="7"/>
      <c r="AI132" s="59" t="str">
        <f t="shared" ref="AI132:AI195" si="20">IFERROR(AVERAGE(AD132,AE132,AF132,AG132,AH132),"0")</f>
        <v>0</v>
      </c>
      <c r="AJ132" s="49"/>
      <c r="AK132" s="49"/>
      <c r="AL132" s="7"/>
      <c r="AM132" s="49"/>
      <c r="AN132" s="7"/>
      <c r="AO132" s="59" t="str">
        <f t="shared" ref="AO132:AO195" si="21">IFERROR(AVERAGE(AJ132,AK132,AL132,AM132,AN132),"0")</f>
        <v>0</v>
      </c>
      <c r="AP132" s="49"/>
      <c r="AQ132" s="49"/>
      <c r="AR132" s="49"/>
      <c r="AS132" s="7"/>
      <c r="AT132" s="7"/>
      <c r="AU132" s="59" t="str">
        <f t="shared" ref="AU132:AU195" si="22">IFERROR(AVERAGE(AP132,AQ132,AR132,AS132,AT132),"0")</f>
        <v>0</v>
      </c>
      <c r="AV132" s="7"/>
      <c r="AW132" s="7"/>
      <c r="AX132" s="49"/>
      <c r="AY132" s="49"/>
      <c r="AZ132" s="49"/>
      <c r="BA132" s="59" t="str">
        <f t="shared" ref="BA132:BA195" si="23">IFERROR(AVERAGE(AV132,AW132,AX132,AY132,AZ132),"0")</f>
        <v>0</v>
      </c>
    </row>
    <row r="133" spans="1:53" ht="23.1" customHeight="1" x14ac:dyDescent="0.3">
      <c r="A133" s="49">
        <v>131</v>
      </c>
      <c r="B133" s="49" t="s">
        <v>265</v>
      </c>
      <c r="C133" s="49" t="s">
        <v>266</v>
      </c>
      <c r="D133" s="49" t="s">
        <v>542</v>
      </c>
      <c r="E133" s="49" t="s">
        <v>161</v>
      </c>
      <c r="F133" s="49"/>
      <c r="G133" s="49"/>
      <c r="H133" s="49"/>
      <c r="I133" s="49"/>
      <c r="J133" s="49"/>
      <c r="K133" s="59" t="str">
        <f t="shared" si="16"/>
        <v>0</v>
      </c>
      <c r="L133" s="49">
        <v>4</v>
      </c>
      <c r="M133" s="49">
        <v>4</v>
      </c>
      <c r="N133" s="49">
        <v>4</v>
      </c>
      <c r="O133" s="49"/>
      <c r="P133" s="49">
        <v>4</v>
      </c>
      <c r="Q133" s="59">
        <f t="shared" si="17"/>
        <v>4</v>
      </c>
      <c r="R133" s="49">
        <v>4</v>
      </c>
      <c r="S133" s="49"/>
      <c r="T133" s="49"/>
      <c r="U133" s="49"/>
      <c r="V133" s="49"/>
      <c r="W133" s="59">
        <f t="shared" si="18"/>
        <v>4</v>
      </c>
      <c r="X133" s="49"/>
      <c r="Y133" s="49"/>
      <c r="Z133" s="49"/>
      <c r="AA133" s="49"/>
      <c r="AB133" s="49"/>
      <c r="AC133" s="59" t="str">
        <f t="shared" si="19"/>
        <v>0</v>
      </c>
      <c r="AD133" s="49"/>
      <c r="AE133" s="49"/>
      <c r="AF133" s="49"/>
      <c r="AG133" s="49"/>
      <c r="AH133" s="49"/>
      <c r="AI133" s="59" t="str">
        <f t="shared" si="20"/>
        <v>0</v>
      </c>
      <c r="AJ133" s="49"/>
      <c r="AK133" s="49"/>
      <c r="AL133" s="49"/>
      <c r="AM133" s="49"/>
      <c r="AN133" s="49"/>
      <c r="AO133" s="59" t="str">
        <f t="shared" si="21"/>
        <v>0</v>
      </c>
      <c r="AP133" s="49"/>
      <c r="AQ133" s="49"/>
      <c r="AR133" s="49"/>
      <c r="AS133" s="49"/>
      <c r="AT133" s="49"/>
      <c r="AU133" s="59" t="str">
        <f t="shared" si="22"/>
        <v>0</v>
      </c>
      <c r="AV133" s="49"/>
      <c r="AW133" s="49"/>
      <c r="AX133" s="49"/>
      <c r="AY133" s="49"/>
      <c r="AZ133" s="49"/>
      <c r="BA133" s="59" t="str">
        <f t="shared" si="23"/>
        <v>0</v>
      </c>
    </row>
    <row r="134" spans="1:53" ht="23.1" customHeight="1" x14ac:dyDescent="0.3">
      <c r="A134" s="7">
        <v>132</v>
      </c>
      <c r="B134" s="7" t="s">
        <v>79</v>
      </c>
      <c r="C134" s="7" t="s">
        <v>80</v>
      </c>
      <c r="D134" s="7" t="s">
        <v>542</v>
      </c>
      <c r="E134" s="7" t="s">
        <v>35</v>
      </c>
      <c r="F134" s="7"/>
      <c r="G134" s="7"/>
      <c r="H134" s="49"/>
      <c r="I134" s="7"/>
      <c r="J134" s="7"/>
      <c r="K134" s="59" t="str">
        <f t="shared" si="16"/>
        <v>0</v>
      </c>
      <c r="L134" s="49">
        <v>3</v>
      </c>
      <c r="M134" s="49">
        <v>3</v>
      </c>
      <c r="N134" s="49">
        <v>3</v>
      </c>
      <c r="O134" s="49"/>
      <c r="P134" s="49">
        <v>2</v>
      </c>
      <c r="Q134" s="59">
        <f t="shared" si="17"/>
        <v>2.75</v>
      </c>
      <c r="R134" s="49">
        <v>2</v>
      </c>
      <c r="S134" s="49"/>
      <c r="T134" s="7"/>
      <c r="U134" s="49"/>
      <c r="V134" s="7"/>
      <c r="W134" s="59">
        <f t="shared" si="18"/>
        <v>2</v>
      </c>
      <c r="X134" s="49"/>
      <c r="Y134" s="49"/>
      <c r="Z134" s="7"/>
      <c r="AA134" s="7"/>
      <c r="AB134" s="7"/>
      <c r="AC134" s="59" t="str">
        <f t="shared" si="19"/>
        <v>0</v>
      </c>
      <c r="AD134" s="49"/>
      <c r="AE134" s="7"/>
      <c r="AF134" s="49"/>
      <c r="AG134" s="7"/>
      <c r="AH134" s="7"/>
      <c r="AI134" s="59" t="str">
        <f t="shared" si="20"/>
        <v>0</v>
      </c>
      <c r="AJ134" s="49"/>
      <c r="AK134" s="49"/>
      <c r="AL134" s="7"/>
      <c r="AM134" s="49"/>
      <c r="AN134" s="7"/>
      <c r="AO134" s="59" t="str">
        <f t="shared" si="21"/>
        <v>0</v>
      </c>
      <c r="AP134" s="49"/>
      <c r="AQ134" s="49"/>
      <c r="AR134" s="49"/>
      <c r="AS134" s="7"/>
      <c r="AT134" s="7"/>
      <c r="AU134" s="59" t="str">
        <f t="shared" si="22"/>
        <v>0</v>
      </c>
      <c r="AV134" s="7"/>
      <c r="AW134" s="7"/>
      <c r="AX134" s="49"/>
      <c r="AY134" s="49"/>
      <c r="AZ134" s="49"/>
      <c r="BA134" s="59" t="str">
        <f t="shared" si="23"/>
        <v>0</v>
      </c>
    </row>
    <row r="135" spans="1:53" ht="23.1" customHeight="1" x14ac:dyDescent="0.3">
      <c r="A135" s="49">
        <v>133</v>
      </c>
      <c r="B135" s="49" t="s">
        <v>85</v>
      </c>
      <c r="C135" s="49" t="s">
        <v>86</v>
      </c>
      <c r="D135" s="49" t="s">
        <v>450</v>
      </c>
      <c r="E135" s="49" t="s">
        <v>35</v>
      </c>
      <c r="F135" s="49"/>
      <c r="G135" s="49"/>
      <c r="H135" s="49"/>
      <c r="I135" s="49"/>
      <c r="J135" s="49"/>
      <c r="K135" s="59" t="str">
        <f t="shared" si="16"/>
        <v>0</v>
      </c>
      <c r="L135" s="49">
        <v>2.5</v>
      </c>
      <c r="M135" s="49">
        <v>2</v>
      </c>
      <c r="N135" s="49">
        <v>2</v>
      </c>
      <c r="O135" s="49"/>
      <c r="P135" s="49">
        <v>2</v>
      </c>
      <c r="Q135" s="59">
        <f t="shared" si="17"/>
        <v>2.125</v>
      </c>
      <c r="R135" s="49">
        <v>2</v>
      </c>
      <c r="S135" s="49"/>
      <c r="T135" s="49"/>
      <c r="U135" s="49"/>
      <c r="V135" s="49"/>
      <c r="W135" s="59">
        <f t="shared" si="18"/>
        <v>2</v>
      </c>
      <c r="X135" s="49"/>
      <c r="Y135" s="49"/>
      <c r="Z135" s="49"/>
      <c r="AA135" s="49"/>
      <c r="AB135" s="49"/>
      <c r="AC135" s="59" t="str">
        <f t="shared" si="19"/>
        <v>0</v>
      </c>
      <c r="AD135" s="49"/>
      <c r="AE135" s="49"/>
      <c r="AF135" s="49"/>
      <c r="AG135" s="49"/>
      <c r="AH135" s="49"/>
      <c r="AI135" s="59" t="str">
        <f t="shared" si="20"/>
        <v>0</v>
      </c>
      <c r="AJ135" s="49"/>
      <c r="AK135" s="49"/>
      <c r="AL135" s="49"/>
      <c r="AM135" s="49"/>
      <c r="AN135" s="49"/>
      <c r="AO135" s="59" t="str">
        <f t="shared" si="21"/>
        <v>0</v>
      </c>
      <c r="AP135" s="49"/>
      <c r="AQ135" s="49"/>
      <c r="AR135" s="49"/>
      <c r="AS135" s="49"/>
      <c r="AT135" s="49"/>
      <c r="AU135" s="59" t="str">
        <f t="shared" si="22"/>
        <v>0</v>
      </c>
      <c r="AV135" s="49"/>
      <c r="AW135" s="49"/>
      <c r="AX135" s="49"/>
      <c r="AY135" s="49"/>
      <c r="AZ135" s="49"/>
      <c r="BA135" s="59" t="str">
        <f t="shared" si="23"/>
        <v>0</v>
      </c>
    </row>
    <row r="136" spans="1:53" ht="23.1" customHeight="1" x14ac:dyDescent="0.3">
      <c r="A136" s="7">
        <v>134</v>
      </c>
      <c r="B136" s="7" t="s">
        <v>253</v>
      </c>
      <c r="C136" s="7" t="s">
        <v>254</v>
      </c>
      <c r="D136" s="7" t="s">
        <v>450</v>
      </c>
      <c r="E136" s="7" t="s">
        <v>161</v>
      </c>
      <c r="F136" s="7"/>
      <c r="G136" s="7"/>
      <c r="H136" s="49"/>
      <c r="I136" s="7"/>
      <c r="J136" s="7"/>
      <c r="K136" s="59" t="str">
        <f t="shared" si="16"/>
        <v>0</v>
      </c>
      <c r="L136" s="49">
        <v>2</v>
      </c>
      <c r="M136" s="49">
        <v>2</v>
      </c>
      <c r="N136" s="49">
        <v>2</v>
      </c>
      <c r="O136" s="49"/>
      <c r="P136" s="49">
        <v>3</v>
      </c>
      <c r="Q136" s="59">
        <f t="shared" si="17"/>
        <v>2.25</v>
      </c>
      <c r="R136" s="49">
        <v>3</v>
      </c>
      <c r="S136" s="49"/>
      <c r="T136" s="7"/>
      <c r="U136" s="49"/>
      <c r="V136" s="7"/>
      <c r="W136" s="59">
        <f t="shared" si="18"/>
        <v>3</v>
      </c>
      <c r="X136" s="49"/>
      <c r="Y136" s="49"/>
      <c r="Z136" s="7"/>
      <c r="AA136" s="7"/>
      <c r="AB136" s="7"/>
      <c r="AC136" s="59" t="str">
        <f t="shared" si="19"/>
        <v>0</v>
      </c>
      <c r="AD136" s="49"/>
      <c r="AE136" s="7"/>
      <c r="AF136" s="49"/>
      <c r="AG136" s="7"/>
      <c r="AH136" s="7"/>
      <c r="AI136" s="59" t="str">
        <f t="shared" si="20"/>
        <v>0</v>
      </c>
      <c r="AJ136" s="49"/>
      <c r="AK136" s="49"/>
      <c r="AL136" s="7"/>
      <c r="AM136" s="49"/>
      <c r="AN136" s="7"/>
      <c r="AO136" s="59" t="str">
        <f t="shared" si="21"/>
        <v>0</v>
      </c>
      <c r="AP136" s="49"/>
      <c r="AQ136" s="49"/>
      <c r="AR136" s="49"/>
      <c r="AS136" s="7"/>
      <c r="AT136" s="7"/>
      <c r="AU136" s="59" t="str">
        <f t="shared" si="22"/>
        <v>0</v>
      </c>
      <c r="AV136" s="7"/>
      <c r="AW136" s="7"/>
      <c r="AX136" s="49"/>
      <c r="AY136" s="49"/>
      <c r="AZ136" s="49"/>
      <c r="BA136" s="59" t="str">
        <f t="shared" si="23"/>
        <v>0</v>
      </c>
    </row>
    <row r="137" spans="1:53" ht="23.1" customHeight="1" x14ac:dyDescent="0.3">
      <c r="A137" s="49">
        <v>135</v>
      </c>
      <c r="B137" s="49" t="s">
        <v>370</v>
      </c>
      <c r="C137" s="49" t="s">
        <v>371</v>
      </c>
      <c r="D137" s="49" t="s">
        <v>450</v>
      </c>
      <c r="E137" s="49" t="s">
        <v>493</v>
      </c>
      <c r="F137" s="49"/>
      <c r="G137" s="49"/>
      <c r="H137" s="49"/>
      <c r="I137" s="49"/>
      <c r="J137" s="49"/>
      <c r="K137" s="59" t="str">
        <f t="shared" si="16"/>
        <v>0</v>
      </c>
      <c r="L137" s="49">
        <v>3</v>
      </c>
      <c r="M137" s="49">
        <v>2</v>
      </c>
      <c r="N137" s="49">
        <v>3</v>
      </c>
      <c r="O137" s="49"/>
      <c r="P137" s="49">
        <v>2</v>
      </c>
      <c r="Q137" s="59">
        <f t="shared" si="17"/>
        <v>2.5</v>
      </c>
      <c r="R137" s="49">
        <v>3</v>
      </c>
      <c r="S137" s="49"/>
      <c r="T137" s="49"/>
      <c r="U137" s="49"/>
      <c r="V137" s="49"/>
      <c r="W137" s="59">
        <f t="shared" si="18"/>
        <v>3</v>
      </c>
      <c r="X137" s="49"/>
      <c r="Y137" s="49"/>
      <c r="Z137" s="49"/>
      <c r="AA137" s="49"/>
      <c r="AB137" s="49"/>
      <c r="AC137" s="59" t="str">
        <f t="shared" si="19"/>
        <v>0</v>
      </c>
      <c r="AD137" s="49"/>
      <c r="AE137" s="49"/>
      <c r="AF137" s="49"/>
      <c r="AG137" s="49"/>
      <c r="AH137" s="49"/>
      <c r="AI137" s="59" t="str">
        <f t="shared" si="20"/>
        <v>0</v>
      </c>
      <c r="AJ137" s="49"/>
      <c r="AK137" s="49"/>
      <c r="AL137" s="49"/>
      <c r="AM137" s="49"/>
      <c r="AN137" s="49"/>
      <c r="AO137" s="59" t="str">
        <f t="shared" si="21"/>
        <v>0</v>
      </c>
      <c r="AP137" s="49"/>
      <c r="AQ137" s="49"/>
      <c r="AR137" s="49"/>
      <c r="AS137" s="49"/>
      <c r="AT137" s="49"/>
      <c r="AU137" s="59" t="str">
        <f t="shared" si="22"/>
        <v>0</v>
      </c>
      <c r="AV137" s="49"/>
      <c r="AW137" s="49"/>
      <c r="AX137" s="49"/>
      <c r="AY137" s="49"/>
      <c r="AZ137" s="49"/>
      <c r="BA137" s="59" t="str">
        <f t="shared" si="23"/>
        <v>0</v>
      </c>
    </row>
    <row r="138" spans="1:53" ht="23.1" customHeight="1" x14ac:dyDescent="0.3">
      <c r="A138" s="7">
        <v>136</v>
      </c>
      <c r="B138" s="7" t="s">
        <v>372</v>
      </c>
      <c r="C138" s="7" t="s">
        <v>373</v>
      </c>
      <c r="D138" s="7" t="s">
        <v>542</v>
      </c>
      <c r="E138" s="7" t="s">
        <v>493</v>
      </c>
      <c r="F138" s="7"/>
      <c r="G138" s="7"/>
      <c r="H138" s="49"/>
      <c r="I138" s="7"/>
      <c r="J138" s="7"/>
      <c r="K138" s="59" t="str">
        <f t="shared" si="16"/>
        <v>0</v>
      </c>
      <c r="L138" s="49">
        <v>3</v>
      </c>
      <c r="M138" s="49">
        <v>3</v>
      </c>
      <c r="N138" s="49">
        <v>4</v>
      </c>
      <c r="O138" s="49"/>
      <c r="P138" s="49">
        <v>2</v>
      </c>
      <c r="Q138" s="59">
        <f t="shared" si="17"/>
        <v>3</v>
      </c>
      <c r="R138" s="49">
        <v>2</v>
      </c>
      <c r="S138" s="49"/>
      <c r="T138" s="7"/>
      <c r="U138" s="49"/>
      <c r="V138" s="7"/>
      <c r="W138" s="59">
        <f t="shared" si="18"/>
        <v>2</v>
      </c>
      <c r="X138" s="49"/>
      <c r="Y138" s="49"/>
      <c r="Z138" s="7"/>
      <c r="AA138" s="7"/>
      <c r="AB138" s="7"/>
      <c r="AC138" s="59" t="str">
        <f t="shared" si="19"/>
        <v>0</v>
      </c>
      <c r="AD138" s="49"/>
      <c r="AE138" s="7"/>
      <c r="AF138" s="49"/>
      <c r="AG138" s="7"/>
      <c r="AH138" s="7"/>
      <c r="AI138" s="59" t="str">
        <f t="shared" si="20"/>
        <v>0</v>
      </c>
      <c r="AJ138" s="49"/>
      <c r="AK138" s="49"/>
      <c r="AL138" s="7"/>
      <c r="AM138" s="49"/>
      <c r="AN138" s="7"/>
      <c r="AO138" s="59" t="str">
        <f t="shared" si="21"/>
        <v>0</v>
      </c>
      <c r="AP138" s="49"/>
      <c r="AQ138" s="49"/>
      <c r="AR138" s="49"/>
      <c r="AS138" s="7"/>
      <c r="AT138" s="7"/>
      <c r="AU138" s="59" t="str">
        <f t="shared" si="22"/>
        <v>0</v>
      </c>
      <c r="AV138" s="7"/>
      <c r="AW138" s="7"/>
      <c r="AX138" s="49"/>
      <c r="AY138" s="49"/>
      <c r="AZ138" s="49"/>
      <c r="BA138" s="59" t="str">
        <f t="shared" si="23"/>
        <v>0</v>
      </c>
    </row>
    <row r="139" spans="1:53" ht="23.1" customHeight="1" x14ac:dyDescent="0.3">
      <c r="A139" s="49">
        <v>137</v>
      </c>
      <c r="B139" s="49" t="s">
        <v>267</v>
      </c>
      <c r="C139" s="49" t="s">
        <v>268</v>
      </c>
      <c r="D139" s="49" t="s">
        <v>542</v>
      </c>
      <c r="E139" s="49" t="s">
        <v>161</v>
      </c>
      <c r="F139" s="49"/>
      <c r="G139" s="49"/>
      <c r="H139" s="49"/>
      <c r="I139" s="49"/>
      <c r="J139" s="49"/>
      <c r="K139" s="59" t="str">
        <f t="shared" si="16"/>
        <v>0</v>
      </c>
      <c r="L139" s="49">
        <v>2</v>
      </c>
      <c r="M139" s="49">
        <v>3</v>
      </c>
      <c r="N139" s="49">
        <v>3</v>
      </c>
      <c r="O139" s="49"/>
      <c r="P139" s="49">
        <v>3</v>
      </c>
      <c r="Q139" s="59">
        <f t="shared" si="17"/>
        <v>2.75</v>
      </c>
      <c r="R139" s="49">
        <v>2</v>
      </c>
      <c r="S139" s="49"/>
      <c r="T139" s="49"/>
      <c r="U139" s="49"/>
      <c r="V139" s="49"/>
      <c r="W139" s="59">
        <f t="shared" si="18"/>
        <v>2</v>
      </c>
      <c r="X139" s="49"/>
      <c r="Y139" s="49"/>
      <c r="Z139" s="49"/>
      <c r="AA139" s="49"/>
      <c r="AB139" s="49"/>
      <c r="AC139" s="59" t="str">
        <f t="shared" si="19"/>
        <v>0</v>
      </c>
      <c r="AD139" s="49"/>
      <c r="AE139" s="49"/>
      <c r="AF139" s="49"/>
      <c r="AG139" s="49"/>
      <c r="AH139" s="49"/>
      <c r="AI139" s="59" t="str">
        <f t="shared" si="20"/>
        <v>0</v>
      </c>
      <c r="AJ139" s="49"/>
      <c r="AK139" s="49"/>
      <c r="AL139" s="49"/>
      <c r="AM139" s="49"/>
      <c r="AN139" s="49"/>
      <c r="AO139" s="59" t="str">
        <f t="shared" si="21"/>
        <v>0</v>
      </c>
      <c r="AP139" s="49"/>
      <c r="AQ139" s="49"/>
      <c r="AR139" s="49"/>
      <c r="AS139" s="49"/>
      <c r="AT139" s="49"/>
      <c r="AU139" s="59" t="str">
        <f t="shared" si="22"/>
        <v>0</v>
      </c>
      <c r="AV139" s="49"/>
      <c r="AW139" s="49"/>
      <c r="AX139" s="49"/>
      <c r="AY139" s="49"/>
      <c r="AZ139" s="49"/>
      <c r="BA139" s="59" t="str">
        <f t="shared" si="23"/>
        <v>0</v>
      </c>
    </row>
    <row r="140" spans="1:53" ht="23.1" customHeight="1" x14ac:dyDescent="0.3">
      <c r="A140" s="7">
        <v>138</v>
      </c>
      <c r="B140" s="7" t="s">
        <v>281</v>
      </c>
      <c r="C140" s="7" t="s">
        <v>282</v>
      </c>
      <c r="D140" s="7" t="s">
        <v>542</v>
      </c>
      <c r="E140" s="7" t="s">
        <v>161</v>
      </c>
      <c r="F140" s="7"/>
      <c r="G140" s="7"/>
      <c r="H140" s="49"/>
      <c r="I140" s="7"/>
      <c r="J140" s="7"/>
      <c r="K140" s="59" t="str">
        <f t="shared" si="16"/>
        <v>0</v>
      </c>
      <c r="L140" s="49">
        <v>3</v>
      </c>
      <c r="M140" s="49">
        <v>3</v>
      </c>
      <c r="N140" s="49">
        <v>4</v>
      </c>
      <c r="O140" s="49"/>
      <c r="P140" s="49">
        <v>3</v>
      </c>
      <c r="Q140" s="59">
        <f t="shared" si="17"/>
        <v>3.25</v>
      </c>
      <c r="R140" s="49">
        <v>2</v>
      </c>
      <c r="S140" s="49"/>
      <c r="T140" s="7"/>
      <c r="U140" s="49"/>
      <c r="V140" s="7"/>
      <c r="W140" s="59">
        <f t="shared" si="18"/>
        <v>2</v>
      </c>
      <c r="X140" s="49"/>
      <c r="Y140" s="49"/>
      <c r="Z140" s="7"/>
      <c r="AA140" s="7"/>
      <c r="AB140" s="7"/>
      <c r="AC140" s="59" t="str">
        <f t="shared" si="19"/>
        <v>0</v>
      </c>
      <c r="AD140" s="49"/>
      <c r="AE140" s="7"/>
      <c r="AF140" s="49"/>
      <c r="AG140" s="7"/>
      <c r="AH140" s="7"/>
      <c r="AI140" s="59" t="str">
        <f t="shared" si="20"/>
        <v>0</v>
      </c>
      <c r="AJ140" s="49"/>
      <c r="AK140" s="49"/>
      <c r="AL140" s="7"/>
      <c r="AM140" s="49"/>
      <c r="AN140" s="7"/>
      <c r="AO140" s="59" t="str">
        <f t="shared" si="21"/>
        <v>0</v>
      </c>
      <c r="AP140" s="49"/>
      <c r="AQ140" s="49"/>
      <c r="AR140" s="49"/>
      <c r="AS140" s="7"/>
      <c r="AT140" s="7"/>
      <c r="AU140" s="59" t="str">
        <f t="shared" si="22"/>
        <v>0</v>
      </c>
      <c r="AV140" s="7"/>
      <c r="AW140" s="7"/>
      <c r="AX140" s="49"/>
      <c r="AY140" s="49"/>
      <c r="AZ140" s="49"/>
      <c r="BA140" s="59" t="str">
        <f t="shared" si="23"/>
        <v>0</v>
      </c>
    </row>
    <row r="141" spans="1:53" ht="23.1" customHeight="1" x14ac:dyDescent="0.3">
      <c r="A141" s="49">
        <v>139</v>
      </c>
      <c r="B141" s="49" t="s">
        <v>152</v>
      </c>
      <c r="C141" s="49" t="s">
        <v>153</v>
      </c>
      <c r="D141" s="49" t="s">
        <v>450</v>
      </c>
      <c r="E141" s="49" t="s">
        <v>35</v>
      </c>
      <c r="F141" s="49"/>
      <c r="G141" s="49"/>
      <c r="H141" s="49"/>
      <c r="I141" s="49"/>
      <c r="J141" s="49"/>
      <c r="K141" s="59" t="str">
        <f t="shared" si="16"/>
        <v>0</v>
      </c>
      <c r="L141" s="49">
        <v>3</v>
      </c>
      <c r="M141" s="49">
        <v>2</v>
      </c>
      <c r="N141" s="49">
        <v>2</v>
      </c>
      <c r="O141" s="49"/>
      <c r="P141" s="49">
        <v>3</v>
      </c>
      <c r="Q141" s="59">
        <f t="shared" si="17"/>
        <v>2.5</v>
      </c>
      <c r="R141" s="49">
        <v>3</v>
      </c>
      <c r="S141" s="49"/>
      <c r="T141" s="49"/>
      <c r="U141" s="49"/>
      <c r="V141" s="49"/>
      <c r="W141" s="59">
        <f t="shared" si="18"/>
        <v>3</v>
      </c>
      <c r="X141" s="49"/>
      <c r="Y141" s="49"/>
      <c r="Z141" s="49"/>
      <c r="AA141" s="49"/>
      <c r="AB141" s="49"/>
      <c r="AC141" s="59" t="str">
        <f t="shared" si="19"/>
        <v>0</v>
      </c>
      <c r="AD141" s="49"/>
      <c r="AE141" s="49"/>
      <c r="AF141" s="49"/>
      <c r="AG141" s="49"/>
      <c r="AH141" s="49"/>
      <c r="AI141" s="59" t="str">
        <f t="shared" si="20"/>
        <v>0</v>
      </c>
      <c r="AJ141" s="49"/>
      <c r="AK141" s="49"/>
      <c r="AL141" s="49"/>
      <c r="AM141" s="49"/>
      <c r="AN141" s="49"/>
      <c r="AO141" s="59" t="str">
        <f t="shared" si="21"/>
        <v>0</v>
      </c>
      <c r="AP141" s="49"/>
      <c r="AQ141" s="49"/>
      <c r="AR141" s="49"/>
      <c r="AS141" s="49"/>
      <c r="AT141" s="49"/>
      <c r="AU141" s="59" t="str">
        <f t="shared" si="22"/>
        <v>0</v>
      </c>
      <c r="AV141" s="49"/>
      <c r="AW141" s="49"/>
      <c r="AX141" s="49"/>
      <c r="AY141" s="49"/>
      <c r="AZ141" s="49"/>
      <c r="BA141" s="59" t="str">
        <f t="shared" si="23"/>
        <v>0</v>
      </c>
    </row>
    <row r="142" spans="1:53" ht="23.1" customHeight="1" x14ac:dyDescent="0.3">
      <c r="A142" s="7">
        <v>140</v>
      </c>
      <c r="B142" s="7" t="s">
        <v>374</v>
      </c>
      <c r="C142" s="7" t="s">
        <v>375</v>
      </c>
      <c r="D142" s="7" t="s">
        <v>450</v>
      </c>
      <c r="E142" s="7" t="s">
        <v>493</v>
      </c>
      <c r="F142" s="7"/>
      <c r="G142" s="7"/>
      <c r="H142" s="49"/>
      <c r="I142" s="7"/>
      <c r="J142" s="7"/>
      <c r="K142" s="59" t="str">
        <f t="shared" si="16"/>
        <v>0</v>
      </c>
      <c r="L142" s="49">
        <v>2</v>
      </c>
      <c r="M142" s="49">
        <v>2</v>
      </c>
      <c r="N142" s="49">
        <v>2</v>
      </c>
      <c r="O142" s="49"/>
      <c r="P142" s="49">
        <v>2</v>
      </c>
      <c r="Q142" s="59">
        <f t="shared" si="17"/>
        <v>2</v>
      </c>
      <c r="R142" s="49">
        <v>2</v>
      </c>
      <c r="S142" s="49"/>
      <c r="T142" s="7"/>
      <c r="U142" s="49"/>
      <c r="V142" s="7"/>
      <c r="W142" s="59">
        <f t="shared" si="18"/>
        <v>2</v>
      </c>
      <c r="X142" s="49"/>
      <c r="Y142" s="49"/>
      <c r="Z142" s="7"/>
      <c r="AA142" s="7"/>
      <c r="AB142" s="7"/>
      <c r="AC142" s="59" t="str">
        <f t="shared" si="19"/>
        <v>0</v>
      </c>
      <c r="AD142" s="49"/>
      <c r="AE142" s="7"/>
      <c r="AF142" s="49"/>
      <c r="AG142" s="7"/>
      <c r="AH142" s="7"/>
      <c r="AI142" s="59" t="str">
        <f t="shared" si="20"/>
        <v>0</v>
      </c>
      <c r="AJ142" s="49"/>
      <c r="AK142" s="49"/>
      <c r="AL142" s="7"/>
      <c r="AM142" s="49"/>
      <c r="AN142" s="7"/>
      <c r="AO142" s="59" t="str">
        <f t="shared" si="21"/>
        <v>0</v>
      </c>
      <c r="AP142" s="49"/>
      <c r="AQ142" s="49"/>
      <c r="AR142" s="49"/>
      <c r="AS142" s="7"/>
      <c r="AT142" s="7"/>
      <c r="AU142" s="59" t="str">
        <f t="shared" si="22"/>
        <v>0</v>
      </c>
      <c r="AV142" s="7"/>
      <c r="AW142" s="7"/>
      <c r="AX142" s="49"/>
      <c r="AY142" s="49"/>
      <c r="AZ142" s="49"/>
      <c r="BA142" s="59" t="str">
        <f t="shared" si="23"/>
        <v>0</v>
      </c>
    </row>
    <row r="143" spans="1:53" ht="23.1" customHeight="1" x14ac:dyDescent="0.3">
      <c r="A143" s="49">
        <v>141</v>
      </c>
      <c r="B143" s="49" t="s">
        <v>269</v>
      </c>
      <c r="C143" s="49" t="s">
        <v>270</v>
      </c>
      <c r="D143" s="49" t="s">
        <v>450</v>
      </c>
      <c r="E143" s="49" t="s">
        <v>161</v>
      </c>
      <c r="F143" s="49"/>
      <c r="G143" s="49"/>
      <c r="H143" s="49"/>
      <c r="I143" s="49"/>
      <c r="J143" s="49"/>
      <c r="K143" s="59" t="str">
        <f t="shared" si="16"/>
        <v>0</v>
      </c>
      <c r="L143" s="49">
        <v>3.5</v>
      </c>
      <c r="M143" s="49">
        <v>3</v>
      </c>
      <c r="N143" s="49">
        <v>2.5</v>
      </c>
      <c r="O143" s="49"/>
      <c r="P143" s="49">
        <v>2.5</v>
      </c>
      <c r="Q143" s="59">
        <f t="shared" si="17"/>
        <v>2.875</v>
      </c>
      <c r="R143" s="49">
        <v>2.5</v>
      </c>
      <c r="S143" s="49"/>
      <c r="T143" s="49"/>
      <c r="U143" s="49"/>
      <c r="V143" s="49"/>
      <c r="W143" s="59">
        <f t="shared" si="18"/>
        <v>2.5</v>
      </c>
      <c r="X143" s="49"/>
      <c r="Y143" s="49"/>
      <c r="Z143" s="49"/>
      <c r="AA143" s="49"/>
      <c r="AB143" s="49"/>
      <c r="AC143" s="59" t="str">
        <f t="shared" si="19"/>
        <v>0</v>
      </c>
      <c r="AD143" s="49"/>
      <c r="AE143" s="49"/>
      <c r="AF143" s="49"/>
      <c r="AG143" s="49"/>
      <c r="AH143" s="49"/>
      <c r="AI143" s="59" t="str">
        <f t="shared" si="20"/>
        <v>0</v>
      </c>
      <c r="AJ143" s="49"/>
      <c r="AK143" s="49"/>
      <c r="AL143" s="49"/>
      <c r="AM143" s="49"/>
      <c r="AN143" s="49"/>
      <c r="AO143" s="59" t="str">
        <f t="shared" si="21"/>
        <v>0</v>
      </c>
      <c r="AP143" s="49"/>
      <c r="AQ143" s="49"/>
      <c r="AR143" s="49"/>
      <c r="AS143" s="49"/>
      <c r="AT143" s="49"/>
      <c r="AU143" s="59" t="str">
        <f t="shared" si="22"/>
        <v>0</v>
      </c>
      <c r="AV143" s="49"/>
      <c r="AW143" s="49"/>
      <c r="AX143" s="49"/>
      <c r="AY143" s="49"/>
      <c r="AZ143" s="49"/>
      <c r="BA143" s="59" t="str">
        <f t="shared" si="23"/>
        <v>0</v>
      </c>
    </row>
    <row r="144" spans="1:53" ht="23.1" customHeight="1" x14ac:dyDescent="0.3">
      <c r="A144" s="7">
        <v>142</v>
      </c>
      <c r="B144" s="7" t="s">
        <v>170</v>
      </c>
      <c r="C144" s="7" t="s">
        <v>171</v>
      </c>
      <c r="D144" s="7" t="s">
        <v>542</v>
      </c>
      <c r="E144" s="7" t="s">
        <v>161</v>
      </c>
      <c r="F144" s="7"/>
      <c r="G144" s="7"/>
      <c r="H144" s="49"/>
      <c r="I144" s="7"/>
      <c r="J144" s="7"/>
      <c r="K144" s="59" t="str">
        <f t="shared" si="16"/>
        <v>0</v>
      </c>
      <c r="L144" s="49">
        <v>3</v>
      </c>
      <c r="M144" s="49">
        <v>3</v>
      </c>
      <c r="N144" s="49">
        <v>3</v>
      </c>
      <c r="O144" s="49"/>
      <c r="P144" s="49">
        <v>3</v>
      </c>
      <c r="Q144" s="59">
        <f t="shared" si="17"/>
        <v>3</v>
      </c>
      <c r="R144" s="49">
        <v>3</v>
      </c>
      <c r="S144" s="49"/>
      <c r="T144" s="7"/>
      <c r="U144" s="49"/>
      <c r="V144" s="7"/>
      <c r="W144" s="59">
        <f t="shared" si="18"/>
        <v>3</v>
      </c>
      <c r="X144" s="49"/>
      <c r="Y144" s="49"/>
      <c r="Z144" s="7"/>
      <c r="AA144" s="7"/>
      <c r="AB144" s="7"/>
      <c r="AC144" s="59" t="str">
        <f t="shared" si="19"/>
        <v>0</v>
      </c>
      <c r="AD144" s="49"/>
      <c r="AE144" s="7"/>
      <c r="AF144" s="49"/>
      <c r="AG144" s="7"/>
      <c r="AH144" s="7"/>
      <c r="AI144" s="59" t="str">
        <f t="shared" si="20"/>
        <v>0</v>
      </c>
      <c r="AJ144" s="49"/>
      <c r="AK144" s="49"/>
      <c r="AL144" s="7"/>
      <c r="AM144" s="49"/>
      <c r="AN144" s="7"/>
      <c r="AO144" s="59" t="str">
        <f t="shared" si="21"/>
        <v>0</v>
      </c>
      <c r="AP144" s="49"/>
      <c r="AQ144" s="49"/>
      <c r="AR144" s="49"/>
      <c r="AS144" s="7"/>
      <c r="AT144" s="7"/>
      <c r="AU144" s="59" t="str">
        <f t="shared" si="22"/>
        <v>0</v>
      </c>
      <c r="AV144" s="7"/>
      <c r="AW144" s="7"/>
      <c r="AX144" s="49"/>
      <c r="AY144" s="49"/>
      <c r="AZ144" s="49"/>
      <c r="BA144" s="59" t="str">
        <f t="shared" si="23"/>
        <v>0</v>
      </c>
    </row>
    <row r="145" spans="1:53" ht="23.1" customHeight="1" x14ac:dyDescent="0.3">
      <c r="A145" s="49">
        <v>143</v>
      </c>
      <c r="B145" s="49" t="s">
        <v>283</v>
      </c>
      <c r="C145" s="49" t="s">
        <v>284</v>
      </c>
      <c r="D145" s="49" t="s">
        <v>450</v>
      </c>
      <c r="E145" s="49" t="s">
        <v>161</v>
      </c>
      <c r="F145" s="49"/>
      <c r="G145" s="49"/>
      <c r="H145" s="49"/>
      <c r="I145" s="49"/>
      <c r="J145" s="49"/>
      <c r="K145" s="59" t="str">
        <f t="shared" si="16"/>
        <v>0</v>
      </c>
      <c r="L145" s="49">
        <v>3</v>
      </c>
      <c r="M145" s="49">
        <v>3</v>
      </c>
      <c r="N145" s="49">
        <v>3</v>
      </c>
      <c r="O145" s="49"/>
      <c r="P145" s="49">
        <v>3</v>
      </c>
      <c r="Q145" s="59">
        <f t="shared" si="17"/>
        <v>3</v>
      </c>
      <c r="R145" s="49">
        <v>3</v>
      </c>
      <c r="S145" s="49"/>
      <c r="T145" s="49"/>
      <c r="U145" s="49"/>
      <c r="V145" s="49"/>
      <c r="W145" s="59">
        <f t="shared" si="18"/>
        <v>3</v>
      </c>
      <c r="X145" s="49"/>
      <c r="Y145" s="49"/>
      <c r="Z145" s="49"/>
      <c r="AA145" s="49"/>
      <c r="AB145" s="49"/>
      <c r="AC145" s="59" t="str">
        <f t="shared" si="19"/>
        <v>0</v>
      </c>
      <c r="AD145" s="49"/>
      <c r="AE145" s="49"/>
      <c r="AF145" s="49"/>
      <c r="AG145" s="49"/>
      <c r="AH145" s="49"/>
      <c r="AI145" s="59" t="str">
        <f t="shared" si="20"/>
        <v>0</v>
      </c>
      <c r="AJ145" s="49"/>
      <c r="AK145" s="49"/>
      <c r="AL145" s="49"/>
      <c r="AM145" s="49"/>
      <c r="AN145" s="49"/>
      <c r="AO145" s="59" t="str">
        <f t="shared" si="21"/>
        <v>0</v>
      </c>
      <c r="AP145" s="49"/>
      <c r="AQ145" s="49"/>
      <c r="AR145" s="49"/>
      <c r="AS145" s="49"/>
      <c r="AT145" s="49"/>
      <c r="AU145" s="59" t="str">
        <f t="shared" si="22"/>
        <v>0</v>
      </c>
      <c r="AV145" s="49"/>
      <c r="AW145" s="49"/>
      <c r="AX145" s="49"/>
      <c r="AY145" s="49"/>
      <c r="AZ145" s="49"/>
      <c r="BA145" s="59" t="str">
        <f t="shared" si="23"/>
        <v>0</v>
      </c>
    </row>
    <row r="146" spans="1:53" ht="23.1" customHeight="1" x14ac:dyDescent="0.3">
      <c r="A146" s="7">
        <v>144</v>
      </c>
      <c r="B146" s="7" t="s">
        <v>172</v>
      </c>
      <c r="C146" s="7" t="s">
        <v>173</v>
      </c>
      <c r="D146" s="7" t="s">
        <v>450</v>
      </c>
      <c r="E146" s="7" t="s">
        <v>161</v>
      </c>
      <c r="F146" s="7"/>
      <c r="G146" s="7"/>
      <c r="H146" s="49"/>
      <c r="I146" s="7"/>
      <c r="J146" s="7"/>
      <c r="K146" s="59" t="str">
        <f t="shared" si="16"/>
        <v>0</v>
      </c>
      <c r="L146" s="49">
        <v>4</v>
      </c>
      <c r="M146" s="49">
        <v>3</v>
      </c>
      <c r="N146" s="49">
        <v>3</v>
      </c>
      <c r="O146" s="49"/>
      <c r="P146" s="49">
        <v>3</v>
      </c>
      <c r="Q146" s="59">
        <f t="shared" si="17"/>
        <v>3.25</v>
      </c>
      <c r="R146" s="49">
        <v>4</v>
      </c>
      <c r="S146" s="49"/>
      <c r="T146" s="7"/>
      <c r="U146" s="49"/>
      <c r="V146" s="7"/>
      <c r="W146" s="59">
        <f t="shared" si="18"/>
        <v>4</v>
      </c>
      <c r="X146" s="49"/>
      <c r="Y146" s="49"/>
      <c r="Z146" s="7"/>
      <c r="AA146" s="7"/>
      <c r="AB146" s="7"/>
      <c r="AC146" s="59" t="str">
        <f t="shared" si="19"/>
        <v>0</v>
      </c>
      <c r="AD146" s="49"/>
      <c r="AE146" s="7"/>
      <c r="AF146" s="49"/>
      <c r="AG146" s="7"/>
      <c r="AH146" s="7"/>
      <c r="AI146" s="59" t="str">
        <f t="shared" si="20"/>
        <v>0</v>
      </c>
      <c r="AJ146" s="49"/>
      <c r="AK146" s="49"/>
      <c r="AL146" s="7"/>
      <c r="AM146" s="49"/>
      <c r="AN146" s="7"/>
      <c r="AO146" s="59" t="str">
        <f t="shared" si="21"/>
        <v>0</v>
      </c>
      <c r="AP146" s="49"/>
      <c r="AQ146" s="49"/>
      <c r="AR146" s="49"/>
      <c r="AS146" s="7"/>
      <c r="AT146" s="7"/>
      <c r="AU146" s="59" t="str">
        <f t="shared" si="22"/>
        <v>0</v>
      </c>
      <c r="AV146" s="7"/>
      <c r="AW146" s="7"/>
      <c r="AX146" s="49"/>
      <c r="AY146" s="49"/>
      <c r="AZ146" s="49"/>
      <c r="BA146" s="59" t="str">
        <f t="shared" si="23"/>
        <v>0</v>
      </c>
    </row>
    <row r="147" spans="1:53" ht="23.1" customHeight="1" x14ac:dyDescent="0.3">
      <c r="A147" s="49">
        <v>145</v>
      </c>
      <c r="B147" s="49" t="s">
        <v>376</v>
      </c>
      <c r="C147" s="49" t="s">
        <v>377</v>
      </c>
      <c r="D147" s="49" t="s">
        <v>542</v>
      </c>
      <c r="E147" s="49" t="s">
        <v>493</v>
      </c>
      <c r="F147" s="49"/>
      <c r="G147" s="49"/>
      <c r="H147" s="49"/>
      <c r="I147" s="49"/>
      <c r="J147" s="49"/>
      <c r="K147" s="59" t="str">
        <f t="shared" si="16"/>
        <v>0</v>
      </c>
      <c r="L147" s="49">
        <v>3</v>
      </c>
      <c r="M147" s="49">
        <v>2.5</v>
      </c>
      <c r="N147" s="49">
        <v>3</v>
      </c>
      <c r="O147" s="49"/>
      <c r="P147" s="49">
        <v>3</v>
      </c>
      <c r="Q147" s="59">
        <f t="shared" si="17"/>
        <v>2.875</v>
      </c>
      <c r="R147" s="49">
        <v>3</v>
      </c>
      <c r="S147" s="49"/>
      <c r="T147" s="49"/>
      <c r="U147" s="49"/>
      <c r="V147" s="49"/>
      <c r="W147" s="59">
        <f t="shared" si="18"/>
        <v>3</v>
      </c>
      <c r="X147" s="49"/>
      <c r="Y147" s="49"/>
      <c r="Z147" s="49"/>
      <c r="AA147" s="49"/>
      <c r="AB147" s="49"/>
      <c r="AC147" s="59" t="str">
        <f t="shared" si="19"/>
        <v>0</v>
      </c>
      <c r="AD147" s="49"/>
      <c r="AE147" s="49"/>
      <c r="AF147" s="49"/>
      <c r="AG147" s="49"/>
      <c r="AH147" s="49"/>
      <c r="AI147" s="59" t="str">
        <f t="shared" si="20"/>
        <v>0</v>
      </c>
      <c r="AJ147" s="49"/>
      <c r="AK147" s="49"/>
      <c r="AL147" s="49"/>
      <c r="AM147" s="49"/>
      <c r="AN147" s="49"/>
      <c r="AO147" s="59" t="str">
        <f t="shared" si="21"/>
        <v>0</v>
      </c>
      <c r="AP147" s="49"/>
      <c r="AQ147" s="49"/>
      <c r="AR147" s="49"/>
      <c r="AS147" s="49"/>
      <c r="AT147" s="49"/>
      <c r="AU147" s="59" t="str">
        <f t="shared" si="22"/>
        <v>0</v>
      </c>
      <c r="AV147" s="49"/>
      <c r="AW147" s="49"/>
      <c r="AX147" s="49"/>
      <c r="AY147" s="49"/>
      <c r="AZ147" s="49"/>
      <c r="BA147" s="59" t="str">
        <f t="shared" si="23"/>
        <v>0</v>
      </c>
    </row>
    <row r="148" spans="1:53" ht="23.1" customHeight="1" x14ac:dyDescent="0.3">
      <c r="A148" s="7">
        <v>146</v>
      </c>
      <c r="B148" s="7" t="s">
        <v>378</v>
      </c>
      <c r="C148" s="7" t="s">
        <v>379</v>
      </c>
      <c r="D148" s="7" t="s">
        <v>542</v>
      </c>
      <c r="E148" s="7" t="s">
        <v>493</v>
      </c>
      <c r="F148" s="7"/>
      <c r="G148" s="7"/>
      <c r="H148" s="49"/>
      <c r="I148" s="7"/>
      <c r="J148" s="7"/>
      <c r="K148" s="59" t="str">
        <f t="shared" si="16"/>
        <v>0</v>
      </c>
      <c r="L148" s="49">
        <v>3</v>
      </c>
      <c r="M148" s="49">
        <v>4</v>
      </c>
      <c r="N148" s="49">
        <v>4</v>
      </c>
      <c r="O148" s="49"/>
      <c r="P148" s="49">
        <v>5</v>
      </c>
      <c r="Q148" s="59">
        <f t="shared" si="17"/>
        <v>4</v>
      </c>
      <c r="R148" s="49">
        <v>2</v>
      </c>
      <c r="S148" s="49"/>
      <c r="T148" s="7"/>
      <c r="U148" s="49"/>
      <c r="V148" s="7"/>
      <c r="W148" s="59">
        <f t="shared" si="18"/>
        <v>2</v>
      </c>
      <c r="X148" s="49"/>
      <c r="Y148" s="49"/>
      <c r="Z148" s="7"/>
      <c r="AA148" s="7"/>
      <c r="AB148" s="7"/>
      <c r="AC148" s="59" t="str">
        <f t="shared" si="19"/>
        <v>0</v>
      </c>
      <c r="AD148" s="49"/>
      <c r="AE148" s="7"/>
      <c r="AF148" s="49"/>
      <c r="AG148" s="7"/>
      <c r="AH148" s="7"/>
      <c r="AI148" s="59" t="str">
        <f t="shared" si="20"/>
        <v>0</v>
      </c>
      <c r="AJ148" s="49"/>
      <c r="AK148" s="49"/>
      <c r="AL148" s="7"/>
      <c r="AM148" s="49"/>
      <c r="AN148" s="7"/>
      <c r="AO148" s="59" t="str">
        <f t="shared" si="21"/>
        <v>0</v>
      </c>
      <c r="AP148" s="49"/>
      <c r="AQ148" s="49"/>
      <c r="AR148" s="49"/>
      <c r="AS148" s="7"/>
      <c r="AT148" s="7"/>
      <c r="AU148" s="59" t="str">
        <f t="shared" si="22"/>
        <v>0</v>
      </c>
      <c r="AV148" s="7"/>
      <c r="AW148" s="7"/>
      <c r="AX148" s="49"/>
      <c r="AY148" s="49"/>
      <c r="AZ148" s="49"/>
      <c r="BA148" s="59" t="str">
        <f t="shared" si="23"/>
        <v>0</v>
      </c>
    </row>
    <row r="149" spans="1:53" ht="23.1" customHeight="1" x14ac:dyDescent="0.3">
      <c r="A149" s="49">
        <v>147</v>
      </c>
      <c r="B149" s="49" t="s">
        <v>154</v>
      </c>
      <c r="C149" s="49" t="s">
        <v>155</v>
      </c>
      <c r="D149" s="49" t="s">
        <v>450</v>
      </c>
      <c r="E149" s="49" t="s">
        <v>35</v>
      </c>
      <c r="F149" s="49"/>
      <c r="G149" s="49"/>
      <c r="H149" s="49"/>
      <c r="I149" s="49"/>
      <c r="J149" s="49"/>
      <c r="K149" s="59" t="str">
        <f t="shared" si="16"/>
        <v>0</v>
      </c>
      <c r="L149" s="49">
        <v>3</v>
      </c>
      <c r="M149" s="49">
        <v>2</v>
      </c>
      <c r="N149" s="49">
        <v>3</v>
      </c>
      <c r="O149" s="49"/>
      <c r="P149" s="49">
        <v>2</v>
      </c>
      <c r="Q149" s="59">
        <f t="shared" si="17"/>
        <v>2.5</v>
      </c>
      <c r="R149" s="49">
        <v>2</v>
      </c>
      <c r="S149" s="49"/>
      <c r="T149" s="49"/>
      <c r="U149" s="49"/>
      <c r="V149" s="49"/>
      <c r="W149" s="59">
        <f t="shared" si="18"/>
        <v>2</v>
      </c>
      <c r="X149" s="49"/>
      <c r="Y149" s="49"/>
      <c r="Z149" s="49"/>
      <c r="AA149" s="49"/>
      <c r="AB149" s="49"/>
      <c r="AC149" s="59" t="str">
        <f t="shared" si="19"/>
        <v>0</v>
      </c>
      <c r="AD149" s="49"/>
      <c r="AE149" s="49"/>
      <c r="AF149" s="49"/>
      <c r="AG149" s="49"/>
      <c r="AH149" s="49"/>
      <c r="AI149" s="59" t="str">
        <f t="shared" si="20"/>
        <v>0</v>
      </c>
      <c r="AJ149" s="49"/>
      <c r="AK149" s="49"/>
      <c r="AL149" s="49"/>
      <c r="AM149" s="49"/>
      <c r="AN149" s="49"/>
      <c r="AO149" s="59" t="str">
        <f t="shared" si="21"/>
        <v>0</v>
      </c>
      <c r="AP149" s="49"/>
      <c r="AQ149" s="49"/>
      <c r="AR149" s="49"/>
      <c r="AS149" s="49"/>
      <c r="AT149" s="49"/>
      <c r="AU149" s="59" t="str">
        <f t="shared" si="22"/>
        <v>0</v>
      </c>
      <c r="AV149" s="49"/>
      <c r="AW149" s="49"/>
      <c r="AX149" s="49"/>
      <c r="AY149" s="49"/>
      <c r="AZ149" s="49"/>
      <c r="BA149" s="59" t="str">
        <f t="shared" si="23"/>
        <v>0</v>
      </c>
    </row>
    <row r="150" spans="1:53" ht="23.1" customHeight="1" x14ac:dyDescent="0.3">
      <c r="A150" s="7">
        <v>148</v>
      </c>
      <c r="B150" s="7" t="s">
        <v>380</v>
      </c>
      <c r="C150" s="7" t="s">
        <v>381</v>
      </c>
      <c r="D150" s="7" t="s">
        <v>450</v>
      </c>
      <c r="E150" s="7" t="s">
        <v>493</v>
      </c>
      <c r="F150" s="7"/>
      <c r="G150" s="7"/>
      <c r="H150" s="49"/>
      <c r="I150" s="7"/>
      <c r="J150" s="7"/>
      <c r="K150" s="59" t="str">
        <f t="shared" si="16"/>
        <v>0</v>
      </c>
      <c r="L150" s="49">
        <v>3</v>
      </c>
      <c r="M150" s="49">
        <v>3</v>
      </c>
      <c r="N150" s="49">
        <v>2</v>
      </c>
      <c r="O150" s="49"/>
      <c r="P150" s="49">
        <v>2</v>
      </c>
      <c r="Q150" s="59">
        <f t="shared" si="17"/>
        <v>2.5</v>
      </c>
      <c r="R150" s="49">
        <v>3</v>
      </c>
      <c r="S150" s="49"/>
      <c r="T150" s="7"/>
      <c r="U150" s="49"/>
      <c r="V150" s="7"/>
      <c r="W150" s="59">
        <f t="shared" si="18"/>
        <v>3</v>
      </c>
      <c r="X150" s="49"/>
      <c r="Y150" s="49"/>
      <c r="Z150" s="7"/>
      <c r="AA150" s="7"/>
      <c r="AB150" s="7"/>
      <c r="AC150" s="59" t="str">
        <f t="shared" si="19"/>
        <v>0</v>
      </c>
      <c r="AD150" s="49"/>
      <c r="AE150" s="7"/>
      <c r="AF150" s="49"/>
      <c r="AG150" s="7"/>
      <c r="AH150" s="7"/>
      <c r="AI150" s="59" t="str">
        <f t="shared" si="20"/>
        <v>0</v>
      </c>
      <c r="AJ150" s="49"/>
      <c r="AK150" s="49"/>
      <c r="AL150" s="7"/>
      <c r="AM150" s="49"/>
      <c r="AN150" s="7"/>
      <c r="AO150" s="59" t="str">
        <f t="shared" si="21"/>
        <v>0</v>
      </c>
      <c r="AP150" s="49"/>
      <c r="AQ150" s="49"/>
      <c r="AR150" s="49"/>
      <c r="AS150" s="7"/>
      <c r="AT150" s="7"/>
      <c r="AU150" s="59" t="str">
        <f t="shared" si="22"/>
        <v>0</v>
      </c>
      <c r="AV150" s="7"/>
      <c r="AW150" s="7"/>
      <c r="AX150" s="49"/>
      <c r="AY150" s="49"/>
      <c r="AZ150" s="49"/>
      <c r="BA150" s="59" t="str">
        <f t="shared" si="23"/>
        <v>0</v>
      </c>
    </row>
    <row r="151" spans="1:53" ht="23.1" customHeight="1" x14ac:dyDescent="0.3">
      <c r="A151" s="49">
        <v>149</v>
      </c>
      <c r="B151" s="49" t="s">
        <v>156</v>
      </c>
      <c r="C151" s="49" t="s">
        <v>382</v>
      </c>
      <c r="D151" s="49" t="s">
        <v>450</v>
      </c>
      <c r="E151" s="49" t="s">
        <v>35</v>
      </c>
      <c r="F151" s="49"/>
      <c r="G151" s="49"/>
      <c r="H151" s="49"/>
      <c r="I151" s="49"/>
      <c r="J151" s="49"/>
      <c r="K151" s="59" t="str">
        <f t="shared" si="16"/>
        <v>0</v>
      </c>
      <c r="L151" s="49">
        <v>2</v>
      </c>
      <c r="M151" s="49">
        <v>3</v>
      </c>
      <c r="N151" s="49">
        <v>2</v>
      </c>
      <c r="O151" s="49"/>
      <c r="P151" s="49">
        <v>3</v>
      </c>
      <c r="Q151" s="59">
        <f t="shared" si="17"/>
        <v>2.5</v>
      </c>
      <c r="R151" s="49">
        <v>2</v>
      </c>
      <c r="S151" s="49"/>
      <c r="T151" s="49"/>
      <c r="U151" s="49"/>
      <c r="V151" s="49"/>
      <c r="W151" s="59">
        <f t="shared" si="18"/>
        <v>2</v>
      </c>
      <c r="X151" s="49"/>
      <c r="Y151" s="49"/>
      <c r="Z151" s="49"/>
      <c r="AA151" s="49"/>
      <c r="AB151" s="49"/>
      <c r="AC151" s="59" t="str">
        <f t="shared" si="19"/>
        <v>0</v>
      </c>
      <c r="AD151" s="49"/>
      <c r="AE151" s="49"/>
      <c r="AF151" s="49"/>
      <c r="AG151" s="49"/>
      <c r="AH151" s="49"/>
      <c r="AI151" s="59" t="str">
        <f t="shared" si="20"/>
        <v>0</v>
      </c>
      <c r="AJ151" s="49"/>
      <c r="AK151" s="49"/>
      <c r="AL151" s="49"/>
      <c r="AM151" s="49"/>
      <c r="AN151" s="49"/>
      <c r="AO151" s="59" t="str">
        <f t="shared" si="21"/>
        <v>0</v>
      </c>
      <c r="AP151" s="49"/>
      <c r="AQ151" s="49"/>
      <c r="AR151" s="49"/>
      <c r="AS151" s="49"/>
      <c r="AT151" s="49"/>
      <c r="AU151" s="59" t="str">
        <f t="shared" si="22"/>
        <v>0</v>
      </c>
      <c r="AV151" s="49"/>
      <c r="AW151" s="49"/>
      <c r="AX151" s="49"/>
      <c r="AY151" s="49"/>
      <c r="AZ151" s="49"/>
      <c r="BA151" s="59" t="str">
        <f t="shared" si="23"/>
        <v>0</v>
      </c>
    </row>
    <row r="152" spans="1:53" ht="23.1" customHeight="1" x14ac:dyDescent="0.3">
      <c r="A152" s="7">
        <v>150</v>
      </c>
      <c r="B152" s="7" t="s">
        <v>383</v>
      </c>
      <c r="C152" s="7" t="s">
        <v>384</v>
      </c>
      <c r="D152" s="7" t="s">
        <v>542</v>
      </c>
      <c r="E152" s="7" t="s">
        <v>493</v>
      </c>
      <c r="F152" s="7"/>
      <c r="G152" s="7"/>
      <c r="H152" s="49"/>
      <c r="I152" s="7"/>
      <c r="J152" s="7"/>
      <c r="K152" s="59" t="str">
        <f t="shared" si="16"/>
        <v>0</v>
      </c>
      <c r="L152" s="49">
        <v>3</v>
      </c>
      <c r="M152" s="49">
        <v>4</v>
      </c>
      <c r="N152" s="49">
        <v>3</v>
      </c>
      <c r="O152" s="49"/>
      <c r="P152" s="49">
        <v>2</v>
      </c>
      <c r="Q152" s="59">
        <f t="shared" si="17"/>
        <v>3</v>
      </c>
      <c r="R152" s="49">
        <v>3</v>
      </c>
      <c r="S152" s="49"/>
      <c r="T152" s="7"/>
      <c r="U152" s="49"/>
      <c r="V152" s="7"/>
      <c r="W152" s="59">
        <f t="shared" si="18"/>
        <v>3</v>
      </c>
      <c r="X152" s="49"/>
      <c r="Y152" s="49"/>
      <c r="Z152" s="7"/>
      <c r="AA152" s="7"/>
      <c r="AB152" s="7"/>
      <c r="AC152" s="59" t="str">
        <f t="shared" si="19"/>
        <v>0</v>
      </c>
      <c r="AD152" s="49"/>
      <c r="AE152" s="7"/>
      <c r="AF152" s="49"/>
      <c r="AG152" s="7"/>
      <c r="AH152" s="7"/>
      <c r="AI152" s="59" t="str">
        <f t="shared" si="20"/>
        <v>0</v>
      </c>
      <c r="AJ152" s="49"/>
      <c r="AK152" s="49"/>
      <c r="AL152" s="7"/>
      <c r="AM152" s="49"/>
      <c r="AN152" s="7"/>
      <c r="AO152" s="59" t="str">
        <f t="shared" si="21"/>
        <v>0</v>
      </c>
      <c r="AP152" s="49"/>
      <c r="AQ152" s="49"/>
      <c r="AR152" s="49"/>
      <c r="AS152" s="7"/>
      <c r="AT152" s="7"/>
      <c r="AU152" s="59" t="str">
        <f t="shared" si="22"/>
        <v>0</v>
      </c>
      <c r="AV152" s="7"/>
      <c r="AW152" s="7"/>
      <c r="AX152" s="49"/>
      <c r="AY152" s="49"/>
      <c r="AZ152" s="49"/>
      <c r="BA152" s="59" t="str">
        <f t="shared" si="23"/>
        <v>0</v>
      </c>
    </row>
    <row r="153" spans="1:53" ht="23.1" customHeight="1" x14ac:dyDescent="0.3">
      <c r="A153" s="49">
        <v>151</v>
      </c>
      <c r="B153" s="49" t="s">
        <v>46</v>
      </c>
      <c r="C153" s="49" t="s">
        <v>47</v>
      </c>
      <c r="D153" s="49" t="s">
        <v>450</v>
      </c>
      <c r="E153" s="49" t="s">
        <v>35</v>
      </c>
      <c r="F153" s="49"/>
      <c r="G153" s="49"/>
      <c r="H153" s="49"/>
      <c r="I153" s="49"/>
      <c r="J153" s="49"/>
      <c r="K153" s="59" t="str">
        <f t="shared" si="16"/>
        <v>0</v>
      </c>
      <c r="L153" s="49">
        <v>4</v>
      </c>
      <c r="M153" s="49">
        <v>3</v>
      </c>
      <c r="N153" s="49">
        <v>3</v>
      </c>
      <c r="O153" s="49"/>
      <c r="P153" s="49">
        <v>3</v>
      </c>
      <c r="Q153" s="59">
        <f t="shared" si="17"/>
        <v>3.25</v>
      </c>
      <c r="R153" s="49">
        <v>3</v>
      </c>
      <c r="S153" s="49"/>
      <c r="T153" s="49"/>
      <c r="U153" s="49"/>
      <c r="V153" s="49"/>
      <c r="W153" s="59">
        <f t="shared" si="18"/>
        <v>3</v>
      </c>
      <c r="X153" s="49"/>
      <c r="Y153" s="49"/>
      <c r="Z153" s="49"/>
      <c r="AA153" s="49"/>
      <c r="AB153" s="49"/>
      <c r="AC153" s="59" t="str">
        <f t="shared" si="19"/>
        <v>0</v>
      </c>
      <c r="AD153" s="49"/>
      <c r="AE153" s="49"/>
      <c r="AF153" s="49"/>
      <c r="AG153" s="49"/>
      <c r="AH153" s="49"/>
      <c r="AI153" s="59" t="str">
        <f t="shared" si="20"/>
        <v>0</v>
      </c>
      <c r="AJ153" s="49"/>
      <c r="AK153" s="49"/>
      <c r="AL153" s="49"/>
      <c r="AM153" s="49"/>
      <c r="AN153" s="49"/>
      <c r="AO153" s="59" t="str">
        <f t="shared" si="21"/>
        <v>0</v>
      </c>
      <c r="AP153" s="49"/>
      <c r="AQ153" s="49"/>
      <c r="AR153" s="49"/>
      <c r="AS153" s="49"/>
      <c r="AT153" s="49"/>
      <c r="AU153" s="59" t="str">
        <f t="shared" si="22"/>
        <v>0</v>
      </c>
      <c r="AV153" s="49"/>
      <c r="AW153" s="49"/>
      <c r="AX153" s="49"/>
      <c r="AY153" s="49"/>
      <c r="AZ153" s="49"/>
      <c r="BA153" s="59" t="str">
        <f t="shared" si="23"/>
        <v>0</v>
      </c>
    </row>
    <row r="154" spans="1:53" ht="23.1" customHeight="1" x14ac:dyDescent="0.3">
      <c r="A154" s="7">
        <v>152</v>
      </c>
      <c r="B154" s="7" t="s">
        <v>83</v>
      </c>
      <c r="C154" s="7" t="s">
        <v>84</v>
      </c>
      <c r="D154" s="7" t="s">
        <v>450</v>
      </c>
      <c r="E154" s="7" t="s">
        <v>35</v>
      </c>
      <c r="F154" s="7"/>
      <c r="G154" s="7"/>
      <c r="H154" s="49"/>
      <c r="I154" s="7"/>
      <c r="J154" s="7"/>
      <c r="K154" s="59" t="str">
        <f t="shared" si="16"/>
        <v>0</v>
      </c>
      <c r="L154" s="49">
        <v>3</v>
      </c>
      <c r="M154" s="49">
        <v>4</v>
      </c>
      <c r="N154" s="49">
        <v>4</v>
      </c>
      <c r="O154" s="49"/>
      <c r="P154" s="49">
        <v>3</v>
      </c>
      <c r="Q154" s="59">
        <f t="shared" si="17"/>
        <v>3.5</v>
      </c>
      <c r="R154" s="49">
        <v>4</v>
      </c>
      <c r="S154" s="49"/>
      <c r="T154" s="7"/>
      <c r="U154" s="49"/>
      <c r="V154" s="7"/>
      <c r="W154" s="59">
        <f t="shared" si="18"/>
        <v>4</v>
      </c>
      <c r="X154" s="49"/>
      <c r="Y154" s="49"/>
      <c r="Z154" s="7"/>
      <c r="AA154" s="7"/>
      <c r="AB154" s="7"/>
      <c r="AC154" s="59" t="str">
        <f t="shared" si="19"/>
        <v>0</v>
      </c>
      <c r="AD154" s="49"/>
      <c r="AE154" s="7"/>
      <c r="AF154" s="49"/>
      <c r="AG154" s="7"/>
      <c r="AH154" s="7"/>
      <c r="AI154" s="59" t="str">
        <f t="shared" si="20"/>
        <v>0</v>
      </c>
      <c r="AJ154" s="49"/>
      <c r="AK154" s="49"/>
      <c r="AL154" s="7"/>
      <c r="AM154" s="49"/>
      <c r="AN154" s="7"/>
      <c r="AO154" s="59" t="str">
        <f t="shared" si="21"/>
        <v>0</v>
      </c>
      <c r="AP154" s="49"/>
      <c r="AQ154" s="49"/>
      <c r="AR154" s="49"/>
      <c r="AS154" s="7"/>
      <c r="AT154" s="7"/>
      <c r="AU154" s="59" t="str">
        <f t="shared" si="22"/>
        <v>0</v>
      </c>
      <c r="AV154" s="7"/>
      <c r="AW154" s="7"/>
      <c r="AX154" s="49"/>
      <c r="AY154" s="49"/>
      <c r="AZ154" s="49"/>
      <c r="BA154" s="59" t="str">
        <f t="shared" si="23"/>
        <v>0</v>
      </c>
    </row>
    <row r="155" spans="1:53" ht="23.1" customHeight="1" x14ac:dyDescent="0.3">
      <c r="A155" s="49">
        <v>153</v>
      </c>
      <c r="B155" s="49" t="s">
        <v>385</v>
      </c>
      <c r="C155" s="49" t="s">
        <v>386</v>
      </c>
      <c r="D155" s="49" t="s">
        <v>450</v>
      </c>
      <c r="E155" s="49" t="s">
        <v>493</v>
      </c>
      <c r="F155" s="49"/>
      <c r="G155" s="49"/>
      <c r="H155" s="49"/>
      <c r="I155" s="49"/>
      <c r="J155" s="49"/>
      <c r="K155" s="59" t="str">
        <f t="shared" si="16"/>
        <v>0</v>
      </c>
      <c r="L155" s="49">
        <v>3</v>
      </c>
      <c r="M155" s="49">
        <v>3</v>
      </c>
      <c r="N155" s="49">
        <v>2</v>
      </c>
      <c r="O155" s="49"/>
      <c r="P155" s="49">
        <v>2</v>
      </c>
      <c r="Q155" s="59">
        <f t="shared" si="17"/>
        <v>2.5</v>
      </c>
      <c r="R155" s="49">
        <v>2</v>
      </c>
      <c r="S155" s="49"/>
      <c r="T155" s="49"/>
      <c r="U155" s="49"/>
      <c r="V155" s="49"/>
      <c r="W155" s="59">
        <f t="shared" si="18"/>
        <v>2</v>
      </c>
      <c r="X155" s="49"/>
      <c r="Y155" s="49"/>
      <c r="Z155" s="49"/>
      <c r="AA155" s="49"/>
      <c r="AB155" s="49"/>
      <c r="AC155" s="59" t="str">
        <f t="shared" si="19"/>
        <v>0</v>
      </c>
      <c r="AD155" s="49"/>
      <c r="AE155" s="49"/>
      <c r="AF155" s="49"/>
      <c r="AG155" s="49"/>
      <c r="AH155" s="49"/>
      <c r="AI155" s="59" t="str">
        <f t="shared" si="20"/>
        <v>0</v>
      </c>
      <c r="AJ155" s="49"/>
      <c r="AK155" s="49"/>
      <c r="AL155" s="49"/>
      <c r="AM155" s="49"/>
      <c r="AN155" s="49"/>
      <c r="AO155" s="59" t="str">
        <f t="shared" si="21"/>
        <v>0</v>
      </c>
      <c r="AP155" s="49"/>
      <c r="AQ155" s="49"/>
      <c r="AR155" s="49"/>
      <c r="AS155" s="49"/>
      <c r="AT155" s="49"/>
      <c r="AU155" s="59" t="str">
        <f t="shared" si="22"/>
        <v>0</v>
      </c>
      <c r="AV155" s="49"/>
      <c r="AW155" s="49"/>
      <c r="AX155" s="49"/>
      <c r="AY155" s="49"/>
      <c r="AZ155" s="49"/>
      <c r="BA155" s="59" t="str">
        <f t="shared" si="23"/>
        <v>0</v>
      </c>
    </row>
    <row r="156" spans="1:53" ht="23.1" customHeight="1" x14ac:dyDescent="0.3">
      <c r="A156" s="7">
        <v>154</v>
      </c>
      <c r="B156" s="7" t="s">
        <v>93</v>
      </c>
      <c r="C156" s="7" t="s">
        <v>94</v>
      </c>
      <c r="D156" s="7" t="s">
        <v>542</v>
      </c>
      <c r="E156" s="7" t="s">
        <v>35</v>
      </c>
      <c r="F156" s="7"/>
      <c r="G156" s="7"/>
      <c r="H156" s="49"/>
      <c r="I156" s="7"/>
      <c r="J156" s="7"/>
      <c r="K156" s="59" t="str">
        <f t="shared" si="16"/>
        <v>0</v>
      </c>
      <c r="L156" s="49">
        <v>3</v>
      </c>
      <c r="M156" s="49">
        <v>2</v>
      </c>
      <c r="N156" s="49">
        <v>3</v>
      </c>
      <c r="O156" s="49"/>
      <c r="P156" s="49">
        <v>2</v>
      </c>
      <c r="Q156" s="59">
        <f t="shared" si="17"/>
        <v>2.5</v>
      </c>
      <c r="R156" s="49">
        <v>2</v>
      </c>
      <c r="S156" s="49"/>
      <c r="T156" s="7"/>
      <c r="U156" s="49"/>
      <c r="V156" s="7"/>
      <c r="W156" s="59">
        <f t="shared" si="18"/>
        <v>2</v>
      </c>
      <c r="X156" s="49"/>
      <c r="Y156" s="49"/>
      <c r="Z156" s="7"/>
      <c r="AA156" s="7"/>
      <c r="AB156" s="7"/>
      <c r="AC156" s="59" t="str">
        <f t="shared" si="19"/>
        <v>0</v>
      </c>
      <c r="AD156" s="49"/>
      <c r="AE156" s="7"/>
      <c r="AF156" s="49"/>
      <c r="AG156" s="7"/>
      <c r="AH156" s="7"/>
      <c r="AI156" s="59" t="str">
        <f t="shared" si="20"/>
        <v>0</v>
      </c>
      <c r="AJ156" s="49"/>
      <c r="AK156" s="49"/>
      <c r="AL156" s="7"/>
      <c r="AM156" s="49"/>
      <c r="AN156" s="7"/>
      <c r="AO156" s="59" t="str">
        <f t="shared" si="21"/>
        <v>0</v>
      </c>
      <c r="AP156" s="49"/>
      <c r="AQ156" s="49"/>
      <c r="AR156" s="49"/>
      <c r="AS156" s="7"/>
      <c r="AT156" s="7"/>
      <c r="AU156" s="59" t="str">
        <f t="shared" si="22"/>
        <v>0</v>
      </c>
      <c r="AV156" s="7"/>
      <c r="AW156" s="7"/>
      <c r="AX156" s="49"/>
      <c r="AY156" s="49"/>
      <c r="AZ156" s="49"/>
      <c r="BA156" s="59" t="str">
        <f t="shared" si="23"/>
        <v>0</v>
      </c>
    </row>
    <row r="157" spans="1:53" ht="23.1" customHeight="1" x14ac:dyDescent="0.3">
      <c r="A157" s="49">
        <v>155</v>
      </c>
      <c r="B157" s="49" t="s">
        <v>188</v>
      </c>
      <c r="C157" s="49" t="s">
        <v>189</v>
      </c>
      <c r="D157" s="49" t="s">
        <v>542</v>
      </c>
      <c r="E157" s="49" t="s">
        <v>161</v>
      </c>
      <c r="F157" s="49"/>
      <c r="G157" s="49"/>
      <c r="H157" s="49"/>
      <c r="I157" s="49"/>
      <c r="J157" s="49"/>
      <c r="K157" s="59" t="str">
        <f t="shared" si="16"/>
        <v>0</v>
      </c>
      <c r="L157" s="49">
        <v>2</v>
      </c>
      <c r="M157" s="49">
        <v>3</v>
      </c>
      <c r="N157" s="49">
        <v>2</v>
      </c>
      <c r="O157" s="49"/>
      <c r="P157" s="49">
        <v>3</v>
      </c>
      <c r="Q157" s="59">
        <f t="shared" si="17"/>
        <v>2.5</v>
      </c>
      <c r="R157" s="49">
        <v>3</v>
      </c>
      <c r="S157" s="49"/>
      <c r="T157" s="49"/>
      <c r="U157" s="49"/>
      <c r="V157" s="49"/>
      <c r="W157" s="59">
        <f t="shared" si="18"/>
        <v>3</v>
      </c>
      <c r="X157" s="49"/>
      <c r="Y157" s="49"/>
      <c r="Z157" s="49"/>
      <c r="AA157" s="49"/>
      <c r="AB157" s="49"/>
      <c r="AC157" s="59" t="str">
        <f t="shared" si="19"/>
        <v>0</v>
      </c>
      <c r="AD157" s="49"/>
      <c r="AE157" s="49"/>
      <c r="AF157" s="49"/>
      <c r="AG157" s="49"/>
      <c r="AH157" s="49"/>
      <c r="AI157" s="59" t="str">
        <f t="shared" si="20"/>
        <v>0</v>
      </c>
      <c r="AJ157" s="49"/>
      <c r="AK157" s="49"/>
      <c r="AL157" s="49"/>
      <c r="AM157" s="49"/>
      <c r="AN157" s="49"/>
      <c r="AO157" s="59" t="str">
        <f t="shared" si="21"/>
        <v>0</v>
      </c>
      <c r="AP157" s="49"/>
      <c r="AQ157" s="49"/>
      <c r="AR157" s="49"/>
      <c r="AS157" s="49"/>
      <c r="AT157" s="49"/>
      <c r="AU157" s="59" t="str">
        <f t="shared" si="22"/>
        <v>0</v>
      </c>
      <c r="AV157" s="49"/>
      <c r="AW157" s="49"/>
      <c r="AX157" s="49"/>
      <c r="AY157" s="49"/>
      <c r="AZ157" s="49"/>
      <c r="BA157" s="59" t="str">
        <f t="shared" si="23"/>
        <v>0</v>
      </c>
    </row>
    <row r="158" spans="1:53" ht="23.1" customHeight="1" x14ac:dyDescent="0.3">
      <c r="A158" s="7">
        <v>156</v>
      </c>
      <c r="B158" s="7" t="s">
        <v>174</v>
      </c>
      <c r="C158" s="7" t="s">
        <v>175</v>
      </c>
      <c r="D158" s="7" t="s">
        <v>450</v>
      </c>
      <c r="E158" s="7" t="s">
        <v>161</v>
      </c>
      <c r="F158" s="7"/>
      <c r="G158" s="7"/>
      <c r="H158" s="49"/>
      <c r="I158" s="7"/>
      <c r="J158" s="7"/>
      <c r="K158" s="59" t="str">
        <f t="shared" si="16"/>
        <v>0</v>
      </c>
      <c r="L158" s="49">
        <v>4</v>
      </c>
      <c r="M158" s="49">
        <v>4</v>
      </c>
      <c r="N158" s="49">
        <v>4</v>
      </c>
      <c r="O158" s="49"/>
      <c r="P158" s="49">
        <v>4</v>
      </c>
      <c r="Q158" s="59">
        <f t="shared" si="17"/>
        <v>4</v>
      </c>
      <c r="R158" s="49">
        <v>4</v>
      </c>
      <c r="S158" s="49"/>
      <c r="T158" s="7"/>
      <c r="U158" s="49"/>
      <c r="V158" s="7"/>
      <c r="W158" s="59">
        <f t="shared" si="18"/>
        <v>4</v>
      </c>
      <c r="X158" s="49"/>
      <c r="Y158" s="49"/>
      <c r="Z158" s="7"/>
      <c r="AA158" s="7"/>
      <c r="AB158" s="7"/>
      <c r="AC158" s="59" t="str">
        <f t="shared" si="19"/>
        <v>0</v>
      </c>
      <c r="AD158" s="49"/>
      <c r="AE158" s="7"/>
      <c r="AF158" s="49"/>
      <c r="AG158" s="7"/>
      <c r="AH158" s="7"/>
      <c r="AI158" s="59" t="str">
        <f t="shared" si="20"/>
        <v>0</v>
      </c>
      <c r="AJ158" s="49"/>
      <c r="AK158" s="49"/>
      <c r="AL158" s="7"/>
      <c r="AM158" s="49"/>
      <c r="AN158" s="7"/>
      <c r="AO158" s="59" t="str">
        <f t="shared" si="21"/>
        <v>0</v>
      </c>
      <c r="AP158" s="49"/>
      <c r="AQ158" s="49"/>
      <c r="AR158" s="49"/>
      <c r="AS158" s="7"/>
      <c r="AT158" s="7"/>
      <c r="AU158" s="59" t="str">
        <f t="shared" si="22"/>
        <v>0</v>
      </c>
      <c r="AV158" s="7"/>
      <c r="AW158" s="7"/>
      <c r="AX158" s="49"/>
      <c r="AY158" s="49"/>
      <c r="AZ158" s="49"/>
      <c r="BA158" s="59" t="str">
        <f t="shared" si="23"/>
        <v>0</v>
      </c>
    </row>
    <row r="159" spans="1:53" ht="23.1" customHeight="1" x14ac:dyDescent="0.3">
      <c r="A159" s="49">
        <v>157</v>
      </c>
      <c r="B159" s="49" t="s">
        <v>205</v>
      </c>
      <c r="C159" s="49" t="s">
        <v>206</v>
      </c>
      <c r="D159" s="49" t="s">
        <v>450</v>
      </c>
      <c r="E159" s="49" t="s">
        <v>161</v>
      </c>
      <c r="F159" s="49"/>
      <c r="G159" s="49"/>
      <c r="H159" s="49"/>
      <c r="I159" s="49"/>
      <c r="J159" s="49"/>
      <c r="K159" s="59" t="str">
        <f t="shared" si="16"/>
        <v>0</v>
      </c>
      <c r="L159" s="49">
        <v>0</v>
      </c>
      <c r="M159" s="49">
        <v>0</v>
      </c>
      <c r="N159" s="49">
        <v>0</v>
      </c>
      <c r="O159" s="49"/>
      <c r="P159" s="49">
        <v>1</v>
      </c>
      <c r="Q159" s="59">
        <f t="shared" si="17"/>
        <v>0.25</v>
      </c>
      <c r="R159" s="49">
        <v>0</v>
      </c>
      <c r="S159" s="49"/>
      <c r="T159" s="49"/>
      <c r="U159" s="49"/>
      <c r="V159" s="49"/>
      <c r="W159" s="59">
        <f t="shared" si="18"/>
        <v>0</v>
      </c>
      <c r="X159" s="49"/>
      <c r="Y159" s="49"/>
      <c r="Z159" s="49"/>
      <c r="AA159" s="49"/>
      <c r="AB159" s="49"/>
      <c r="AC159" s="59" t="str">
        <f t="shared" si="19"/>
        <v>0</v>
      </c>
      <c r="AD159" s="49"/>
      <c r="AE159" s="49"/>
      <c r="AF159" s="49"/>
      <c r="AG159" s="49"/>
      <c r="AH159" s="49"/>
      <c r="AI159" s="59" t="str">
        <f t="shared" si="20"/>
        <v>0</v>
      </c>
      <c r="AJ159" s="49"/>
      <c r="AK159" s="49"/>
      <c r="AL159" s="49"/>
      <c r="AM159" s="49"/>
      <c r="AN159" s="49"/>
      <c r="AO159" s="59" t="str">
        <f t="shared" si="21"/>
        <v>0</v>
      </c>
      <c r="AP159" s="49"/>
      <c r="AQ159" s="49"/>
      <c r="AR159" s="49"/>
      <c r="AS159" s="49"/>
      <c r="AT159" s="49"/>
      <c r="AU159" s="59" t="str">
        <f t="shared" si="22"/>
        <v>0</v>
      </c>
      <c r="AV159" s="49"/>
      <c r="AW159" s="49"/>
      <c r="AX159" s="49"/>
      <c r="AY159" s="49"/>
      <c r="AZ159" s="49"/>
      <c r="BA159" s="59" t="str">
        <f t="shared" si="23"/>
        <v>0</v>
      </c>
    </row>
    <row r="160" spans="1:53" ht="23.1" customHeight="1" x14ac:dyDescent="0.3">
      <c r="A160" s="7">
        <v>158</v>
      </c>
      <c r="B160" s="7" t="s">
        <v>387</v>
      </c>
      <c r="C160" s="7" t="s">
        <v>388</v>
      </c>
      <c r="D160" s="7" t="s">
        <v>450</v>
      </c>
      <c r="E160" s="7" t="s">
        <v>493</v>
      </c>
      <c r="F160" s="7"/>
      <c r="G160" s="7"/>
      <c r="H160" s="49"/>
      <c r="I160" s="7"/>
      <c r="J160" s="7"/>
      <c r="K160" s="59" t="str">
        <f t="shared" si="16"/>
        <v>0</v>
      </c>
      <c r="L160" s="49">
        <v>2</v>
      </c>
      <c r="M160" s="49">
        <v>2</v>
      </c>
      <c r="N160" s="49">
        <v>2</v>
      </c>
      <c r="O160" s="49"/>
      <c r="P160" s="49">
        <v>1</v>
      </c>
      <c r="Q160" s="59">
        <f t="shared" si="17"/>
        <v>1.75</v>
      </c>
      <c r="R160" s="49">
        <v>1</v>
      </c>
      <c r="S160" s="49"/>
      <c r="T160" s="7"/>
      <c r="U160" s="49"/>
      <c r="V160" s="7"/>
      <c r="W160" s="59">
        <f t="shared" si="18"/>
        <v>1</v>
      </c>
      <c r="X160" s="49"/>
      <c r="Y160" s="49"/>
      <c r="Z160" s="7"/>
      <c r="AA160" s="7"/>
      <c r="AB160" s="7"/>
      <c r="AC160" s="59" t="str">
        <f t="shared" si="19"/>
        <v>0</v>
      </c>
      <c r="AD160" s="49"/>
      <c r="AE160" s="7"/>
      <c r="AF160" s="49"/>
      <c r="AG160" s="7"/>
      <c r="AH160" s="7"/>
      <c r="AI160" s="59" t="str">
        <f t="shared" si="20"/>
        <v>0</v>
      </c>
      <c r="AJ160" s="49"/>
      <c r="AK160" s="49"/>
      <c r="AL160" s="7"/>
      <c r="AM160" s="49"/>
      <c r="AN160" s="7"/>
      <c r="AO160" s="59" t="str">
        <f t="shared" si="21"/>
        <v>0</v>
      </c>
      <c r="AP160" s="49"/>
      <c r="AQ160" s="49"/>
      <c r="AR160" s="49"/>
      <c r="AS160" s="7"/>
      <c r="AT160" s="7"/>
      <c r="AU160" s="59" t="str">
        <f t="shared" si="22"/>
        <v>0</v>
      </c>
      <c r="AV160" s="7"/>
      <c r="AW160" s="7"/>
      <c r="AX160" s="49"/>
      <c r="AY160" s="49"/>
      <c r="AZ160" s="49"/>
      <c r="BA160" s="59" t="str">
        <f t="shared" si="23"/>
        <v>0</v>
      </c>
    </row>
    <row r="161" spans="1:53" ht="23.1" customHeight="1" x14ac:dyDescent="0.3">
      <c r="A161" s="49">
        <v>159</v>
      </c>
      <c r="B161" s="49" t="s">
        <v>190</v>
      </c>
      <c r="C161" s="49" t="s">
        <v>191</v>
      </c>
      <c r="D161" s="49" t="s">
        <v>450</v>
      </c>
      <c r="E161" s="49" t="s">
        <v>161</v>
      </c>
      <c r="F161" s="49"/>
      <c r="G161" s="49"/>
      <c r="H161" s="49"/>
      <c r="I161" s="49"/>
      <c r="J161" s="49"/>
      <c r="K161" s="59" t="str">
        <f t="shared" si="16"/>
        <v>0</v>
      </c>
      <c r="L161" s="49">
        <v>3</v>
      </c>
      <c r="M161" s="49">
        <v>3</v>
      </c>
      <c r="N161" s="49">
        <v>3</v>
      </c>
      <c r="O161" s="49"/>
      <c r="P161" s="49">
        <v>3</v>
      </c>
      <c r="Q161" s="59">
        <f t="shared" si="17"/>
        <v>3</v>
      </c>
      <c r="R161" s="49">
        <v>3</v>
      </c>
      <c r="S161" s="49"/>
      <c r="T161" s="49"/>
      <c r="U161" s="49"/>
      <c r="V161" s="49"/>
      <c r="W161" s="59">
        <f t="shared" si="18"/>
        <v>3</v>
      </c>
      <c r="X161" s="49"/>
      <c r="Y161" s="49"/>
      <c r="Z161" s="49"/>
      <c r="AA161" s="49"/>
      <c r="AB161" s="49"/>
      <c r="AC161" s="59" t="str">
        <f t="shared" si="19"/>
        <v>0</v>
      </c>
      <c r="AD161" s="49"/>
      <c r="AE161" s="49"/>
      <c r="AF161" s="49"/>
      <c r="AG161" s="49"/>
      <c r="AH161" s="49"/>
      <c r="AI161" s="59" t="str">
        <f t="shared" si="20"/>
        <v>0</v>
      </c>
      <c r="AJ161" s="49"/>
      <c r="AK161" s="49"/>
      <c r="AL161" s="49"/>
      <c r="AM161" s="49"/>
      <c r="AN161" s="49"/>
      <c r="AO161" s="59" t="str">
        <f t="shared" si="21"/>
        <v>0</v>
      </c>
      <c r="AP161" s="49"/>
      <c r="AQ161" s="49"/>
      <c r="AR161" s="49"/>
      <c r="AS161" s="49"/>
      <c r="AT161" s="49"/>
      <c r="AU161" s="59" t="str">
        <f t="shared" si="22"/>
        <v>0</v>
      </c>
      <c r="AV161" s="49"/>
      <c r="AW161" s="49"/>
      <c r="AX161" s="49"/>
      <c r="AY161" s="49"/>
      <c r="AZ161" s="49"/>
      <c r="BA161" s="59" t="str">
        <f t="shared" si="23"/>
        <v>0</v>
      </c>
    </row>
    <row r="162" spans="1:53" ht="23.1" customHeight="1" x14ac:dyDescent="0.3">
      <c r="A162" s="7">
        <v>160</v>
      </c>
      <c r="B162" s="7" t="s">
        <v>157</v>
      </c>
      <c r="C162" s="7" t="s">
        <v>158</v>
      </c>
      <c r="D162" s="7" t="s">
        <v>542</v>
      </c>
      <c r="E162" s="7" t="s">
        <v>35</v>
      </c>
      <c r="F162" s="7"/>
      <c r="G162" s="7"/>
      <c r="H162" s="49"/>
      <c r="I162" s="7"/>
      <c r="J162" s="7"/>
      <c r="K162" s="59" t="str">
        <f t="shared" si="16"/>
        <v>0</v>
      </c>
      <c r="L162" s="49">
        <v>2.5</v>
      </c>
      <c r="M162" s="49">
        <v>3</v>
      </c>
      <c r="N162" s="49">
        <v>2.5</v>
      </c>
      <c r="O162" s="49"/>
      <c r="P162" s="49">
        <v>2.5</v>
      </c>
      <c r="Q162" s="59">
        <f t="shared" si="17"/>
        <v>2.625</v>
      </c>
      <c r="R162" s="49">
        <v>3</v>
      </c>
      <c r="S162" s="49"/>
      <c r="T162" s="7"/>
      <c r="U162" s="49"/>
      <c r="V162" s="7"/>
      <c r="W162" s="59">
        <f t="shared" si="18"/>
        <v>3</v>
      </c>
      <c r="X162" s="49"/>
      <c r="Y162" s="49"/>
      <c r="Z162" s="7"/>
      <c r="AA162" s="7"/>
      <c r="AB162" s="7"/>
      <c r="AC162" s="59" t="str">
        <f t="shared" si="19"/>
        <v>0</v>
      </c>
      <c r="AD162" s="49"/>
      <c r="AE162" s="7"/>
      <c r="AF162" s="49"/>
      <c r="AG162" s="7"/>
      <c r="AH162" s="7"/>
      <c r="AI162" s="59" t="str">
        <f t="shared" si="20"/>
        <v>0</v>
      </c>
      <c r="AJ162" s="49"/>
      <c r="AK162" s="49"/>
      <c r="AL162" s="7"/>
      <c r="AM162" s="49"/>
      <c r="AN162" s="7"/>
      <c r="AO162" s="59" t="str">
        <f t="shared" si="21"/>
        <v>0</v>
      </c>
      <c r="AP162" s="49"/>
      <c r="AQ162" s="49"/>
      <c r="AR162" s="49"/>
      <c r="AS162" s="7"/>
      <c r="AT162" s="7"/>
      <c r="AU162" s="59" t="str">
        <f t="shared" si="22"/>
        <v>0</v>
      </c>
      <c r="AV162" s="7"/>
      <c r="AW162" s="7"/>
      <c r="AX162" s="49"/>
      <c r="AY162" s="49"/>
      <c r="AZ162" s="49"/>
      <c r="BA162" s="59" t="str">
        <f t="shared" si="23"/>
        <v>0</v>
      </c>
    </row>
    <row r="163" spans="1:53" ht="23.1" customHeight="1" x14ac:dyDescent="0.3">
      <c r="A163" s="49">
        <v>161</v>
      </c>
      <c r="B163" s="49" t="s">
        <v>389</v>
      </c>
      <c r="C163" s="49" t="s">
        <v>390</v>
      </c>
      <c r="D163" s="49" t="s">
        <v>450</v>
      </c>
      <c r="E163" s="49" t="s">
        <v>493</v>
      </c>
      <c r="F163" s="49"/>
      <c r="G163" s="49"/>
      <c r="H163" s="49"/>
      <c r="I163" s="49"/>
      <c r="J163" s="49"/>
      <c r="K163" s="59" t="str">
        <f t="shared" si="16"/>
        <v>0</v>
      </c>
      <c r="L163" s="49">
        <v>4</v>
      </c>
      <c r="M163" s="49">
        <v>3</v>
      </c>
      <c r="N163" s="49">
        <v>4</v>
      </c>
      <c r="O163" s="49"/>
      <c r="P163" s="49">
        <v>2</v>
      </c>
      <c r="Q163" s="59">
        <f t="shared" si="17"/>
        <v>3.25</v>
      </c>
      <c r="R163" s="49">
        <v>3</v>
      </c>
      <c r="S163" s="49"/>
      <c r="T163" s="49"/>
      <c r="U163" s="49"/>
      <c r="V163" s="49"/>
      <c r="W163" s="59">
        <f t="shared" si="18"/>
        <v>3</v>
      </c>
      <c r="X163" s="49"/>
      <c r="Y163" s="49"/>
      <c r="Z163" s="49"/>
      <c r="AA163" s="49"/>
      <c r="AB163" s="49"/>
      <c r="AC163" s="59" t="str">
        <f t="shared" si="19"/>
        <v>0</v>
      </c>
      <c r="AD163" s="49"/>
      <c r="AE163" s="49"/>
      <c r="AF163" s="49"/>
      <c r="AG163" s="49"/>
      <c r="AH163" s="49"/>
      <c r="AI163" s="59" t="str">
        <f t="shared" si="20"/>
        <v>0</v>
      </c>
      <c r="AJ163" s="49"/>
      <c r="AK163" s="49"/>
      <c r="AL163" s="49"/>
      <c r="AM163" s="49"/>
      <c r="AN163" s="49"/>
      <c r="AO163" s="59" t="str">
        <f t="shared" si="21"/>
        <v>0</v>
      </c>
      <c r="AP163" s="49"/>
      <c r="AQ163" s="49"/>
      <c r="AR163" s="49"/>
      <c r="AS163" s="49"/>
      <c r="AT163" s="49"/>
      <c r="AU163" s="59" t="str">
        <f t="shared" si="22"/>
        <v>0</v>
      </c>
      <c r="AV163" s="49"/>
      <c r="AW163" s="49"/>
      <c r="AX163" s="49"/>
      <c r="AY163" s="49"/>
      <c r="AZ163" s="49"/>
      <c r="BA163" s="59" t="str">
        <f t="shared" si="23"/>
        <v>0</v>
      </c>
    </row>
    <row r="164" spans="1:53" ht="23.1" customHeight="1" x14ac:dyDescent="0.3">
      <c r="A164" s="7">
        <v>162</v>
      </c>
      <c r="B164" s="7" t="s">
        <v>391</v>
      </c>
      <c r="C164" s="7" t="s">
        <v>392</v>
      </c>
      <c r="D164" s="7" t="s">
        <v>450</v>
      </c>
      <c r="E164" s="7" t="s">
        <v>493</v>
      </c>
      <c r="F164" s="7"/>
      <c r="G164" s="7"/>
      <c r="H164" s="49"/>
      <c r="I164" s="7"/>
      <c r="J164" s="7"/>
      <c r="K164" s="59" t="str">
        <f t="shared" si="16"/>
        <v>0</v>
      </c>
      <c r="L164" s="49">
        <v>1</v>
      </c>
      <c r="M164" s="49">
        <v>3</v>
      </c>
      <c r="N164" s="49">
        <v>2</v>
      </c>
      <c r="O164" s="49"/>
      <c r="P164" s="49">
        <v>3</v>
      </c>
      <c r="Q164" s="59">
        <f t="shared" si="17"/>
        <v>2.25</v>
      </c>
      <c r="R164" s="49">
        <v>2</v>
      </c>
      <c r="S164" s="49"/>
      <c r="T164" s="7"/>
      <c r="U164" s="49"/>
      <c r="V164" s="7"/>
      <c r="W164" s="59">
        <f t="shared" si="18"/>
        <v>2</v>
      </c>
      <c r="X164" s="49"/>
      <c r="Y164" s="49"/>
      <c r="Z164" s="7"/>
      <c r="AA164" s="7"/>
      <c r="AB164" s="7"/>
      <c r="AC164" s="59" t="str">
        <f t="shared" si="19"/>
        <v>0</v>
      </c>
      <c r="AD164" s="49"/>
      <c r="AE164" s="7"/>
      <c r="AF164" s="49"/>
      <c r="AG164" s="7"/>
      <c r="AH164" s="7"/>
      <c r="AI164" s="59" t="str">
        <f t="shared" si="20"/>
        <v>0</v>
      </c>
      <c r="AJ164" s="49"/>
      <c r="AK164" s="49"/>
      <c r="AL164" s="7"/>
      <c r="AM164" s="49"/>
      <c r="AN164" s="7"/>
      <c r="AO164" s="59" t="str">
        <f t="shared" si="21"/>
        <v>0</v>
      </c>
      <c r="AP164" s="49"/>
      <c r="AQ164" s="49"/>
      <c r="AR164" s="49"/>
      <c r="AS164" s="7"/>
      <c r="AT164" s="7"/>
      <c r="AU164" s="59" t="str">
        <f t="shared" si="22"/>
        <v>0</v>
      </c>
      <c r="AV164" s="7"/>
      <c r="AW164" s="7"/>
      <c r="AX164" s="49"/>
      <c r="AY164" s="49"/>
      <c r="AZ164" s="49"/>
      <c r="BA164" s="59" t="str">
        <f t="shared" si="23"/>
        <v>0</v>
      </c>
    </row>
    <row r="165" spans="1:53" ht="23.1" customHeight="1" x14ac:dyDescent="0.3">
      <c r="A165" s="49">
        <v>163</v>
      </c>
      <c r="B165" s="49" t="s">
        <v>221</v>
      </c>
      <c r="C165" s="49" t="s">
        <v>222</v>
      </c>
      <c r="D165" s="49" t="s">
        <v>450</v>
      </c>
      <c r="E165" s="49" t="s">
        <v>161</v>
      </c>
      <c r="F165" s="49"/>
      <c r="G165" s="49"/>
      <c r="H165" s="49"/>
      <c r="I165" s="49"/>
      <c r="J165" s="49"/>
      <c r="K165" s="59" t="str">
        <f t="shared" si="16"/>
        <v>0</v>
      </c>
      <c r="L165" s="49">
        <v>3</v>
      </c>
      <c r="M165" s="49">
        <v>3</v>
      </c>
      <c r="N165" s="49">
        <v>3</v>
      </c>
      <c r="O165" s="49"/>
      <c r="P165" s="49">
        <v>3</v>
      </c>
      <c r="Q165" s="59">
        <f t="shared" si="17"/>
        <v>3</v>
      </c>
      <c r="R165" s="49">
        <v>3</v>
      </c>
      <c r="S165" s="49"/>
      <c r="T165" s="49"/>
      <c r="U165" s="49"/>
      <c r="V165" s="49"/>
      <c r="W165" s="59">
        <f t="shared" si="18"/>
        <v>3</v>
      </c>
      <c r="X165" s="49"/>
      <c r="Y165" s="49"/>
      <c r="Z165" s="49"/>
      <c r="AA165" s="49"/>
      <c r="AB165" s="49"/>
      <c r="AC165" s="59" t="str">
        <f t="shared" si="19"/>
        <v>0</v>
      </c>
      <c r="AD165" s="49"/>
      <c r="AE165" s="49"/>
      <c r="AF165" s="49"/>
      <c r="AG165" s="49"/>
      <c r="AH165" s="49"/>
      <c r="AI165" s="59" t="str">
        <f t="shared" si="20"/>
        <v>0</v>
      </c>
      <c r="AJ165" s="49"/>
      <c r="AK165" s="49"/>
      <c r="AL165" s="49"/>
      <c r="AM165" s="49"/>
      <c r="AN165" s="49"/>
      <c r="AO165" s="59" t="str">
        <f t="shared" si="21"/>
        <v>0</v>
      </c>
      <c r="AP165" s="49"/>
      <c r="AQ165" s="49"/>
      <c r="AR165" s="49"/>
      <c r="AS165" s="49"/>
      <c r="AT165" s="49"/>
      <c r="AU165" s="59" t="str">
        <f t="shared" si="22"/>
        <v>0</v>
      </c>
      <c r="AV165" s="49"/>
      <c r="AW165" s="49"/>
      <c r="AX165" s="49"/>
      <c r="AY165" s="49"/>
      <c r="AZ165" s="49"/>
      <c r="BA165" s="59" t="str">
        <f t="shared" si="23"/>
        <v>0</v>
      </c>
    </row>
    <row r="166" spans="1:53" ht="23.1" customHeight="1" x14ac:dyDescent="0.3">
      <c r="A166" s="7">
        <v>164</v>
      </c>
      <c r="B166" s="7" t="s">
        <v>207</v>
      </c>
      <c r="C166" s="7" t="s">
        <v>208</v>
      </c>
      <c r="D166" s="7" t="s">
        <v>542</v>
      </c>
      <c r="E166" s="7" t="s">
        <v>161</v>
      </c>
      <c r="F166" s="7"/>
      <c r="G166" s="7"/>
      <c r="H166" s="49"/>
      <c r="I166" s="7"/>
      <c r="J166" s="7"/>
      <c r="K166" s="59" t="str">
        <f t="shared" si="16"/>
        <v>0</v>
      </c>
      <c r="L166" s="49">
        <v>3</v>
      </c>
      <c r="M166" s="49">
        <v>3</v>
      </c>
      <c r="N166" s="49">
        <v>3</v>
      </c>
      <c r="O166" s="49"/>
      <c r="P166" s="49">
        <v>3</v>
      </c>
      <c r="Q166" s="59">
        <f t="shared" si="17"/>
        <v>3</v>
      </c>
      <c r="R166" s="49">
        <v>4</v>
      </c>
      <c r="S166" s="49"/>
      <c r="T166" s="7"/>
      <c r="U166" s="49"/>
      <c r="V166" s="7"/>
      <c r="W166" s="59">
        <f t="shared" si="18"/>
        <v>4</v>
      </c>
      <c r="X166" s="49"/>
      <c r="Y166" s="49"/>
      <c r="Z166" s="7"/>
      <c r="AA166" s="7"/>
      <c r="AB166" s="7"/>
      <c r="AC166" s="59" t="str">
        <f t="shared" si="19"/>
        <v>0</v>
      </c>
      <c r="AD166" s="49"/>
      <c r="AE166" s="7"/>
      <c r="AF166" s="49"/>
      <c r="AG166" s="7"/>
      <c r="AH166" s="7"/>
      <c r="AI166" s="59" t="str">
        <f t="shared" si="20"/>
        <v>0</v>
      </c>
      <c r="AJ166" s="49"/>
      <c r="AK166" s="49"/>
      <c r="AL166" s="7"/>
      <c r="AM166" s="49"/>
      <c r="AN166" s="7"/>
      <c r="AO166" s="59" t="str">
        <f t="shared" si="21"/>
        <v>0</v>
      </c>
      <c r="AP166" s="49"/>
      <c r="AQ166" s="49"/>
      <c r="AR166" s="49"/>
      <c r="AS166" s="7"/>
      <c r="AT166" s="7"/>
      <c r="AU166" s="59" t="str">
        <f t="shared" si="22"/>
        <v>0</v>
      </c>
      <c r="AV166" s="7"/>
      <c r="AW166" s="7"/>
      <c r="AX166" s="49"/>
      <c r="AY166" s="49"/>
      <c r="AZ166" s="49"/>
      <c r="BA166" s="59" t="str">
        <f t="shared" si="23"/>
        <v>0</v>
      </c>
    </row>
    <row r="167" spans="1:53" ht="23.1" customHeight="1" x14ac:dyDescent="0.3">
      <c r="A167" s="49">
        <v>165</v>
      </c>
      <c r="B167" s="49" t="s">
        <v>48</v>
      </c>
      <c r="C167" s="49" t="s">
        <v>49</v>
      </c>
      <c r="D167" s="49" t="s">
        <v>450</v>
      </c>
      <c r="E167" s="49" t="s">
        <v>35</v>
      </c>
      <c r="F167" s="49"/>
      <c r="G167" s="49"/>
      <c r="H167" s="49"/>
      <c r="I167" s="49"/>
      <c r="J167" s="49"/>
      <c r="K167" s="59" t="str">
        <f t="shared" si="16"/>
        <v>0</v>
      </c>
      <c r="L167" s="49">
        <v>2.5</v>
      </c>
      <c r="M167" s="49">
        <v>2.5</v>
      </c>
      <c r="N167" s="49">
        <v>3</v>
      </c>
      <c r="O167" s="49"/>
      <c r="P167" s="49">
        <v>3</v>
      </c>
      <c r="Q167" s="59">
        <f t="shared" si="17"/>
        <v>2.75</v>
      </c>
      <c r="R167" s="49">
        <v>2.5</v>
      </c>
      <c r="S167" s="49"/>
      <c r="T167" s="49"/>
      <c r="U167" s="49"/>
      <c r="V167" s="49"/>
      <c r="W167" s="59">
        <f t="shared" si="18"/>
        <v>2.5</v>
      </c>
      <c r="X167" s="49"/>
      <c r="Y167" s="49"/>
      <c r="Z167" s="49"/>
      <c r="AA167" s="49"/>
      <c r="AB167" s="49"/>
      <c r="AC167" s="59" t="str">
        <f t="shared" si="19"/>
        <v>0</v>
      </c>
      <c r="AD167" s="49"/>
      <c r="AE167" s="49"/>
      <c r="AF167" s="49"/>
      <c r="AG167" s="49"/>
      <c r="AH167" s="49"/>
      <c r="AI167" s="59" t="str">
        <f t="shared" si="20"/>
        <v>0</v>
      </c>
      <c r="AJ167" s="49"/>
      <c r="AK167" s="49"/>
      <c r="AL167" s="49"/>
      <c r="AM167" s="49"/>
      <c r="AN167" s="49"/>
      <c r="AO167" s="59" t="str">
        <f t="shared" si="21"/>
        <v>0</v>
      </c>
      <c r="AP167" s="49"/>
      <c r="AQ167" s="49"/>
      <c r="AR167" s="49"/>
      <c r="AS167" s="49"/>
      <c r="AT167" s="49"/>
      <c r="AU167" s="59" t="str">
        <f t="shared" si="22"/>
        <v>0</v>
      </c>
      <c r="AV167" s="49"/>
      <c r="AW167" s="49"/>
      <c r="AX167" s="49"/>
      <c r="AY167" s="49"/>
      <c r="AZ167" s="49"/>
      <c r="BA167" s="59" t="str">
        <f t="shared" si="23"/>
        <v>0</v>
      </c>
    </row>
    <row r="168" spans="1:53" ht="23.1" customHeight="1" x14ac:dyDescent="0.3">
      <c r="A168" s="7">
        <v>166</v>
      </c>
      <c r="B168" s="7" t="s">
        <v>159</v>
      </c>
      <c r="C168" s="7" t="s">
        <v>160</v>
      </c>
      <c r="D168" s="7" t="s">
        <v>450</v>
      </c>
      <c r="E168" s="7" t="s">
        <v>35</v>
      </c>
      <c r="F168" s="7"/>
      <c r="G168" s="7"/>
      <c r="H168" s="49"/>
      <c r="I168" s="7"/>
      <c r="J168" s="7"/>
      <c r="K168" s="59" t="str">
        <f t="shared" si="16"/>
        <v>0</v>
      </c>
      <c r="L168" s="49">
        <v>2</v>
      </c>
      <c r="M168" s="49">
        <v>3</v>
      </c>
      <c r="N168" s="49">
        <v>2</v>
      </c>
      <c r="O168" s="49"/>
      <c r="P168" s="49">
        <v>3</v>
      </c>
      <c r="Q168" s="59">
        <f t="shared" si="17"/>
        <v>2.5</v>
      </c>
      <c r="R168" s="49">
        <v>3</v>
      </c>
      <c r="S168" s="49"/>
      <c r="T168" s="7"/>
      <c r="U168" s="49"/>
      <c r="V168" s="7"/>
      <c r="W168" s="59">
        <f t="shared" si="18"/>
        <v>3</v>
      </c>
      <c r="X168" s="49"/>
      <c r="Y168" s="49"/>
      <c r="Z168" s="7"/>
      <c r="AA168" s="7"/>
      <c r="AB168" s="7"/>
      <c r="AC168" s="59" t="str">
        <f t="shared" si="19"/>
        <v>0</v>
      </c>
      <c r="AD168" s="49"/>
      <c r="AE168" s="7"/>
      <c r="AF168" s="49"/>
      <c r="AG168" s="7"/>
      <c r="AH168" s="7"/>
      <c r="AI168" s="59" t="str">
        <f t="shared" si="20"/>
        <v>0</v>
      </c>
      <c r="AJ168" s="49"/>
      <c r="AK168" s="49"/>
      <c r="AL168" s="7"/>
      <c r="AM168" s="49"/>
      <c r="AN168" s="7"/>
      <c r="AO168" s="59" t="str">
        <f t="shared" si="21"/>
        <v>0</v>
      </c>
      <c r="AP168" s="49"/>
      <c r="AQ168" s="49"/>
      <c r="AR168" s="49"/>
      <c r="AS168" s="7"/>
      <c r="AT168" s="7"/>
      <c r="AU168" s="59" t="str">
        <f t="shared" si="22"/>
        <v>0</v>
      </c>
      <c r="AV168" s="7"/>
      <c r="AW168" s="7"/>
      <c r="AX168" s="49"/>
      <c r="AY168" s="49"/>
      <c r="AZ168" s="49"/>
      <c r="BA168" s="59" t="str">
        <f t="shared" si="23"/>
        <v>0</v>
      </c>
    </row>
    <row r="169" spans="1:53" ht="23.1" customHeight="1" x14ac:dyDescent="0.3">
      <c r="A169" s="49">
        <v>167</v>
      </c>
      <c r="B169" s="49" t="s">
        <v>192</v>
      </c>
      <c r="C169" s="49" t="s">
        <v>193</v>
      </c>
      <c r="D169" s="49" t="s">
        <v>450</v>
      </c>
      <c r="E169" s="49" t="s">
        <v>161</v>
      </c>
      <c r="F169" s="49"/>
      <c r="G169" s="49"/>
      <c r="H169" s="49"/>
      <c r="I169" s="49"/>
      <c r="J169" s="49"/>
      <c r="K169" s="59" t="str">
        <f t="shared" si="16"/>
        <v>0</v>
      </c>
      <c r="L169" s="49">
        <v>3</v>
      </c>
      <c r="M169" s="49">
        <v>2</v>
      </c>
      <c r="N169" s="49">
        <v>3</v>
      </c>
      <c r="O169" s="49"/>
      <c r="P169" s="49">
        <v>2</v>
      </c>
      <c r="Q169" s="59">
        <f t="shared" si="17"/>
        <v>2.5</v>
      </c>
      <c r="R169" s="49">
        <v>2</v>
      </c>
      <c r="S169" s="49"/>
      <c r="T169" s="49"/>
      <c r="U169" s="49"/>
      <c r="V169" s="49"/>
      <c r="W169" s="59">
        <f t="shared" si="18"/>
        <v>2</v>
      </c>
      <c r="X169" s="49"/>
      <c r="Y169" s="49"/>
      <c r="Z169" s="49"/>
      <c r="AA169" s="49"/>
      <c r="AB169" s="49"/>
      <c r="AC169" s="59" t="str">
        <f t="shared" si="19"/>
        <v>0</v>
      </c>
      <c r="AD169" s="49"/>
      <c r="AE169" s="49"/>
      <c r="AF169" s="49"/>
      <c r="AG169" s="49"/>
      <c r="AH169" s="49"/>
      <c r="AI169" s="59" t="str">
        <f t="shared" si="20"/>
        <v>0</v>
      </c>
      <c r="AJ169" s="49"/>
      <c r="AK169" s="49"/>
      <c r="AL169" s="49"/>
      <c r="AM169" s="49"/>
      <c r="AN169" s="49"/>
      <c r="AO169" s="59" t="str">
        <f t="shared" si="21"/>
        <v>0</v>
      </c>
      <c r="AP169" s="49"/>
      <c r="AQ169" s="49"/>
      <c r="AR169" s="49"/>
      <c r="AS169" s="49"/>
      <c r="AT169" s="49"/>
      <c r="AU169" s="59" t="str">
        <f t="shared" si="22"/>
        <v>0</v>
      </c>
      <c r="AV169" s="49"/>
      <c r="AW169" s="49"/>
      <c r="AX169" s="49"/>
      <c r="AY169" s="49"/>
      <c r="AZ169" s="49"/>
      <c r="BA169" s="59" t="str">
        <f t="shared" si="23"/>
        <v>0</v>
      </c>
    </row>
    <row r="170" spans="1:53" ht="23.1" customHeight="1" x14ac:dyDescent="0.3">
      <c r="A170" s="7">
        <v>168</v>
      </c>
      <c r="B170" s="7" t="s">
        <v>223</v>
      </c>
      <c r="C170" s="7" t="s">
        <v>224</v>
      </c>
      <c r="D170" s="7" t="s">
        <v>542</v>
      </c>
      <c r="E170" s="7" t="s">
        <v>161</v>
      </c>
      <c r="F170" s="7"/>
      <c r="G170" s="7"/>
      <c r="H170" s="49"/>
      <c r="I170" s="7"/>
      <c r="J170" s="7"/>
      <c r="K170" s="59" t="str">
        <f t="shared" si="16"/>
        <v>0</v>
      </c>
      <c r="L170" s="49">
        <v>3</v>
      </c>
      <c r="M170" s="49">
        <v>3</v>
      </c>
      <c r="N170" s="49">
        <v>3</v>
      </c>
      <c r="O170" s="49"/>
      <c r="P170" s="49">
        <v>3</v>
      </c>
      <c r="Q170" s="59">
        <f t="shared" si="17"/>
        <v>3</v>
      </c>
      <c r="R170" s="49">
        <v>3</v>
      </c>
      <c r="S170" s="49"/>
      <c r="T170" s="7"/>
      <c r="U170" s="49"/>
      <c r="V170" s="7"/>
      <c r="W170" s="59">
        <f t="shared" si="18"/>
        <v>3</v>
      </c>
      <c r="X170" s="49"/>
      <c r="Y170" s="49"/>
      <c r="Z170" s="7"/>
      <c r="AA170" s="7"/>
      <c r="AB170" s="7"/>
      <c r="AC170" s="59" t="str">
        <f t="shared" si="19"/>
        <v>0</v>
      </c>
      <c r="AD170" s="49"/>
      <c r="AE170" s="7"/>
      <c r="AF170" s="49"/>
      <c r="AG170" s="7"/>
      <c r="AH170" s="7"/>
      <c r="AI170" s="59" t="str">
        <f t="shared" si="20"/>
        <v>0</v>
      </c>
      <c r="AJ170" s="49"/>
      <c r="AK170" s="49"/>
      <c r="AL170" s="7"/>
      <c r="AM170" s="49"/>
      <c r="AN170" s="7"/>
      <c r="AO170" s="59" t="str">
        <f t="shared" si="21"/>
        <v>0</v>
      </c>
      <c r="AP170" s="49"/>
      <c r="AQ170" s="49"/>
      <c r="AR170" s="49"/>
      <c r="AS170" s="7"/>
      <c r="AT170" s="7"/>
      <c r="AU170" s="59" t="str">
        <f t="shared" si="22"/>
        <v>0</v>
      </c>
      <c r="AV170" s="7"/>
      <c r="AW170" s="7"/>
      <c r="AX170" s="49"/>
      <c r="AY170" s="49"/>
      <c r="AZ170" s="49"/>
      <c r="BA170" s="59" t="str">
        <f t="shared" si="23"/>
        <v>0</v>
      </c>
    </row>
    <row r="171" spans="1:53" ht="23.1" customHeight="1" x14ac:dyDescent="0.3">
      <c r="A171" s="49">
        <v>169</v>
      </c>
      <c r="B171" s="49" t="s">
        <v>393</v>
      </c>
      <c r="C171" s="49" t="s">
        <v>394</v>
      </c>
      <c r="D171" s="49" t="s">
        <v>450</v>
      </c>
      <c r="E171" s="49" t="s">
        <v>493</v>
      </c>
      <c r="F171" s="49"/>
      <c r="G171" s="49"/>
      <c r="H171" s="49"/>
      <c r="I171" s="49"/>
      <c r="J171" s="49"/>
      <c r="K171" s="59" t="str">
        <f t="shared" si="16"/>
        <v>0</v>
      </c>
      <c r="L171" s="49">
        <v>1</v>
      </c>
      <c r="M171" s="49">
        <v>2</v>
      </c>
      <c r="N171" s="49">
        <v>2</v>
      </c>
      <c r="O171" s="49"/>
      <c r="P171" s="49">
        <v>1</v>
      </c>
      <c r="Q171" s="59">
        <f t="shared" si="17"/>
        <v>1.5</v>
      </c>
      <c r="R171" s="49">
        <v>2</v>
      </c>
      <c r="S171" s="49"/>
      <c r="T171" s="49"/>
      <c r="U171" s="49"/>
      <c r="V171" s="49"/>
      <c r="W171" s="59">
        <f t="shared" si="18"/>
        <v>2</v>
      </c>
      <c r="X171" s="49"/>
      <c r="Y171" s="49"/>
      <c r="Z171" s="49"/>
      <c r="AA171" s="49"/>
      <c r="AB171" s="49"/>
      <c r="AC171" s="59" t="str">
        <f t="shared" si="19"/>
        <v>0</v>
      </c>
      <c r="AD171" s="49"/>
      <c r="AE171" s="49"/>
      <c r="AF171" s="49"/>
      <c r="AG171" s="49"/>
      <c r="AH171" s="49"/>
      <c r="AI171" s="59" t="str">
        <f t="shared" si="20"/>
        <v>0</v>
      </c>
      <c r="AJ171" s="49"/>
      <c r="AK171" s="49"/>
      <c r="AL171" s="49"/>
      <c r="AM171" s="49"/>
      <c r="AN171" s="49"/>
      <c r="AO171" s="59" t="str">
        <f t="shared" si="21"/>
        <v>0</v>
      </c>
      <c r="AP171" s="49"/>
      <c r="AQ171" s="49"/>
      <c r="AR171" s="49"/>
      <c r="AS171" s="49"/>
      <c r="AT171" s="49"/>
      <c r="AU171" s="59" t="str">
        <f t="shared" si="22"/>
        <v>0</v>
      </c>
      <c r="AV171" s="49"/>
      <c r="AW171" s="49"/>
      <c r="AX171" s="49"/>
      <c r="AY171" s="49"/>
      <c r="AZ171" s="49"/>
      <c r="BA171" s="59" t="str">
        <f t="shared" si="23"/>
        <v>0</v>
      </c>
    </row>
    <row r="172" spans="1:53" ht="23.1" customHeight="1" x14ac:dyDescent="0.3">
      <c r="A172" s="7">
        <v>170</v>
      </c>
      <c r="B172" s="7" t="s">
        <v>395</v>
      </c>
      <c r="C172" s="7" t="s">
        <v>396</v>
      </c>
      <c r="D172" s="7" t="s">
        <v>542</v>
      </c>
      <c r="E172" s="7" t="s">
        <v>493</v>
      </c>
      <c r="F172" s="7"/>
      <c r="G172" s="7"/>
      <c r="H172" s="49"/>
      <c r="I172" s="7"/>
      <c r="J172" s="7"/>
      <c r="K172" s="59" t="str">
        <f t="shared" si="16"/>
        <v>0</v>
      </c>
      <c r="L172" s="49">
        <v>3</v>
      </c>
      <c r="M172" s="49">
        <v>3</v>
      </c>
      <c r="N172" s="49">
        <v>3</v>
      </c>
      <c r="O172" s="49"/>
      <c r="P172" s="49">
        <v>3</v>
      </c>
      <c r="Q172" s="59">
        <f t="shared" si="17"/>
        <v>3</v>
      </c>
      <c r="R172" s="49">
        <v>3</v>
      </c>
      <c r="S172" s="49"/>
      <c r="T172" s="7"/>
      <c r="U172" s="49"/>
      <c r="V172" s="7"/>
      <c r="W172" s="59">
        <f t="shared" si="18"/>
        <v>3</v>
      </c>
      <c r="X172" s="49"/>
      <c r="Y172" s="49"/>
      <c r="Z172" s="7"/>
      <c r="AA172" s="7"/>
      <c r="AB172" s="7"/>
      <c r="AC172" s="59" t="str">
        <f t="shared" si="19"/>
        <v>0</v>
      </c>
      <c r="AD172" s="49"/>
      <c r="AE172" s="7"/>
      <c r="AF172" s="49"/>
      <c r="AG172" s="7"/>
      <c r="AH172" s="7"/>
      <c r="AI172" s="59" t="str">
        <f t="shared" si="20"/>
        <v>0</v>
      </c>
      <c r="AJ172" s="49"/>
      <c r="AK172" s="49"/>
      <c r="AL172" s="7"/>
      <c r="AM172" s="49"/>
      <c r="AN172" s="7"/>
      <c r="AO172" s="59" t="str">
        <f t="shared" si="21"/>
        <v>0</v>
      </c>
      <c r="AP172" s="49"/>
      <c r="AQ172" s="49"/>
      <c r="AR172" s="49"/>
      <c r="AS172" s="7"/>
      <c r="AT172" s="7"/>
      <c r="AU172" s="59" t="str">
        <f t="shared" si="22"/>
        <v>0</v>
      </c>
      <c r="AV172" s="7"/>
      <c r="AW172" s="7"/>
      <c r="AX172" s="49"/>
      <c r="AY172" s="49"/>
      <c r="AZ172" s="49"/>
      <c r="BA172" s="59" t="str">
        <f t="shared" si="23"/>
        <v>0</v>
      </c>
    </row>
    <row r="173" spans="1:53" ht="23.1" customHeight="1" x14ac:dyDescent="0.3">
      <c r="A173" s="49">
        <v>171</v>
      </c>
      <c r="B173" s="49" t="s">
        <v>285</v>
      </c>
      <c r="C173" s="49" t="s">
        <v>286</v>
      </c>
      <c r="D173" s="49" t="s">
        <v>542</v>
      </c>
      <c r="E173" s="49" t="s">
        <v>161</v>
      </c>
      <c r="F173" s="49"/>
      <c r="G173" s="49"/>
      <c r="H173" s="49"/>
      <c r="I173" s="49"/>
      <c r="J173" s="49"/>
      <c r="K173" s="59" t="str">
        <f t="shared" si="16"/>
        <v>0</v>
      </c>
      <c r="L173" s="49">
        <v>1</v>
      </c>
      <c r="M173" s="49">
        <v>1</v>
      </c>
      <c r="N173" s="49">
        <v>1</v>
      </c>
      <c r="O173" s="49"/>
      <c r="P173" s="49">
        <v>2</v>
      </c>
      <c r="Q173" s="59">
        <f t="shared" si="17"/>
        <v>1.25</v>
      </c>
      <c r="R173" s="49">
        <v>1</v>
      </c>
      <c r="S173" s="49"/>
      <c r="T173" s="49"/>
      <c r="U173" s="49"/>
      <c r="V173" s="49"/>
      <c r="W173" s="59">
        <f t="shared" si="18"/>
        <v>1</v>
      </c>
      <c r="X173" s="49"/>
      <c r="Y173" s="49"/>
      <c r="Z173" s="49"/>
      <c r="AA173" s="49"/>
      <c r="AB173" s="49"/>
      <c r="AC173" s="59" t="str">
        <f t="shared" si="19"/>
        <v>0</v>
      </c>
      <c r="AD173" s="49"/>
      <c r="AE173" s="49"/>
      <c r="AF173" s="49"/>
      <c r="AG173" s="49"/>
      <c r="AH173" s="49"/>
      <c r="AI173" s="59" t="str">
        <f t="shared" si="20"/>
        <v>0</v>
      </c>
      <c r="AJ173" s="49"/>
      <c r="AK173" s="49"/>
      <c r="AL173" s="49"/>
      <c r="AM173" s="49"/>
      <c r="AN173" s="49"/>
      <c r="AO173" s="59" t="str">
        <f t="shared" si="21"/>
        <v>0</v>
      </c>
      <c r="AP173" s="49"/>
      <c r="AQ173" s="49"/>
      <c r="AR173" s="49"/>
      <c r="AS173" s="49"/>
      <c r="AT173" s="49"/>
      <c r="AU173" s="59" t="str">
        <f t="shared" si="22"/>
        <v>0</v>
      </c>
      <c r="AV173" s="49"/>
      <c r="AW173" s="49"/>
      <c r="AX173" s="49"/>
      <c r="AY173" s="49"/>
      <c r="AZ173" s="49"/>
      <c r="BA173" s="59" t="str">
        <f t="shared" si="23"/>
        <v>0</v>
      </c>
    </row>
    <row r="174" spans="1:53" ht="23.1" customHeight="1" x14ac:dyDescent="0.3">
      <c r="A174" s="7">
        <v>172</v>
      </c>
      <c r="B174" s="7" t="s">
        <v>397</v>
      </c>
      <c r="C174" s="7" t="s">
        <v>539</v>
      </c>
      <c r="D174" s="7" t="s">
        <v>542</v>
      </c>
      <c r="E174" s="7" t="s">
        <v>289</v>
      </c>
      <c r="F174" s="7"/>
      <c r="G174" s="7"/>
      <c r="H174" s="49"/>
      <c r="I174" s="7"/>
      <c r="J174" s="7"/>
      <c r="K174" s="59" t="str">
        <f t="shared" si="16"/>
        <v>0</v>
      </c>
      <c r="L174" s="49">
        <v>2</v>
      </c>
      <c r="M174" s="49">
        <v>2</v>
      </c>
      <c r="N174" s="49">
        <v>2</v>
      </c>
      <c r="O174" s="49"/>
      <c r="P174" s="49">
        <v>2</v>
      </c>
      <c r="Q174" s="59">
        <f t="shared" si="17"/>
        <v>2</v>
      </c>
      <c r="R174" s="49">
        <v>2</v>
      </c>
      <c r="S174" s="49"/>
      <c r="T174" s="7"/>
      <c r="U174" s="49"/>
      <c r="V174" s="7"/>
      <c r="W174" s="59">
        <f t="shared" si="18"/>
        <v>2</v>
      </c>
      <c r="X174" s="49"/>
      <c r="Y174" s="49"/>
      <c r="Z174" s="7"/>
      <c r="AA174" s="7"/>
      <c r="AB174" s="7"/>
      <c r="AC174" s="59" t="str">
        <f t="shared" si="19"/>
        <v>0</v>
      </c>
      <c r="AD174" s="49"/>
      <c r="AE174" s="7"/>
      <c r="AF174" s="49"/>
      <c r="AG174" s="7"/>
      <c r="AH174" s="7"/>
      <c r="AI174" s="59" t="str">
        <f t="shared" si="20"/>
        <v>0</v>
      </c>
      <c r="AJ174" s="49"/>
      <c r="AK174" s="49"/>
      <c r="AL174" s="7"/>
      <c r="AM174" s="49"/>
      <c r="AN174" s="7"/>
      <c r="AO174" s="59" t="str">
        <f t="shared" si="21"/>
        <v>0</v>
      </c>
      <c r="AP174" s="49"/>
      <c r="AQ174" s="49"/>
      <c r="AR174" s="49"/>
      <c r="AS174" s="7"/>
      <c r="AT174" s="7"/>
      <c r="AU174" s="59" t="str">
        <f t="shared" si="22"/>
        <v>0</v>
      </c>
      <c r="AV174" s="7"/>
      <c r="AW174" s="7"/>
      <c r="AX174" s="49"/>
      <c r="AY174" s="49"/>
      <c r="AZ174" s="49"/>
      <c r="BA174" s="59" t="str">
        <f t="shared" si="23"/>
        <v>0</v>
      </c>
    </row>
    <row r="175" spans="1:53" ht="23.1" customHeight="1" x14ac:dyDescent="0.3">
      <c r="A175" s="49">
        <v>173</v>
      </c>
      <c r="B175" s="49" t="s">
        <v>398</v>
      </c>
      <c r="C175" s="49" t="s">
        <v>399</v>
      </c>
      <c r="D175" s="49" t="s">
        <v>542</v>
      </c>
      <c r="E175" s="49" t="s">
        <v>493</v>
      </c>
      <c r="F175" s="49"/>
      <c r="G175" s="49"/>
      <c r="H175" s="49"/>
      <c r="I175" s="49"/>
      <c r="J175" s="49"/>
      <c r="K175" s="59" t="str">
        <f t="shared" si="16"/>
        <v>0</v>
      </c>
      <c r="L175" s="49">
        <v>1</v>
      </c>
      <c r="M175" s="49">
        <v>1</v>
      </c>
      <c r="N175" s="49">
        <v>1</v>
      </c>
      <c r="O175" s="49"/>
      <c r="P175" s="49">
        <v>3</v>
      </c>
      <c r="Q175" s="59">
        <f t="shared" si="17"/>
        <v>1.5</v>
      </c>
      <c r="R175" s="49">
        <v>1</v>
      </c>
      <c r="S175" s="49"/>
      <c r="T175" s="49"/>
      <c r="U175" s="49"/>
      <c r="V175" s="49"/>
      <c r="W175" s="59">
        <f t="shared" si="18"/>
        <v>1</v>
      </c>
      <c r="X175" s="49"/>
      <c r="Y175" s="49"/>
      <c r="Z175" s="49"/>
      <c r="AA175" s="49"/>
      <c r="AB175" s="49"/>
      <c r="AC175" s="59" t="str">
        <f t="shared" si="19"/>
        <v>0</v>
      </c>
      <c r="AD175" s="49"/>
      <c r="AE175" s="49"/>
      <c r="AF175" s="49"/>
      <c r="AG175" s="49"/>
      <c r="AH175" s="49"/>
      <c r="AI175" s="59" t="str">
        <f t="shared" si="20"/>
        <v>0</v>
      </c>
      <c r="AJ175" s="49"/>
      <c r="AK175" s="49"/>
      <c r="AL175" s="49"/>
      <c r="AM175" s="49"/>
      <c r="AN175" s="49"/>
      <c r="AO175" s="59" t="str">
        <f t="shared" si="21"/>
        <v>0</v>
      </c>
      <c r="AP175" s="49"/>
      <c r="AQ175" s="49"/>
      <c r="AR175" s="49"/>
      <c r="AS175" s="49"/>
      <c r="AT175" s="49"/>
      <c r="AU175" s="59" t="str">
        <f t="shared" si="22"/>
        <v>0</v>
      </c>
      <c r="AV175" s="49"/>
      <c r="AW175" s="49"/>
      <c r="AX175" s="49"/>
      <c r="AY175" s="49"/>
      <c r="AZ175" s="49"/>
      <c r="BA175" s="59" t="str">
        <f t="shared" si="23"/>
        <v>0</v>
      </c>
    </row>
    <row r="176" spans="1:53" ht="23.1" customHeight="1" x14ac:dyDescent="0.3">
      <c r="A176" s="7">
        <v>174</v>
      </c>
      <c r="B176" s="7" t="s">
        <v>400</v>
      </c>
      <c r="C176" s="7" t="s">
        <v>401</v>
      </c>
      <c r="D176" s="7" t="s">
        <v>542</v>
      </c>
      <c r="E176" s="7" t="s">
        <v>493</v>
      </c>
      <c r="F176" s="7"/>
      <c r="G176" s="7"/>
      <c r="H176" s="49"/>
      <c r="I176" s="7"/>
      <c r="J176" s="7"/>
      <c r="K176" s="59" t="str">
        <f t="shared" si="16"/>
        <v>0</v>
      </c>
      <c r="L176" s="49">
        <v>2</v>
      </c>
      <c r="M176" s="49">
        <v>2</v>
      </c>
      <c r="N176" s="49">
        <v>2</v>
      </c>
      <c r="O176" s="49"/>
      <c r="P176" s="49">
        <v>2</v>
      </c>
      <c r="Q176" s="59">
        <f t="shared" si="17"/>
        <v>2</v>
      </c>
      <c r="R176" s="49">
        <v>3</v>
      </c>
      <c r="S176" s="49"/>
      <c r="T176" s="7"/>
      <c r="U176" s="49"/>
      <c r="V176" s="7"/>
      <c r="W176" s="59">
        <f t="shared" si="18"/>
        <v>3</v>
      </c>
      <c r="X176" s="49"/>
      <c r="Y176" s="49"/>
      <c r="Z176" s="7"/>
      <c r="AA176" s="7"/>
      <c r="AB176" s="7"/>
      <c r="AC176" s="59" t="str">
        <f t="shared" si="19"/>
        <v>0</v>
      </c>
      <c r="AD176" s="49"/>
      <c r="AE176" s="7"/>
      <c r="AF176" s="49"/>
      <c r="AG176" s="7"/>
      <c r="AH176" s="7"/>
      <c r="AI176" s="59" t="str">
        <f t="shared" si="20"/>
        <v>0</v>
      </c>
      <c r="AJ176" s="49"/>
      <c r="AK176" s="49"/>
      <c r="AL176" s="7"/>
      <c r="AM176" s="49"/>
      <c r="AN176" s="7"/>
      <c r="AO176" s="59" t="str">
        <f t="shared" si="21"/>
        <v>0</v>
      </c>
      <c r="AP176" s="49"/>
      <c r="AQ176" s="49"/>
      <c r="AR176" s="49"/>
      <c r="AS176" s="7"/>
      <c r="AT176" s="7"/>
      <c r="AU176" s="59" t="str">
        <f t="shared" si="22"/>
        <v>0</v>
      </c>
      <c r="AV176" s="7"/>
      <c r="AW176" s="7"/>
      <c r="AX176" s="49"/>
      <c r="AY176" s="49"/>
      <c r="AZ176" s="49"/>
      <c r="BA176" s="59" t="str">
        <f t="shared" si="23"/>
        <v>0</v>
      </c>
    </row>
    <row r="177" spans="1:53" ht="23.1" customHeight="1" x14ac:dyDescent="0.3">
      <c r="A177" s="49">
        <v>175</v>
      </c>
      <c r="B177" s="49" t="s">
        <v>120</v>
      </c>
      <c r="C177" s="49" t="s">
        <v>121</v>
      </c>
      <c r="D177" s="49" t="s">
        <v>450</v>
      </c>
      <c r="E177" s="49" t="s">
        <v>35</v>
      </c>
      <c r="F177" s="49"/>
      <c r="G177" s="49"/>
      <c r="H177" s="49"/>
      <c r="I177" s="49"/>
      <c r="J177" s="49"/>
      <c r="K177" s="59" t="str">
        <f t="shared" si="16"/>
        <v>0</v>
      </c>
      <c r="L177" s="49">
        <v>2</v>
      </c>
      <c r="M177" s="49">
        <v>3</v>
      </c>
      <c r="N177" s="49">
        <v>2</v>
      </c>
      <c r="O177" s="49"/>
      <c r="P177" s="49">
        <v>1</v>
      </c>
      <c r="Q177" s="59">
        <f t="shared" si="17"/>
        <v>2</v>
      </c>
      <c r="R177" s="49">
        <v>3</v>
      </c>
      <c r="S177" s="49"/>
      <c r="T177" s="49"/>
      <c r="U177" s="49"/>
      <c r="V177" s="49"/>
      <c r="W177" s="59">
        <f t="shared" si="18"/>
        <v>3</v>
      </c>
      <c r="X177" s="49"/>
      <c r="Y177" s="49"/>
      <c r="Z177" s="49"/>
      <c r="AA177" s="49"/>
      <c r="AB177" s="49"/>
      <c r="AC177" s="59" t="str">
        <f t="shared" si="19"/>
        <v>0</v>
      </c>
      <c r="AD177" s="49"/>
      <c r="AE177" s="49"/>
      <c r="AF177" s="49"/>
      <c r="AG177" s="49"/>
      <c r="AH177" s="49"/>
      <c r="AI177" s="59" t="str">
        <f t="shared" si="20"/>
        <v>0</v>
      </c>
      <c r="AJ177" s="49"/>
      <c r="AK177" s="49"/>
      <c r="AL177" s="49"/>
      <c r="AM177" s="49"/>
      <c r="AN177" s="49"/>
      <c r="AO177" s="59" t="str">
        <f t="shared" si="21"/>
        <v>0</v>
      </c>
      <c r="AP177" s="49"/>
      <c r="AQ177" s="49"/>
      <c r="AR177" s="49"/>
      <c r="AS177" s="49"/>
      <c r="AT177" s="49"/>
      <c r="AU177" s="59" t="str">
        <f t="shared" si="22"/>
        <v>0</v>
      </c>
      <c r="AV177" s="49"/>
      <c r="AW177" s="49"/>
      <c r="AX177" s="49"/>
      <c r="AY177" s="49"/>
      <c r="AZ177" s="49"/>
      <c r="BA177" s="59" t="str">
        <f t="shared" si="23"/>
        <v>0</v>
      </c>
    </row>
    <row r="178" spans="1:53" ht="23.1" customHeight="1" x14ac:dyDescent="0.3">
      <c r="A178" s="7">
        <v>176</v>
      </c>
      <c r="B178" s="7" t="s">
        <v>402</v>
      </c>
      <c r="C178" s="7" t="s">
        <v>403</v>
      </c>
      <c r="D178" s="7" t="s">
        <v>450</v>
      </c>
      <c r="E178" s="7" t="s">
        <v>493</v>
      </c>
      <c r="F178" s="7"/>
      <c r="G178" s="7"/>
      <c r="H178" s="49"/>
      <c r="I178" s="7"/>
      <c r="J178" s="7"/>
      <c r="K178" s="59" t="str">
        <f t="shared" si="16"/>
        <v>0</v>
      </c>
      <c r="L178" s="49">
        <v>2</v>
      </c>
      <c r="M178" s="49">
        <v>2</v>
      </c>
      <c r="N178" s="49">
        <v>2</v>
      </c>
      <c r="O178" s="49"/>
      <c r="P178" s="49">
        <v>2</v>
      </c>
      <c r="Q178" s="59">
        <f t="shared" si="17"/>
        <v>2</v>
      </c>
      <c r="R178" s="49">
        <v>2</v>
      </c>
      <c r="S178" s="49"/>
      <c r="T178" s="7"/>
      <c r="U178" s="49"/>
      <c r="V178" s="7"/>
      <c r="W178" s="59">
        <f t="shared" si="18"/>
        <v>2</v>
      </c>
      <c r="X178" s="49"/>
      <c r="Y178" s="49"/>
      <c r="Z178" s="7"/>
      <c r="AA178" s="7"/>
      <c r="AB178" s="7"/>
      <c r="AC178" s="59" t="str">
        <f t="shared" si="19"/>
        <v>0</v>
      </c>
      <c r="AD178" s="49"/>
      <c r="AE178" s="7"/>
      <c r="AF178" s="49"/>
      <c r="AG178" s="7"/>
      <c r="AH178" s="7"/>
      <c r="AI178" s="59" t="str">
        <f t="shared" si="20"/>
        <v>0</v>
      </c>
      <c r="AJ178" s="49"/>
      <c r="AK178" s="49"/>
      <c r="AL178" s="7"/>
      <c r="AM178" s="49"/>
      <c r="AN178" s="7"/>
      <c r="AO178" s="59" t="str">
        <f t="shared" si="21"/>
        <v>0</v>
      </c>
      <c r="AP178" s="49"/>
      <c r="AQ178" s="49"/>
      <c r="AR178" s="49"/>
      <c r="AS178" s="7"/>
      <c r="AT178" s="7"/>
      <c r="AU178" s="59" t="str">
        <f t="shared" si="22"/>
        <v>0</v>
      </c>
      <c r="AV178" s="7"/>
      <c r="AW178" s="7"/>
      <c r="AX178" s="49"/>
      <c r="AY178" s="49"/>
      <c r="AZ178" s="49"/>
      <c r="BA178" s="59" t="str">
        <f t="shared" si="23"/>
        <v>0</v>
      </c>
    </row>
    <row r="179" spans="1:53" ht="23.1" customHeight="1" x14ac:dyDescent="0.3">
      <c r="A179" s="49">
        <v>177</v>
      </c>
      <c r="B179" s="49" t="s">
        <v>271</v>
      </c>
      <c r="C179" s="49" t="s">
        <v>272</v>
      </c>
      <c r="D179" s="49" t="s">
        <v>450</v>
      </c>
      <c r="E179" s="49" t="s">
        <v>161</v>
      </c>
      <c r="F179" s="49"/>
      <c r="G179" s="49"/>
      <c r="H179" s="49"/>
      <c r="I179" s="49"/>
      <c r="J179" s="49"/>
      <c r="K179" s="59" t="str">
        <f t="shared" si="16"/>
        <v>0</v>
      </c>
      <c r="L179" s="49">
        <v>3</v>
      </c>
      <c r="M179" s="49">
        <v>3</v>
      </c>
      <c r="N179" s="49">
        <v>3</v>
      </c>
      <c r="O179" s="49"/>
      <c r="P179" s="49">
        <v>3</v>
      </c>
      <c r="Q179" s="59">
        <f t="shared" si="17"/>
        <v>3</v>
      </c>
      <c r="R179" s="49">
        <v>3</v>
      </c>
      <c r="S179" s="49"/>
      <c r="T179" s="49"/>
      <c r="U179" s="49"/>
      <c r="V179" s="49"/>
      <c r="W179" s="59">
        <f t="shared" si="18"/>
        <v>3</v>
      </c>
      <c r="X179" s="49"/>
      <c r="Y179" s="49"/>
      <c r="Z179" s="49"/>
      <c r="AA179" s="49"/>
      <c r="AB179" s="49"/>
      <c r="AC179" s="59" t="str">
        <f t="shared" si="19"/>
        <v>0</v>
      </c>
      <c r="AD179" s="49"/>
      <c r="AE179" s="49"/>
      <c r="AF179" s="49"/>
      <c r="AG179" s="49"/>
      <c r="AH179" s="49"/>
      <c r="AI179" s="59" t="str">
        <f t="shared" si="20"/>
        <v>0</v>
      </c>
      <c r="AJ179" s="49"/>
      <c r="AK179" s="49"/>
      <c r="AL179" s="49"/>
      <c r="AM179" s="49"/>
      <c r="AN179" s="49"/>
      <c r="AO179" s="59" t="str">
        <f t="shared" si="21"/>
        <v>0</v>
      </c>
      <c r="AP179" s="49"/>
      <c r="AQ179" s="49"/>
      <c r="AR179" s="49"/>
      <c r="AS179" s="49"/>
      <c r="AT179" s="49"/>
      <c r="AU179" s="59" t="str">
        <f t="shared" si="22"/>
        <v>0</v>
      </c>
      <c r="AV179" s="49"/>
      <c r="AW179" s="49"/>
      <c r="AX179" s="49"/>
      <c r="AY179" s="49"/>
      <c r="AZ179" s="49"/>
      <c r="BA179" s="59" t="str">
        <f t="shared" si="23"/>
        <v>0</v>
      </c>
    </row>
    <row r="180" spans="1:53" ht="23.1" customHeight="1" x14ac:dyDescent="0.3">
      <c r="A180" s="7">
        <v>178</v>
      </c>
      <c r="B180" s="7" t="s">
        <v>52</v>
      </c>
      <c r="C180" s="7" t="s">
        <v>53</v>
      </c>
      <c r="D180" s="7" t="s">
        <v>542</v>
      </c>
      <c r="E180" s="7" t="s">
        <v>35</v>
      </c>
      <c r="F180" s="7"/>
      <c r="G180" s="7"/>
      <c r="H180" s="49"/>
      <c r="I180" s="7"/>
      <c r="J180" s="7"/>
      <c r="K180" s="59" t="str">
        <f t="shared" si="16"/>
        <v>0</v>
      </c>
      <c r="L180" s="49">
        <v>3</v>
      </c>
      <c r="M180" s="49">
        <v>4</v>
      </c>
      <c r="N180" s="49">
        <v>2</v>
      </c>
      <c r="O180" s="49"/>
      <c r="P180" s="49">
        <v>4</v>
      </c>
      <c r="Q180" s="59">
        <f t="shared" si="17"/>
        <v>3.25</v>
      </c>
      <c r="R180" s="49">
        <v>4</v>
      </c>
      <c r="S180" s="49"/>
      <c r="T180" s="7"/>
      <c r="U180" s="49"/>
      <c r="V180" s="7"/>
      <c r="W180" s="59">
        <f t="shared" si="18"/>
        <v>4</v>
      </c>
      <c r="X180" s="49"/>
      <c r="Y180" s="49"/>
      <c r="Z180" s="7"/>
      <c r="AA180" s="7"/>
      <c r="AB180" s="7"/>
      <c r="AC180" s="59" t="str">
        <f t="shared" si="19"/>
        <v>0</v>
      </c>
      <c r="AD180" s="49"/>
      <c r="AE180" s="7"/>
      <c r="AF180" s="49"/>
      <c r="AG180" s="7"/>
      <c r="AH180" s="7"/>
      <c r="AI180" s="59" t="str">
        <f t="shared" si="20"/>
        <v>0</v>
      </c>
      <c r="AJ180" s="49"/>
      <c r="AK180" s="49"/>
      <c r="AL180" s="7"/>
      <c r="AM180" s="49"/>
      <c r="AN180" s="7"/>
      <c r="AO180" s="59" t="str">
        <f t="shared" si="21"/>
        <v>0</v>
      </c>
      <c r="AP180" s="49"/>
      <c r="AQ180" s="49"/>
      <c r="AR180" s="49"/>
      <c r="AS180" s="7"/>
      <c r="AT180" s="7"/>
      <c r="AU180" s="59" t="str">
        <f t="shared" si="22"/>
        <v>0</v>
      </c>
      <c r="AV180" s="7"/>
      <c r="AW180" s="7"/>
      <c r="AX180" s="49"/>
      <c r="AY180" s="49"/>
      <c r="AZ180" s="49"/>
      <c r="BA180" s="59" t="str">
        <f t="shared" si="23"/>
        <v>0</v>
      </c>
    </row>
    <row r="181" spans="1:53" ht="23.1" customHeight="1" x14ac:dyDescent="0.3">
      <c r="A181" s="49">
        <v>179</v>
      </c>
      <c r="B181" s="49" t="s">
        <v>239</v>
      </c>
      <c r="C181" s="49" t="s">
        <v>240</v>
      </c>
      <c r="D181" s="49" t="s">
        <v>542</v>
      </c>
      <c r="E181" s="49" t="s">
        <v>161</v>
      </c>
      <c r="F181" s="49"/>
      <c r="G181" s="49"/>
      <c r="H181" s="49"/>
      <c r="I181" s="49"/>
      <c r="J181" s="49"/>
      <c r="K181" s="59" t="str">
        <f t="shared" si="16"/>
        <v>0</v>
      </c>
      <c r="L181" s="49">
        <v>3</v>
      </c>
      <c r="M181" s="49">
        <v>3</v>
      </c>
      <c r="N181" s="49">
        <v>3</v>
      </c>
      <c r="O181" s="49"/>
      <c r="P181" s="49">
        <v>3</v>
      </c>
      <c r="Q181" s="59">
        <f t="shared" si="17"/>
        <v>3</v>
      </c>
      <c r="R181" s="49">
        <v>3</v>
      </c>
      <c r="S181" s="49"/>
      <c r="T181" s="49"/>
      <c r="U181" s="49"/>
      <c r="V181" s="49"/>
      <c r="W181" s="59">
        <f t="shared" si="18"/>
        <v>3</v>
      </c>
      <c r="X181" s="49"/>
      <c r="Y181" s="49"/>
      <c r="Z181" s="49"/>
      <c r="AA181" s="49"/>
      <c r="AB181" s="49"/>
      <c r="AC181" s="59" t="str">
        <f t="shared" si="19"/>
        <v>0</v>
      </c>
      <c r="AD181" s="49"/>
      <c r="AE181" s="49"/>
      <c r="AF181" s="49"/>
      <c r="AG181" s="49"/>
      <c r="AH181" s="49"/>
      <c r="AI181" s="59" t="str">
        <f t="shared" si="20"/>
        <v>0</v>
      </c>
      <c r="AJ181" s="49"/>
      <c r="AK181" s="49"/>
      <c r="AL181" s="49"/>
      <c r="AM181" s="49"/>
      <c r="AN181" s="49"/>
      <c r="AO181" s="59" t="str">
        <f t="shared" si="21"/>
        <v>0</v>
      </c>
      <c r="AP181" s="49"/>
      <c r="AQ181" s="49"/>
      <c r="AR181" s="49"/>
      <c r="AS181" s="49"/>
      <c r="AT181" s="49"/>
      <c r="AU181" s="59" t="str">
        <f t="shared" si="22"/>
        <v>0</v>
      </c>
      <c r="AV181" s="49"/>
      <c r="AW181" s="49"/>
      <c r="AX181" s="49"/>
      <c r="AY181" s="49"/>
      <c r="AZ181" s="49"/>
      <c r="BA181" s="59" t="str">
        <f t="shared" si="23"/>
        <v>0</v>
      </c>
    </row>
    <row r="182" spans="1:53" ht="23.1" customHeight="1" x14ac:dyDescent="0.3">
      <c r="A182" s="7">
        <v>180</v>
      </c>
      <c r="B182" s="7" t="s">
        <v>255</v>
      </c>
      <c r="C182" s="7" t="s">
        <v>256</v>
      </c>
      <c r="D182" s="7" t="s">
        <v>450</v>
      </c>
      <c r="E182" s="7" t="s">
        <v>161</v>
      </c>
      <c r="F182" s="7"/>
      <c r="G182" s="7"/>
      <c r="H182" s="49"/>
      <c r="I182" s="7"/>
      <c r="J182" s="7"/>
      <c r="K182" s="59" t="str">
        <f t="shared" si="16"/>
        <v>0</v>
      </c>
      <c r="L182" s="49">
        <v>3</v>
      </c>
      <c r="M182" s="49">
        <v>3</v>
      </c>
      <c r="N182" s="49">
        <v>2</v>
      </c>
      <c r="O182" s="49"/>
      <c r="P182" s="49">
        <v>3</v>
      </c>
      <c r="Q182" s="59">
        <f t="shared" si="17"/>
        <v>2.75</v>
      </c>
      <c r="R182" s="49">
        <v>2</v>
      </c>
      <c r="S182" s="49"/>
      <c r="T182" s="7"/>
      <c r="U182" s="49"/>
      <c r="V182" s="7"/>
      <c r="W182" s="59">
        <f t="shared" si="18"/>
        <v>2</v>
      </c>
      <c r="X182" s="49"/>
      <c r="Y182" s="49"/>
      <c r="Z182" s="7"/>
      <c r="AA182" s="7"/>
      <c r="AB182" s="7"/>
      <c r="AC182" s="59" t="str">
        <f t="shared" si="19"/>
        <v>0</v>
      </c>
      <c r="AD182" s="49"/>
      <c r="AE182" s="7"/>
      <c r="AF182" s="49"/>
      <c r="AG182" s="7"/>
      <c r="AH182" s="7"/>
      <c r="AI182" s="59" t="str">
        <f t="shared" si="20"/>
        <v>0</v>
      </c>
      <c r="AJ182" s="49"/>
      <c r="AK182" s="49"/>
      <c r="AL182" s="7"/>
      <c r="AM182" s="49"/>
      <c r="AN182" s="7"/>
      <c r="AO182" s="59" t="str">
        <f t="shared" si="21"/>
        <v>0</v>
      </c>
      <c r="AP182" s="49"/>
      <c r="AQ182" s="49"/>
      <c r="AR182" s="49"/>
      <c r="AS182" s="7"/>
      <c r="AT182" s="7"/>
      <c r="AU182" s="59" t="str">
        <f t="shared" si="22"/>
        <v>0</v>
      </c>
      <c r="AV182" s="7"/>
      <c r="AW182" s="7"/>
      <c r="AX182" s="49"/>
      <c r="AY182" s="49"/>
      <c r="AZ182" s="49"/>
      <c r="BA182" s="59" t="str">
        <f t="shared" si="23"/>
        <v>0</v>
      </c>
    </row>
    <row r="183" spans="1:53" ht="23.1" customHeight="1" x14ac:dyDescent="0.3">
      <c r="A183" s="49">
        <v>181</v>
      </c>
      <c r="B183" s="49" t="s">
        <v>404</v>
      </c>
      <c r="C183" s="49" t="s">
        <v>405</v>
      </c>
      <c r="D183" s="49" t="s">
        <v>450</v>
      </c>
      <c r="E183" s="49" t="s">
        <v>493</v>
      </c>
      <c r="F183" s="49"/>
      <c r="G183" s="49"/>
      <c r="H183" s="49"/>
      <c r="I183" s="49"/>
      <c r="J183" s="49"/>
      <c r="K183" s="59" t="str">
        <f t="shared" si="16"/>
        <v>0</v>
      </c>
      <c r="L183" s="49">
        <v>2</v>
      </c>
      <c r="M183" s="49">
        <v>3</v>
      </c>
      <c r="N183" s="49">
        <v>1</v>
      </c>
      <c r="O183" s="49"/>
      <c r="P183" s="49">
        <v>2</v>
      </c>
      <c r="Q183" s="59">
        <f t="shared" si="17"/>
        <v>2</v>
      </c>
      <c r="R183" s="49">
        <v>3</v>
      </c>
      <c r="S183" s="49"/>
      <c r="T183" s="49"/>
      <c r="U183" s="49"/>
      <c r="V183" s="49"/>
      <c r="W183" s="59">
        <f t="shared" si="18"/>
        <v>3</v>
      </c>
      <c r="X183" s="49"/>
      <c r="Y183" s="49"/>
      <c r="Z183" s="49"/>
      <c r="AA183" s="49"/>
      <c r="AB183" s="49"/>
      <c r="AC183" s="59" t="str">
        <f t="shared" si="19"/>
        <v>0</v>
      </c>
      <c r="AD183" s="49"/>
      <c r="AE183" s="49"/>
      <c r="AF183" s="49"/>
      <c r="AG183" s="49"/>
      <c r="AH183" s="49"/>
      <c r="AI183" s="59" t="str">
        <f t="shared" si="20"/>
        <v>0</v>
      </c>
      <c r="AJ183" s="49"/>
      <c r="AK183" s="49"/>
      <c r="AL183" s="49"/>
      <c r="AM183" s="49"/>
      <c r="AN183" s="49"/>
      <c r="AO183" s="59" t="str">
        <f t="shared" si="21"/>
        <v>0</v>
      </c>
      <c r="AP183" s="49"/>
      <c r="AQ183" s="49"/>
      <c r="AR183" s="49"/>
      <c r="AS183" s="49"/>
      <c r="AT183" s="49"/>
      <c r="AU183" s="59" t="str">
        <f t="shared" si="22"/>
        <v>0</v>
      </c>
      <c r="AV183" s="49"/>
      <c r="AW183" s="49"/>
      <c r="AX183" s="49"/>
      <c r="AY183" s="49"/>
      <c r="AZ183" s="49"/>
      <c r="BA183" s="59" t="str">
        <f t="shared" si="23"/>
        <v>0</v>
      </c>
    </row>
    <row r="184" spans="1:53" ht="23.1" customHeight="1" x14ac:dyDescent="0.3">
      <c r="A184" s="7">
        <v>182</v>
      </c>
      <c r="B184" s="7" t="s">
        <v>44</v>
      </c>
      <c r="C184" s="7" t="s">
        <v>45</v>
      </c>
      <c r="D184" s="7" t="s">
        <v>450</v>
      </c>
      <c r="E184" s="7" t="s">
        <v>35</v>
      </c>
      <c r="F184" s="7"/>
      <c r="G184" s="7"/>
      <c r="H184" s="49"/>
      <c r="I184" s="7"/>
      <c r="J184" s="7"/>
      <c r="K184" s="59" t="str">
        <f t="shared" si="16"/>
        <v>0</v>
      </c>
      <c r="L184" s="49">
        <v>4</v>
      </c>
      <c r="M184" s="49">
        <v>4</v>
      </c>
      <c r="N184" s="49">
        <v>4</v>
      </c>
      <c r="O184" s="49"/>
      <c r="P184" s="49">
        <v>4</v>
      </c>
      <c r="Q184" s="59">
        <f t="shared" si="17"/>
        <v>4</v>
      </c>
      <c r="R184" s="49">
        <v>4</v>
      </c>
      <c r="S184" s="49"/>
      <c r="T184" s="7"/>
      <c r="U184" s="49"/>
      <c r="V184" s="7"/>
      <c r="W184" s="59">
        <f t="shared" si="18"/>
        <v>4</v>
      </c>
      <c r="X184" s="49"/>
      <c r="Y184" s="49"/>
      <c r="Z184" s="7"/>
      <c r="AA184" s="7"/>
      <c r="AB184" s="7"/>
      <c r="AC184" s="59" t="str">
        <f t="shared" si="19"/>
        <v>0</v>
      </c>
      <c r="AD184" s="49"/>
      <c r="AE184" s="7"/>
      <c r="AF184" s="49"/>
      <c r="AG184" s="7"/>
      <c r="AH184" s="7"/>
      <c r="AI184" s="59" t="str">
        <f t="shared" si="20"/>
        <v>0</v>
      </c>
      <c r="AJ184" s="49"/>
      <c r="AK184" s="49"/>
      <c r="AL184" s="7"/>
      <c r="AM184" s="49"/>
      <c r="AN184" s="7"/>
      <c r="AO184" s="59" t="str">
        <f t="shared" si="21"/>
        <v>0</v>
      </c>
      <c r="AP184" s="49"/>
      <c r="AQ184" s="49"/>
      <c r="AR184" s="49"/>
      <c r="AS184" s="7"/>
      <c r="AT184" s="7"/>
      <c r="AU184" s="59" t="str">
        <f t="shared" si="22"/>
        <v>0</v>
      </c>
      <c r="AV184" s="7"/>
      <c r="AW184" s="7"/>
      <c r="AX184" s="49"/>
      <c r="AY184" s="49"/>
      <c r="AZ184" s="49"/>
      <c r="BA184" s="59" t="str">
        <f t="shared" si="23"/>
        <v>0</v>
      </c>
    </row>
    <row r="185" spans="1:53" ht="23.1" customHeight="1" x14ac:dyDescent="0.3">
      <c r="A185" s="49">
        <v>183</v>
      </c>
      <c r="B185" s="49" t="s">
        <v>406</v>
      </c>
      <c r="C185" s="49" t="s">
        <v>407</v>
      </c>
      <c r="D185" s="49" t="s">
        <v>450</v>
      </c>
      <c r="E185" s="49" t="s">
        <v>493</v>
      </c>
      <c r="F185" s="49"/>
      <c r="G185" s="49"/>
      <c r="H185" s="49"/>
      <c r="I185" s="49"/>
      <c r="J185" s="49"/>
      <c r="K185" s="59" t="str">
        <f t="shared" si="16"/>
        <v>0</v>
      </c>
      <c r="L185" s="49">
        <v>2</v>
      </c>
      <c r="M185" s="49">
        <v>4</v>
      </c>
      <c r="N185" s="49">
        <v>2</v>
      </c>
      <c r="O185" s="49"/>
      <c r="P185" s="49">
        <v>2</v>
      </c>
      <c r="Q185" s="59">
        <f t="shared" si="17"/>
        <v>2.5</v>
      </c>
      <c r="R185" s="49">
        <v>2</v>
      </c>
      <c r="S185" s="49"/>
      <c r="T185" s="49"/>
      <c r="U185" s="49"/>
      <c r="V185" s="49"/>
      <c r="W185" s="59">
        <f t="shared" si="18"/>
        <v>2</v>
      </c>
      <c r="X185" s="49"/>
      <c r="Y185" s="49"/>
      <c r="Z185" s="49"/>
      <c r="AA185" s="49"/>
      <c r="AB185" s="49"/>
      <c r="AC185" s="59" t="str">
        <f t="shared" si="19"/>
        <v>0</v>
      </c>
      <c r="AD185" s="49"/>
      <c r="AE185" s="49"/>
      <c r="AF185" s="49"/>
      <c r="AG185" s="49"/>
      <c r="AH185" s="49"/>
      <c r="AI185" s="59" t="str">
        <f t="shared" si="20"/>
        <v>0</v>
      </c>
      <c r="AJ185" s="49"/>
      <c r="AK185" s="49"/>
      <c r="AL185" s="49"/>
      <c r="AM185" s="49"/>
      <c r="AN185" s="49"/>
      <c r="AO185" s="59" t="str">
        <f t="shared" si="21"/>
        <v>0</v>
      </c>
      <c r="AP185" s="49"/>
      <c r="AQ185" s="49"/>
      <c r="AR185" s="49"/>
      <c r="AS185" s="49"/>
      <c r="AT185" s="49"/>
      <c r="AU185" s="59" t="str">
        <f t="shared" si="22"/>
        <v>0</v>
      </c>
      <c r="AV185" s="49"/>
      <c r="AW185" s="49"/>
      <c r="AX185" s="49"/>
      <c r="AY185" s="49"/>
      <c r="AZ185" s="49"/>
      <c r="BA185" s="59" t="str">
        <f t="shared" si="23"/>
        <v>0</v>
      </c>
    </row>
    <row r="186" spans="1:53" ht="23.1" customHeight="1" x14ac:dyDescent="0.3">
      <c r="A186" s="7">
        <v>184</v>
      </c>
      <c r="B186" s="7" t="s">
        <v>287</v>
      </c>
      <c r="C186" s="7" t="s">
        <v>288</v>
      </c>
      <c r="D186" s="7" t="s">
        <v>450</v>
      </c>
      <c r="E186" s="7" t="s">
        <v>161</v>
      </c>
      <c r="F186" s="7"/>
      <c r="G186" s="7"/>
      <c r="H186" s="49"/>
      <c r="I186" s="7"/>
      <c r="J186" s="7"/>
      <c r="K186" s="59" t="str">
        <f t="shared" si="16"/>
        <v>0</v>
      </c>
      <c r="L186" s="49">
        <v>3</v>
      </c>
      <c r="M186" s="49">
        <v>3</v>
      </c>
      <c r="N186" s="49">
        <v>2</v>
      </c>
      <c r="O186" s="49"/>
      <c r="P186" s="49">
        <v>3</v>
      </c>
      <c r="Q186" s="59">
        <f t="shared" si="17"/>
        <v>2.75</v>
      </c>
      <c r="R186" s="49">
        <v>3</v>
      </c>
      <c r="S186" s="49"/>
      <c r="T186" s="7"/>
      <c r="U186" s="49"/>
      <c r="V186" s="7"/>
      <c r="W186" s="59">
        <f t="shared" si="18"/>
        <v>3</v>
      </c>
      <c r="X186" s="49"/>
      <c r="Y186" s="49"/>
      <c r="Z186" s="7"/>
      <c r="AA186" s="7"/>
      <c r="AB186" s="7"/>
      <c r="AC186" s="59" t="str">
        <f t="shared" si="19"/>
        <v>0</v>
      </c>
      <c r="AD186" s="49"/>
      <c r="AE186" s="7"/>
      <c r="AF186" s="49"/>
      <c r="AG186" s="7"/>
      <c r="AH186" s="7"/>
      <c r="AI186" s="59" t="str">
        <f t="shared" si="20"/>
        <v>0</v>
      </c>
      <c r="AJ186" s="49"/>
      <c r="AK186" s="49"/>
      <c r="AL186" s="7"/>
      <c r="AM186" s="49"/>
      <c r="AN186" s="7"/>
      <c r="AO186" s="59" t="str">
        <f t="shared" si="21"/>
        <v>0</v>
      </c>
      <c r="AP186" s="49"/>
      <c r="AQ186" s="49"/>
      <c r="AR186" s="49"/>
      <c r="AS186" s="7"/>
      <c r="AT186" s="7"/>
      <c r="AU186" s="59" t="str">
        <f t="shared" si="22"/>
        <v>0</v>
      </c>
      <c r="AV186" s="7"/>
      <c r="AW186" s="7"/>
      <c r="AX186" s="49"/>
      <c r="AY186" s="49"/>
      <c r="AZ186" s="49"/>
      <c r="BA186" s="59" t="str">
        <f t="shared" si="23"/>
        <v>0</v>
      </c>
    </row>
    <row r="187" spans="1:53" ht="23.1" customHeight="1" x14ac:dyDescent="0.3">
      <c r="A187" s="49">
        <v>185</v>
      </c>
      <c r="B187" s="49" t="s">
        <v>408</v>
      </c>
      <c r="C187" s="49" t="s">
        <v>409</v>
      </c>
      <c r="D187" s="49" t="s">
        <v>450</v>
      </c>
      <c r="E187" s="49" t="s">
        <v>493</v>
      </c>
      <c r="F187" s="49"/>
      <c r="G187" s="49"/>
      <c r="H187" s="49"/>
      <c r="I187" s="49"/>
      <c r="J187" s="49"/>
      <c r="K187" s="59" t="str">
        <f t="shared" si="16"/>
        <v>0</v>
      </c>
      <c r="L187" s="49">
        <v>3</v>
      </c>
      <c r="M187" s="49">
        <v>3</v>
      </c>
      <c r="N187" s="49">
        <v>3</v>
      </c>
      <c r="O187" s="49"/>
      <c r="P187" s="49">
        <v>3</v>
      </c>
      <c r="Q187" s="59">
        <f t="shared" si="17"/>
        <v>3</v>
      </c>
      <c r="R187" s="49">
        <v>3</v>
      </c>
      <c r="S187" s="49"/>
      <c r="T187" s="49"/>
      <c r="U187" s="49"/>
      <c r="V187" s="49"/>
      <c r="W187" s="59">
        <f t="shared" si="18"/>
        <v>3</v>
      </c>
      <c r="X187" s="49"/>
      <c r="Y187" s="49"/>
      <c r="Z187" s="49"/>
      <c r="AA187" s="49"/>
      <c r="AB187" s="49"/>
      <c r="AC187" s="59" t="str">
        <f t="shared" si="19"/>
        <v>0</v>
      </c>
      <c r="AD187" s="49"/>
      <c r="AE187" s="49"/>
      <c r="AF187" s="49"/>
      <c r="AG187" s="49"/>
      <c r="AH187" s="49"/>
      <c r="AI187" s="59" t="str">
        <f t="shared" si="20"/>
        <v>0</v>
      </c>
      <c r="AJ187" s="49"/>
      <c r="AK187" s="49"/>
      <c r="AL187" s="49"/>
      <c r="AM187" s="49"/>
      <c r="AN187" s="49"/>
      <c r="AO187" s="59" t="str">
        <f t="shared" si="21"/>
        <v>0</v>
      </c>
      <c r="AP187" s="49"/>
      <c r="AQ187" s="49"/>
      <c r="AR187" s="49"/>
      <c r="AS187" s="49"/>
      <c r="AT187" s="49"/>
      <c r="AU187" s="59" t="str">
        <f t="shared" si="22"/>
        <v>0</v>
      </c>
      <c r="AV187" s="49"/>
      <c r="AW187" s="49"/>
      <c r="AX187" s="49"/>
      <c r="AY187" s="49"/>
      <c r="AZ187" s="49"/>
      <c r="BA187" s="59" t="str">
        <f t="shared" si="23"/>
        <v>0</v>
      </c>
    </row>
    <row r="188" spans="1:53" ht="23.1" customHeight="1" x14ac:dyDescent="0.3">
      <c r="A188" s="7">
        <v>186</v>
      </c>
      <c r="B188" s="7" t="s">
        <v>410</v>
      </c>
      <c r="C188" s="7" t="s">
        <v>411</v>
      </c>
      <c r="D188" s="7" t="s">
        <v>450</v>
      </c>
      <c r="E188" s="7" t="s">
        <v>493</v>
      </c>
      <c r="F188" s="7"/>
      <c r="G188" s="7"/>
      <c r="H188" s="49"/>
      <c r="I188" s="7"/>
      <c r="J188" s="7"/>
      <c r="K188" s="59" t="str">
        <f t="shared" si="16"/>
        <v>0</v>
      </c>
      <c r="L188" s="49">
        <v>3</v>
      </c>
      <c r="M188" s="49">
        <v>3</v>
      </c>
      <c r="N188" s="49">
        <v>3</v>
      </c>
      <c r="O188" s="49"/>
      <c r="P188" s="49">
        <v>3</v>
      </c>
      <c r="Q188" s="59">
        <f t="shared" si="17"/>
        <v>3</v>
      </c>
      <c r="R188" s="49">
        <v>2</v>
      </c>
      <c r="S188" s="49"/>
      <c r="T188" s="7"/>
      <c r="U188" s="49"/>
      <c r="V188" s="7"/>
      <c r="W188" s="59">
        <f t="shared" si="18"/>
        <v>2</v>
      </c>
      <c r="X188" s="49"/>
      <c r="Y188" s="49"/>
      <c r="Z188" s="7"/>
      <c r="AA188" s="7"/>
      <c r="AB188" s="7"/>
      <c r="AC188" s="59" t="str">
        <f t="shared" si="19"/>
        <v>0</v>
      </c>
      <c r="AD188" s="49"/>
      <c r="AE188" s="7"/>
      <c r="AF188" s="49"/>
      <c r="AG188" s="7"/>
      <c r="AH188" s="7"/>
      <c r="AI188" s="59" t="str">
        <f t="shared" si="20"/>
        <v>0</v>
      </c>
      <c r="AJ188" s="49"/>
      <c r="AK188" s="49"/>
      <c r="AL188" s="7"/>
      <c r="AM188" s="49"/>
      <c r="AN188" s="7"/>
      <c r="AO188" s="59" t="str">
        <f t="shared" si="21"/>
        <v>0</v>
      </c>
      <c r="AP188" s="49"/>
      <c r="AQ188" s="49"/>
      <c r="AR188" s="49"/>
      <c r="AS188" s="7"/>
      <c r="AT188" s="7"/>
      <c r="AU188" s="59" t="str">
        <f t="shared" si="22"/>
        <v>0</v>
      </c>
      <c r="AV188" s="7"/>
      <c r="AW188" s="7"/>
      <c r="AX188" s="49"/>
      <c r="AY188" s="49"/>
      <c r="AZ188" s="49"/>
      <c r="BA188" s="59" t="str">
        <f t="shared" si="23"/>
        <v>0</v>
      </c>
    </row>
    <row r="189" spans="1:53" ht="23.1" customHeight="1" x14ac:dyDescent="0.3">
      <c r="A189" s="49">
        <v>187</v>
      </c>
      <c r="B189" s="49" t="s">
        <v>412</v>
      </c>
      <c r="C189" s="49" t="s">
        <v>413</v>
      </c>
      <c r="D189" s="49" t="s">
        <v>542</v>
      </c>
      <c r="E189" s="49" t="s">
        <v>493</v>
      </c>
      <c r="F189" s="49"/>
      <c r="G189" s="49"/>
      <c r="H189" s="49"/>
      <c r="I189" s="49"/>
      <c r="J189" s="49"/>
      <c r="K189" s="59" t="str">
        <f t="shared" si="16"/>
        <v>0</v>
      </c>
      <c r="L189" s="49">
        <v>3</v>
      </c>
      <c r="M189" s="49">
        <v>3</v>
      </c>
      <c r="N189" s="49">
        <v>3</v>
      </c>
      <c r="O189" s="49"/>
      <c r="P189" s="49">
        <v>3</v>
      </c>
      <c r="Q189" s="59">
        <f t="shared" si="17"/>
        <v>3</v>
      </c>
      <c r="R189" s="49">
        <v>4</v>
      </c>
      <c r="S189" s="49"/>
      <c r="T189" s="49"/>
      <c r="U189" s="49"/>
      <c r="V189" s="49"/>
      <c r="W189" s="59">
        <f t="shared" si="18"/>
        <v>4</v>
      </c>
      <c r="X189" s="49"/>
      <c r="Y189" s="49"/>
      <c r="Z189" s="49"/>
      <c r="AA189" s="49"/>
      <c r="AB189" s="49"/>
      <c r="AC189" s="59" t="str">
        <f t="shared" si="19"/>
        <v>0</v>
      </c>
      <c r="AD189" s="49"/>
      <c r="AE189" s="49"/>
      <c r="AF189" s="49"/>
      <c r="AG189" s="49"/>
      <c r="AH189" s="49"/>
      <c r="AI189" s="59" t="str">
        <f t="shared" si="20"/>
        <v>0</v>
      </c>
      <c r="AJ189" s="49"/>
      <c r="AK189" s="49"/>
      <c r="AL189" s="49"/>
      <c r="AM189" s="49"/>
      <c r="AN189" s="49"/>
      <c r="AO189" s="59" t="str">
        <f t="shared" si="21"/>
        <v>0</v>
      </c>
      <c r="AP189" s="49"/>
      <c r="AQ189" s="49"/>
      <c r="AR189" s="49"/>
      <c r="AS189" s="49"/>
      <c r="AT189" s="49"/>
      <c r="AU189" s="59" t="str">
        <f t="shared" si="22"/>
        <v>0</v>
      </c>
      <c r="AV189" s="49"/>
      <c r="AW189" s="49"/>
      <c r="AX189" s="49"/>
      <c r="AY189" s="49"/>
      <c r="AZ189" s="49"/>
      <c r="BA189" s="59" t="str">
        <f t="shared" si="23"/>
        <v>0</v>
      </c>
    </row>
    <row r="190" spans="1:53" ht="23.1" customHeight="1" x14ac:dyDescent="0.3">
      <c r="A190" s="7">
        <v>188</v>
      </c>
      <c r="B190" s="7" t="s">
        <v>148</v>
      </c>
      <c r="C190" s="7" t="s">
        <v>149</v>
      </c>
      <c r="D190" s="7" t="s">
        <v>542</v>
      </c>
      <c r="E190" s="7" t="s">
        <v>35</v>
      </c>
      <c r="F190" s="7"/>
      <c r="G190" s="7"/>
      <c r="H190" s="49"/>
      <c r="I190" s="7"/>
      <c r="J190" s="7"/>
      <c r="K190" s="59" t="str">
        <f t="shared" si="16"/>
        <v>0</v>
      </c>
      <c r="L190" s="49">
        <v>1</v>
      </c>
      <c r="M190" s="49">
        <v>2</v>
      </c>
      <c r="N190" s="49">
        <v>1</v>
      </c>
      <c r="O190" s="49"/>
      <c r="P190" s="49">
        <v>1</v>
      </c>
      <c r="Q190" s="59">
        <f t="shared" si="17"/>
        <v>1.25</v>
      </c>
      <c r="R190" s="49">
        <v>2</v>
      </c>
      <c r="S190" s="49"/>
      <c r="T190" s="7"/>
      <c r="U190" s="49"/>
      <c r="V190" s="7"/>
      <c r="W190" s="59">
        <f t="shared" si="18"/>
        <v>2</v>
      </c>
      <c r="X190" s="49"/>
      <c r="Y190" s="49"/>
      <c r="Z190" s="7"/>
      <c r="AA190" s="7"/>
      <c r="AB190" s="7"/>
      <c r="AC190" s="59" t="str">
        <f t="shared" si="19"/>
        <v>0</v>
      </c>
      <c r="AD190" s="49"/>
      <c r="AE190" s="7"/>
      <c r="AF190" s="49"/>
      <c r="AG190" s="7"/>
      <c r="AH190" s="7"/>
      <c r="AI190" s="59" t="str">
        <f t="shared" si="20"/>
        <v>0</v>
      </c>
      <c r="AJ190" s="49"/>
      <c r="AK190" s="49"/>
      <c r="AL190" s="7"/>
      <c r="AM190" s="49"/>
      <c r="AN190" s="7"/>
      <c r="AO190" s="59" t="str">
        <f t="shared" si="21"/>
        <v>0</v>
      </c>
      <c r="AP190" s="49"/>
      <c r="AQ190" s="49"/>
      <c r="AR190" s="49"/>
      <c r="AS190" s="7"/>
      <c r="AT190" s="7"/>
      <c r="AU190" s="59" t="str">
        <f t="shared" si="22"/>
        <v>0</v>
      </c>
      <c r="AV190" s="7"/>
      <c r="AW190" s="7"/>
      <c r="AX190" s="49"/>
      <c r="AY190" s="49"/>
      <c r="AZ190" s="49"/>
      <c r="BA190" s="59" t="str">
        <f t="shared" si="23"/>
        <v>0</v>
      </c>
    </row>
    <row r="191" spans="1:53" ht="23.1" customHeight="1" x14ac:dyDescent="0.3">
      <c r="A191" s="49">
        <v>189</v>
      </c>
      <c r="B191" s="49" t="s">
        <v>414</v>
      </c>
      <c r="C191" s="49" t="s">
        <v>415</v>
      </c>
      <c r="D191" s="49" t="s">
        <v>450</v>
      </c>
      <c r="E191" s="49" t="s">
        <v>493</v>
      </c>
      <c r="F191" s="49"/>
      <c r="G191" s="49"/>
      <c r="H191" s="49"/>
      <c r="I191" s="49"/>
      <c r="J191" s="49"/>
      <c r="K191" s="59" t="str">
        <f t="shared" si="16"/>
        <v>0</v>
      </c>
      <c r="L191" s="49">
        <v>2</v>
      </c>
      <c r="M191" s="49">
        <v>3</v>
      </c>
      <c r="N191" s="49">
        <v>2</v>
      </c>
      <c r="O191" s="49"/>
      <c r="P191" s="49">
        <v>2</v>
      </c>
      <c r="Q191" s="59">
        <f t="shared" si="17"/>
        <v>2.25</v>
      </c>
      <c r="R191" s="49">
        <v>2</v>
      </c>
      <c r="S191" s="49"/>
      <c r="T191" s="49"/>
      <c r="U191" s="49"/>
      <c r="V191" s="49"/>
      <c r="W191" s="59">
        <f t="shared" si="18"/>
        <v>2</v>
      </c>
      <c r="X191" s="49"/>
      <c r="Y191" s="49"/>
      <c r="Z191" s="49"/>
      <c r="AA191" s="49"/>
      <c r="AB191" s="49"/>
      <c r="AC191" s="59" t="str">
        <f t="shared" si="19"/>
        <v>0</v>
      </c>
      <c r="AD191" s="49"/>
      <c r="AE191" s="49"/>
      <c r="AF191" s="49"/>
      <c r="AG191" s="49"/>
      <c r="AH191" s="49"/>
      <c r="AI191" s="59" t="str">
        <f t="shared" si="20"/>
        <v>0</v>
      </c>
      <c r="AJ191" s="49"/>
      <c r="AK191" s="49"/>
      <c r="AL191" s="49"/>
      <c r="AM191" s="49"/>
      <c r="AN191" s="49"/>
      <c r="AO191" s="59" t="str">
        <f t="shared" si="21"/>
        <v>0</v>
      </c>
      <c r="AP191" s="49"/>
      <c r="AQ191" s="49"/>
      <c r="AR191" s="49"/>
      <c r="AS191" s="49"/>
      <c r="AT191" s="49"/>
      <c r="AU191" s="59" t="str">
        <f t="shared" si="22"/>
        <v>0</v>
      </c>
      <c r="AV191" s="49"/>
      <c r="AW191" s="49"/>
      <c r="AX191" s="49"/>
      <c r="AY191" s="49"/>
      <c r="AZ191" s="49"/>
      <c r="BA191" s="59" t="str">
        <f t="shared" si="23"/>
        <v>0</v>
      </c>
    </row>
    <row r="192" spans="1:53" ht="23.1" customHeight="1" x14ac:dyDescent="0.3">
      <c r="A192" s="7">
        <v>190</v>
      </c>
      <c r="B192" s="7" t="s">
        <v>416</v>
      </c>
      <c r="C192" s="7" t="s">
        <v>417</v>
      </c>
      <c r="D192" s="7" t="s">
        <v>542</v>
      </c>
      <c r="E192" s="7" t="s">
        <v>289</v>
      </c>
      <c r="F192" s="7"/>
      <c r="G192" s="7"/>
      <c r="H192" s="49"/>
      <c r="I192" s="7"/>
      <c r="J192" s="7"/>
      <c r="K192" s="59" t="str">
        <f t="shared" si="16"/>
        <v>0</v>
      </c>
      <c r="L192" s="49">
        <v>2.5</v>
      </c>
      <c r="M192" s="49">
        <v>2</v>
      </c>
      <c r="N192" s="49">
        <v>2</v>
      </c>
      <c r="O192" s="49"/>
      <c r="P192" s="49">
        <v>2</v>
      </c>
      <c r="Q192" s="59">
        <f t="shared" si="17"/>
        <v>2.125</v>
      </c>
      <c r="R192" s="49">
        <v>2.5</v>
      </c>
      <c r="S192" s="49"/>
      <c r="T192" s="7"/>
      <c r="U192" s="49"/>
      <c r="V192" s="7"/>
      <c r="W192" s="59">
        <f t="shared" si="18"/>
        <v>2.5</v>
      </c>
      <c r="X192" s="49"/>
      <c r="Y192" s="49"/>
      <c r="Z192" s="7"/>
      <c r="AA192" s="7"/>
      <c r="AB192" s="7"/>
      <c r="AC192" s="59" t="str">
        <f t="shared" si="19"/>
        <v>0</v>
      </c>
      <c r="AD192" s="49"/>
      <c r="AE192" s="7"/>
      <c r="AF192" s="49"/>
      <c r="AG192" s="7"/>
      <c r="AH192" s="7"/>
      <c r="AI192" s="59" t="str">
        <f t="shared" si="20"/>
        <v>0</v>
      </c>
      <c r="AJ192" s="49"/>
      <c r="AK192" s="49"/>
      <c r="AL192" s="7"/>
      <c r="AM192" s="49"/>
      <c r="AN192" s="7"/>
      <c r="AO192" s="59" t="str">
        <f t="shared" si="21"/>
        <v>0</v>
      </c>
      <c r="AP192" s="49"/>
      <c r="AQ192" s="49"/>
      <c r="AR192" s="49"/>
      <c r="AS192" s="7"/>
      <c r="AT192" s="7"/>
      <c r="AU192" s="59" t="str">
        <f t="shared" si="22"/>
        <v>0</v>
      </c>
      <c r="AV192" s="7"/>
      <c r="AW192" s="7"/>
      <c r="AX192" s="49"/>
      <c r="AY192" s="49"/>
      <c r="AZ192" s="49"/>
      <c r="BA192" s="59" t="str">
        <f t="shared" si="23"/>
        <v>0</v>
      </c>
    </row>
    <row r="193" spans="1:53" ht="23.1" customHeight="1" x14ac:dyDescent="0.3">
      <c r="A193" s="49">
        <v>191</v>
      </c>
      <c r="B193" s="49" t="s">
        <v>418</v>
      </c>
      <c r="C193" s="49" t="s">
        <v>419</v>
      </c>
      <c r="D193" s="49" t="s">
        <v>450</v>
      </c>
      <c r="E193" s="49" t="s">
        <v>493</v>
      </c>
      <c r="F193" s="49"/>
      <c r="G193" s="49"/>
      <c r="H193" s="49"/>
      <c r="I193" s="49"/>
      <c r="J193" s="49"/>
      <c r="K193" s="59" t="str">
        <f t="shared" si="16"/>
        <v>0</v>
      </c>
      <c r="L193" s="49">
        <v>2</v>
      </c>
      <c r="M193" s="49">
        <v>3</v>
      </c>
      <c r="N193" s="49">
        <v>3</v>
      </c>
      <c r="O193" s="49"/>
      <c r="P193" s="49">
        <v>1</v>
      </c>
      <c r="Q193" s="59">
        <f t="shared" si="17"/>
        <v>2.25</v>
      </c>
      <c r="R193" s="49">
        <v>2</v>
      </c>
      <c r="S193" s="49"/>
      <c r="T193" s="49"/>
      <c r="U193" s="49"/>
      <c r="V193" s="49"/>
      <c r="W193" s="59">
        <f t="shared" si="18"/>
        <v>2</v>
      </c>
      <c r="X193" s="49"/>
      <c r="Y193" s="49"/>
      <c r="Z193" s="49"/>
      <c r="AA193" s="49"/>
      <c r="AB193" s="49"/>
      <c r="AC193" s="59" t="str">
        <f t="shared" si="19"/>
        <v>0</v>
      </c>
      <c r="AD193" s="49"/>
      <c r="AE193" s="49"/>
      <c r="AF193" s="49"/>
      <c r="AG193" s="49"/>
      <c r="AH193" s="49"/>
      <c r="AI193" s="59" t="str">
        <f t="shared" si="20"/>
        <v>0</v>
      </c>
      <c r="AJ193" s="49"/>
      <c r="AK193" s="49"/>
      <c r="AL193" s="49"/>
      <c r="AM193" s="49"/>
      <c r="AN193" s="49"/>
      <c r="AO193" s="59" t="str">
        <f t="shared" si="21"/>
        <v>0</v>
      </c>
      <c r="AP193" s="49"/>
      <c r="AQ193" s="49"/>
      <c r="AR193" s="49"/>
      <c r="AS193" s="49"/>
      <c r="AT193" s="49"/>
      <c r="AU193" s="59" t="str">
        <f t="shared" si="22"/>
        <v>0</v>
      </c>
      <c r="AV193" s="49"/>
      <c r="AW193" s="49"/>
      <c r="AX193" s="49"/>
      <c r="AY193" s="49"/>
      <c r="AZ193" s="49"/>
      <c r="BA193" s="59" t="str">
        <f t="shared" si="23"/>
        <v>0</v>
      </c>
    </row>
    <row r="194" spans="1:53" ht="23.1" customHeight="1" x14ac:dyDescent="0.3">
      <c r="A194" s="7">
        <v>192</v>
      </c>
      <c r="B194" s="7" t="s">
        <v>420</v>
      </c>
      <c r="C194" s="7" t="s">
        <v>421</v>
      </c>
      <c r="D194" s="7" t="s">
        <v>450</v>
      </c>
      <c r="E194" s="7" t="s">
        <v>493</v>
      </c>
      <c r="F194" s="7"/>
      <c r="G194" s="7"/>
      <c r="H194" s="49"/>
      <c r="I194" s="7"/>
      <c r="J194" s="7"/>
      <c r="K194" s="59" t="str">
        <f t="shared" si="16"/>
        <v>0</v>
      </c>
      <c r="L194" s="49">
        <v>2.5</v>
      </c>
      <c r="M194" s="49">
        <v>2</v>
      </c>
      <c r="N194" s="49">
        <v>2</v>
      </c>
      <c r="O194" s="49"/>
      <c r="P194" s="49">
        <v>2</v>
      </c>
      <c r="Q194" s="59">
        <f t="shared" si="17"/>
        <v>2.125</v>
      </c>
      <c r="R194" s="49">
        <v>2.5</v>
      </c>
      <c r="S194" s="49"/>
      <c r="T194" s="7"/>
      <c r="U194" s="49"/>
      <c r="V194" s="7"/>
      <c r="W194" s="59">
        <f t="shared" si="18"/>
        <v>2.5</v>
      </c>
      <c r="X194" s="49"/>
      <c r="Y194" s="49"/>
      <c r="Z194" s="7"/>
      <c r="AA194" s="7"/>
      <c r="AB194" s="7"/>
      <c r="AC194" s="59" t="str">
        <f t="shared" si="19"/>
        <v>0</v>
      </c>
      <c r="AD194" s="49"/>
      <c r="AE194" s="7"/>
      <c r="AF194" s="49"/>
      <c r="AG194" s="7"/>
      <c r="AH194" s="7"/>
      <c r="AI194" s="59" t="str">
        <f t="shared" si="20"/>
        <v>0</v>
      </c>
      <c r="AJ194" s="49"/>
      <c r="AK194" s="49"/>
      <c r="AL194" s="7"/>
      <c r="AM194" s="49"/>
      <c r="AN194" s="7"/>
      <c r="AO194" s="59" t="str">
        <f t="shared" si="21"/>
        <v>0</v>
      </c>
      <c r="AP194" s="49"/>
      <c r="AQ194" s="49"/>
      <c r="AR194" s="49"/>
      <c r="AS194" s="7"/>
      <c r="AT194" s="7"/>
      <c r="AU194" s="59" t="str">
        <f t="shared" si="22"/>
        <v>0</v>
      </c>
      <c r="AV194" s="7"/>
      <c r="AW194" s="7"/>
      <c r="AX194" s="49"/>
      <c r="AY194" s="49"/>
      <c r="AZ194" s="49"/>
      <c r="BA194" s="59" t="str">
        <f t="shared" si="23"/>
        <v>0</v>
      </c>
    </row>
    <row r="195" spans="1:53" ht="23.1" customHeight="1" x14ac:dyDescent="0.3">
      <c r="A195" s="49">
        <v>193</v>
      </c>
      <c r="B195" s="49" t="s">
        <v>422</v>
      </c>
      <c r="C195" s="49" t="s">
        <v>423</v>
      </c>
      <c r="D195" s="49" t="s">
        <v>450</v>
      </c>
      <c r="E195" s="49" t="s">
        <v>493</v>
      </c>
      <c r="F195" s="49"/>
      <c r="G195" s="49"/>
      <c r="H195" s="49"/>
      <c r="I195" s="49"/>
      <c r="J195" s="49"/>
      <c r="K195" s="59" t="str">
        <f t="shared" si="16"/>
        <v>0</v>
      </c>
      <c r="L195" s="49">
        <v>3</v>
      </c>
      <c r="M195" s="49">
        <v>2</v>
      </c>
      <c r="N195" s="49">
        <v>3</v>
      </c>
      <c r="O195" s="49"/>
      <c r="P195" s="49">
        <v>3</v>
      </c>
      <c r="Q195" s="59">
        <f t="shared" si="17"/>
        <v>2.75</v>
      </c>
      <c r="R195" s="49">
        <v>3</v>
      </c>
      <c r="S195" s="49"/>
      <c r="T195" s="49"/>
      <c r="U195" s="49"/>
      <c r="V195" s="49"/>
      <c r="W195" s="59">
        <f t="shared" si="18"/>
        <v>3</v>
      </c>
      <c r="X195" s="49"/>
      <c r="Y195" s="49"/>
      <c r="Z195" s="49"/>
      <c r="AA195" s="49"/>
      <c r="AB195" s="49"/>
      <c r="AC195" s="59" t="str">
        <f t="shared" si="19"/>
        <v>0</v>
      </c>
      <c r="AD195" s="49"/>
      <c r="AE195" s="49"/>
      <c r="AF195" s="49"/>
      <c r="AG195" s="49"/>
      <c r="AH195" s="49"/>
      <c r="AI195" s="59" t="str">
        <f t="shared" si="20"/>
        <v>0</v>
      </c>
      <c r="AJ195" s="49"/>
      <c r="AK195" s="49"/>
      <c r="AL195" s="49"/>
      <c r="AM195" s="49"/>
      <c r="AN195" s="49"/>
      <c r="AO195" s="59" t="str">
        <f t="shared" si="21"/>
        <v>0</v>
      </c>
      <c r="AP195" s="49"/>
      <c r="AQ195" s="49"/>
      <c r="AR195" s="49"/>
      <c r="AS195" s="49"/>
      <c r="AT195" s="49"/>
      <c r="AU195" s="59" t="str">
        <f t="shared" si="22"/>
        <v>0</v>
      </c>
      <c r="AV195" s="49"/>
      <c r="AW195" s="49"/>
      <c r="AX195" s="49"/>
      <c r="AY195" s="49"/>
      <c r="AZ195" s="49"/>
      <c r="BA195" s="59" t="str">
        <f t="shared" si="23"/>
        <v>0</v>
      </c>
    </row>
    <row r="196" spans="1:53" ht="23.1" customHeight="1" x14ac:dyDescent="0.3">
      <c r="A196" s="7">
        <v>194</v>
      </c>
      <c r="B196" s="7" t="s">
        <v>424</v>
      </c>
      <c r="C196" s="7" t="s">
        <v>425</v>
      </c>
      <c r="D196" s="7" t="s">
        <v>450</v>
      </c>
      <c r="E196" s="7" t="s">
        <v>493</v>
      </c>
      <c r="F196" s="7"/>
      <c r="G196" s="7"/>
      <c r="H196" s="49"/>
      <c r="I196" s="7"/>
      <c r="J196" s="7"/>
      <c r="K196" s="59" t="str">
        <f t="shared" ref="K196:K230" si="24">IFERROR(AVERAGE(F196,G196,H196,I196,J196),"0")</f>
        <v>0</v>
      </c>
      <c r="L196" s="49">
        <v>3</v>
      </c>
      <c r="M196" s="49">
        <v>4</v>
      </c>
      <c r="N196" s="49">
        <v>4</v>
      </c>
      <c r="O196" s="49"/>
      <c r="P196" s="49">
        <v>4</v>
      </c>
      <c r="Q196" s="59">
        <f t="shared" ref="Q196:Q230" si="25">IFERROR(AVERAGE(L196,M196,N196,O196,P196),"0")</f>
        <v>3.75</v>
      </c>
      <c r="R196" s="49">
        <v>2</v>
      </c>
      <c r="S196" s="49"/>
      <c r="T196" s="7"/>
      <c r="U196" s="49"/>
      <c r="V196" s="7"/>
      <c r="W196" s="59">
        <f t="shared" ref="W196:W230" si="26">IFERROR(AVERAGE(R196,S196,T196,U196,V196),"0")</f>
        <v>2</v>
      </c>
      <c r="X196" s="49"/>
      <c r="Y196" s="49"/>
      <c r="Z196" s="7"/>
      <c r="AA196" s="7"/>
      <c r="AB196" s="7"/>
      <c r="AC196" s="59" t="str">
        <f t="shared" ref="AC196:AC230" si="27">IFERROR(AVERAGE(X196,Y196,Z196,AA196,AB196),"0")</f>
        <v>0</v>
      </c>
      <c r="AD196" s="49"/>
      <c r="AE196" s="7"/>
      <c r="AF196" s="49"/>
      <c r="AG196" s="7"/>
      <c r="AH196" s="7"/>
      <c r="AI196" s="59" t="str">
        <f t="shared" ref="AI196:AI230" si="28">IFERROR(AVERAGE(AD196,AE196,AF196,AG196,AH196),"0")</f>
        <v>0</v>
      </c>
      <c r="AJ196" s="49"/>
      <c r="AK196" s="49"/>
      <c r="AL196" s="7"/>
      <c r="AM196" s="49"/>
      <c r="AN196" s="7"/>
      <c r="AO196" s="59" t="str">
        <f t="shared" ref="AO196:AO230" si="29">IFERROR(AVERAGE(AJ196,AK196,AL196,AM196,AN196),"0")</f>
        <v>0</v>
      </c>
      <c r="AP196" s="49"/>
      <c r="AQ196" s="49"/>
      <c r="AR196" s="49"/>
      <c r="AS196" s="7"/>
      <c r="AT196" s="7"/>
      <c r="AU196" s="59" t="str">
        <f t="shared" ref="AU196:AU230" si="30">IFERROR(AVERAGE(AP196,AQ196,AR196,AS196,AT196),"0")</f>
        <v>0</v>
      </c>
      <c r="AV196" s="7"/>
      <c r="AW196" s="7"/>
      <c r="AX196" s="49"/>
      <c r="AY196" s="49"/>
      <c r="AZ196" s="49"/>
      <c r="BA196" s="59" t="str">
        <f t="shared" ref="BA196:BA230" si="31">IFERROR(AVERAGE(AV196,AW196,AX196,AY196,AZ196),"0")</f>
        <v>0</v>
      </c>
    </row>
    <row r="197" spans="1:53" ht="23.1" customHeight="1" x14ac:dyDescent="0.3">
      <c r="A197" s="49">
        <v>195</v>
      </c>
      <c r="B197" s="49" t="s">
        <v>426</v>
      </c>
      <c r="C197" s="49" t="s">
        <v>427</v>
      </c>
      <c r="D197" s="49" t="s">
        <v>450</v>
      </c>
      <c r="E197" s="49" t="s">
        <v>289</v>
      </c>
      <c r="F197" s="49"/>
      <c r="G197" s="49"/>
      <c r="H197" s="49"/>
      <c r="I197" s="49"/>
      <c r="J197" s="49"/>
      <c r="K197" s="59" t="str">
        <f t="shared" si="24"/>
        <v>0</v>
      </c>
      <c r="L197" s="49">
        <v>1</v>
      </c>
      <c r="M197" s="49">
        <v>2</v>
      </c>
      <c r="N197" s="49">
        <v>2</v>
      </c>
      <c r="O197" s="49"/>
      <c r="P197" s="49">
        <v>1</v>
      </c>
      <c r="Q197" s="59">
        <f t="shared" si="25"/>
        <v>1.5</v>
      </c>
      <c r="R197" s="49">
        <v>1</v>
      </c>
      <c r="S197" s="49"/>
      <c r="T197" s="49"/>
      <c r="U197" s="49"/>
      <c r="V197" s="49"/>
      <c r="W197" s="59">
        <f t="shared" si="26"/>
        <v>1</v>
      </c>
      <c r="X197" s="49"/>
      <c r="Y197" s="49"/>
      <c r="Z197" s="49"/>
      <c r="AA197" s="49"/>
      <c r="AB197" s="49"/>
      <c r="AC197" s="59" t="str">
        <f t="shared" si="27"/>
        <v>0</v>
      </c>
      <c r="AD197" s="49"/>
      <c r="AE197" s="49"/>
      <c r="AF197" s="49"/>
      <c r="AG197" s="49"/>
      <c r="AH197" s="49"/>
      <c r="AI197" s="59" t="str">
        <f t="shared" si="28"/>
        <v>0</v>
      </c>
      <c r="AJ197" s="49"/>
      <c r="AK197" s="49"/>
      <c r="AL197" s="49"/>
      <c r="AM197" s="49"/>
      <c r="AN197" s="49"/>
      <c r="AO197" s="59" t="str">
        <f t="shared" si="29"/>
        <v>0</v>
      </c>
      <c r="AP197" s="49"/>
      <c r="AQ197" s="49"/>
      <c r="AR197" s="49"/>
      <c r="AS197" s="49"/>
      <c r="AT197" s="49"/>
      <c r="AU197" s="59" t="str">
        <f t="shared" si="30"/>
        <v>0</v>
      </c>
      <c r="AV197" s="49"/>
      <c r="AW197" s="49"/>
      <c r="AX197" s="49"/>
      <c r="AY197" s="49"/>
      <c r="AZ197" s="49"/>
      <c r="BA197" s="59" t="str">
        <f t="shared" si="31"/>
        <v>0</v>
      </c>
    </row>
    <row r="198" spans="1:53" ht="23.1" customHeight="1" x14ac:dyDescent="0.3">
      <c r="A198" s="7">
        <v>196</v>
      </c>
      <c r="B198" s="7" t="s">
        <v>428</v>
      </c>
      <c r="C198" s="7" t="s">
        <v>429</v>
      </c>
      <c r="D198" s="7" t="s">
        <v>450</v>
      </c>
      <c r="E198" s="7" t="s">
        <v>493</v>
      </c>
      <c r="F198" s="7"/>
      <c r="G198" s="7"/>
      <c r="H198" s="49"/>
      <c r="I198" s="7"/>
      <c r="J198" s="7"/>
      <c r="K198" s="59" t="str">
        <f t="shared" si="24"/>
        <v>0</v>
      </c>
      <c r="L198" s="49">
        <v>3</v>
      </c>
      <c r="M198" s="49">
        <v>3</v>
      </c>
      <c r="N198" s="49">
        <v>3</v>
      </c>
      <c r="O198" s="49"/>
      <c r="P198" s="49">
        <v>2</v>
      </c>
      <c r="Q198" s="59">
        <f t="shared" si="25"/>
        <v>2.75</v>
      </c>
      <c r="R198" s="49">
        <v>2</v>
      </c>
      <c r="S198" s="49"/>
      <c r="T198" s="7"/>
      <c r="U198" s="49"/>
      <c r="V198" s="7"/>
      <c r="W198" s="59">
        <f t="shared" si="26"/>
        <v>2</v>
      </c>
      <c r="X198" s="49"/>
      <c r="Y198" s="49"/>
      <c r="Z198" s="7"/>
      <c r="AA198" s="7"/>
      <c r="AB198" s="7"/>
      <c r="AC198" s="59" t="str">
        <f t="shared" si="27"/>
        <v>0</v>
      </c>
      <c r="AD198" s="49"/>
      <c r="AE198" s="7"/>
      <c r="AF198" s="49"/>
      <c r="AG198" s="7"/>
      <c r="AH198" s="7"/>
      <c r="AI198" s="59" t="str">
        <f t="shared" si="28"/>
        <v>0</v>
      </c>
      <c r="AJ198" s="49"/>
      <c r="AK198" s="49"/>
      <c r="AL198" s="7"/>
      <c r="AM198" s="49"/>
      <c r="AN198" s="7"/>
      <c r="AO198" s="59" t="str">
        <f t="shared" si="29"/>
        <v>0</v>
      </c>
      <c r="AP198" s="49"/>
      <c r="AQ198" s="49"/>
      <c r="AR198" s="49"/>
      <c r="AS198" s="7"/>
      <c r="AT198" s="7"/>
      <c r="AU198" s="59" t="str">
        <f t="shared" si="30"/>
        <v>0</v>
      </c>
      <c r="AV198" s="7"/>
      <c r="AW198" s="7"/>
      <c r="AX198" s="49"/>
      <c r="AY198" s="49"/>
      <c r="AZ198" s="49"/>
      <c r="BA198" s="59" t="str">
        <f t="shared" si="31"/>
        <v>0</v>
      </c>
    </row>
    <row r="199" spans="1:53" ht="23.1" customHeight="1" x14ac:dyDescent="0.3">
      <c r="A199" s="49">
        <v>197</v>
      </c>
      <c r="B199" s="49" t="s">
        <v>430</v>
      </c>
      <c r="C199" s="49" t="s">
        <v>431</v>
      </c>
      <c r="D199" s="49" t="s">
        <v>542</v>
      </c>
      <c r="E199" s="49" t="s">
        <v>493</v>
      </c>
      <c r="F199" s="49"/>
      <c r="G199" s="49"/>
      <c r="H199" s="49"/>
      <c r="I199" s="49"/>
      <c r="J199" s="49"/>
      <c r="K199" s="59" t="str">
        <f t="shared" si="24"/>
        <v>0</v>
      </c>
      <c r="L199" s="49">
        <v>0</v>
      </c>
      <c r="M199" s="49">
        <v>0</v>
      </c>
      <c r="N199" s="49">
        <v>0</v>
      </c>
      <c r="O199" s="49"/>
      <c r="P199" s="49">
        <v>3</v>
      </c>
      <c r="Q199" s="59">
        <f t="shared" si="25"/>
        <v>0.75</v>
      </c>
      <c r="R199" s="49">
        <v>0</v>
      </c>
      <c r="S199" s="49"/>
      <c r="T199" s="49"/>
      <c r="U199" s="49"/>
      <c r="V199" s="49"/>
      <c r="W199" s="59">
        <f t="shared" si="26"/>
        <v>0</v>
      </c>
      <c r="X199" s="49"/>
      <c r="Y199" s="49"/>
      <c r="Z199" s="49"/>
      <c r="AA199" s="49"/>
      <c r="AB199" s="49"/>
      <c r="AC199" s="59" t="str">
        <f t="shared" si="27"/>
        <v>0</v>
      </c>
      <c r="AD199" s="49"/>
      <c r="AE199" s="49"/>
      <c r="AF199" s="49"/>
      <c r="AG199" s="49"/>
      <c r="AH199" s="49"/>
      <c r="AI199" s="59" t="str">
        <f t="shared" si="28"/>
        <v>0</v>
      </c>
      <c r="AJ199" s="49"/>
      <c r="AK199" s="49"/>
      <c r="AL199" s="49"/>
      <c r="AM199" s="49"/>
      <c r="AN199" s="49"/>
      <c r="AO199" s="59" t="str">
        <f t="shared" si="29"/>
        <v>0</v>
      </c>
      <c r="AP199" s="49"/>
      <c r="AQ199" s="49"/>
      <c r="AR199" s="49"/>
      <c r="AS199" s="49"/>
      <c r="AT199" s="49"/>
      <c r="AU199" s="59" t="str">
        <f t="shared" si="30"/>
        <v>0</v>
      </c>
      <c r="AV199" s="49"/>
      <c r="AW199" s="49"/>
      <c r="AX199" s="49"/>
      <c r="AY199" s="49"/>
      <c r="AZ199" s="49"/>
      <c r="BA199" s="59" t="str">
        <f t="shared" si="31"/>
        <v>0</v>
      </c>
    </row>
    <row r="200" spans="1:53" ht="23.1" customHeight="1" x14ac:dyDescent="0.3">
      <c r="A200" s="7">
        <v>198</v>
      </c>
      <c r="B200" s="7" t="s">
        <v>176</v>
      </c>
      <c r="C200" s="7" t="s">
        <v>177</v>
      </c>
      <c r="D200" s="7" t="s">
        <v>542</v>
      </c>
      <c r="E200" s="7" t="s">
        <v>161</v>
      </c>
      <c r="F200" s="7"/>
      <c r="G200" s="7"/>
      <c r="H200" s="49"/>
      <c r="I200" s="7"/>
      <c r="J200" s="7"/>
      <c r="K200" s="59" t="str">
        <f t="shared" si="24"/>
        <v>0</v>
      </c>
      <c r="L200" s="49">
        <v>3</v>
      </c>
      <c r="M200" s="49">
        <v>3</v>
      </c>
      <c r="N200" s="49">
        <v>3</v>
      </c>
      <c r="O200" s="49"/>
      <c r="P200" s="49">
        <v>3</v>
      </c>
      <c r="Q200" s="59">
        <f t="shared" si="25"/>
        <v>3</v>
      </c>
      <c r="R200" s="49">
        <v>3</v>
      </c>
      <c r="S200" s="49"/>
      <c r="T200" s="7"/>
      <c r="U200" s="49"/>
      <c r="V200" s="7"/>
      <c r="W200" s="59">
        <f t="shared" si="26"/>
        <v>3</v>
      </c>
      <c r="X200" s="49"/>
      <c r="Y200" s="49"/>
      <c r="Z200" s="7"/>
      <c r="AA200" s="7"/>
      <c r="AB200" s="7"/>
      <c r="AC200" s="59" t="str">
        <f t="shared" si="27"/>
        <v>0</v>
      </c>
      <c r="AD200" s="49"/>
      <c r="AE200" s="7"/>
      <c r="AF200" s="49"/>
      <c r="AG200" s="7"/>
      <c r="AH200" s="7"/>
      <c r="AI200" s="59" t="str">
        <f t="shared" si="28"/>
        <v>0</v>
      </c>
      <c r="AJ200" s="49"/>
      <c r="AK200" s="49"/>
      <c r="AL200" s="7"/>
      <c r="AM200" s="49"/>
      <c r="AN200" s="7"/>
      <c r="AO200" s="59" t="str">
        <f t="shared" si="29"/>
        <v>0</v>
      </c>
      <c r="AP200" s="49"/>
      <c r="AQ200" s="49"/>
      <c r="AR200" s="49"/>
      <c r="AS200" s="7"/>
      <c r="AT200" s="7"/>
      <c r="AU200" s="59" t="str">
        <f t="shared" si="30"/>
        <v>0</v>
      </c>
      <c r="AV200" s="7"/>
      <c r="AW200" s="7"/>
      <c r="AX200" s="49"/>
      <c r="AY200" s="49"/>
      <c r="AZ200" s="49"/>
      <c r="BA200" s="59" t="str">
        <f t="shared" si="31"/>
        <v>0</v>
      </c>
    </row>
    <row r="201" spans="1:53" ht="23.1" customHeight="1" x14ac:dyDescent="0.3">
      <c r="A201" s="49">
        <v>199</v>
      </c>
      <c r="B201" s="49" t="s">
        <v>432</v>
      </c>
      <c r="C201" s="49" t="s">
        <v>433</v>
      </c>
      <c r="D201" s="49" t="s">
        <v>542</v>
      </c>
      <c r="E201" s="49" t="s">
        <v>289</v>
      </c>
      <c r="F201" s="49"/>
      <c r="G201" s="49"/>
      <c r="H201" s="49"/>
      <c r="I201" s="49"/>
      <c r="J201" s="49"/>
      <c r="K201" s="59" t="str">
        <f t="shared" si="24"/>
        <v>0</v>
      </c>
      <c r="L201" s="49">
        <v>3</v>
      </c>
      <c r="M201" s="49">
        <v>3</v>
      </c>
      <c r="N201" s="49">
        <v>3</v>
      </c>
      <c r="O201" s="49"/>
      <c r="P201" s="49">
        <v>3</v>
      </c>
      <c r="Q201" s="59">
        <f t="shared" si="25"/>
        <v>3</v>
      </c>
      <c r="R201" s="49">
        <v>2</v>
      </c>
      <c r="S201" s="49"/>
      <c r="T201" s="49"/>
      <c r="U201" s="49"/>
      <c r="V201" s="49"/>
      <c r="W201" s="59">
        <f t="shared" si="26"/>
        <v>2</v>
      </c>
      <c r="X201" s="49"/>
      <c r="Y201" s="49"/>
      <c r="Z201" s="49"/>
      <c r="AA201" s="49"/>
      <c r="AB201" s="49"/>
      <c r="AC201" s="59" t="str">
        <f t="shared" si="27"/>
        <v>0</v>
      </c>
      <c r="AD201" s="49"/>
      <c r="AE201" s="49"/>
      <c r="AF201" s="49"/>
      <c r="AG201" s="49"/>
      <c r="AH201" s="49"/>
      <c r="AI201" s="59" t="str">
        <f t="shared" si="28"/>
        <v>0</v>
      </c>
      <c r="AJ201" s="49"/>
      <c r="AK201" s="49"/>
      <c r="AL201" s="49"/>
      <c r="AM201" s="49"/>
      <c r="AN201" s="49"/>
      <c r="AO201" s="59" t="str">
        <f t="shared" si="29"/>
        <v>0</v>
      </c>
      <c r="AP201" s="49"/>
      <c r="AQ201" s="49"/>
      <c r="AR201" s="49"/>
      <c r="AS201" s="49"/>
      <c r="AT201" s="49"/>
      <c r="AU201" s="59" t="str">
        <f t="shared" si="30"/>
        <v>0</v>
      </c>
      <c r="AV201" s="49"/>
      <c r="AW201" s="49"/>
      <c r="AX201" s="49"/>
      <c r="AY201" s="49"/>
      <c r="AZ201" s="49"/>
      <c r="BA201" s="59" t="str">
        <f t="shared" si="31"/>
        <v>0</v>
      </c>
    </row>
    <row r="202" spans="1:53" ht="23.1" customHeight="1" x14ac:dyDescent="0.3">
      <c r="A202" s="7">
        <v>200</v>
      </c>
      <c r="B202" s="7" t="s">
        <v>434</v>
      </c>
      <c r="C202" s="7" t="s">
        <v>435</v>
      </c>
      <c r="D202" s="7" t="s">
        <v>450</v>
      </c>
      <c r="E202" s="7" t="s">
        <v>493</v>
      </c>
      <c r="F202" s="7"/>
      <c r="G202" s="7"/>
      <c r="H202" s="49"/>
      <c r="I202" s="7"/>
      <c r="J202" s="7"/>
      <c r="K202" s="59" t="str">
        <f t="shared" si="24"/>
        <v>0</v>
      </c>
      <c r="L202" s="49">
        <v>3</v>
      </c>
      <c r="M202" s="49">
        <v>3</v>
      </c>
      <c r="N202" s="49">
        <v>3</v>
      </c>
      <c r="O202" s="49"/>
      <c r="P202" s="49">
        <v>2</v>
      </c>
      <c r="Q202" s="59">
        <f t="shared" si="25"/>
        <v>2.75</v>
      </c>
      <c r="R202" s="49">
        <v>3</v>
      </c>
      <c r="S202" s="49"/>
      <c r="T202" s="7"/>
      <c r="U202" s="49"/>
      <c r="V202" s="7"/>
      <c r="W202" s="59">
        <f t="shared" si="26"/>
        <v>3</v>
      </c>
      <c r="X202" s="49"/>
      <c r="Y202" s="49"/>
      <c r="Z202" s="7"/>
      <c r="AA202" s="7"/>
      <c r="AB202" s="7"/>
      <c r="AC202" s="59" t="str">
        <f t="shared" si="27"/>
        <v>0</v>
      </c>
      <c r="AD202" s="49"/>
      <c r="AE202" s="7"/>
      <c r="AF202" s="49"/>
      <c r="AG202" s="7"/>
      <c r="AH202" s="7"/>
      <c r="AI202" s="59" t="str">
        <f t="shared" si="28"/>
        <v>0</v>
      </c>
      <c r="AJ202" s="49"/>
      <c r="AK202" s="49"/>
      <c r="AL202" s="7"/>
      <c r="AM202" s="49"/>
      <c r="AN202" s="7"/>
      <c r="AO202" s="59" t="str">
        <f t="shared" si="29"/>
        <v>0</v>
      </c>
      <c r="AP202" s="49"/>
      <c r="AQ202" s="49"/>
      <c r="AR202" s="49"/>
      <c r="AS202" s="7"/>
      <c r="AT202" s="7"/>
      <c r="AU202" s="59" t="str">
        <f t="shared" si="30"/>
        <v>0</v>
      </c>
      <c r="AV202" s="7"/>
      <c r="AW202" s="7"/>
      <c r="AX202" s="49"/>
      <c r="AY202" s="49"/>
      <c r="AZ202" s="49"/>
      <c r="BA202" s="59" t="str">
        <f t="shared" si="31"/>
        <v>0</v>
      </c>
    </row>
    <row r="203" spans="1:53" ht="23.1" customHeight="1" x14ac:dyDescent="0.3">
      <c r="A203" s="49">
        <v>201</v>
      </c>
      <c r="B203" s="49" t="s">
        <v>436</v>
      </c>
      <c r="C203" s="49" t="s">
        <v>437</v>
      </c>
      <c r="D203" s="49" t="s">
        <v>450</v>
      </c>
      <c r="E203" s="49" t="s">
        <v>493</v>
      </c>
      <c r="F203" s="49"/>
      <c r="G203" s="49"/>
      <c r="H203" s="49"/>
      <c r="I203" s="49"/>
      <c r="J203" s="49"/>
      <c r="K203" s="59" t="str">
        <f t="shared" si="24"/>
        <v>0</v>
      </c>
      <c r="L203" s="49">
        <v>2</v>
      </c>
      <c r="M203" s="49">
        <v>2.5</v>
      </c>
      <c r="N203" s="49">
        <v>2</v>
      </c>
      <c r="O203" s="49"/>
      <c r="P203" s="49">
        <v>2</v>
      </c>
      <c r="Q203" s="59">
        <f t="shared" si="25"/>
        <v>2.125</v>
      </c>
      <c r="R203" s="49">
        <v>2</v>
      </c>
      <c r="S203" s="49"/>
      <c r="T203" s="49"/>
      <c r="U203" s="49"/>
      <c r="V203" s="49"/>
      <c r="W203" s="59">
        <f t="shared" si="26"/>
        <v>2</v>
      </c>
      <c r="X203" s="49"/>
      <c r="Y203" s="49"/>
      <c r="Z203" s="49"/>
      <c r="AA203" s="49"/>
      <c r="AB203" s="49"/>
      <c r="AC203" s="59" t="str">
        <f t="shared" si="27"/>
        <v>0</v>
      </c>
      <c r="AD203" s="49"/>
      <c r="AE203" s="49"/>
      <c r="AF203" s="49"/>
      <c r="AG203" s="49"/>
      <c r="AH203" s="49"/>
      <c r="AI203" s="59" t="str">
        <f t="shared" si="28"/>
        <v>0</v>
      </c>
      <c r="AJ203" s="49"/>
      <c r="AK203" s="49"/>
      <c r="AL203" s="49"/>
      <c r="AM203" s="49"/>
      <c r="AN203" s="49"/>
      <c r="AO203" s="59" t="str">
        <f t="shared" si="29"/>
        <v>0</v>
      </c>
      <c r="AP203" s="49"/>
      <c r="AQ203" s="49"/>
      <c r="AR203" s="49"/>
      <c r="AS203" s="49"/>
      <c r="AT203" s="49"/>
      <c r="AU203" s="59" t="str">
        <f t="shared" si="30"/>
        <v>0</v>
      </c>
      <c r="AV203" s="49"/>
      <c r="AW203" s="49"/>
      <c r="AX203" s="49"/>
      <c r="AY203" s="49"/>
      <c r="AZ203" s="49"/>
      <c r="BA203" s="59" t="str">
        <f t="shared" si="31"/>
        <v>0</v>
      </c>
    </row>
    <row r="204" spans="1:53" ht="23.1" customHeight="1" x14ac:dyDescent="0.3">
      <c r="A204" s="7">
        <v>202</v>
      </c>
      <c r="B204" s="7" t="s">
        <v>438</v>
      </c>
      <c r="C204" s="7" t="s">
        <v>439</v>
      </c>
      <c r="D204" s="7" t="s">
        <v>450</v>
      </c>
      <c r="E204" s="7" t="s">
        <v>289</v>
      </c>
      <c r="F204" s="7"/>
      <c r="G204" s="7"/>
      <c r="H204" s="49"/>
      <c r="I204" s="7"/>
      <c r="J204" s="7"/>
      <c r="K204" s="59" t="str">
        <f t="shared" si="24"/>
        <v>0</v>
      </c>
      <c r="L204" s="49">
        <v>1</v>
      </c>
      <c r="M204" s="49">
        <v>1</v>
      </c>
      <c r="N204" s="49">
        <v>1</v>
      </c>
      <c r="O204" s="49"/>
      <c r="P204" s="49">
        <v>2</v>
      </c>
      <c r="Q204" s="59">
        <f t="shared" si="25"/>
        <v>1.25</v>
      </c>
      <c r="R204" s="49">
        <v>1</v>
      </c>
      <c r="S204" s="49"/>
      <c r="T204" s="7"/>
      <c r="U204" s="49"/>
      <c r="V204" s="7"/>
      <c r="W204" s="59">
        <f t="shared" si="26"/>
        <v>1</v>
      </c>
      <c r="X204" s="49"/>
      <c r="Y204" s="49"/>
      <c r="Z204" s="7"/>
      <c r="AA204" s="7"/>
      <c r="AB204" s="7"/>
      <c r="AC204" s="59" t="str">
        <f t="shared" si="27"/>
        <v>0</v>
      </c>
      <c r="AD204" s="49"/>
      <c r="AE204" s="7"/>
      <c r="AF204" s="49"/>
      <c r="AG204" s="7"/>
      <c r="AH204" s="7"/>
      <c r="AI204" s="59" t="str">
        <f t="shared" si="28"/>
        <v>0</v>
      </c>
      <c r="AJ204" s="49"/>
      <c r="AK204" s="49"/>
      <c r="AL204" s="7"/>
      <c r="AM204" s="49"/>
      <c r="AN204" s="7"/>
      <c r="AO204" s="59" t="str">
        <f t="shared" si="29"/>
        <v>0</v>
      </c>
      <c r="AP204" s="49"/>
      <c r="AQ204" s="49"/>
      <c r="AR204" s="49"/>
      <c r="AS204" s="7"/>
      <c r="AT204" s="7"/>
      <c r="AU204" s="59" t="str">
        <f t="shared" si="30"/>
        <v>0</v>
      </c>
      <c r="AV204" s="7"/>
      <c r="AW204" s="7"/>
      <c r="AX204" s="49"/>
      <c r="AY204" s="49"/>
      <c r="AZ204" s="49"/>
      <c r="BA204" s="59" t="str">
        <f t="shared" si="31"/>
        <v>0</v>
      </c>
    </row>
    <row r="205" spans="1:53" ht="23.1" customHeight="1" x14ac:dyDescent="0.3">
      <c r="A205" s="49">
        <v>203</v>
      </c>
      <c r="B205" s="49" t="s">
        <v>440</v>
      </c>
      <c r="C205" s="49" t="s">
        <v>441</v>
      </c>
      <c r="D205" s="49" t="s">
        <v>450</v>
      </c>
      <c r="E205" s="49" t="s">
        <v>289</v>
      </c>
      <c r="F205" s="49"/>
      <c r="G205" s="49"/>
      <c r="H205" s="49"/>
      <c r="I205" s="49"/>
      <c r="J205" s="49"/>
      <c r="K205" s="59" t="str">
        <f t="shared" si="24"/>
        <v>0</v>
      </c>
      <c r="L205" s="49">
        <v>4</v>
      </c>
      <c r="M205" s="49">
        <v>3</v>
      </c>
      <c r="N205" s="49">
        <v>3</v>
      </c>
      <c r="O205" s="49"/>
      <c r="P205" s="49">
        <v>2</v>
      </c>
      <c r="Q205" s="59">
        <f t="shared" si="25"/>
        <v>3</v>
      </c>
      <c r="R205" s="49">
        <v>3</v>
      </c>
      <c r="S205" s="49"/>
      <c r="T205" s="49"/>
      <c r="U205" s="49"/>
      <c r="V205" s="49"/>
      <c r="W205" s="59">
        <f t="shared" si="26"/>
        <v>3</v>
      </c>
      <c r="X205" s="49"/>
      <c r="Y205" s="49"/>
      <c r="Z205" s="49"/>
      <c r="AA205" s="49"/>
      <c r="AB205" s="49"/>
      <c r="AC205" s="59" t="str">
        <f t="shared" si="27"/>
        <v>0</v>
      </c>
      <c r="AD205" s="49"/>
      <c r="AE205" s="49"/>
      <c r="AF205" s="49"/>
      <c r="AG205" s="49"/>
      <c r="AH205" s="49"/>
      <c r="AI205" s="59" t="str">
        <f t="shared" si="28"/>
        <v>0</v>
      </c>
      <c r="AJ205" s="49"/>
      <c r="AK205" s="49"/>
      <c r="AL205" s="49"/>
      <c r="AM205" s="49"/>
      <c r="AN205" s="49"/>
      <c r="AO205" s="59" t="str">
        <f t="shared" si="29"/>
        <v>0</v>
      </c>
      <c r="AP205" s="49"/>
      <c r="AQ205" s="49"/>
      <c r="AR205" s="49"/>
      <c r="AS205" s="49"/>
      <c r="AT205" s="49"/>
      <c r="AU205" s="59" t="str">
        <f t="shared" si="30"/>
        <v>0</v>
      </c>
      <c r="AV205" s="49"/>
      <c r="AW205" s="49"/>
      <c r="AX205" s="49"/>
      <c r="AY205" s="49"/>
      <c r="AZ205" s="49"/>
      <c r="BA205" s="59" t="str">
        <f t="shared" si="31"/>
        <v>0</v>
      </c>
    </row>
    <row r="206" spans="1:53" ht="23.1" customHeight="1" x14ac:dyDescent="0.3">
      <c r="A206" s="7">
        <v>204</v>
      </c>
      <c r="B206" s="7" t="s">
        <v>442</v>
      </c>
      <c r="C206" s="7" t="s">
        <v>443</v>
      </c>
      <c r="D206" s="7" t="s">
        <v>450</v>
      </c>
      <c r="E206" s="7" t="s">
        <v>289</v>
      </c>
      <c r="F206" s="7"/>
      <c r="G206" s="7"/>
      <c r="H206" s="49"/>
      <c r="I206" s="7"/>
      <c r="J206" s="7"/>
      <c r="K206" s="59" t="str">
        <f t="shared" si="24"/>
        <v>0</v>
      </c>
      <c r="L206" s="49">
        <v>1</v>
      </c>
      <c r="M206" s="49">
        <v>1</v>
      </c>
      <c r="N206" s="49">
        <v>1</v>
      </c>
      <c r="O206" s="49"/>
      <c r="P206" s="49">
        <v>2</v>
      </c>
      <c r="Q206" s="59">
        <f t="shared" si="25"/>
        <v>1.25</v>
      </c>
      <c r="R206" s="49">
        <v>1</v>
      </c>
      <c r="S206" s="49"/>
      <c r="T206" s="7"/>
      <c r="U206" s="49"/>
      <c r="V206" s="7"/>
      <c r="W206" s="59">
        <f t="shared" si="26"/>
        <v>1</v>
      </c>
      <c r="X206" s="49"/>
      <c r="Y206" s="49"/>
      <c r="Z206" s="7"/>
      <c r="AA206" s="7"/>
      <c r="AB206" s="7"/>
      <c r="AC206" s="59" t="str">
        <f t="shared" si="27"/>
        <v>0</v>
      </c>
      <c r="AD206" s="49"/>
      <c r="AE206" s="7"/>
      <c r="AF206" s="49"/>
      <c r="AG206" s="7"/>
      <c r="AH206" s="7"/>
      <c r="AI206" s="59" t="str">
        <f t="shared" si="28"/>
        <v>0</v>
      </c>
      <c r="AJ206" s="49"/>
      <c r="AK206" s="49"/>
      <c r="AL206" s="7"/>
      <c r="AM206" s="49"/>
      <c r="AN206" s="7"/>
      <c r="AO206" s="59" t="str">
        <f t="shared" si="29"/>
        <v>0</v>
      </c>
      <c r="AP206" s="49"/>
      <c r="AQ206" s="49"/>
      <c r="AR206" s="49"/>
      <c r="AS206" s="7"/>
      <c r="AT206" s="7"/>
      <c r="AU206" s="59" t="str">
        <f t="shared" si="30"/>
        <v>0</v>
      </c>
      <c r="AV206" s="7"/>
      <c r="AW206" s="7"/>
      <c r="AX206" s="49"/>
      <c r="AY206" s="49"/>
      <c r="AZ206" s="49"/>
      <c r="BA206" s="59" t="str">
        <f t="shared" si="31"/>
        <v>0</v>
      </c>
    </row>
    <row r="207" spans="1:53" ht="23.1" customHeight="1" x14ac:dyDescent="0.3">
      <c r="A207" s="49">
        <v>205</v>
      </c>
      <c r="B207" s="49" t="s">
        <v>444</v>
      </c>
      <c r="C207" s="49" t="s">
        <v>445</v>
      </c>
      <c r="D207" s="49" t="s">
        <v>450</v>
      </c>
      <c r="E207" s="49" t="s">
        <v>289</v>
      </c>
      <c r="F207" s="49"/>
      <c r="G207" s="49"/>
      <c r="H207" s="49"/>
      <c r="I207" s="49"/>
      <c r="J207" s="49"/>
      <c r="K207" s="59" t="str">
        <f t="shared" si="24"/>
        <v>0</v>
      </c>
      <c r="L207" s="49">
        <v>4</v>
      </c>
      <c r="M207" s="49">
        <v>4</v>
      </c>
      <c r="N207" s="49">
        <v>3</v>
      </c>
      <c r="O207" s="49"/>
      <c r="P207" s="49">
        <v>2</v>
      </c>
      <c r="Q207" s="59">
        <f t="shared" si="25"/>
        <v>3.25</v>
      </c>
      <c r="R207" s="49">
        <v>4</v>
      </c>
      <c r="S207" s="49"/>
      <c r="T207" s="49"/>
      <c r="U207" s="49"/>
      <c r="V207" s="49"/>
      <c r="W207" s="59">
        <f t="shared" si="26"/>
        <v>4</v>
      </c>
      <c r="X207" s="49"/>
      <c r="Y207" s="49"/>
      <c r="Z207" s="49"/>
      <c r="AA207" s="49"/>
      <c r="AB207" s="49"/>
      <c r="AC207" s="59" t="str">
        <f t="shared" si="27"/>
        <v>0</v>
      </c>
      <c r="AD207" s="49"/>
      <c r="AE207" s="49"/>
      <c r="AF207" s="49"/>
      <c r="AG207" s="49"/>
      <c r="AH207" s="49"/>
      <c r="AI207" s="59" t="str">
        <f t="shared" si="28"/>
        <v>0</v>
      </c>
      <c r="AJ207" s="49"/>
      <c r="AK207" s="49"/>
      <c r="AL207" s="49"/>
      <c r="AM207" s="49"/>
      <c r="AN207" s="49"/>
      <c r="AO207" s="59" t="str">
        <f t="shared" si="29"/>
        <v>0</v>
      </c>
      <c r="AP207" s="49"/>
      <c r="AQ207" s="49"/>
      <c r="AR207" s="49"/>
      <c r="AS207" s="49"/>
      <c r="AT207" s="49"/>
      <c r="AU207" s="59" t="str">
        <f t="shared" si="30"/>
        <v>0</v>
      </c>
      <c r="AV207" s="49"/>
      <c r="AW207" s="49"/>
      <c r="AX207" s="49"/>
      <c r="AY207" s="49"/>
      <c r="AZ207" s="49"/>
      <c r="BA207" s="59" t="str">
        <f t="shared" si="31"/>
        <v>0</v>
      </c>
    </row>
    <row r="208" spans="1:53" ht="23.1" customHeight="1" x14ac:dyDescent="0.3">
      <c r="A208" s="7">
        <v>206</v>
      </c>
      <c r="B208" s="7" t="s">
        <v>446</v>
      </c>
      <c r="C208" s="7" t="s">
        <v>447</v>
      </c>
      <c r="D208" s="7" t="s">
        <v>450</v>
      </c>
      <c r="E208" s="7" t="s">
        <v>289</v>
      </c>
      <c r="F208" s="7"/>
      <c r="G208" s="7"/>
      <c r="H208" s="49"/>
      <c r="I208" s="7"/>
      <c r="J208" s="7"/>
      <c r="K208" s="59" t="str">
        <f t="shared" si="24"/>
        <v>0</v>
      </c>
      <c r="L208" s="49">
        <v>0</v>
      </c>
      <c r="M208" s="49">
        <v>0</v>
      </c>
      <c r="N208" s="49">
        <v>0</v>
      </c>
      <c r="O208" s="49"/>
      <c r="P208" s="49">
        <v>2</v>
      </c>
      <c r="Q208" s="59">
        <f t="shared" si="25"/>
        <v>0.5</v>
      </c>
      <c r="R208" s="49">
        <v>0</v>
      </c>
      <c r="S208" s="49"/>
      <c r="T208" s="7"/>
      <c r="U208" s="49"/>
      <c r="V208" s="7"/>
      <c r="W208" s="59">
        <f t="shared" si="26"/>
        <v>0</v>
      </c>
      <c r="X208" s="49"/>
      <c r="Y208" s="49"/>
      <c r="Z208" s="7"/>
      <c r="AA208" s="7"/>
      <c r="AB208" s="7"/>
      <c r="AC208" s="59" t="str">
        <f t="shared" si="27"/>
        <v>0</v>
      </c>
      <c r="AD208" s="49"/>
      <c r="AE208" s="7"/>
      <c r="AF208" s="49"/>
      <c r="AG208" s="7"/>
      <c r="AH208" s="7"/>
      <c r="AI208" s="59" t="str">
        <f t="shared" si="28"/>
        <v>0</v>
      </c>
      <c r="AJ208" s="49"/>
      <c r="AK208" s="49"/>
      <c r="AL208" s="7"/>
      <c r="AM208" s="49"/>
      <c r="AN208" s="7"/>
      <c r="AO208" s="59" t="str">
        <f t="shared" si="29"/>
        <v>0</v>
      </c>
      <c r="AP208" s="49"/>
      <c r="AQ208" s="49"/>
      <c r="AR208" s="49"/>
      <c r="AS208" s="7"/>
      <c r="AT208" s="7"/>
      <c r="AU208" s="59" t="str">
        <f t="shared" si="30"/>
        <v>0</v>
      </c>
      <c r="AV208" s="7"/>
      <c r="AW208" s="7"/>
      <c r="AX208" s="49"/>
      <c r="AY208" s="49"/>
      <c r="AZ208" s="49"/>
      <c r="BA208" s="59" t="str">
        <f t="shared" si="31"/>
        <v>0</v>
      </c>
    </row>
    <row r="209" spans="1:53" ht="23.1" customHeight="1" x14ac:dyDescent="0.3">
      <c r="A209" s="49">
        <v>207</v>
      </c>
      <c r="B209" s="49" t="s">
        <v>448</v>
      </c>
      <c r="C209" s="49" t="s">
        <v>449</v>
      </c>
      <c r="D209" s="49" t="s">
        <v>450</v>
      </c>
      <c r="E209" s="49" t="s">
        <v>289</v>
      </c>
      <c r="F209" s="49"/>
      <c r="G209" s="49"/>
      <c r="H209" s="49"/>
      <c r="I209" s="49"/>
      <c r="J209" s="49"/>
      <c r="K209" s="59" t="str">
        <f t="shared" si="24"/>
        <v>0</v>
      </c>
      <c r="L209" s="49">
        <v>3</v>
      </c>
      <c r="M209" s="49">
        <v>2</v>
      </c>
      <c r="N209" s="49">
        <v>2</v>
      </c>
      <c r="O209" s="49"/>
      <c r="P209" s="49">
        <v>2</v>
      </c>
      <c r="Q209" s="59">
        <f t="shared" si="25"/>
        <v>2.25</v>
      </c>
      <c r="R209" s="49">
        <v>3</v>
      </c>
      <c r="S209" s="49"/>
      <c r="T209" s="49"/>
      <c r="U209" s="49"/>
      <c r="V209" s="49"/>
      <c r="W209" s="59">
        <f t="shared" si="26"/>
        <v>3</v>
      </c>
      <c r="X209" s="49"/>
      <c r="Y209" s="49"/>
      <c r="Z209" s="49"/>
      <c r="AA209" s="49"/>
      <c r="AB209" s="49"/>
      <c r="AC209" s="59" t="str">
        <f t="shared" si="27"/>
        <v>0</v>
      </c>
      <c r="AD209" s="49"/>
      <c r="AE209" s="49"/>
      <c r="AF209" s="49"/>
      <c r="AG209" s="49"/>
      <c r="AH209" s="49"/>
      <c r="AI209" s="59" t="str">
        <f t="shared" si="28"/>
        <v>0</v>
      </c>
      <c r="AJ209" s="49"/>
      <c r="AK209" s="49"/>
      <c r="AL209" s="49"/>
      <c r="AM209" s="49"/>
      <c r="AN209" s="49"/>
      <c r="AO209" s="59" t="str">
        <f t="shared" si="29"/>
        <v>0</v>
      </c>
      <c r="AP209" s="49"/>
      <c r="AQ209" s="49"/>
      <c r="AR209" s="49"/>
      <c r="AS209" s="49"/>
      <c r="AT209" s="49"/>
      <c r="AU209" s="59" t="str">
        <f t="shared" si="30"/>
        <v>0</v>
      </c>
      <c r="AV209" s="49"/>
      <c r="AW209" s="49"/>
      <c r="AX209" s="49"/>
      <c r="AY209" s="49"/>
      <c r="AZ209" s="49"/>
      <c r="BA209" s="59" t="str">
        <f t="shared" si="31"/>
        <v>0</v>
      </c>
    </row>
    <row r="210" spans="1:53" ht="23.1" customHeight="1" x14ac:dyDescent="0.3">
      <c r="A210" s="7">
        <v>208</v>
      </c>
      <c r="B210" s="7" t="s">
        <v>74</v>
      </c>
      <c r="C210" s="7" t="s">
        <v>494</v>
      </c>
      <c r="D210" s="7" t="s">
        <v>450</v>
      </c>
      <c r="E210" s="7" t="s">
        <v>289</v>
      </c>
      <c r="F210" s="7"/>
      <c r="G210" s="7"/>
      <c r="H210" s="49"/>
      <c r="I210" s="7"/>
      <c r="J210" s="7"/>
      <c r="K210" s="59" t="str">
        <f t="shared" si="24"/>
        <v>0</v>
      </c>
      <c r="L210" s="49">
        <v>4</v>
      </c>
      <c r="M210" s="49">
        <v>4</v>
      </c>
      <c r="N210" s="49">
        <v>3</v>
      </c>
      <c r="O210" s="49"/>
      <c r="P210" s="49">
        <v>4</v>
      </c>
      <c r="Q210" s="59">
        <f t="shared" si="25"/>
        <v>3.75</v>
      </c>
      <c r="R210" s="49">
        <v>4</v>
      </c>
      <c r="S210" s="49"/>
      <c r="T210" s="7"/>
      <c r="U210" s="49"/>
      <c r="V210" s="7"/>
      <c r="W210" s="59">
        <f t="shared" si="26"/>
        <v>4</v>
      </c>
      <c r="X210" s="49"/>
      <c r="Y210" s="49"/>
      <c r="Z210" s="7"/>
      <c r="AA210" s="7"/>
      <c r="AB210" s="7"/>
      <c r="AC210" s="59" t="str">
        <f t="shared" si="27"/>
        <v>0</v>
      </c>
      <c r="AD210" s="49"/>
      <c r="AE210" s="7"/>
      <c r="AF210" s="49"/>
      <c r="AG210" s="7"/>
      <c r="AH210" s="7"/>
      <c r="AI210" s="59" t="str">
        <f t="shared" si="28"/>
        <v>0</v>
      </c>
      <c r="AJ210" s="49"/>
      <c r="AK210" s="49"/>
      <c r="AL210" s="7"/>
      <c r="AM210" s="49"/>
      <c r="AN210" s="7"/>
      <c r="AO210" s="59" t="str">
        <f t="shared" si="29"/>
        <v>0</v>
      </c>
      <c r="AP210" s="49"/>
      <c r="AQ210" s="49"/>
      <c r="AR210" s="49"/>
      <c r="AS210" s="7"/>
      <c r="AT210" s="7"/>
      <c r="AU210" s="59" t="str">
        <f t="shared" si="30"/>
        <v>0</v>
      </c>
      <c r="AV210" s="7"/>
      <c r="AW210" s="7"/>
      <c r="AX210" s="49"/>
      <c r="AY210" s="49"/>
      <c r="AZ210" s="49"/>
      <c r="BA210" s="59" t="str">
        <f t="shared" si="31"/>
        <v>0</v>
      </c>
    </row>
    <row r="211" spans="1:53" ht="23.1" customHeight="1" x14ac:dyDescent="0.3">
      <c r="A211" s="49">
        <v>209</v>
      </c>
      <c r="B211" s="49" t="s">
        <v>451</v>
      </c>
      <c r="C211" s="49" t="s">
        <v>452</v>
      </c>
      <c r="D211" s="49" t="s">
        <v>450</v>
      </c>
      <c r="E211" s="49" t="s">
        <v>289</v>
      </c>
      <c r="F211" s="49"/>
      <c r="G211" s="49"/>
      <c r="H211" s="49"/>
      <c r="I211" s="49"/>
      <c r="J211" s="49"/>
      <c r="K211" s="59" t="str">
        <f t="shared" si="24"/>
        <v>0</v>
      </c>
      <c r="L211" s="49">
        <v>2</v>
      </c>
      <c r="M211" s="49">
        <v>2</v>
      </c>
      <c r="N211" s="49">
        <v>2</v>
      </c>
      <c r="O211" s="49"/>
      <c r="P211" s="49">
        <v>2</v>
      </c>
      <c r="Q211" s="59">
        <f t="shared" si="25"/>
        <v>2</v>
      </c>
      <c r="R211" s="49">
        <v>2</v>
      </c>
      <c r="S211" s="49"/>
      <c r="T211" s="49"/>
      <c r="U211" s="49"/>
      <c r="V211" s="49"/>
      <c r="W211" s="59">
        <f t="shared" si="26"/>
        <v>2</v>
      </c>
      <c r="X211" s="49"/>
      <c r="Y211" s="49"/>
      <c r="Z211" s="49"/>
      <c r="AA211" s="49"/>
      <c r="AB211" s="49"/>
      <c r="AC211" s="59" t="str">
        <f t="shared" si="27"/>
        <v>0</v>
      </c>
      <c r="AD211" s="49"/>
      <c r="AE211" s="49"/>
      <c r="AF211" s="49"/>
      <c r="AG211" s="49"/>
      <c r="AH211" s="49"/>
      <c r="AI211" s="59" t="str">
        <f t="shared" si="28"/>
        <v>0</v>
      </c>
      <c r="AJ211" s="49"/>
      <c r="AK211" s="49"/>
      <c r="AL211" s="49"/>
      <c r="AM211" s="49"/>
      <c r="AN211" s="49"/>
      <c r="AO211" s="59" t="str">
        <f t="shared" si="29"/>
        <v>0</v>
      </c>
      <c r="AP211" s="49"/>
      <c r="AQ211" s="49"/>
      <c r="AR211" s="49"/>
      <c r="AS211" s="49"/>
      <c r="AT211" s="49"/>
      <c r="AU211" s="59" t="str">
        <f t="shared" si="30"/>
        <v>0</v>
      </c>
      <c r="AV211" s="49"/>
      <c r="AW211" s="49"/>
      <c r="AX211" s="49"/>
      <c r="AY211" s="49"/>
      <c r="AZ211" s="49"/>
      <c r="BA211" s="59" t="str">
        <f t="shared" si="31"/>
        <v>0</v>
      </c>
    </row>
    <row r="212" spans="1:53" ht="23.1" customHeight="1" x14ac:dyDescent="0.3">
      <c r="A212" s="7">
        <v>210</v>
      </c>
      <c r="B212" s="7" t="s">
        <v>453</v>
      </c>
      <c r="C212" s="7" t="s">
        <v>454</v>
      </c>
      <c r="D212" s="7" t="s">
        <v>450</v>
      </c>
      <c r="E212" s="7" t="s">
        <v>289</v>
      </c>
      <c r="F212" s="7"/>
      <c r="G212" s="7"/>
      <c r="H212" s="49"/>
      <c r="I212" s="7"/>
      <c r="J212" s="7"/>
      <c r="K212" s="59" t="str">
        <f t="shared" si="24"/>
        <v>0</v>
      </c>
      <c r="L212" s="49">
        <v>3</v>
      </c>
      <c r="M212" s="49">
        <v>3</v>
      </c>
      <c r="N212" s="49">
        <v>3</v>
      </c>
      <c r="O212" s="49"/>
      <c r="P212" s="49">
        <v>3</v>
      </c>
      <c r="Q212" s="59">
        <f t="shared" si="25"/>
        <v>3</v>
      </c>
      <c r="R212" s="49">
        <v>3</v>
      </c>
      <c r="S212" s="49"/>
      <c r="T212" s="7"/>
      <c r="U212" s="49"/>
      <c r="V212" s="7"/>
      <c r="W212" s="59">
        <f t="shared" si="26"/>
        <v>3</v>
      </c>
      <c r="X212" s="49"/>
      <c r="Y212" s="49"/>
      <c r="Z212" s="7"/>
      <c r="AA212" s="7"/>
      <c r="AB212" s="7"/>
      <c r="AC212" s="59" t="str">
        <f t="shared" si="27"/>
        <v>0</v>
      </c>
      <c r="AD212" s="49"/>
      <c r="AE212" s="7"/>
      <c r="AF212" s="49"/>
      <c r="AG212" s="7"/>
      <c r="AH212" s="7"/>
      <c r="AI212" s="59" t="str">
        <f t="shared" si="28"/>
        <v>0</v>
      </c>
      <c r="AJ212" s="49"/>
      <c r="AK212" s="49"/>
      <c r="AL212" s="7"/>
      <c r="AM212" s="49"/>
      <c r="AN212" s="7"/>
      <c r="AO212" s="59" t="str">
        <f t="shared" si="29"/>
        <v>0</v>
      </c>
      <c r="AP212" s="49"/>
      <c r="AQ212" s="49"/>
      <c r="AR212" s="49"/>
      <c r="AS212" s="7"/>
      <c r="AT212" s="7"/>
      <c r="AU212" s="59" t="str">
        <f t="shared" si="30"/>
        <v>0</v>
      </c>
      <c r="AV212" s="7"/>
      <c r="AW212" s="7"/>
      <c r="AX212" s="49"/>
      <c r="AY212" s="49"/>
      <c r="AZ212" s="49"/>
      <c r="BA212" s="59" t="str">
        <f t="shared" si="31"/>
        <v>0</v>
      </c>
    </row>
    <row r="213" spans="1:53" ht="23.1" customHeight="1" x14ac:dyDescent="0.3">
      <c r="A213" s="49">
        <v>211</v>
      </c>
      <c r="B213" s="49" t="s">
        <v>455</v>
      </c>
      <c r="C213" s="49" t="s">
        <v>456</v>
      </c>
      <c r="D213" s="49" t="s">
        <v>542</v>
      </c>
      <c r="E213" s="49" t="s">
        <v>289</v>
      </c>
      <c r="F213" s="49"/>
      <c r="G213" s="49"/>
      <c r="H213" s="49"/>
      <c r="I213" s="49"/>
      <c r="J213" s="49"/>
      <c r="K213" s="59" t="str">
        <f t="shared" si="24"/>
        <v>0</v>
      </c>
      <c r="L213" s="49">
        <v>3</v>
      </c>
      <c r="M213" s="49">
        <v>3</v>
      </c>
      <c r="N213" s="49">
        <v>3</v>
      </c>
      <c r="O213" s="49"/>
      <c r="P213" s="49">
        <v>3</v>
      </c>
      <c r="Q213" s="59">
        <f t="shared" si="25"/>
        <v>3</v>
      </c>
      <c r="R213" s="49">
        <v>2</v>
      </c>
      <c r="S213" s="49"/>
      <c r="T213" s="49"/>
      <c r="U213" s="49"/>
      <c r="V213" s="49"/>
      <c r="W213" s="59">
        <f t="shared" si="26"/>
        <v>2</v>
      </c>
      <c r="X213" s="49"/>
      <c r="Y213" s="49"/>
      <c r="Z213" s="49"/>
      <c r="AA213" s="49"/>
      <c r="AB213" s="49"/>
      <c r="AC213" s="59" t="str">
        <f t="shared" si="27"/>
        <v>0</v>
      </c>
      <c r="AD213" s="49"/>
      <c r="AE213" s="49"/>
      <c r="AF213" s="49"/>
      <c r="AG213" s="49"/>
      <c r="AH213" s="49"/>
      <c r="AI213" s="59" t="str">
        <f t="shared" si="28"/>
        <v>0</v>
      </c>
      <c r="AJ213" s="49"/>
      <c r="AK213" s="49"/>
      <c r="AL213" s="49"/>
      <c r="AM213" s="49"/>
      <c r="AN213" s="49"/>
      <c r="AO213" s="59" t="str">
        <f t="shared" si="29"/>
        <v>0</v>
      </c>
      <c r="AP213" s="49"/>
      <c r="AQ213" s="49"/>
      <c r="AR213" s="49"/>
      <c r="AS213" s="49"/>
      <c r="AT213" s="49"/>
      <c r="AU213" s="59" t="str">
        <f t="shared" si="30"/>
        <v>0</v>
      </c>
      <c r="AV213" s="49"/>
      <c r="AW213" s="49"/>
      <c r="AX213" s="49"/>
      <c r="AY213" s="49"/>
      <c r="AZ213" s="49"/>
      <c r="BA213" s="59" t="str">
        <f t="shared" si="31"/>
        <v>0</v>
      </c>
    </row>
    <row r="214" spans="1:53" ht="23.1" customHeight="1" x14ac:dyDescent="0.3">
      <c r="A214" s="7">
        <v>212</v>
      </c>
      <c r="B214" s="7" t="s">
        <v>457</v>
      </c>
      <c r="C214" s="7" t="s">
        <v>458</v>
      </c>
      <c r="D214" s="7" t="s">
        <v>542</v>
      </c>
      <c r="E214" s="7" t="s">
        <v>289</v>
      </c>
      <c r="F214" s="7"/>
      <c r="G214" s="7"/>
      <c r="H214" s="49"/>
      <c r="I214" s="7"/>
      <c r="J214" s="7"/>
      <c r="K214" s="59" t="str">
        <f t="shared" si="24"/>
        <v>0</v>
      </c>
      <c r="L214" s="49">
        <v>4</v>
      </c>
      <c r="M214" s="49">
        <v>4</v>
      </c>
      <c r="N214" s="49">
        <v>4</v>
      </c>
      <c r="O214" s="49"/>
      <c r="P214" s="49">
        <v>5</v>
      </c>
      <c r="Q214" s="59">
        <f t="shared" si="25"/>
        <v>4.25</v>
      </c>
      <c r="R214" s="49">
        <v>4</v>
      </c>
      <c r="S214" s="49"/>
      <c r="T214" s="7"/>
      <c r="U214" s="49"/>
      <c r="V214" s="7"/>
      <c r="W214" s="59">
        <f t="shared" si="26"/>
        <v>4</v>
      </c>
      <c r="X214" s="49"/>
      <c r="Y214" s="49"/>
      <c r="Z214" s="7"/>
      <c r="AA214" s="7"/>
      <c r="AB214" s="7"/>
      <c r="AC214" s="59" t="str">
        <f t="shared" si="27"/>
        <v>0</v>
      </c>
      <c r="AD214" s="49"/>
      <c r="AE214" s="7"/>
      <c r="AF214" s="49"/>
      <c r="AG214" s="7"/>
      <c r="AH214" s="7"/>
      <c r="AI214" s="59" t="str">
        <f t="shared" si="28"/>
        <v>0</v>
      </c>
      <c r="AJ214" s="49"/>
      <c r="AK214" s="49"/>
      <c r="AL214" s="7"/>
      <c r="AM214" s="49"/>
      <c r="AN214" s="7"/>
      <c r="AO214" s="59" t="str">
        <f t="shared" si="29"/>
        <v>0</v>
      </c>
      <c r="AP214" s="49"/>
      <c r="AQ214" s="49"/>
      <c r="AR214" s="49"/>
      <c r="AS214" s="7"/>
      <c r="AT214" s="7"/>
      <c r="AU214" s="59" t="str">
        <f t="shared" si="30"/>
        <v>0</v>
      </c>
      <c r="AV214" s="7"/>
      <c r="AW214" s="7"/>
      <c r="AX214" s="49"/>
      <c r="AY214" s="49"/>
      <c r="AZ214" s="49"/>
      <c r="BA214" s="59" t="str">
        <f t="shared" si="31"/>
        <v>0</v>
      </c>
    </row>
    <row r="215" spans="1:53" ht="23.1" customHeight="1" x14ac:dyDescent="0.3">
      <c r="A215" s="49">
        <v>213</v>
      </c>
      <c r="B215" s="49" t="s">
        <v>459</v>
      </c>
      <c r="C215" s="49" t="s">
        <v>460</v>
      </c>
      <c r="D215" s="49" t="s">
        <v>542</v>
      </c>
      <c r="E215" s="49" t="s">
        <v>289</v>
      </c>
      <c r="F215" s="49"/>
      <c r="G215" s="49"/>
      <c r="H215" s="49"/>
      <c r="I215" s="49"/>
      <c r="J215" s="49"/>
      <c r="K215" s="59" t="str">
        <f t="shared" si="24"/>
        <v>0</v>
      </c>
      <c r="L215" s="49">
        <v>4</v>
      </c>
      <c r="M215" s="49">
        <v>3.5</v>
      </c>
      <c r="N215" s="49">
        <v>3.5</v>
      </c>
      <c r="O215" s="49"/>
      <c r="P215" s="49">
        <v>3.5</v>
      </c>
      <c r="Q215" s="59">
        <f t="shared" si="25"/>
        <v>3.625</v>
      </c>
      <c r="R215" s="49">
        <v>3.5</v>
      </c>
      <c r="S215" s="49"/>
      <c r="T215" s="49"/>
      <c r="U215" s="49"/>
      <c r="V215" s="49"/>
      <c r="W215" s="59">
        <f t="shared" si="26"/>
        <v>3.5</v>
      </c>
      <c r="X215" s="49"/>
      <c r="Y215" s="49"/>
      <c r="Z215" s="49"/>
      <c r="AA215" s="49"/>
      <c r="AB215" s="49"/>
      <c r="AC215" s="59" t="str">
        <f t="shared" si="27"/>
        <v>0</v>
      </c>
      <c r="AD215" s="49"/>
      <c r="AE215" s="49"/>
      <c r="AF215" s="49"/>
      <c r="AG215" s="49"/>
      <c r="AH215" s="49"/>
      <c r="AI215" s="59" t="str">
        <f t="shared" si="28"/>
        <v>0</v>
      </c>
      <c r="AJ215" s="49"/>
      <c r="AK215" s="49"/>
      <c r="AL215" s="49"/>
      <c r="AM215" s="49"/>
      <c r="AN215" s="49"/>
      <c r="AO215" s="59" t="str">
        <f t="shared" si="29"/>
        <v>0</v>
      </c>
      <c r="AP215" s="49"/>
      <c r="AQ215" s="49"/>
      <c r="AR215" s="49"/>
      <c r="AS215" s="49"/>
      <c r="AT215" s="49"/>
      <c r="AU215" s="59" t="str">
        <f t="shared" si="30"/>
        <v>0</v>
      </c>
      <c r="AV215" s="49"/>
      <c r="AW215" s="49"/>
      <c r="AX215" s="49"/>
      <c r="AY215" s="49"/>
      <c r="AZ215" s="49"/>
      <c r="BA215" s="59" t="str">
        <f t="shared" si="31"/>
        <v>0</v>
      </c>
    </row>
    <row r="216" spans="1:53" ht="23.1" customHeight="1" x14ac:dyDescent="0.3">
      <c r="A216" s="7">
        <v>214</v>
      </c>
      <c r="B216" s="7" t="s">
        <v>461</v>
      </c>
      <c r="C216" s="7" t="s">
        <v>462</v>
      </c>
      <c r="D216" s="7" t="s">
        <v>450</v>
      </c>
      <c r="E216" s="7" t="s">
        <v>289</v>
      </c>
      <c r="F216" s="7"/>
      <c r="G216" s="7"/>
      <c r="H216" s="49"/>
      <c r="I216" s="7"/>
      <c r="J216" s="7"/>
      <c r="K216" s="59" t="str">
        <f t="shared" si="24"/>
        <v>0</v>
      </c>
      <c r="L216" s="49">
        <v>3</v>
      </c>
      <c r="M216" s="49">
        <v>2.5</v>
      </c>
      <c r="N216" s="49">
        <v>2.5</v>
      </c>
      <c r="O216" s="49"/>
      <c r="P216" s="49">
        <v>2.5</v>
      </c>
      <c r="Q216" s="59">
        <f t="shared" si="25"/>
        <v>2.625</v>
      </c>
      <c r="R216" s="49">
        <v>3</v>
      </c>
      <c r="S216" s="49"/>
      <c r="T216" s="7"/>
      <c r="U216" s="49"/>
      <c r="V216" s="7"/>
      <c r="W216" s="59">
        <f t="shared" si="26"/>
        <v>3</v>
      </c>
      <c r="X216" s="49"/>
      <c r="Y216" s="49"/>
      <c r="Z216" s="7"/>
      <c r="AA216" s="7"/>
      <c r="AB216" s="7"/>
      <c r="AC216" s="59" t="str">
        <f t="shared" si="27"/>
        <v>0</v>
      </c>
      <c r="AD216" s="49"/>
      <c r="AE216" s="7"/>
      <c r="AF216" s="49"/>
      <c r="AG216" s="7"/>
      <c r="AH216" s="7"/>
      <c r="AI216" s="59" t="str">
        <f t="shared" si="28"/>
        <v>0</v>
      </c>
      <c r="AJ216" s="49"/>
      <c r="AK216" s="49"/>
      <c r="AL216" s="7"/>
      <c r="AM216" s="49"/>
      <c r="AN216" s="7"/>
      <c r="AO216" s="59" t="str">
        <f t="shared" si="29"/>
        <v>0</v>
      </c>
      <c r="AP216" s="49"/>
      <c r="AQ216" s="49"/>
      <c r="AR216" s="49"/>
      <c r="AS216" s="7"/>
      <c r="AT216" s="7"/>
      <c r="AU216" s="59" t="str">
        <f t="shared" si="30"/>
        <v>0</v>
      </c>
      <c r="AV216" s="7"/>
      <c r="AW216" s="7"/>
      <c r="AX216" s="49"/>
      <c r="AY216" s="49"/>
      <c r="AZ216" s="49"/>
      <c r="BA216" s="59" t="str">
        <f t="shared" si="31"/>
        <v>0</v>
      </c>
    </row>
    <row r="217" spans="1:53" ht="23.1" customHeight="1" x14ac:dyDescent="0.3">
      <c r="A217" s="49">
        <v>215</v>
      </c>
      <c r="B217" s="49" t="s">
        <v>463</v>
      </c>
      <c r="C217" s="49" t="s">
        <v>464</v>
      </c>
      <c r="D217" s="49" t="s">
        <v>450</v>
      </c>
      <c r="E217" s="49" t="s">
        <v>289</v>
      </c>
      <c r="F217" s="49"/>
      <c r="G217" s="49"/>
      <c r="H217" s="49"/>
      <c r="I217" s="49"/>
      <c r="J217" s="49"/>
      <c r="K217" s="59" t="str">
        <f t="shared" si="24"/>
        <v>0</v>
      </c>
      <c r="L217" s="49">
        <v>1</v>
      </c>
      <c r="M217" s="49">
        <v>1</v>
      </c>
      <c r="N217" s="49">
        <v>1</v>
      </c>
      <c r="O217" s="49"/>
      <c r="P217" s="49">
        <v>2</v>
      </c>
      <c r="Q217" s="59">
        <f t="shared" si="25"/>
        <v>1.25</v>
      </c>
      <c r="R217" s="49">
        <v>1</v>
      </c>
      <c r="S217" s="49"/>
      <c r="T217" s="49"/>
      <c r="U217" s="49"/>
      <c r="V217" s="49"/>
      <c r="W217" s="59">
        <f t="shared" si="26"/>
        <v>1</v>
      </c>
      <c r="X217" s="49"/>
      <c r="Y217" s="49"/>
      <c r="Z217" s="49"/>
      <c r="AA217" s="49"/>
      <c r="AB217" s="49"/>
      <c r="AC217" s="59" t="str">
        <f t="shared" si="27"/>
        <v>0</v>
      </c>
      <c r="AD217" s="49"/>
      <c r="AE217" s="49"/>
      <c r="AF217" s="49"/>
      <c r="AG217" s="49"/>
      <c r="AH217" s="49"/>
      <c r="AI217" s="59" t="str">
        <f t="shared" si="28"/>
        <v>0</v>
      </c>
      <c r="AJ217" s="49"/>
      <c r="AK217" s="49"/>
      <c r="AL217" s="49"/>
      <c r="AM217" s="49"/>
      <c r="AN217" s="49"/>
      <c r="AO217" s="59" t="str">
        <f t="shared" si="29"/>
        <v>0</v>
      </c>
      <c r="AP217" s="49"/>
      <c r="AQ217" s="49"/>
      <c r="AR217" s="49"/>
      <c r="AS217" s="49"/>
      <c r="AT217" s="49"/>
      <c r="AU217" s="59" t="str">
        <f t="shared" si="30"/>
        <v>0</v>
      </c>
      <c r="AV217" s="49"/>
      <c r="AW217" s="49"/>
      <c r="AX217" s="49"/>
      <c r="AY217" s="49"/>
      <c r="AZ217" s="49"/>
      <c r="BA217" s="59" t="str">
        <f t="shared" si="31"/>
        <v>0</v>
      </c>
    </row>
    <row r="218" spans="1:53" ht="23.1" customHeight="1" x14ac:dyDescent="0.3">
      <c r="A218" s="7">
        <v>216</v>
      </c>
      <c r="B218" s="7" t="s">
        <v>465</v>
      </c>
      <c r="C218" s="7" t="s">
        <v>466</v>
      </c>
      <c r="D218" s="7" t="s">
        <v>450</v>
      </c>
      <c r="E218" s="7" t="s">
        <v>289</v>
      </c>
      <c r="F218" s="7"/>
      <c r="G218" s="7"/>
      <c r="H218" s="49"/>
      <c r="I218" s="7"/>
      <c r="J218" s="7"/>
      <c r="K218" s="59" t="str">
        <f t="shared" si="24"/>
        <v>0</v>
      </c>
      <c r="L218" s="49">
        <v>1</v>
      </c>
      <c r="M218" s="49">
        <v>1</v>
      </c>
      <c r="N218" s="49">
        <v>1</v>
      </c>
      <c r="O218" s="49"/>
      <c r="P218" s="49">
        <v>1</v>
      </c>
      <c r="Q218" s="59">
        <f t="shared" si="25"/>
        <v>1</v>
      </c>
      <c r="R218" s="49">
        <v>1</v>
      </c>
      <c r="S218" s="49"/>
      <c r="T218" s="7"/>
      <c r="U218" s="49"/>
      <c r="V218" s="7"/>
      <c r="W218" s="59">
        <f t="shared" si="26"/>
        <v>1</v>
      </c>
      <c r="X218" s="49"/>
      <c r="Y218" s="49"/>
      <c r="Z218" s="7"/>
      <c r="AA218" s="7"/>
      <c r="AB218" s="7"/>
      <c r="AC218" s="59" t="str">
        <f t="shared" si="27"/>
        <v>0</v>
      </c>
      <c r="AD218" s="49"/>
      <c r="AE218" s="7"/>
      <c r="AF218" s="49"/>
      <c r="AG218" s="7"/>
      <c r="AH218" s="7"/>
      <c r="AI218" s="59" t="str">
        <f t="shared" si="28"/>
        <v>0</v>
      </c>
      <c r="AJ218" s="49"/>
      <c r="AK218" s="49"/>
      <c r="AL218" s="7"/>
      <c r="AM218" s="49"/>
      <c r="AN218" s="7"/>
      <c r="AO218" s="59" t="str">
        <f t="shared" si="29"/>
        <v>0</v>
      </c>
      <c r="AP218" s="49"/>
      <c r="AQ218" s="49"/>
      <c r="AR218" s="49"/>
      <c r="AS218" s="7"/>
      <c r="AT218" s="7"/>
      <c r="AU218" s="59" t="str">
        <f t="shared" si="30"/>
        <v>0</v>
      </c>
      <c r="AV218" s="7"/>
      <c r="AW218" s="7"/>
      <c r="AX218" s="49"/>
      <c r="AY218" s="49"/>
      <c r="AZ218" s="49"/>
      <c r="BA218" s="59" t="str">
        <f t="shared" si="31"/>
        <v>0</v>
      </c>
    </row>
    <row r="219" spans="1:53" ht="23.1" customHeight="1" x14ac:dyDescent="0.3">
      <c r="A219" s="49">
        <v>217</v>
      </c>
      <c r="B219" s="49" t="s">
        <v>467</v>
      </c>
      <c r="C219" s="49" t="s">
        <v>468</v>
      </c>
      <c r="D219" s="49" t="s">
        <v>542</v>
      </c>
      <c r="E219" s="49" t="s">
        <v>289</v>
      </c>
      <c r="F219" s="49"/>
      <c r="G219" s="49"/>
      <c r="H219" s="49"/>
      <c r="I219" s="49"/>
      <c r="J219" s="49"/>
      <c r="K219" s="59" t="str">
        <f t="shared" si="24"/>
        <v>0</v>
      </c>
      <c r="L219" s="49">
        <v>4</v>
      </c>
      <c r="M219" s="49">
        <v>4</v>
      </c>
      <c r="N219" s="49">
        <v>4</v>
      </c>
      <c r="O219" s="49"/>
      <c r="P219" s="49">
        <v>4</v>
      </c>
      <c r="Q219" s="59">
        <f t="shared" si="25"/>
        <v>4</v>
      </c>
      <c r="R219" s="49">
        <v>3</v>
      </c>
      <c r="S219" s="49"/>
      <c r="T219" s="49"/>
      <c r="U219" s="49"/>
      <c r="V219" s="49"/>
      <c r="W219" s="59">
        <f t="shared" si="26"/>
        <v>3</v>
      </c>
      <c r="X219" s="49"/>
      <c r="Y219" s="49"/>
      <c r="Z219" s="49"/>
      <c r="AA219" s="49"/>
      <c r="AB219" s="49"/>
      <c r="AC219" s="59" t="str">
        <f t="shared" si="27"/>
        <v>0</v>
      </c>
      <c r="AD219" s="49"/>
      <c r="AE219" s="49"/>
      <c r="AF219" s="49"/>
      <c r="AG219" s="49"/>
      <c r="AH219" s="49"/>
      <c r="AI219" s="59" t="str">
        <f t="shared" si="28"/>
        <v>0</v>
      </c>
      <c r="AJ219" s="49"/>
      <c r="AK219" s="49"/>
      <c r="AL219" s="49"/>
      <c r="AM219" s="49"/>
      <c r="AN219" s="49"/>
      <c r="AO219" s="59" t="str">
        <f t="shared" si="29"/>
        <v>0</v>
      </c>
      <c r="AP219" s="49"/>
      <c r="AQ219" s="49"/>
      <c r="AR219" s="49"/>
      <c r="AS219" s="49"/>
      <c r="AT219" s="49"/>
      <c r="AU219" s="59" t="str">
        <f t="shared" si="30"/>
        <v>0</v>
      </c>
      <c r="AV219" s="49"/>
      <c r="AW219" s="49"/>
      <c r="AX219" s="49"/>
      <c r="AY219" s="49"/>
      <c r="AZ219" s="49"/>
      <c r="BA219" s="59" t="str">
        <f t="shared" si="31"/>
        <v>0</v>
      </c>
    </row>
    <row r="220" spans="1:53" ht="23.1" customHeight="1" x14ac:dyDescent="0.3">
      <c r="A220" s="7">
        <v>218</v>
      </c>
      <c r="B220" s="7" t="s">
        <v>469</v>
      </c>
      <c r="C220" s="7" t="s">
        <v>470</v>
      </c>
      <c r="D220" s="7" t="s">
        <v>450</v>
      </c>
      <c r="E220" s="7" t="s">
        <v>289</v>
      </c>
      <c r="F220" s="7"/>
      <c r="G220" s="7"/>
      <c r="H220" s="49"/>
      <c r="I220" s="7"/>
      <c r="J220" s="7"/>
      <c r="K220" s="59" t="str">
        <f t="shared" si="24"/>
        <v>0</v>
      </c>
      <c r="L220" s="49">
        <v>3</v>
      </c>
      <c r="M220" s="49">
        <v>2</v>
      </c>
      <c r="N220" s="49">
        <v>2</v>
      </c>
      <c r="O220" s="49"/>
      <c r="P220" s="49">
        <v>2</v>
      </c>
      <c r="Q220" s="59">
        <f t="shared" si="25"/>
        <v>2.25</v>
      </c>
      <c r="R220" s="49">
        <v>2</v>
      </c>
      <c r="S220" s="49"/>
      <c r="T220" s="7"/>
      <c r="U220" s="49"/>
      <c r="V220" s="7"/>
      <c r="W220" s="59">
        <f t="shared" si="26"/>
        <v>2</v>
      </c>
      <c r="X220" s="49"/>
      <c r="Y220" s="49"/>
      <c r="Z220" s="7"/>
      <c r="AA220" s="7"/>
      <c r="AB220" s="7"/>
      <c r="AC220" s="59" t="str">
        <f t="shared" si="27"/>
        <v>0</v>
      </c>
      <c r="AD220" s="49"/>
      <c r="AE220" s="7"/>
      <c r="AF220" s="49"/>
      <c r="AG220" s="7"/>
      <c r="AH220" s="7"/>
      <c r="AI220" s="59" t="str">
        <f t="shared" si="28"/>
        <v>0</v>
      </c>
      <c r="AJ220" s="49"/>
      <c r="AK220" s="49"/>
      <c r="AL220" s="7"/>
      <c r="AM220" s="49"/>
      <c r="AN220" s="7"/>
      <c r="AO220" s="59" t="str">
        <f t="shared" si="29"/>
        <v>0</v>
      </c>
      <c r="AP220" s="49"/>
      <c r="AQ220" s="49"/>
      <c r="AR220" s="49"/>
      <c r="AS220" s="7"/>
      <c r="AT220" s="7"/>
      <c r="AU220" s="59" t="str">
        <f t="shared" si="30"/>
        <v>0</v>
      </c>
      <c r="AV220" s="7"/>
      <c r="AW220" s="7"/>
      <c r="AX220" s="49"/>
      <c r="AY220" s="49"/>
      <c r="AZ220" s="49"/>
      <c r="BA220" s="59" t="str">
        <f t="shared" si="31"/>
        <v>0</v>
      </c>
    </row>
    <row r="221" spans="1:53" ht="23.1" customHeight="1" x14ac:dyDescent="0.3">
      <c r="A221" s="49">
        <v>219</v>
      </c>
      <c r="B221" s="49" t="s">
        <v>471</v>
      </c>
      <c r="C221" s="49" t="s">
        <v>472</v>
      </c>
      <c r="D221" s="49" t="s">
        <v>450</v>
      </c>
      <c r="E221" s="49" t="s">
        <v>289</v>
      </c>
      <c r="F221" s="49"/>
      <c r="G221" s="49"/>
      <c r="H221" s="49"/>
      <c r="I221" s="49"/>
      <c r="J221" s="49"/>
      <c r="K221" s="59" t="str">
        <f t="shared" si="24"/>
        <v>0</v>
      </c>
      <c r="L221" s="49">
        <v>3.5</v>
      </c>
      <c r="M221" s="49">
        <v>3</v>
      </c>
      <c r="N221" s="49">
        <v>2.5</v>
      </c>
      <c r="O221" s="49"/>
      <c r="P221" s="49">
        <v>2.5</v>
      </c>
      <c r="Q221" s="59">
        <f t="shared" si="25"/>
        <v>2.875</v>
      </c>
      <c r="R221" s="49">
        <v>2.5</v>
      </c>
      <c r="S221" s="49"/>
      <c r="T221" s="49"/>
      <c r="U221" s="49"/>
      <c r="V221" s="49"/>
      <c r="W221" s="59">
        <f t="shared" si="26"/>
        <v>2.5</v>
      </c>
      <c r="X221" s="49"/>
      <c r="Y221" s="49"/>
      <c r="Z221" s="49"/>
      <c r="AA221" s="49"/>
      <c r="AB221" s="49"/>
      <c r="AC221" s="59" t="str">
        <f t="shared" si="27"/>
        <v>0</v>
      </c>
      <c r="AD221" s="49"/>
      <c r="AE221" s="49"/>
      <c r="AF221" s="49"/>
      <c r="AG221" s="49"/>
      <c r="AH221" s="49"/>
      <c r="AI221" s="59" t="str">
        <f t="shared" si="28"/>
        <v>0</v>
      </c>
      <c r="AJ221" s="49"/>
      <c r="AK221" s="49"/>
      <c r="AL221" s="49"/>
      <c r="AM221" s="49"/>
      <c r="AN221" s="49"/>
      <c r="AO221" s="59" t="str">
        <f t="shared" si="29"/>
        <v>0</v>
      </c>
      <c r="AP221" s="49"/>
      <c r="AQ221" s="49"/>
      <c r="AR221" s="49"/>
      <c r="AS221" s="49"/>
      <c r="AT221" s="49"/>
      <c r="AU221" s="59" t="str">
        <f t="shared" si="30"/>
        <v>0</v>
      </c>
      <c r="AV221" s="49"/>
      <c r="AW221" s="49"/>
      <c r="AX221" s="49"/>
      <c r="AY221" s="49"/>
      <c r="AZ221" s="49"/>
      <c r="BA221" s="59" t="str">
        <f t="shared" si="31"/>
        <v>0</v>
      </c>
    </row>
    <row r="222" spans="1:53" ht="23.1" customHeight="1" x14ac:dyDescent="0.3">
      <c r="A222" s="7">
        <v>220</v>
      </c>
      <c r="B222" s="7" t="s">
        <v>473</v>
      </c>
      <c r="C222" s="7" t="s">
        <v>474</v>
      </c>
      <c r="D222" s="7" t="s">
        <v>542</v>
      </c>
      <c r="E222" s="7" t="s">
        <v>289</v>
      </c>
      <c r="F222" s="7"/>
      <c r="G222" s="7"/>
      <c r="H222" s="49"/>
      <c r="I222" s="7"/>
      <c r="J222" s="7"/>
      <c r="K222" s="59" t="str">
        <f t="shared" si="24"/>
        <v>0</v>
      </c>
      <c r="L222" s="49">
        <v>2</v>
      </c>
      <c r="M222" s="49">
        <v>3</v>
      </c>
      <c r="N222" s="49">
        <v>2</v>
      </c>
      <c r="O222" s="49"/>
      <c r="P222" s="49">
        <v>2</v>
      </c>
      <c r="Q222" s="59">
        <f t="shared" si="25"/>
        <v>2.25</v>
      </c>
      <c r="R222" s="49">
        <v>2</v>
      </c>
      <c r="S222" s="49"/>
      <c r="T222" s="7"/>
      <c r="U222" s="49"/>
      <c r="V222" s="7"/>
      <c r="W222" s="59">
        <f t="shared" si="26"/>
        <v>2</v>
      </c>
      <c r="X222" s="49"/>
      <c r="Y222" s="49"/>
      <c r="Z222" s="7"/>
      <c r="AA222" s="7"/>
      <c r="AB222" s="7"/>
      <c r="AC222" s="59" t="str">
        <f t="shared" si="27"/>
        <v>0</v>
      </c>
      <c r="AD222" s="49"/>
      <c r="AE222" s="7"/>
      <c r="AF222" s="49"/>
      <c r="AG222" s="7"/>
      <c r="AH222" s="7"/>
      <c r="AI222" s="59" t="str">
        <f t="shared" si="28"/>
        <v>0</v>
      </c>
      <c r="AJ222" s="49"/>
      <c r="AK222" s="49"/>
      <c r="AL222" s="7"/>
      <c r="AM222" s="49"/>
      <c r="AN222" s="7"/>
      <c r="AO222" s="59" t="str">
        <f t="shared" si="29"/>
        <v>0</v>
      </c>
      <c r="AP222" s="49"/>
      <c r="AQ222" s="49"/>
      <c r="AR222" s="49"/>
      <c r="AS222" s="7"/>
      <c r="AT222" s="7"/>
      <c r="AU222" s="59" t="str">
        <f t="shared" si="30"/>
        <v>0</v>
      </c>
      <c r="AV222" s="7"/>
      <c r="AW222" s="7"/>
      <c r="AX222" s="49"/>
      <c r="AY222" s="49"/>
      <c r="AZ222" s="49"/>
      <c r="BA222" s="59" t="str">
        <f t="shared" si="31"/>
        <v>0</v>
      </c>
    </row>
    <row r="223" spans="1:53" ht="23.1" customHeight="1" x14ac:dyDescent="0.3">
      <c r="A223" s="49">
        <v>221</v>
      </c>
      <c r="B223" s="49" t="s">
        <v>475</v>
      </c>
      <c r="C223" s="49" t="s">
        <v>476</v>
      </c>
      <c r="D223" s="49" t="s">
        <v>450</v>
      </c>
      <c r="E223" s="49" t="s">
        <v>289</v>
      </c>
      <c r="F223" s="49"/>
      <c r="G223" s="49"/>
      <c r="H223" s="49"/>
      <c r="I223" s="49"/>
      <c r="J223" s="49"/>
      <c r="K223" s="59" t="str">
        <f t="shared" si="24"/>
        <v>0</v>
      </c>
      <c r="L223" s="49">
        <v>2</v>
      </c>
      <c r="M223" s="49">
        <v>2</v>
      </c>
      <c r="N223" s="49">
        <v>4</v>
      </c>
      <c r="O223" s="49"/>
      <c r="P223" s="49">
        <v>2</v>
      </c>
      <c r="Q223" s="59">
        <f t="shared" si="25"/>
        <v>2.5</v>
      </c>
      <c r="R223" s="49">
        <v>2</v>
      </c>
      <c r="S223" s="49"/>
      <c r="T223" s="49"/>
      <c r="U223" s="49"/>
      <c r="V223" s="49"/>
      <c r="W223" s="59">
        <f t="shared" si="26"/>
        <v>2</v>
      </c>
      <c r="X223" s="49"/>
      <c r="Y223" s="49"/>
      <c r="Z223" s="49"/>
      <c r="AA223" s="49"/>
      <c r="AB223" s="49"/>
      <c r="AC223" s="59" t="str">
        <f t="shared" si="27"/>
        <v>0</v>
      </c>
      <c r="AD223" s="49"/>
      <c r="AE223" s="49"/>
      <c r="AF223" s="49"/>
      <c r="AG223" s="49"/>
      <c r="AH223" s="49"/>
      <c r="AI223" s="59" t="str">
        <f t="shared" si="28"/>
        <v>0</v>
      </c>
      <c r="AJ223" s="49"/>
      <c r="AK223" s="49"/>
      <c r="AL223" s="49"/>
      <c r="AM223" s="49"/>
      <c r="AN223" s="49"/>
      <c r="AO223" s="59" t="str">
        <f t="shared" si="29"/>
        <v>0</v>
      </c>
      <c r="AP223" s="49"/>
      <c r="AQ223" s="49"/>
      <c r="AR223" s="49"/>
      <c r="AS223" s="49"/>
      <c r="AT223" s="49"/>
      <c r="AU223" s="59" t="str">
        <f t="shared" si="30"/>
        <v>0</v>
      </c>
      <c r="AV223" s="49"/>
      <c r="AW223" s="49"/>
      <c r="AX223" s="49"/>
      <c r="AY223" s="49"/>
      <c r="AZ223" s="49"/>
      <c r="BA223" s="59" t="str">
        <f t="shared" si="31"/>
        <v>0</v>
      </c>
    </row>
    <row r="224" spans="1:53" ht="23.1" customHeight="1" x14ac:dyDescent="0.3">
      <c r="A224" s="7">
        <v>222</v>
      </c>
      <c r="B224" s="7" t="s">
        <v>477</v>
      </c>
      <c r="C224" s="7" t="s">
        <v>478</v>
      </c>
      <c r="D224" s="7" t="s">
        <v>450</v>
      </c>
      <c r="E224" s="7" t="s">
        <v>289</v>
      </c>
      <c r="F224" s="7"/>
      <c r="G224" s="7"/>
      <c r="H224" s="49"/>
      <c r="I224" s="7"/>
      <c r="J224" s="7"/>
      <c r="K224" s="59" t="str">
        <f t="shared" si="24"/>
        <v>0</v>
      </c>
      <c r="L224" s="49">
        <v>1</v>
      </c>
      <c r="M224" s="49">
        <v>2</v>
      </c>
      <c r="N224" s="49">
        <v>1</v>
      </c>
      <c r="O224" s="49"/>
      <c r="P224" s="49">
        <v>2</v>
      </c>
      <c r="Q224" s="59">
        <f t="shared" si="25"/>
        <v>1.5</v>
      </c>
      <c r="R224" s="49">
        <v>1</v>
      </c>
      <c r="S224" s="49"/>
      <c r="T224" s="7"/>
      <c r="U224" s="49"/>
      <c r="V224" s="7"/>
      <c r="W224" s="59">
        <f t="shared" si="26"/>
        <v>1</v>
      </c>
      <c r="X224" s="49"/>
      <c r="Y224" s="49"/>
      <c r="Z224" s="7"/>
      <c r="AA224" s="7"/>
      <c r="AB224" s="7"/>
      <c r="AC224" s="59" t="str">
        <f t="shared" si="27"/>
        <v>0</v>
      </c>
      <c r="AD224" s="49"/>
      <c r="AE224" s="7"/>
      <c r="AF224" s="49"/>
      <c r="AG224" s="7"/>
      <c r="AH224" s="7"/>
      <c r="AI224" s="59" t="str">
        <f t="shared" si="28"/>
        <v>0</v>
      </c>
      <c r="AJ224" s="49"/>
      <c r="AK224" s="49"/>
      <c r="AL224" s="7"/>
      <c r="AM224" s="49"/>
      <c r="AN224" s="7"/>
      <c r="AO224" s="59" t="str">
        <f t="shared" si="29"/>
        <v>0</v>
      </c>
      <c r="AP224" s="49"/>
      <c r="AQ224" s="49"/>
      <c r="AR224" s="49"/>
      <c r="AS224" s="7"/>
      <c r="AT224" s="7"/>
      <c r="AU224" s="59" t="str">
        <f t="shared" si="30"/>
        <v>0</v>
      </c>
      <c r="AV224" s="7"/>
      <c r="AW224" s="7"/>
      <c r="AX224" s="49"/>
      <c r="AY224" s="49"/>
      <c r="AZ224" s="49"/>
      <c r="BA224" s="59" t="str">
        <f t="shared" si="31"/>
        <v>0</v>
      </c>
    </row>
    <row r="225" spans="1:53" ht="23.1" customHeight="1" x14ac:dyDescent="0.3">
      <c r="A225" s="49">
        <v>223</v>
      </c>
      <c r="B225" s="49" t="s">
        <v>479</v>
      </c>
      <c r="C225" s="49" t="s">
        <v>480</v>
      </c>
      <c r="D225" s="49" t="s">
        <v>450</v>
      </c>
      <c r="E225" s="49" t="s">
        <v>289</v>
      </c>
      <c r="F225" s="49"/>
      <c r="G225" s="49"/>
      <c r="H225" s="49"/>
      <c r="I225" s="49"/>
      <c r="J225" s="49"/>
      <c r="K225" s="59" t="str">
        <f t="shared" si="24"/>
        <v>0</v>
      </c>
      <c r="L225" s="49">
        <v>1</v>
      </c>
      <c r="M225" s="49">
        <v>1</v>
      </c>
      <c r="N225" s="49">
        <v>1</v>
      </c>
      <c r="O225" s="49"/>
      <c r="P225" s="49">
        <v>1</v>
      </c>
      <c r="Q225" s="59">
        <f t="shared" si="25"/>
        <v>1</v>
      </c>
      <c r="R225" s="49">
        <v>1</v>
      </c>
      <c r="S225" s="49"/>
      <c r="T225" s="49"/>
      <c r="U225" s="49"/>
      <c r="V225" s="49"/>
      <c r="W225" s="59">
        <f t="shared" si="26"/>
        <v>1</v>
      </c>
      <c r="X225" s="49"/>
      <c r="Y225" s="49"/>
      <c r="Z225" s="49"/>
      <c r="AA225" s="49"/>
      <c r="AB225" s="49"/>
      <c r="AC225" s="59" t="str">
        <f t="shared" si="27"/>
        <v>0</v>
      </c>
      <c r="AD225" s="49"/>
      <c r="AE225" s="49"/>
      <c r="AF225" s="49"/>
      <c r="AG225" s="49"/>
      <c r="AH225" s="49"/>
      <c r="AI225" s="59" t="str">
        <f t="shared" si="28"/>
        <v>0</v>
      </c>
      <c r="AJ225" s="49"/>
      <c r="AK225" s="49"/>
      <c r="AL225" s="49"/>
      <c r="AM225" s="49"/>
      <c r="AN225" s="49"/>
      <c r="AO225" s="59" t="str">
        <f t="shared" si="29"/>
        <v>0</v>
      </c>
      <c r="AP225" s="49"/>
      <c r="AQ225" s="49"/>
      <c r="AR225" s="49"/>
      <c r="AS225" s="49"/>
      <c r="AT225" s="49"/>
      <c r="AU225" s="59" t="str">
        <f t="shared" si="30"/>
        <v>0</v>
      </c>
      <c r="AV225" s="49"/>
      <c r="AW225" s="49"/>
      <c r="AX225" s="49"/>
      <c r="AY225" s="49"/>
      <c r="AZ225" s="49"/>
      <c r="BA225" s="59" t="str">
        <f t="shared" si="31"/>
        <v>0</v>
      </c>
    </row>
    <row r="226" spans="1:53" ht="23.1" customHeight="1" x14ac:dyDescent="0.3">
      <c r="A226" s="7">
        <v>224</v>
      </c>
      <c r="B226" s="7" t="s">
        <v>481</v>
      </c>
      <c r="C226" s="7" t="s">
        <v>482</v>
      </c>
      <c r="D226" s="7" t="s">
        <v>450</v>
      </c>
      <c r="E226" s="7" t="s">
        <v>289</v>
      </c>
      <c r="F226" s="7"/>
      <c r="G226" s="7"/>
      <c r="H226" s="49"/>
      <c r="I226" s="7"/>
      <c r="J226" s="7"/>
      <c r="K226" s="59" t="str">
        <f t="shared" si="24"/>
        <v>0</v>
      </c>
      <c r="L226" s="49">
        <v>4</v>
      </c>
      <c r="M226" s="49">
        <v>2</v>
      </c>
      <c r="N226" s="49">
        <v>3</v>
      </c>
      <c r="O226" s="49"/>
      <c r="P226" s="49">
        <v>2</v>
      </c>
      <c r="Q226" s="59">
        <f t="shared" si="25"/>
        <v>2.75</v>
      </c>
      <c r="R226" s="49">
        <v>2</v>
      </c>
      <c r="S226" s="49"/>
      <c r="T226" s="7"/>
      <c r="U226" s="49"/>
      <c r="V226" s="7"/>
      <c r="W226" s="59">
        <f t="shared" si="26"/>
        <v>2</v>
      </c>
      <c r="X226" s="49"/>
      <c r="Y226" s="49"/>
      <c r="Z226" s="7"/>
      <c r="AA226" s="7"/>
      <c r="AB226" s="7"/>
      <c r="AC226" s="59" t="str">
        <f t="shared" si="27"/>
        <v>0</v>
      </c>
      <c r="AD226" s="49"/>
      <c r="AE226" s="7"/>
      <c r="AF226" s="49"/>
      <c r="AG226" s="7"/>
      <c r="AH226" s="7"/>
      <c r="AI226" s="59" t="str">
        <f t="shared" si="28"/>
        <v>0</v>
      </c>
      <c r="AJ226" s="49"/>
      <c r="AK226" s="49"/>
      <c r="AL226" s="7"/>
      <c r="AM226" s="49"/>
      <c r="AN226" s="7"/>
      <c r="AO226" s="59" t="str">
        <f t="shared" si="29"/>
        <v>0</v>
      </c>
      <c r="AP226" s="49"/>
      <c r="AQ226" s="49"/>
      <c r="AR226" s="49"/>
      <c r="AS226" s="7"/>
      <c r="AT226" s="7"/>
      <c r="AU226" s="59" t="str">
        <f t="shared" si="30"/>
        <v>0</v>
      </c>
      <c r="AV226" s="7"/>
      <c r="AW226" s="7"/>
      <c r="AX226" s="49"/>
      <c r="AY226" s="49"/>
      <c r="AZ226" s="49"/>
      <c r="BA226" s="59" t="str">
        <f t="shared" si="31"/>
        <v>0</v>
      </c>
    </row>
    <row r="227" spans="1:53" ht="23.1" customHeight="1" x14ac:dyDescent="0.3">
      <c r="A227" s="49">
        <v>225</v>
      </c>
      <c r="B227" s="49" t="s">
        <v>483</v>
      </c>
      <c r="C227" s="49" t="s">
        <v>540</v>
      </c>
      <c r="D227" s="49" t="s">
        <v>450</v>
      </c>
      <c r="E227" s="49" t="s">
        <v>289</v>
      </c>
      <c r="F227" s="49"/>
      <c r="G227" s="49"/>
      <c r="H227" s="49"/>
      <c r="I227" s="49"/>
      <c r="J227" s="49"/>
      <c r="K227" s="59" t="str">
        <f t="shared" si="24"/>
        <v>0</v>
      </c>
      <c r="L227" s="49">
        <v>3</v>
      </c>
      <c r="M227" s="49">
        <v>3</v>
      </c>
      <c r="N227" s="49">
        <v>3</v>
      </c>
      <c r="O227" s="49"/>
      <c r="P227" s="49">
        <v>2</v>
      </c>
      <c r="Q227" s="59">
        <f t="shared" si="25"/>
        <v>2.75</v>
      </c>
      <c r="R227" s="49">
        <v>2</v>
      </c>
      <c r="S227" s="49"/>
      <c r="T227" s="49"/>
      <c r="U227" s="49"/>
      <c r="V227" s="49"/>
      <c r="W227" s="59">
        <f t="shared" si="26"/>
        <v>2</v>
      </c>
      <c r="X227" s="49"/>
      <c r="Y227" s="49"/>
      <c r="Z227" s="49"/>
      <c r="AA227" s="49"/>
      <c r="AB227" s="49"/>
      <c r="AC227" s="59" t="str">
        <f t="shared" si="27"/>
        <v>0</v>
      </c>
      <c r="AD227" s="49"/>
      <c r="AE227" s="49"/>
      <c r="AF227" s="49"/>
      <c r="AG227" s="49"/>
      <c r="AH227" s="49"/>
      <c r="AI227" s="59" t="str">
        <f t="shared" si="28"/>
        <v>0</v>
      </c>
      <c r="AJ227" s="49"/>
      <c r="AK227" s="49"/>
      <c r="AL227" s="49"/>
      <c r="AM227" s="49"/>
      <c r="AN227" s="49"/>
      <c r="AO227" s="59" t="str">
        <f t="shared" si="29"/>
        <v>0</v>
      </c>
      <c r="AP227" s="49"/>
      <c r="AQ227" s="49"/>
      <c r="AR227" s="49"/>
      <c r="AS227" s="49"/>
      <c r="AT227" s="49"/>
      <c r="AU227" s="59" t="str">
        <f t="shared" si="30"/>
        <v>0</v>
      </c>
      <c r="AV227" s="49"/>
      <c r="AW227" s="49"/>
      <c r="AX227" s="49"/>
      <c r="AY227" s="49"/>
      <c r="AZ227" s="49"/>
      <c r="BA227" s="59" t="str">
        <f t="shared" si="31"/>
        <v>0</v>
      </c>
    </row>
    <row r="228" spans="1:53" ht="23.1" customHeight="1" x14ac:dyDescent="0.3">
      <c r="A228" s="7">
        <v>226</v>
      </c>
      <c r="B228" s="7" t="s">
        <v>484</v>
      </c>
      <c r="C228" s="7" t="s">
        <v>485</v>
      </c>
      <c r="D228" s="7" t="s">
        <v>450</v>
      </c>
      <c r="E228" s="7" t="s">
        <v>289</v>
      </c>
      <c r="F228" s="7"/>
      <c r="G228" s="7"/>
      <c r="H228" s="49"/>
      <c r="I228" s="7"/>
      <c r="J228" s="7"/>
      <c r="K228" s="59" t="str">
        <f t="shared" si="24"/>
        <v>0</v>
      </c>
      <c r="L228" s="49">
        <v>3</v>
      </c>
      <c r="M228" s="49">
        <v>3</v>
      </c>
      <c r="N228" s="49">
        <v>3</v>
      </c>
      <c r="O228" s="49"/>
      <c r="P228" s="49">
        <v>2</v>
      </c>
      <c r="Q228" s="59">
        <f t="shared" si="25"/>
        <v>2.75</v>
      </c>
      <c r="R228" s="49">
        <v>2</v>
      </c>
      <c r="S228" s="49"/>
      <c r="T228" s="7"/>
      <c r="U228" s="49"/>
      <c r="V228" s="7"/>
      <c r="W228" s="59">
        <f t="shared" si="26"/>
        <v>2</v>
      </c>
      <c r="X228" s="49"/>
      <c r="Y228" s="49"/>
      <c r="Z228" s="7"/>
      <c r="AA228" s="7"/>
      <c r="AB228" s="7"/>
      <c r="AC228" s="59" t="str">
        <f t="shared" si="27"/>
        <v>0</v>
      </c>
      <c r="AD228" s="49"/>
      <c r="AE228" s="7"/>
      <c r="AF228" s="49"/>
      <c r="AG228" s="7"/>
      <c r="AH228" s="7"/>
      <c r="AI228" s="59" t="str">
        <f t="shared" si="28"/>
        <v>0</v>
      </c>
      <c r="AJ228" s="49"/>
      <c r="AK228" s="49"/>
      <c r="AL228" s="7"/>
      <c r="AM228" s="49"/>
      <c r="AN228" s="7"/>
      <c r="AO228" s="59" t="str">
        <f t="shared" si="29"/>
        <v>0</v>
      </c>
      <c r="AP228" s="49"/>
      <c r="AQ228" s="49"/>
      <c r="AR228" s="49"/>
      <c r="AS228" s="7"/>
      <c r="AT228" s="7"/>
      <c r="AU228" s="59" t="str">
        <f t="shared" si="30"/>
        <v>0</v>
      </c>
      <c r="AV228" s="7"/>
      <c r="AW228" s="7"/>
      <c r="AX228" s="49"/>
      <c r="AY228" s="49"/>
      <c r="AZ228" s="49"/>
      <c r="BA228" s="59" t="str">
        <f t="shared" si="31"/>
        <v>0</v>
      </c>
    </row>
    <row r="229" spans="1:53" ht="23.1" customHeight="1" x14ac:dyDescent="0.3">
      <c r="A229" s="49">
        <v>227</v>
      </c>
      <c r="B229" s="49" t="s">
        <v>486</v>
      </c>
      <c r="C229" s="49" t="s">
        <v>487</v>
      </c>
      <c r="D229" s="49" t="s">
        <v>450</v>
      </c>
      <c r="E229" s="49" t="s">
        <v>289</v>
      </c>
      <c r="F229" s="49"/>
      <c r="G229" s="49"/>
      <c r="H229" s="49"/>
      <c r="I229" s="49"/>
      <c r="J229" s="49"/>
      <c r="K229" s="59" t="str">
        <f t="shared" si="24"/>
        <v>0</v>
      </c>
      <c r="L229" s="49">
        <v>2</v>
      </c>
      <c r="M229" s="49">
        <v>2</v>
      </c>
      <c r="N229" s="49">
        <v>2</v>
      </c>
      <c r="O229" s="49"/>
      <c r="P229" s="49">
        <v>1</v>
      </c>
      <c r="Q229" s="59">
        <f t="shared" si="25"/>
        <v>1.75</v>
      </c>
      <c r="R229" s="49">
        <v>2</v>
      </c>
      <c r="S229" s="49"/>
      <c r="T229" s="49"/>
      <c r="U229" s="49"/>
      <c r="V229" s="49"/>
      <c r="W229" s="59">
        <f t="shared" si="26"/>
        <v>2</v>
      </c>
      <c r="X229" s="49"/>
      <c r="Y229" s="49"/>
      <c r="Z229" s="49"/>
      <c r="AA229" s="49"/>
      <c r="AB229" s="49"/>
      <c r="AC229" s="59" t="str">
        <f t="shared" si="27"/>
        <v>0</v>
      </c>
      <c r="AD229" s="49"/>
      <c r="AE229" s="49"/>
      <c r="AF229" s="49"/>
      <c r="AG229" s="49"/>
      <c r="AH229" s="49"/>
      <c r="AI229" s="59" t="str">
        <f t="shared" si="28"/>
        <v>0</v>
      </c>
      <c r="AJ229" s="49"/>
      <c r="AK229" s="49"/>
      <c r="AL229" s="49"/>
      <c r="AM229" s="49"/>
      <c r="AN229" s="49"/>
      <c r="AO229" s="59" t="str">
        <f t="shared" si="29"/>
        <v>0</v>
      </c>
      <c r="AP229" s="49"/>
      <c r="AQ229" s="49"/>
      <c r="AR229" s="49"/>
      <c r="AS229" s="49"/>
      <c r="AT229" s="49"/>
      <c r="AU229" s="59" t="str">
        <f t="shared" si="30"/>
        <v>0</v>
      </c>
      <c r="AV229" s="49"/>
      <c r="AW229" s="49"/>
      <c r="AX229" s="49"/>
      <c r="AY229" s="49"/>
      <c r="AZ229" s="49"/>
      <c r="BA229" s="59" t="str">
        <f t="shared" si="31"/>
        <v>0</v>
      </c>
    </row>
    <row r="230" spans="1:53" ht="23.1" customHeight="1" x14ac:dyDescent="0.3">
      <c r="A230" s="7">
        <v>228</v>
      </c>
      <c r="B230" s="7" t="s">
        <v>541</v>
      </c>
      <c r="C230" s="7" t="s">
        <v>488</v>
      </c>
      <c r="D230" s="7" t="s">
        <v>545</v>
      </c>
      <c r="E230" s="7" t="s">
        <v>289</v>
      </c>
      <c r="F230" s="7"/>
      <c r="G230" s="7"/>
      <c r="H230" s="49"/>
      <c r="I230" s="7"/>
      <c r="J230" s="7"/>
      <c r="K230" s="59" t="str">
        <f t="shared" si="24"/>
        <v>0</v>
      </c>
      <c r="L230" s="49">
        <v>1</v>
      </c>
      <c r="M230" s="49">
        <v>1</v>
      </c>
      <c r="N230" s="49">
        <v>1</v>
      </c>
      <c r="O230" s="49"/>
      <c r="P230" s="49">
        <v>1</v>
      </c>
      <c r="Q230" s="59">
        <f t="shared" si="25"/>
        <v>1</v>
      </c>
      <c r="R230" s="49">
        <v>1</v>
      </c>
      <c r="S230" s="49">
        <v>3</v>
      </c>
      <c r="T230" s="7"/>
      <c r="U230" s="49">
        <v>3</v>
      </c>
      <c r="V230" s="7"/>
      <c r="W230" s="59">
        <f t="shared" si="26"/>
        <v>2.3333333333333335</v>
      </c>
      <c r="X230" s="49"/>
      <c r="Y230" s="49"/>
      <c r="Z230" s="7"/>
      <c r="AA230" s="7"/>
      <c r="AB230" s="7"/>
      <c r="AC230" s="59" t="str">
        <f t="shared" si="27"/>
        <v>0</v>
      </c>
      <c r="AD230" s="49"/>
      <c r="AE230" s="7"/>
      <c r="AF230" s="49"/>
      <c r="AG230" s="7"/>
      <c r="AH230" s="7"/>
      <c r="AI230" s="59" t="str">
        <f t="shared" si="28"/>
        <v>0</v>
      </c>
      <c r="AJ230" s="49"/>
      <c r="AK230" s="49"/>
      <c r="AL230" s="7"/>
      <c r="AM230" s="49"/>
      <c r="AN230" s="7"/>
      <c r="AO230" s="59" t="str">
        <f t="shared" si="29"/>
        <v>0</v>
      </c>
      <c r="AP230" s="49"/>
      <c r="AQ230" s="49"/>
      <c r="AR230" s="49"/>
      <c r="AS230" s="7"/>
      <c r="AT230" s="7"/>
      <c r="AU230" s="59" t="str">
        <f t="shared" si="30"/>
        <v>0</v>
      </c>
      <c r="AV230" s="7"/>
      <c r="AW230" s="7"/>
      <c r="AX230" s="49"/>
      <c r="AY230" s="49"/>
      <c r="AZ230" s="49"/>
      <c r="BA230" s="59" t="str">
        <f t="shared" si="31"/>
        <v>0</v>
      </c>
    </row>
    <row r="231" spans="1:53" x14ac:dyDescent="0.3">
      <c r="AJ231" s="113"/>
      <c r="AR231" s="114"/>
    </row>
    <row r="232" spans="1:53" x14ac:dyDescent="0.3">
      <c r="AR232" s="112"/>
    </row>
  </sheetData>
  <mergeCells count="21">
    <mergeCell ref="AU1:AU2"/>
    <mergeCell ref="AV1:AZ1"/>
    <mergeCell ref="BA1:BA2"/>
    <mergeCell ref="AD1:AH1"/>
    <mergeCell ref="AI1:AI2"/>
    <mergeCell ref="AJ1:AN1"/>
    <mergeCell ref="AO1:AO2"/>
    <mergeCell ref="AP1:AT1"/>
    <mergeCell ref="W1:W2"/>
    <mergeCell ref="X1:AB1"/>
    <mergeCell ref="AC1:AC2"/>
    <mergeCell ref="F1:J1"/>
    <mergeCell ref="K1:K2"/>
    <mergeCell ref="L1:P1"/>
    <mergeCell ref="Q1:Q2"/>
    <mergeCell ref="R1:V1"/>
    <mergeCell ref="E1:E2"/>
    <mergeCell ref="A1:A2"/>
    <mergeCell ref="B1:B2"/>
    <mergeCell ref="C1:C2"/>
    <mergeCell ref="D1:D2"/>
  </mergeCells>
  <conditionalFormatting sqref="K3:K230">
    <cfRule type="containsText" dxfId="59" priority="15" operator="containsText" text="A">
      <formula>NOT(ISERROR(SEARCH("A",K3)))</formula>
    </cfRule>
  </conditionalFormatting>
  <conditionalFormatting sqref="Q3:Q230">
    <cfRule type="containsText" dxfId="51" priority="7" operator="containsText" text="A">
      <formula>NOT(ISERROR(SEARCH("A",Q3)))</formula>
    </cfRule>
  </conditionalFormatting>
  <conditionalFormatting sqref="W3:W230">
    <cfRule type="containsText" dxfId="50" priority="6" operator="containsText" text="A">
      <formula>NOT(ISERROR(SEARCH("A",W3)))</formula>
    </cfRule>
  </conditionalFormatting>
  <conditionalFormatting sqref="AC3:AC230">
    <cfRule type="containsText" dxfId="49" priority="5" operator="containsText" text="A">
      <formula>NOT(ISERROR(SEARCH("A",AC3)))</formula>
    </cfRule>
  </conditionalFormatting>
  <conditionalFormatting sqref="AI3:AI230">
    <cfRule type="containsText" dxfId="48" priority="4" operator="containsText" text="A">
      <formula>NOT(ISERROR(SEARCH("A",AI3)))</formula>
    </cfRule>
  </conditionalFormatting>
  <conditionalFormatting sqref="AO3:AO230">
    <cfRule type="containsText" dxfId="47" priority="3" operator="containsText" text="A">
      <formula>NOT(ISERROR(SEARCH("A",AO3)))</formula>
    </cfRule>
  </conditionalFormatting>
  <conditionalFormatting sqref="AU3:AU230">
    <cfRule type="containsText" dxfId="46" priority="2" operator="containsText" text="A">
      <formula>NOT(ISERROR(SEARCH("A",AU3)))</formula>
    </cfRule>
  </conditionalFormatting>
  <conditionalFormatting sqref="BA3:BA230">
    <cfRule type="containsText" dxfId="45" priority="1" operator="containsText" text="A">
      <formula>NOT(ISERROR(SEARCH("A",BA3)))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2C9B5-6547-44BD-AE49-1469A04A744E}">
  <dimension ref="A1:BC232"/>
  <sheetViews>
    <sheetView workbookViewId="0">
      <selection activeCell="K8" sqref="K8"/>
    </sheetView>
  </sheetViews>
  <sheetFormatPr defaultRowHeight="15.6" x14ac:dyDescent="0.3"/>
  <cols>
    <col min="1" max="1" width="11.109375" style="110" customWidth="1"/>
    <col min="2" max="2" width="21.6640625" style="110" customWidth="1"/>
    <col min="3" max="3" width="22.77734375" style="108" customWidth="1"/>
    <col min="4" max="5" width="12.44140625" style="110" customWidth="1"/>
    <col min="6" max="8" width="11.109375" style="110" customWidth="1"/>
    <col min="9" max="10" width="12.21875" style="109" customWidth="1"/>
    <col min="11" max="11" width="12.77734375" style="111" customWidth="1"/>
    <col min="12" max="12" width="13" style="109" customWidth="1"/>
    <col min="13" max="16" width="12.21875" style="109" customWidth="1"/>
    <col min="17" max="17" width="12.77734375" style="111" customWidth="1"/>
    <col min="18" max="22" width="12.21875" style="109" customWidth="1"/>
    <col min="23" max="23" width="12.77734375" style="111" customWidth="1"/>
    <col min="24" max="28" width="12.21875" style="109" customWidth="1"/>
    <col min="29" max="29" width="12.77734375" style="111" customWidth="1"/>
    <col min="30" max="34" width="12.21875" style="109" customWidth="1"/>
    <col min="35" max="35" width="12.77734375" style="111" customWidth="1"/>
    <col min="36" max="40" width="12.21875" style="109" customWidth="1"/>
    <col min="41" max="41" width="12.77734375" style="111" customWidth="1"/>
    <col min="42" max="46" width="12.21875" style="109" customWidth="1"/>
    <col min="47" max="47" width="12.77734375" style="111" customWidth="1"/>
    <col min="48" max="52" width="12.21875" style="109" customWidth="1"/>
    <col min="53" max="53" width="12.77734375" style="111" customWidth="1"/>
    <col min="54" max="16384" width="8.88671875" style="109"/>
  </cols>
  <sheetData>
    <row r="1" spans="1:55" s="3" customFormat="1" ht="21.6" customHeight="1" x14ac:dyDescent="0.3">
      <c r="A1" s="127" t="s">
        <v>0</v>
      </c>
      <c r="B1" s="127" t="s">
        <v>26</v>
      </c>
      <c r="C1" s="129" t="s">
        <v>27</v>
      </c>
      <c r="D1" s="127" t="s">
        <v>489</v>
      </c>
      <c r="E1" s="127" t="s">
        <v>25</v>
      </c>
      <c r="F1" s="121" t="s">
        <v>495</v>
      </c>
      <c r="G1" s="121"/>
      <c r="H1" s="121"/>
      <c r="I1" s="121"/>
      <c r="J1" s="121"/>
      <c r="K1" s="123" t="s">
        <v>28</v>
      </c>
      <c r="L1" s="121" t="s">
        <v>496</v>
      </c>
      <c r="M1" s="121"/>
      <c r="N1" s="121"/>
      <c r="O1" s="121"/>
      <c r="P1" s="121"/>
      <c r="Q1" s="123" t="s">
        <v>28</v>
      </c>
      <c r="R1" s="121" t="s">
        <v>497</v>
      </c>
      <c r="S1" s="121"/>
      <c r="T1" s="121"/>
      <c r="U1" s="121"/>
      <c r="V1" s="121"/>
      <c r="W1" s="123" t="s">
        <v>28</v>
      </c>
      <c r="X1" s="121" t="s">
        <v>498</v>
      </c>
      <c r="Y1" s="121"/>
      <c r="Z1" s="121"/>
      <c r="AA1" s="121"/>
      <c r="AB1" s="121"/>
      <c r="AC1" s="123" t="s">
        <v>28</v>
      </c>
      <c r="AD1" s="121" t="s">
        <v>499</v>
      </c>
      <c r="AE1" s="121"/>
      <c r="AF1" s="121"/>
      <c r="AG1" s="121"/>
      <c r="AH1" s="121"/>
      <c r="AI1" s="123" t="s">
        <v>28</v>
      </c>
      <c r="AJ1" s="121" t="s">
        <v>500</v>
      </c>
      <c r="AK1" s="121"/>
      <c r="AL1" s="121"/>
      <c r="AM1" s="121"/>
      <c r="AN1" s="121"/>
      <c r="AO1" s="123" t="s">
        <v>28</v>
      </c>
      <c r="AP1" s="121" t="s">
        <v>501</v>
      </c>
      <c r="AQ1" s="121"/>
      <c r="AR1" s="121"/>
      <c r="AS1" s="121"/>
      <c r="AT1" s="121"/>
      <c r="AU1" s="123" t="s">
        <v>28</v>
      </c>
      <c r="AV1" s="121" t="s">
        <v>29</v>
      </c>
      <c r="AW1" s="121"/>
      <c r="AX1" s="121"/>
      <c r="AY1" s="121"/>
      <c r="AZ1" s="121"/>
      <c r="BA1" s="123" t="s">
        <v>28</v>
      </c>
    </row>
    <row r="2" spans="1:55" s="3" customFormat="1" ht="20.100000000000001" customHeight="1" x14ac:dyDescent="0.3">
      <c r="A2" s="128"/>
      <c r="B2" s="128"/>
      <c r="C2" s="130"/>
      <c r="D2" s="128"/>
      <c r="E2" s="128"/>
      <c r="F2" s="100" t="s">
        <v>502</v>
      </c>
      <c r="G2" s="100" t="s">
        <v>503</v>
      </c>
      <c r="H2" s="100" t="s">
        <v>504</v>
      </c>
      <c r="I2" s="100" t="s">
        <v>505</v>
      </c>
      <c r="J2" s="100" t="s">
        <v>506</v>
      </c>
      <c r="K2" s="133"/>
      <c r="L2" s="100" t="s">
        <v>507</v>
      </c>
      <c r="M2" s="100" t="s">
        <v>508</v>
      </c>
      <c r="N2" s="100" t="s">
        <v>509</v>
      </c>
      <c r="O2" s="100" t="s">
        <v>510</v>
      </c>
      <c r="P2" s="100" t="s">
        <v>511</v>
      </c>
      <c r="Q2" s="133"/>
      <c r="R2" s="100" t="s">
        <v>512</v>
      </c>
      <c r="S2" s="100" t="s">
        <v>513</v>
      </c>
      <c r="T2" s="100" t="s">
        <v>514</v>
      </c>
      <c r="U2" s="100" t="s">
        <v>515</v>
      </c>
      <c r="V2" s="100" t="s">
        <v>516</v>
      </c>
      <c r="W2" s="133"/>
      <c r="X2" s="100" t="s">
        <v>517</v>
      </c>
      <c r="Y2" s="100" t="s">
        <v>518</v>
      </c>
      <c r="Z2" s="100" t="s">
        <v>519</v>
      </c>
      <c r="AA2" s="100" t="s">
        <v>520</v>
      </c>
      <c r="AB2" s="100" t="s">
        <v>521</v>
      </c>
      <c r="AC2" s="133"/>
      <c r="AD2" s="100" t="s">
        <v>522</v>
      </c>
      <c r="AE2" s="100" t="s">
        <v>523</v>
      </c>
      <c r="AF2" s="100" t="s">
        <v>524</v>
      </c>
      <c r="AG2" s="100" t="s">
        <v>525</v>
      </c>
      <c r="AH2" s="100" t="s">
        <v>526</v>
      </c>
      <c r="AI2" s="133"/>
      <c r="AJ2" s="100" t="s">
        <v>527</v>
      </c>
      <c r="AK2" s="100" t="s">
        <v>528</v>
      </c>
      <c r="AL2" s="100" t="s">
        <v>529</v>
      </c>
      <c r="AM2" s="100" t="s">
        <v>530</v>
      </c>
      <c r="AN2" s="100" t="s">
        <v>531</v>
      </c>
      <c r="AO2" s="133"/>
      <c r="AP2" s="100" t="s">
        <v>532</v>
      </c>
      <c r="AQ2" s="100" t="s">
        <v>533</v>
      </c>
      <c r="AR2" s="100" t="s">
        <v>534</v>
      </c>
      <c r="AS2" s="100" t="s">
        <v>535</v>
      </c>
      <c r="AT2" s="100" t="s">
        <v>536</v>
      </c>
      <c r="AU2" s="133"/>
      <c r="AV2" s="100" t="s">
        <v>30</v>
      </c>
      <c r="AW2" s="100" t="s">
        <v>31</v>
      </c>
      <c r="AX2" s="100" t="s">
        <v>32</v>
      </c>
      <c r="AY2" s="100" t="s">
        <v>33</v>
      </c>
      <c r="AZ2" s="100" t="s">
        <v>34</v>
      </c>
      <c r="BA2" s="133"/>
      <c r="BC2" s="109"/>
    </row>
    <row r="3" spans="1:55" ht="23.1" customHeight="1" x14ac:dyDescent="0.3">
      <c r="A3" s="49">
        <v>1</v>
      </c>
      <c r="B3" s="49" t="s">
        <v>36</v>
      </c>
      <c r="C3" s="49" t="s">
        <v>37</v>
      </c>
      <c r="D3" s="49" t="s">
        <v>542</v>
      </c>
      <c r="E3" s="49" t="s">
        <v>35</v>
      </c>
      <c r="F3" s="49">
        <v>3</v>
      </c>
      <c r="G3" s="49">
        <v>3</v>
      </c>
      <c r="H3" s="49">
        <v>2</v>
      </c>
      <c r="I3" s="49">
        <v>2</v>
      </c>
      <c r="J3" s="49"/>
      <c r="K3" s="59">
        <f>IFERROR(AVERAGE(F3,G3,H3,I3,J3),"0")</f>
        <v>2.5</v>
      </c>
      <c r="L3" s="49">
        <v>3</v>
      </c>
      <c r="M3" s="49">
        <v>3</v>
      </c>
      <c r="N3" s="49">
        <v>4</v>
      </c>
      <c r="O3" s="49">
        <v>4</v>
      </c>
      <c r="P3" s="49">
        <v>3</v>
      </c>
      <c r="Q3" s="59">
        <f>IFERROR(AVERAGE(L3,M3,N3,O3,P3),"0")</f>
        <v>3.4</v>
      </c>
      <c r="R3" s="49"/>
      <c r="S3" s="49">
        <v>2</v>
      </c>
      <c r="T3" s="49"/>
      <c r="U3" s="49"/>
      <c r="V3" s="49"/>
      <c r="W3" s="59">
        <f>IFERROR(AVERAGE(R3,S3,T3,U3,V3),"0")</f>
        <v>2</v>
      </c>
      <c r="X3" s="49"/>
      <c r="Y3" s="49"/>
      <c r="Z3" s="49"/>
      <c r="AA3" s="49"/>
      <c r="AB3" s="49"/>
      <c r="AC3" s="59" t="str">
        <f>IFERROR(AVERAGE(X3,Y3,Z3,AA3,AB3),"0")</f>
        <v>0</v>
      </c>
      <c r="AD3" s="49"/>
      <c r="AE3" s="49"/>
      <c r="AF3" s="49"/>
      <c r="AG3" s="49"/>
      <c r="AH3" s="49"/>
      <c r="AI3" s="59" t="str">
        <f>IFERROR(AVERAGE(AD3,AE3,AF3,AG3,AH3),"0")</f>
        <v>0</v>
      </c>
      <c r="AJ3" s="49">
        <v>3</v>
      </c>
      <c r="AK3" s="49">
        <v>3</v>
      </c>
      <c r="AL3" s="49">
        <v>3</v>
      </c>
      <c r="AM3" s="49">
        <v>3</v>
      </c>
      <c r="AN3" s="49"/>
      <c r="AO3" s="59">
        <f>IFERROR(AVERAGE(AJ3,AK3,AL3,AM3,AN3),"0")</f>
        <v>3</v>
      </c>
      <c r="AP3" s="49">
        <v>3</v>
      </c>
      <c r="AQ3" s="49"/>
      <c r="AR3" s="49"/>
      <c r="AS3" s="49"/>
      <c r="AT3" s="49"/>
      <c r="AU3" s="59">
        <f>IFERROR(AVERAGE(AP3,AQ3,AR3,AS3,AT3),"0")</f>
        <v>3</v>
      </c>
      <c r="AV3" s="49"/>
      <c r="AW3" s="49"/>
      <c r="AX3" s="49"/>
      <c r="AY3" s="49">
        <v>3</v>
      </c>
      <c r="AZ3" s="49">
        <v>3</v>
      </c>
      <c r="BA3" s="59">
        <f>IFERROR(AVERAGE(AV3,AW3,AX3,AY3,AZ3),"0")</f>
        <v>3</v>
      </c>
    </row>
    <row r="4" spans="1:55" ht="23.1" customHeight="1" x14ac:dyDescent="0.3">
      <c r="A4" s="7">
        <v>2</v>
      </c>
      <c r="B4" s="7" t="s">
        <v>75</v>
      </c>
      <c r="C4" s="7" t="s">
        <v>76</v>
      </c>
      <c r="D4" s="7" t="s">
        <v>450</v>
      </c>
      <c r="E4" s="7" t="s">
        <v>35</v>
      </c>
      <c r="F4" s="49">
        <v>2</v>
      </c>
      <c r="G4" s="49">
        <v>1</v>
      </c>
      <c r="H4" s="49">
        <v>2</v>
      </c>
      <c r="I4" s="49">
        <v>3</v>
      </c>
      <c r="J4" s="7"/>
      <c r="K4" s="59">
        <f t="shared" ref="K4:K67" si="0">IFERROR(AVERAGE(F4,G4,H4,I4,J4),"0")</f>
        <v>2</v>
      </c>
      <c r="L4" s="49">
        <v>3</v>
      </c>
      <c r="M4" s="49">
        <v>2</v>
      </c>
      <c r="N4" s="49">
        <v>3</v>
      </c>
      <c r="O4" s="49">
        <v>3</v>
      </c>
      <c r="P4" s="49">
        <v>2</v>
      </c>
      <c r="Q4" s="59">
        <f t="shared" ref="Q4:Q67" si="1">IFERROR(AVERAGE(L4,M4,N4,O4,P4),"0")</f>
        <v>2.6</v>
      </c>
      <c r="R4" s="49"/>
      <c r="S4" s="49">
        <v>4</v>
      </c>
      <c r="T4" s="7"/>
      <c r="U4" s="49"/>
      <c r="V4" s="7"/>
      <c r="W4" s="59">
        <f t="shared" ref="W4:W67" si="2">IFERROR(AVERAGE(R4,S4,T4,U4,V4),"0")</f>
        <v>4</v>
      </c>
      <c r="X4" s="49"/>
      <c r="Y4" s="49"/>
      <c r="Z4" s="7"/>
      <c r="AA4" s="7"/>
      <c r="AB4" s="7"/>
      <c r="AC4" s="59" t="str">
        <f t="shared" ref="AC4:AC67" si="3">IFERROR(AVERAGE(X4,Y4,Z4,AA4,AB4),"0")</f>
        <v>0</v>
      </c>
      <c r="AD4" s="49"/>
      <c r="AE4" s="7"/>
      <c r="AF4" s="49"/>
      <c r="AG4" s="7"/>
      <c r="AH4" s="7"/>
      <c r="AI4" s="59" t="str">
        <f t="shared" ref="AI4:AI67" si="4">IFERROR(AVERAGE(AD4,AE4,AF4,AG4,AH4),"0")</f>
        <v>0</v>
      </c>
      <c r="AJ4" s="49">
        <v>3</v>
      </c>
      <c r="AK4" s="49">
        <v>3</v>
      </c>
      <c r="AL4" s="49">
        <v>4</v>
      </c>
      <c r="AM4" s="49">
        <v>3</v>
      </c>
      <c r="AN4" s="7"/>
      <c r="AO4" s="59">
        <f t="shared" ref="AO4:AO67" si="5">IFERROR(AVERAGE(AJ4,AK4,AL4,AM4,AN4),"0")</f>
        <v>3.25</v>
      </c>
      <c r="AP4" s="49">
        <v>3</v>
      </c>
      <c r="AQ4" s="49"/>
      <c r="AR4" s="49"/>
      <c r="AS4" s="7"/>
      <c r="AT4" s="7"/>
      <c r="AU4" s="59">
        <f t="shared" ref="AU4:AU67" si="6">IFERROR(AVERAGE(AP4,AQ4,AR4,AS4,AT4),"0")</f>
        <v>3</v>
      </c>
      <c r="AV4" s="7"/>
      <c r="AW4" s="7"/>
      <c r="AX4" s="49"/>
      <c r="AY4" s="49">
        <v>3</v>
      </c>
      <c r="AZ4" s="49">
        <v>3</v>
      </c>
      <c r="BA4" s="59">
        <f t="shared" ref="BA4:BA67" si="7">IFERROR(AVERAGE(AV4,AW4,AX4,AY4,AZ4),"0")</f>
        <v>3</v>
      </c>
    </row>
    <row r="5" spans="1:55" ht="23.1" customHeight="1" x14ac:dyDescent="0.3">
      <c r="A5" s="49">
        <v>3</v>
      </c>
      <c r="B5" s="49" t="s">
        <v>64</v>
      </c>
      <c r="C5" s="49" t="s">
        <v>65</v>
      </c>
      <c r="D5" s="49" t="s">
        <v>542</v>
      </c>
      <c r="E5" s="49" t="s">
        <v>35</v>
      </c>
      <c r="F5" s="49">
        <v>2</v>
      </c>
      <c r="G5" s="49">
        <v>1</v>
      </c>
      <c r="H5" s="49">
        <v>3</v>
      </c>
      <c r="I5" s="49">
        <v>3</v>
      </c>
      <c r="J5" s="49"/>
      <c r="K5" s="59">
        <f t="shared" si="0"/>
        <v>2.25</v>
      </c>
      <c r="L5" s="49">
        <v>2</v>
      </c>
      <c r="M5" s="49">
        <v>3</v>
      </c>
      <c r="N5" s="49">
        <v>3</v>
      </c>
      <c r="O5" s="49">
        <v>3</v>
      </c>
      <c r="P5" s="49">
        <v>3</v>
      </c>
      <c r="Q5" s="59">
        <f t="shared" si="1"/>
        <v>2.8</v>
      </c>
      <c r="R5" s="49"/>
      <c r="S5" s="49">
        <v>3</v>
      </c>
      <c r="T5" s="49"/>
      <c r="U5" s="49"/>
      <c r="V5" s="49"/>
      <c r="W5" s="59">
        <f t="shared" si="2"/>
        <v>3</v>
      </c>
      <c r="X5" s="49"/>
      <c r="Y5" s="49"/>
      <c r="Z5" s="49"/>
      <c r="AA5" s="49"/>
      <c r="AB5" s="49"/>
      <c r="AC5" s="59" t="str">
        <f t="shared" si="3"/>
        <v>0</v>
      </c>
      <c r="AD5" s="49"/>
      <c r="AE5" s="49"/>
      <c r="AF5" s="49"/>
      <c r="AG5" s="49"/>
      <c r="AH5" s="49"/>
      <c r="AI5" s="59" t="str">
        <f t="shared" si="4"/>
        <v>0</v>
      </c>
      <c r="AJ5" s="49">
        <v>3</v>
      </c>
      <c r="AK5" s="49">
        <v>3</v>
      </c>
      <c r="AL5" s="49">
        <v>3</v>
      </c>
      <c r="AM5" s="49">
        <v>3</v>
      </c>
      <c r="AN5" s="49"/>
      <c r="AO5" s="59">
        <f t="shared" si="5"/>
        <v>3</v>
      </c>
      <c r="AP5" s="49">
        <v>3</v>
      </c>
      <c r="AQ5" s="49"/>
      <c r="AR5" s="49"/>
      <c r="AS5" s="49"/>
      <c r="AT5" s="49"/>
      <c r="AU5" s="59">
        <f t="shared" si="6"/>
        <v>3</v>
      </c>
      <c r="AV5" s="49"/>
      <c r="AW5" s="49"/>
      <c r="AX5" s="49"/>
      <c r="AY5" s="49">
        <v>4</v>
      </c>
      <c r="AZ5" s="49">
        <v>4</v>
      </c>
      <c r="BA5" s="59">
        <f t="shared" si="7"/>
        <v>4</v>
      </c>
    </row>
    <row r="6" spans="1:55" ht="23.1" customHeight="1" x14ac:dyDescent="0.3">
      <c r="A6" s="7">
        <v>4</v>
      </c>
      <c r="B6" s="7" t="s">
        <v>99</v>
      </c>
      <c r="C6" s="7" t="s">
        <v>100</v>
      </c>
      <c r="D6" s="7" t="s">
        <v>450</v>
      </c>
      <c r="E6" s="7" t="s">
        <v>35</v>
      </c>
      <c r="F6" s="49">
        <v>2</v>
      </c>
      <c r="G6" s="49">
        <v>4</v>
      </c>
      <c r="H6" s="49">
        <v>2</v>
      </c>
      <c r="I6" s="49">
        <v>4</v>
      </c>
      <c r="J6" s="7"/>
      <c r="K6" s="59">
        <f t="shared" si="0"/>
        <v>3</v>
      </c>
      <c r="L6" s="49">
        <v>3</v>
      </c>
      <c r="M6" s="49">
        <v>3</v>
      </c>
      <c r="N6" s="49">
        <v>4</v>
      </c>
      <c r="O6" s="49">
        <v>3</v>
      </c>
      <c r="P6" s="49">
        <v>2</v>
      </c>
      <c r="Q6" s="59">
        <f t="shared" si="1"/>
        <v>3</v>
      </c>
      <c r="R6" s="49"/>
      <c r="S6" s="49">
        <v>4</v>
      </c>
      <c r="T6" s="7"/>
      <c r="U6" s="49"/>
      <c r="V6" s="7"/>
      <c r="W6" s="59">
        <f t="shared" si="2"/>
        <v>4</v>
      </c>
      <c r="X6" s="49"/>
      <c r="Y6" s="49"/>
      <c r="Z6" s="7"/>
      <c r="AA6" s="7"/>
      <c r="AB6" s="7"/>
      <c r="AC6" s="59" t="str">
        <f t="shared" si="3"/>
        <v>0</v>
      </c>
      <c r="AD6" s="49"/>
      <c r="AE6" s="7"/>
      <c r="AF6" s="49"/>
      <c r="AG6" s="7"/>
      <c r="AH6" s="7"/>
      <c r="AI6" s="59" t="str">
        <f t="shared" si="4"/>
        <v>0</v>
      </c>
      <c r="AJ6" s="49">
        <v>3</v>
      </c>
      <c r="AK6" s="49">
        <v>3</v>
      </c>
      <c r="AL6" s="49">
        <v>3</v>
      </c>
      <c r="AM6" s="49">
        <v>3</v>
      </c>
      <c r="AN6" s="7"/>
      <c r="AO6" s="59">
        <f t="shared" si="5"/>
        <v>3</v>
      </c>
      <c r="AP6" s="49">
        <v>3</v>
      </c>
      <c r="AQ6" s="49"/>
      <c r="AR6" s="49"/>
      <c r="AS6" s="7"/>
      <c r="AT6" s="7"/>
      <c r="AU6" s="59">
        <f t="shared" si="6"/>
        <v>3</v>
      </c>
      <c r="AV6" s="7"/>
      <c r="AW6" s="7"/>
      <c r="AX6" s="49"/>
      <c r="AY6" s="49">
        <v>3</v>
      </c>
      <c r="AZ6" s="49">
        <v>2</v>
      </c>
      <c r="BA6" s="59">
        <f t="shared" si="7"/>
        <v>2.5</v>
      </c>
    </row>
    <row r="7" spans="1:55" ht="23.1" customHeight="1" x14ac:dyDescent="0.3">
      <c r="A7" s="49">
        <v>5</v>
      </c>
      <c r="B7" s="49" t="s">
        <v>290</v>
      </c>
      <c r="C7" s="49" t="s">
        <v>538</v>
      </c>
      <c r="D7" s="49" t="s">
        <v>450</v>
      </c>
      <c r="E7" s="49" t="s">
        <v>289</v>
      </c>
      <c r="F7" s="49">
        <v>1</v>
      </c>
      <c r="G7" s="49">
        <v>1</v>
      </c>
      <c r="H7" s="49">
        <v>1</v>
      </c>
      <c r="I7" s="49">
        <v>1</v>
      </c>
      <c r="J7" s="49"/>
      <c r="K7" s="59">
        <f t="shared" si="0"/>
        <v>1</v>
      </c>
      <c r="L7" s="49">
        <v>1</v>
      </c>
      <c r="M7" s="49">
        <v>1</v>
      </c>
      <c r="N7" s="49">
        <v>1</v>
      </c>
      <c r="O7" s="49">
        <v>1</v>
      </c>
      <c r="P7" s="49">
        <v>1</v>
      </c>
      <c r="Q7" s="59">
        <f t="shared" si="1"/>
        <v>1</v>
      </c>
      <c r="R7" s="49"/>
      <c r="S7" s="49">
        <v>1</v>
      </c>
      <c r="T7" s="49"/>
      <c r="U7" s="49"/>
      <c r="V7" s="49"/>
      <c r="W7" s="59">
        <f t="shared" si="2"/>
        <v>1</v>
      </c>
      <c r="X7" s="49"/>
      <c r="Y7" s="49"/>
      <c r="Z7" s="49"/>
      <c r="AA7" s="49"/>
      <c r="AB7" s="49"/>
      <c r="AC7" s="59" t="str">
        <f t="shared" si="3"/>
        <v>0</v>
      </c>
      <c r="AD7" s="49"/>
      <c r="AE7" s="49"/>
      <c r="AF7" s="49"/>
      <c r="AG7" s="49"/>
      <c r="AH7" s="49"/>
      <c r="AI7" s="59" t="str">
        <f t="shared" si="4"/>
        <v>0</v>
      </c>
      <c r="AJ7" s="49">
        <v>1</v>
      </c>
      <c r="AK7" s="49">
        <v>1</v>
      </c>
      <c r="AL7" s="49">
        <v>1</v>
      </c>
      <c r="AM7" s="49">
        <v>1</v>
      </c>
      <c r="AN7" s="49"/>
      <c r="AO7" s="59">
        <f t="shared" si="5"/>
        <v>1</v>
      </c>
      <c r="AP7" s="49">
        <v>3</v>
      </c>
      <c r="AQ7" s="49"/>
      <c r="AR7" s="49"/>
      <c r="AS7" s="49"/>
      <c r="AT7" s="49"/>
      <c r="AU7" s="59">
        <f t="shared" si="6"/>
        <v>3</v>
      </c>
      <c r="AV7" s="49"/>
      <c r="AW7" s="49"/>
      <c r="AX7" s="49"/>
      <c r="AY7" s="49">
        <v>2</v>
      </c>
      <c r="AZ7" s="49">
        <v>3</v>
      </c>
      <c r="BA7" s="59">
        <f t="shared" si="7"/>
        <v>2.5</v>
      </c>
    </row>
    <row r="8" spans="1:55" ht="23.1" customHeight="1" x14ac:dyDescent="0.3">
      <c r="A8" s="7">
        <v>6</v>
      </c>
      <c r="B8" s="7" t="s">
        <v>101</v>
      </c>
      <c r="C8" s="7" t="s">
        <v>102</v>
      </c>
      <c r="D8" s="7" t="s">
        <v>450</v>
      </c>
      <c r="E8" s="7" t="s">
        <v>35</v>
      </c>
      <c r="F8" s="49">
        <v>3</v>
      </c>
      <c r="G8" s="49">
        <v>3</v>
      </c>
      <c r="H8" s="49">
        <v>3</v>
      </c>
      <c r="I8" s="49">
        <v>3</v>
      </c>
      <c r="J8" s="7"/>
      <c r="K8" s="59">
        <f t="shared" si="0"/>
        <v>3</v>
      </c>
      <c r="L8" s="49">
        <v>2</v>
      </c>
      <c r="M8" s="49">
        <v>3</v>
      </c>
      <c r="N8" s="49">
        <v>2</v>
      </c>
      <c r="O8" s="49">
        <v>4</v>
      </c>
      <c r="P8" s="49">
        <v>2</v>
      </c>
      <c r="Q8" s="59">
        <f t="shared" si="1"/>
        <v>2.6</v>
      </c>
      <c r="R8" s="49"/>
      <c r="S8" s="49">
        <v>2</v>
      </c>
      <c r="T8" s="7"/>
      <c r="U8" s="49"/>
      <c r="V8" s="7"/>
      <c r="W8" s="59">
        <f t="shared" si="2"/>
        <v>2</v>
      </c>
      <c r="X8" s="49"/>
      <c r="Y8" s="49"/>
      <c r="Z8" s="7"/>
      <c r="AA8" s="7"/>
      <c r="AB8" s="7"/>
      <c r="AC8" s="59" t="str">
        <f t="shared" si="3"/>
        <v>0</v>
      </c>
      <c r="AD8" s="49"/>
      <c r="AE8" s="7"/>
      <c r="AF8" s="49"/>
      <c r="AG8" s="7"/>
      <c r="AH8" s="7"/>
      <c r="AI8" s="59" t="str">
        <f t="shared" si="4"/>
        <v>0</v>
      </c>
      <c r="AJ8" s="49">
        <v>2</v>
      </c>
      <c r="AK8" s="49">
        <v>3</v>
      </c>
      <c r="AL8" s="49">
        <v>3</v>
      </c>
      <c r="AM8" s="49">
        <v>3</v>
      </c>
      <c r="AN8" s="7"/>
      <c r="AO8" s="59">
        <f t="shared" si="5"/>
        <v>2.75</v>
      </c>
      <c r="AP8" s="49">
        <v>3</v>
      </c>
      <c r="AQ8" s="49"/>
      <c r="AR8" s="49"/>
      <c r="AS8" s="7"/>
      <c r="AT8" s="7"/>
      <c r="AU8" s="59">
        <f t="shared" si="6"/>
        <v>3</v>
      </c>
      <c r="AV8" s="7"/>
      <c r="AW8" s="7"/>
      <c r="AX8" s="49"/>
      <c r="AY8" s="49">
        <v>3</v>
      </c>
      <c r="AZ8" s="49">
        <v>3</v>
      </c>
      <c r="BA8" s="59">
        <f t="shared" si="7"/>
        <v>3</v>
      </c>
    </row>
    <row r="9" spans="1:55" ht="23.1" customHeight="1" x14ac:dyDescent="0.3">
      <c r="A9" s="49">
        <v>7</v>
      </c>
      <c r="B9" s="49" t="s">
        <v>72</v>
      </c>
      <c r="C9" s="49" t="s">
        <v>73</v>
      </c>
      <c r="D9" s="49" t="s">
        <v>450</v>
      </c>
      <c r="E9" s="49" t="s">
        <v>35</v>
      </c>
      <c r="F9" s="49">
        <v>2</v>
      </c>
      <c r="G9" s="49">
        <v>2</v>
      </c>
      <c r="H9" s="49">
        <v>3</v>
      </c>
      <c r="I9" s="49">
        <v>3</v>
      </c>
      <c r="J9" s="49"/>
      <c r="K9" s="59">
        <f t="shared" si="0"/>
        <v>2.5</v>
      </c>
      <c r="L9" s="49">
        <v>3</v>
      </c>
      <c r="M9" s="49">
        <v>2</v>
      </c>
      <c r="N9" s="49">
        <v>2</v>
      </c>
      <c r="O9" s="49">
        <v>3</v>
      </c>
      <c r="P9" s="49">
        <v>3</v>
      </c>
      <c r="Q9" s="59">
        <f t="shared" si="1"/>
        <v>2.6</v>
      </c>
      <c r="R9" s="49"/>
      <c r="S9" s="49">
        <v>3</v>
      </c>
      <c r="T9" s="49"/>
      <c r="U9" s="49"/>
      <c r="V9" s="49"/>
      <c r="W9" s="59">
        <f t="shared" si="2"/>
        <v>3</v>
      </c>
      <c r="X9" s="49"/>
      <c r="Y9" s="49"/>
      <c r="Z9" s="49"/>
      <c r="AA9" s="49"/>
      <c r="AB9" s="49"/>
      <c r="AC9" s="59" t="str">
        <f t="shared" si="3"/>
        <v>0</v>
      </c>
      <c r="AD9" s="49"/>
      <c r="AE9" s="49"/>
      <c r="AF9" s="49"/>
      <c r="AG9" s="49"/>
      <c r="AH9" s="49"/>
      <c r="AI9" s="59" t="str">
        <f t="shared" si="4"/>
        <v>0</v>
      </c>
      <c r="AJ9" s="49">
        <v>3</v>
      </c>
      <c r="AK9" s="49">
        <v>2</v>
      </c>
      <c r="AL9" s="49">
        <v>4</v>
      </c>
      <c r="AM9" s="49">
        <v>3</v>
      </c>
      <c r="AN9" s="49"/>
      <c r="AO9" s="59">
        <f t="shared" si="5"/>
        <v>3</v>
      </c>
      <c r="AP9" s="49">
        <v>3</v>
      </c>
      <c r="AQ9" s="49"/>
      <c r="AR9" s="49"/>
      <c r="AS9" s="49"/>
      <c r="AT9" s="49"/>
      <c r="AU9" s="59">
        <f t="shared" si="6"/>
        <v>3</v>
      </c>
      <c r="AV9" s="49"/>
      <c r="AW9" s="49"/>
      <c r="AX9" s="49"/>
      <c r="AY9" s="49">
        <v>3</v>
      </c>
      <c r="AZ9" s="49">
        <v>3</v>
      </c>
      <c r="BA9" s="59">
        <f t="shared" si="7"/>
        <v>3</v>
      </c>
    </row>
    <row r="10" spans="1:55" ht="23.1" customHeight="1" x14ac:dyDescent="0.3">
      <c r="A10" s="7">
        <v>8</v>
      </c>
      <c r="B10" s="7" t="s">
        <v>291</v>
      </c>
      <c r="C10" s="7" t="s">
        <v>292</v>
      </c>
      <c r="D10" s="7" t="s">
        <v>450</v>
      </c>
      <c r="E10" s="7" t="s">
        <v>493</v>
      </c>
      <c r="F10" s="49">
        <v>2</v>
      </c>
      <c r="G10" s="49">
        <v>3</v>
      </c>
      <c r="H10" s="49">
        <v>2</v>
      </c>
      <c r="I10" s="49">
        <v>4</v>
      </c>
      <c r="J10" s="7"/>
      <c r="K10" s="59">
        <f t="shared" si="0"/>
        <v>2.75</v>
      </c>
      <c r="L10" s="49">
        <v>4</v>
      </c>
      <c r="M10" s="49">
        <v>2</v>
      </c>
      <c r="N10" s="49">
        <v>3</v>
      </c>
      <c r="O10" s="49">
        <v>3</v>
      </c>
      <c r="P10" s="49">
        <v>4</v>
      </c>
      <c r="Q10" s="59">
        <f t="shared" si="1"/>
        <v>3.2</v>
      </c>
      <c r="R10" s="49"/>
      <c r="S10" s="49">
        <v>3</v>
      </c>
      <c r="T10" s="7"/>
      <c r="U10" s="49"/>
      <c r="V10" s="7"/>
      <c r="W10" s="59">
        <f t="shared" si="2"/>
        <v>3</v>
      </c>
      <c r="X10" s="49"/>
      <c r="Y10" s="49"/>
      <c r="Z10" s="7"/>
      <c r="AA10" s="7"/>
      <c r="AB10" s="7"/>
      <c r="AC10" s="59" t="str">
        <f t="shared" si="3"/>
        <v>0</v>
      </c>
      <c r="AD10" s="49"/>
      <c r="AE10" s="7"/>
      <c r="AF10" s="49"/>
      <c r="AG10" s="7"/>
      <c r="AH10" s="7"/>
      <c r="AI10" s="59" t="str">
        <f t="shared" si="4"/>
        <v>0</v>
      </c>
      <c r="AJ10" s="49">
        <v>3</v>
      </c>
      <c r="AK10" s="49">
        <v>3</v>
      </c>
      <c r="AL10" s="49">
        <v>3</v>
      </c>
      <c r="AM10" s="49">
        <v>4</v>
      </c>
      <c r="AN10" s="7"/>
      <c r="AO10" s="59">
        <f t="shared" si="5"/>
        <v>3.25</v>
      </c>
      <c r="AP10" s="49">
        <v>3</v>
      </c>
      <c r="AQ10" s="49"/>
      <c r="AR10" s="49"/>
      <c r="AS10" s="7"/>
      <c r="AT10" s="7"/>
      <c r="AU10" s="59">
        <f t="shared" si="6"/>
        <v>3</v>
      </c>
      <c r="AV10" s="7"/>
      <c r="AW10" s="7"/>
      <c r="AX10" s="49"/>
      <c r="AY10" s="49">
        <v>2</v>
      </c>
      <c r="AZ10" s="49">
        <v>3</v>
      </c>
      <c r="BA10" s="59">
        <f t="shared" si="7"/>
        <v>2.5</v>
      </c>
    </row>
    <row r="11" spans="1:55" ht="23.1" customHeight="1" x14ac:dyDescent="0.3">
      <c r="A11" s="49">
        <v>9</v>
      </c>
      <c r="B11" s="49" t="s">
        <v>103</v>
      </c>
      <c r="C11" s="49" t="s">
        <v>104</v>
      </c>
      <c r="D11" s="49" t="s">
        <v>542</v>
      </c>
      <c r="E11" s="49" t="s">
        <v>35</v>
      </c>
      <c r="F11" s="49">
        <v>3.5</v>
      </c>
      <c r="G11" s="49">
        <v>3.5</v>
      </c>
      <c r="H11" s="49">
        <v>3.5</v>
      </c>
      <c r="I11" s="49">
        <v>3</v>
      </c>
      <c r="J11" s="49"/>
      <c r="K11" s="59">
        <f t="shared" si="0"/>
        <v>3.375</v>
      </c>
      <c r="L11" s="49">
        <v>3.5</v>
      </c>
      <c r="M11" s="49">
        <v>3.5</v>
      </c>
      <c r="N11" s="49">
        <v>3.5</v>
      </c>
      <c r="O11" s="49">
        <v>3</v>
      </c>
      <c r="P11" s="49">
        <v>3.5</v>
      </c>
      <c r="Q11" s="59">
        <f t="shared" si="1"/>
        <v>3.4</v>
      </c>
      <c r="R11" s="49"/>
      <c r="S11" s="49">
        <v>3.5</v>
      </c>
      <c r="T11" s="49"/>
      <c r="U11" s="49"/>
      <c r="V11" s="49"/>
      <c r="W11" s="59">
        <f t="shared" si="2"/>
        <v>3.5</v>
      </c>
      <c r="X11" s="49"/>
      <c r="Y11" s="49"/>
      <c r="Z11" s="49"/>
      <c r="AA11" s="49"/>
      <c r="AB11" s="49"/>
      <c r="AC11" s="59" t="str">
        <f t="shared" si="3"/>
        <v>0</v>
      </c>
      <c r="AD11" s="49"/>
      <c r="AE11" s="49"/>
      <c r="AF11" s="49"/>
      <c r="AG11" s="49"/>
      <c r="AH11" s="49"/>
      <c r="AI11" s="59" t="str">
        <f t="shared" si="4"/>
        <v>0</v>
      </c>
      <c r="AJ11" s="49">
        <v>3.5</v>
      </c>
      <c r="AK11" s="49">
        <v>3.5</v>
      </c>
      <c r="AL11" s="49">
        <v>3.5</v>
      </c>
      <c r="AM11" s="49">
        <v>3.5</v>
      </c>
      <c r="AN11" s="49"/>
      <c r="AO11" s="59">
        <f t="shared" si="5"/>
        <v>3.5</v>
      </c>
      <c r="AP11" s="49">
        <v>3.5</v>
      </c>
      <c r="AQ11" s="49"/>
      <c r="AR11" s="49"/>
      <c r="AS11" s="49"/>
      <c r="AT11" s="49"/>
      <c r="AU11" s="59">
        <f t="shared" si="6"/>
        <v>3.5</v>
      </c>
      <c r="AV11" s="49"/>
      <c r="AW11" s="49"/>
      <c r="AX11" s="49"/>
      <c r="AY11" s="49">
        <v>3</v>
      </c>
      <c r="AZ11" s="49">
        <v>3.5</v>
      </c>
      <c r="BA11" s="59">
        <f t="shared" si="7"/>
        <v>3.25</v>
      </c>
    </row>
    <row r="12" spans="1:55" ht="23.1" customHeight="1" x14ac:dyDescent="0.3">
      <c r="A12" s="7">
        <v>10</v>
      </c>
      <c r="B12" s="7" t="s">
        <v>68</v>
      </c>
      <c r="C12" s="7" t="s">
        <v>69</v>
      </c>
      <c r="D12" s="7" t="s">
        <v>450</v>
      </c>
      <c r="E12" s="7" t="s">
        <v>35</v>
      </c>
      <c r="F12" s="49">
        <v>4</v>
      </c>
      <c r="G12" s="49">
        <v>4</v>
      </c>
      <c r="H12" s="49">
        <v>4</v>
      </c>
      <c r="I12" s="49">
        <v>4</v>
      </c>
      <c r="J12" s="7"/>
      <c r="K12" s="59">
        <f t="shared" si="0"/>
        <v>4</v>
      </c>
      <c r="L12" s="49">
        <v>3</v>
      </c>
      <c r="M12" s="49">
        <v>4</v>
      </c>
      <c r="N12" s="49">
        <v>4</v>
      </c>
      <c r="O12" s="49">
        <v>4</v>
      </c>
      <c r="P12" s="49">
        <v>5</v>
      </c>
      <c r="Q12" s="59">
        <f t="shared" si="1"/>
        <v>4</v>
      </c>
      <c r="R12" s="49"/>
      <c r="S12" s="49">
        <v>4</v>
      </c>
      <c r="T12" s="7"/>
      <c r="U12" s="49"/>
      <c r="V12" s="7"/>
      <c r="W12" s="59">
        <f t="shared" si="2"/>
        <v>4</v>
      </c>
      <c r="X12" s="49"/>
      <c r="Y12" s="49"/>
      <c r="Z12" s="7"/>
      <c r="AA12" s="7"/>
      <c r="AB12" s="7"/>
      <c r="AC12" s="59" t="str">
        <f t="shared" si="3"/>
        <v>0</v>
      </c>
      <c r="AD12" s="49"/>
      <c r="AE12" s="7"/>
      <c r="AF12" s="49"/>
      <c r="AG12" s="7"/>
      <c r="AH12" s="7"/>
      <c r="AI12" s="59" t="str">
        <f t="shared" si="4"/>
        <v>0</v>
      </c>
      <c r="AJ12" s="49">
        <v>4</v>
      </c>
      <c r="AK12" s="49">
        <v>4</v>
      </c>
      <c r="AL12" s="49">
        <v>4</v>
      </c>
      <c r="AM12" s="49">
        <v>4</v>
      </c>
      <c r="AN12" s="7"/>
      <c r="AO12" s="59">
        <f t="shared" si="5"/>
        <v>4</v>
      </c>
      <c r="AP12" s="49">
        <v>3</v>
      </c>
      <c r="AQ12" s="49"/>
      <c r="AR12" s="49"/>
      <c r="AS12" s="7"/>
      <c r="AT12" s="7"/>
      <c r="AU12" s="59">
        <f t="shared" si="6"/>
        <v>3</v>
      </c>
      <c r="AV12" s="7"/>
      <c r="AW12" s="7"/>
      <c r="AX12" s="49"/>
      <c r="AY12" s="49">
        <v>4</v>
      </c>
      <c r="AZ12" s="49">
        <v>4</v>
      </c>
      <c r="BA12" s="59">
        <f t="shared" si="7"/>
        <v>4</v>
      </c>
    </row>
    <row r="13" spans="1:55" ht="23.1" customHeight="1" x14ac:dyDescent="0.3">
      <c r="A13" s="49">
        <v>11</v>
      </c>
      <c r="B13" s="49" t="s">
        <v>162</v>
      </c>
      <c r="C13" s="49" t="s">
        <v>163</v>
      </c>
      <c r="D13" s="49" t="s">
        <v>450</v>
      </c>
      <c r="E13" s="49" t="s">
        <v>161</v>
      </c>
      <c r="F13" s="49">
        <v>2</v>
      </c>
      <c r="G13" s="49">
        <v>2</v>
      </c>
      <c r="H13" s="49">
        <v>2</v>
      </c>
      <c r="I13" s="49">
        <v>2</v>
      </c>
      <c r="J13" s="49"/>
      <c r="K13" s="59">
        <f t="shared" si="0"/>
        <v>2</v>
      </c>
      <c r="L13" s="49">
        <v>3</v>
      </c>
      <c r="M13" s="49">
        <v>2</v>
      </c>
      <c r="N13" s="49">
        <v>3</v>
      </c>
      <c r="O13" s="49">
        <v>4</v>
      </c>
      <c r="P13" s="49">
        <v>2</v>
      </c>
      <c r="Q13" s="59">
        <f t="shared" si="1"/>
        <v>2.8</v>
      </c>
      <c r="R13" s="49"/>
      <c r="S13" s="49">
        <v>3</v>
      </c>
      <c r="T13" s="49"/>
      <c r="U13" s="49"/>
      <c r="V13" s="49"/>
      <c r="W13" s="59">
        <f t="shared" si="2"/>
        <v>3</v>
      </c>
      <c r="X13" s="49"/>
      <c r="Y13" s="49"/>
      <c r="Z13" s="49"/>
      <c r="AA13" s="49"/>
      <c r="AB13" s="49"/>
      <c r="AC13" s="59" t="str">
        <f t="shared" si="3"/>
        <v>0</v>
      </c>
      <c r="AD13" s="49"/>
      <c r="AE13" s="49"/>
      <c r="AF13" s="49"/>
      <c r="AG13" s="49"/>
      <c r="AH13" s="49"/>
      <c r="AI13" s="59" t="str">
        <f t="shared" si="4"/>
        <v>0</v>
      </c>
      <c r="AJ13" s="49">
        <v>2</v>
      </c>
      <c r="AK13" s="49">
        <v>2</v>
      </c>
      <c r="AL13" s="49">
        <v>2</v>
      </c>
      <c r="AM13" s="49">
        <v>2</v>
      </c>
      <c r="AN13" s="49"/>
      <c r="AO13" s="59">
        <f t="shared" si="5"/>
        <v>2</v>
      </c>
      <c r="AP13" s="49">
        <v>3</v>
      </c>
      <c r="AQ13" s="49"/>
      <c r="AR13" s="49"/>
      <c r="AS13" s="49"/>
      <c r="AT13" s="49"/>
      <c r="AU13" s="59">
        <f t="shared" si="6"/>
        <v>3</v>
      </c>
      <c r="AV13" s="49"/>
      <c r="AW13" s="49"/>
      <c r="AX13" s="49"/>
      <c r="AY13" s="49">
        <v>2</v>
      </c>
      <c r="AZ13" s="49">
        <v>2</v>
      </c>
      <c r="BA13" s="59">
        <f t="shared" si="7"/>
        <v>2</v>
      </c>
    </row>
    <row r="14" spans="1:55" ht="23.1" customHeight="1" x14ac:dyDescent="0.3">
      <c r="A14" s="7">
        <v>12</v>
      </c>
      <c r="B14" s="7" t="s">
        <v>178</v>
      </c>
      <c r="C14" s="7" t="s">
        <v>179</v>
      </c>
      <c r="D14" s="7" t="s">
        <v>450</v>
      </c>
      <c r="E14" s="7" t="s">
        <v>161</v>
      </c>
      <c r="F14" s="49">
        <v>3</v>
      </c>
      <c r="G14" s="49">
        <v>2.5</v>
      </c>
      <c r="H14" s="49">
        <v>3</v>
      </c>
      <c r="I14" s="49">
        <v>3</v>
      </c>
      <c r="J14" s="7"/>
      <c r="K14" s="59">
        <f t="shared" si="0"/>
        <v>2.875</v>
      </c>
      <c r="L14" s="49">
        <v>3</v>
      </c>
      <c r="M14" s="49">
        <v>2.5</v>
      </c>
      <c r="N14" s="49">
        <v>3</v>
      </c>
      <c r="O14" s="49">
        <v>3</v>
      </c>
      <c r="P14" s="49">
        <v>3</v>
      </c>
      <c r="Q14" s="59">
        <f t="shared" si="1"/>
        <v>2.9</v>
      </c>
      <c r="R14" s="49"/>
      <c r="S14" s="49">
        <v>3</v>
      </c>
      <c r="T14" s="7"/>
      <c r="U14" s="49"/>
      <c r="V14" s="7"/>
      <c r="W14" s="59">
        <f t="shared" si="2"/>
        <v>3</v>
      </c>
      <c r="X14" s="49"/>
      <c r="Y14" s="49"/>
      <c r="Z14" s="7"/>
      <c r="AA14" s="7"/>
      <c r="AB14" s="7"/>
      <c r="AC14" s="59" t="str">
        <f t="shared" si="3"/>
        <v>0</v>
      </c>
      <c r="AD14" s="49"/>
      <c r="AE14" s="7"/>
      <c r="AF14" s="49"/>
      <c r="AG14" s="7"/>
      <c r="AH14" s="7"/>
      <c r="AI14" s="59" t="str">
        <f t="shared" si="4"/>
        <v>0</v>
      </c>
      <c r="AJ14" s="49">
        <v>3</v>
      </c>
      <c r="AK14" s="49">
        <v>3</v>
      </c>
      <c r="AL14" s="49">
        <v>3</v>
      </c>
      <c r="AM14" s="49">
        <v>2.5</v>
      </c>
      <c r="AN14" s="7"/>
      <c r="AO14" s="59">
        <f t="shared" si="5"/>
        <v>2.875</v>
      </c>
      <c r="AP14" s="49">
        <v>3</v>
      </c>
      <c r="AQ14" s="49"/>
      <c r="AR14" s="49"/>
      <c r="AS14" s="7"/>
      <c r="AT14" s="7"/>
      <c r="AU14" s="59">
        <f t="shared" si="6"/>
        <v>3</v>
      </c>
      <c r="AV14" s="7"/>
      <c r="AW14" s="7"/>
      <c r="AX14" s="49"/>
      <c r="AY14" s="49">
        <v>3</v>
      </c>
      <c r="AZ14" s="49">
        <v>3</v>
      </c>
      <c r="BA14" s="59">
        <f t="shared" si="7"/>
        <v>3</v>
      </c>
    </row>
    <row r="15" spans="1:55" ht="23.1" customHeight="1" x14ac:dyDescent="0.3">
      <c r="A15" s="49">
        <v>13</v>
      </c>
      <c r="B15" s="49" t="s">
        <v>87</v>
      </c>
      <c r="C15" s="49" t="s">
        <v>88</v>
      </c>
      <c r="D15" s="49" t="s">
        <v>450</v>
      </c>
      <c r="E15" s="49" t="s">
        <v>35</v>
      </c>
      <c r="F15" s="49">
        <v>3</v>
      </c>
      <c r="G15" s="49">
        <v>4</v>
      </c>
      <c r="H15" s="49">
        <v>4</v>
      </c>
      <c r="I15" s="49">
        <v>4</v>
      </c>
      <c r="J15" s="49"/>
      <c r="K15" s="59">
        <f t="shared" si="0"/>
        <v>3.75</v>
      </c>
      <c r="L15" s="49">
        <v>4</v>
      </c>
      <c r="M15" s="49">
        <v>4</v>
      </c>
      <c r="N15" s="49">
        <v>3</v>
      </c>
      <c r="O15" s="49">
        <v>4</v>
      </c>
      <c r="P15" s="49">
        <v>4</v>
      </c>
      <c r="Q15" s="59">
        <f t="shared" si="1"/>
        <v>3.8</v>
      </c>
      <c r="R15" s="49"/>
      <c r="S15" s="49">
        <v>4</v>
      </c>
      <c r="T15" s="49"/>
      <c r="U15" s="49"/>
      <c r="V15" s="49"/>
      <c r="W15" s="59">
        <f t="shared" si="2"/>
        <v>4</v>
      </c>
      <c r="X15" s="49"/>
      <c r="Y15" s="49"/>
      <c r="Z15" s="49"/>
      <c r="AA15" s="49"/>
      <c r="AB15" s="49"/>
      <c r="AC15" s="59" t="str">
        <f t="shared" si="3"/>
        <v>0</v>
      </c>
      <c r="AD15" s="49"/>
      <c r="AE15" s="49"/>
      <c r="AF15" s="49"/>
      <c r="AG15" s="49"/>
      <c r="AH15" s="49"/>
      <c r="AI15" s="59" t="str">
        <f t="shared" si="4"/>
        <v>0</v>
      </c>
      <c r="AJ15" s="49">
        <v>3</v>
      </c>
      <c r="AK15" s="49">
        <v>3</v>
      </c>
      <c r="AL15" s="49">
        <v>4</v>
      </c>
      <c r="AM15" s="49">
        <v>4</v>
      </c>
      <c r="AN15" s="49"/>
      <c r="AO15" s="59">
        <f t="shared" si="5"/>
        <v>3.5</v>
      </c>
      <c r="AP15" s="49">
        <v>3</v>
      </c>
      <c r="AQ15" s="49"/>
      <c r="AR15" s="49"/>
      <c r="AS15" s="49"/>
      <c r="AT15" s="49"/>
      <c r="AU15" s="59">
        <f t="shared" si="6"/>
        <v>3</v>
      </c>
      <c r="AV15" s="49"/>
      <c r="AW15" s="49"/>
      <c r="AX15" s="49"/>
      <c r="AY15" s="49">
        <v>4</v>
      </c>
      <c r="AZ15" s="49">
        <v>4</v>
      </c>
      <c r="BA15" s="59">
        <f t="shared" si="7"/>
        <v>4</v>
      </c>
    </row>
    <row r="16" spans="1:55" ht="23.1" customHeight="1" x14ac:dyDescent="0.3">
      <c r="A16" s="7">
        <v>14</v>
      </c>
      <c r="B16" s="7" t="s">
        <v>194</v>
      </c>
      <c r="C16" s="7" t="s">
        <v>195</v>
      </c>
      <c r="D16" s="7" t="s">
        <v>542</v>
      </c>
      <c r="E16" s="7" t="s">
        <v>161</v>
      </c>
      <c r="F16" s="49">
        <v>4</v>
      </c>
      <c r="G16" s="49">
        <v>3.5</v>
      </c>
      <c r="H16" s="49">
        <v>3</v>
      </c>
      <c r="I16" s="49">
        <v>3.5</v>
      </c>
      <c r="J16" s="7"/>
      <c r="K16" s="59">
        <f t="shared" si="0"/>
        <v>3.5</v>
      </c>
      <c r="L16" s="49">
        <v>4</v>
      </c>
      <c r="M16" s="49">
        <v>3.5</v>
      </c>
      <c r="N16" s="49">
        <v>3</v>
      </c>
      <c r="O16" s="49">
        <v>3.5</v>
      </c>
      <c r="P16" s="49">
        <v>4</v>
      </c>
      <c r="Q16" s="59">
        <f t="shared" si="1"/>
        <v>3.6</v>
      </c>
      <c r="R16" s="49"/>
      <c r="S16" s="49">
        <v>3.5</v>
      </c>
      <c r="T16" s="7"/>
      <c r="U16" s="49"/>
      <c r="V16" s="7"/>
      <c r="W16" s="59">
        <f t="shared" si="2"/>
        <v>3.5</v>
      </c>
      <c r="X16" s="49"/>
      <c r="Y16" s="49"/>
      <c r="Z16" s="7"/>
      <c r="AA16" s="7"/>
      <c r="AB16" s="7"/>
      <c r="AC16" s="59" t="str">
        <f t="shared" si="3"/>
        <v>0</v>
      </c>
      <c r="AD16" s="49"/>
      <c r="AE16" s="7"/>
      <c r="AF16" s="49"/>
      <c r="AG16" s="7"/>
      <c r="AH16" s="7"/>
      <c r="AI16" s="59" t="str">
        <f t="shared" si="4"/>
        <v>0</v>
      </c>
      <c r="AJ16" s="49">
        <v>4</v>
      </c>
      <c r="AK16" s="49">
        <v>3.5</v>
      </c>
      <c r="AL16" s="49">
        <v>4</v>
      </c>
      <c r="AM16" s="49">
        <v>3.5</v>
      </c>
      <c r="AN16" s="7"/>
      <c r="AO16" s="59">
        <f t="shared" si="5"/>
        <v>3.75</v>
      </c>
      <c r="AP16" s="49">
        <v>3</v>
      </c>
      <c r="AQ16" s="49"/>
      <c r="AR16" s="49"/>
      <c r="AS16" s="7"/>
      <c r="AT16" s="7"/>
      <c r="AU16" s="59">
        <f t="shared" si="6"/>
        <v>3</v>
      </c>
      <c r="AV16" s="7"/>
      <c r="AW16" s="7"/>
      <c r="AX16" s="49"/>
      <c r="AY16" s="49">
        <v>3.5</v>
      </c>
      <c r="AZ16" s="49">
        <v>4</v>
      </c>
      <c r="BA16" s="59">
        <f t="shared" si="7"/>
        <v>3.75</v>
      </c>
    </row>
    <row r="17" spans="1:53" ht="23.1" customHeight="1" x14ac:dyDescent="0.3">
      <c r="A17" s="49">
        <v>15</v>
      </c>
      <c r="B17" s="49" t="s">
        <v>293</v>
      </c>
      <c r="C17" s="49" t="s">
        <v>294</v>
      </c>
      <c r="D17" s="49" t="s">
        <v>542</v>
      </c>
      <c r="E17" s="49" t="s">
        <v>493</v>
      </c>
      <c r="F17" s="49" t="s">
        <v>581</v>
      </c>
      <c r="G17" s="49" t="s">
        <v>581</v>
      </c>
      <c r="H17" s="49" t="s">
        <v>581</v>
      </c>
      <c r="I17" s="49" t="s">
        <v>581</v>
      </c>
      <c r="J17" s="49"/>
      <c r="K17" s="59" t="str">
        <f t="shared" si="0"/>
        <v>0</v>
      </c>
      <c r="L17" s="49" t="s">
        <v>581</v>
      </c>
      <c r="M17" s="49" t="s">
        <v>581</v>
      </c>
      <c r="N17" s="49" t="s">
        <v>581</v>
      </c>
      <c r="O17" s="49" t="s">
        <v>581</v>
      </c>
      <c r="P17" s="49" t="s">
        <v>581</v>
      </c>
      <c r="Q17" s="59" t="str">
        <f t="shared" si="1"/>
        <v>0</v>
      </c>
      <c r="R17" s="49"/>
      <c r="S17" s="49" t="s">
        <v>581</v>
      </c>
      <c r="T17" s="49"/>
      <c r="U17" s="49"/>
      <c r="V17" s="49"/>
      <c r="W17" s="59" t="str">
        <f t="shared" si="2"/>
        <v>0</v>
      </c>
      <c r="X17" s="49"/>
      <c r="Y17" s="49"/>
      <c r="Z17" s="49"/>
      <c r="AA17" s="49"/>
      <c r="AB17" s="49"/>
      <c r="AC17" s="59" t="str">
        <f t="shared" si="3"/>
        <v>0</v>
      </c>
      <c r="AD17" s="49"/>
      <c r="AE17" s="49"/>
      <c r="AF17" s="49"/>
      <c r="AG17" s="49"/>
      <c r="AH17" s="49"/>
      <c r="AI17" s="59" t="str">
        <f t="shared" si="4"/>
        <v>0</v>
      </c>
      <c r="AJ17" s="49" t="s">
        <v>581</v>
      </c>
      <c r="AK17" s="49" t="s">
        <v>581</v>
      </c>
      <c r="AL17" s="49" t="s">
        <v>581</v>
      </c>
      <c r="AM17" s="49" t="s">
        <v>581</v>
      </c>
      <c r="AN17" s="49"/>
      <c r="AO17" s="59" t="str">
        <f t="shared" si="5"/>
        <v>0</v>
      </c>
      <c r="AP17" s="49" t="s">
        <v>581</v>
      </c>
      <c r="AQ17" s="49"/>
      <c r="AR17" s="49"/>
      <c r="AS17" s="49"/>
      <c r="AT17" s="49"/>
      <c r="AU17" s="59" t="str">
        <f t="shared" si="6"/>
        <v>0</v>
      </c>
      <c r="AV17" s="49"/>
      <c r="AW17" s="49"/>
      <c r="AX17" s="49"/>
      <c r="AY17" s="49" t="s">
        <v>581</v>
      </c>
      <c r="AZ17" s="49" t="s">
        <v>581</v>
      </c>
      <c r="BA17" s="59" t="str">
        <f t="shared" si="7"/>
        <v>0</v>
      </c>
    </row>
    <row r="18" spans="1:53" ht="23.1" customHeight="1" x14ac:dyDescent="0.3">
      <c r="A18" s="7">
        <v>16</v>
      </c>
      <c r="B18" s="7" t="s">
        <v>105</v>
      </c>
      <c r="C18" s="7" t="s">
        <v>106</v>
      </c>
      <c r="D18" s="7" t="s">
        <v>450</v>
      </c>
      <c r="E18" s="7" t="s">
        <v>35</v>
      </c>
      <c r="F18" s="49">
        <v>1</v>
      </c>
      <c r="G18" s="49">
        <v>2</v>
      </c>
      <c r="H18" s="49">
        <v>2</v>
      </c>
      <c r="I18" s="49">
        <v>1</v>
      </c>
      <c r="J18" s="7"/>
      <c r="K18" s="59">
        <f t="shared" si="0"/>
        <v>1.5</v>
      </c>
      <c r="L18" s="49">
        <v>2</v>
      </c>
      <c r="M18" s="49">
        <v>2</v>
      </c>
      <c r="N18" s="49">
        <v>2</v>
      </c>
      <c r="O18" s="49">
        <v>3</v>
      </c>
      <c r="P18" s="49">
        <v>2</v>
      </c>
      <c r="Q18" s="59">
        <f t="shared" si="1"/>
        <v>2.2000000000000002</v>
      </c>
      <c r="R18" s="49"/>
      <c r="S18" s="49">
        <v>1</v>
      </c>
      <c r="T18" s="7"/>
      <c r="U18" s="49"/>
      <c r="V18" s="7"/>
      <c r="W18" s="59">
        <f t="shared" si="2"/>
        <v>1</v>
      </c>
      <c r="X18" s="49"/>
      <c r="Y18" s="49"/>
      <c r="Z18" s="7"/>
      <c r="AA18" s="7"/>
      <c r="AB18" s="7"/>
      <c r="AC18" s="59" t="str">
        <f t="shared" si="3"/>
        <v>0</v>
      </c>
      <c r="AD18" s="49"/>
      <c r="AE18" s="7"/>
      <c r="AF18" s="49"/>
      <c r="AG18" s="7"/>
      <c r="AH18" s="7"/>
      <c r="AI18" s="59" t="str">
        <f t="shared" si="4"/>
        <v>0</v>
      </c>
      <c r="AJ18" s="49">
        <v>2</v>
      </c>
      <c r="AK18" s="49">
        <v>1</v>
      </c>
      <c r="AL18" s="49">
        <v>1</v>
      </c>
      <c r="AM18" s="49">
        <v>1</v>
      </c>
      <c r="AN18" s="7"/>
      <c r="AO18" s="59">
        <f t="shared" si="5"/>
        <v>1.25</v>
      </c>
      <c r="AP18" s="49">
        <v>3</v>
      </c>
      <c r="AQ18" s="49"/>
      <c r="AR18" s="49"/>
      <c r="AS18" s="7"/>
      <c r="AT18" s="7"/>
      <c r="AU18" s="59">
        <f t="shared" si="6"/>
        <v>3</v>
      </c>
      <c r="AV18" s="7"/>
      <c r="AW18" s="7"/>
      <c r="AX18" s="49"/>
      <c r="AY18" s="49">
        <v>2</v>
      </c>
      <c r="AZ18" s="49">
        <v>1</v>
      </c>
      <c r="BA18" s="59">
        <f t="shared" si="7"/>
        <v>1.5</v>
      </c>
    </row>
    <row r="19" spans="1:53" ht="23.1" customHeight="1" x14ac:dyDescent="0.3">
      <c r="A19" s="49">
        <v>17</v>
      </c>
      <c r="B19" s="49" t="s">
        <v>295</v>
      </c>
      <c r="C19" s="49" t="s">
        <v>296</v>
      </c>
      <c r="D19" s="49" t="s">
        <v>542</v>
      </c>
      <c r="E19" s="49" t="s">
        <v>493</v>
      </c>
      <c r="F19" s="49">
        <v>4</v>
      </c>
      <c r="G19" s="49">
        <v>4</v>
      </c>
      <c r="H19" s="49">
        <v>2</v>
      </c>
      <c r="I19" s="49">
        <v>4</v>
      </c>
      <c r="J19" s="49"/>
      <c r="K19" s="59">
        <f t="shared" si="0"/>
        <v>3.5</v>
      </c>
      <c r="L19" s="49">
        <v>4</v>
      </c>
      <c r="M19" s="49">
        <v>4</v>
      </c>
      <c r="N19" s="49">
        <v>4</v>
      </c>
      <c r="O19" s="49">
        <v>4</v>
      </c>
      <c r="P19" s="49">
        <v>4</v>
      </c>
      <c r="Q19" s="59">
        <f t="shared" si="1"/>
        <v>4</v>
      </c>
      <c r="R19" s="49"/>
      <c r="S19" s="49">
        <v>4</v>
      </c>
      <c r="T19" s="49"/>
      <c r="U19" s="49"/>
      <c r="V19" s="49"/>
      <c r="W19" s="59">
        <f t="shared" si="2"/>
        <v>4</v>
      </c>
      <c r="X19" s="49"/>
      <c r="Y19" s="49"/>
      <c r="Z19" s="49"/>
      <c r="AA19" s="49"/>
      <c r="AB19" s="49"/>
      <c r="AC19" s="59" t="str">
        <f t="shared" si="3"/>
        <v>0</v>
      </c>
      <c r="AD19" s="49"/>
      <c r="AE19" s="49"/>
      <c r="AF19" s="49"/>
      <c r="AG19" s="49"/>
      <c r="AH19" s="49"/>
      <c r="AI19" s="59" t="str">
        <f t="shared" si="4"/>
        <v>0</v>
      </c>
      <c r="AJ19" s="49">
        <v>3</v>
      </c>
      <c r="AK19" s="49">
        <v>2</v>
      </c>
      <c r="AL19" s="49">
        <v>3</v>
      </c>
      <c r="AM19" s="49">
        <v>3</v>
      </c>
      <c r="AN19" s="49"/>
      <c r="AO19" s="59">
        <f t="shared" si="5"/>
        <v>2.75</v>
      </c>
      <c r="AP19" s="49">
        <v>3</v>
      </c>
      <c r="AQ19" s="49"/>
      <c r="AR19" s="49"/>
      <c r="AS19" s="49"/>
      <c r="AT19" s="49"/>
      <c r="AU19" s="59">
        <f t="shared" si="6"/>
        <v>3</v>
      </c>
      <c r="AV19" s="49"/>
      <c r="AW19" s="49"/>
      <c r="AX19" s="49"/>
      <c r="AY19" s="49">
        <v>3</v>
      </c>
      <c r="AZ19" s="49">
        <v>3</v>
      </c>
      <c r="BA19" s="59">
        <f t="shared" si="7"/>
        <v>3</v>
      </c>
    </row>
    <row r="20" spans="1:53" ht="23.1" customHeight="1" x14ac:dyDescent="0.3">
      <c r="A20" s="7">
        <v>18</v>
      </c>
      <c r="B20" s="7" t="s">
        <v>107</v>
      </c>
      <c r="C20" s="7" t="s">
        <v>108</v>
      </c>
      <c r="D20" s="7" t="s">
        <v>543</v>
      </c>
      <c r="E20" s="7" t="s">
        <v>35</v>
      </c>
      <c r="F20" s="49">
        <v>2</v>
      </c>
      <c r="G20" s="49">
        <v>5</v>
      </c>
      <c r="H20" s="49">
        <v>2</v>
      </c>
      <c r="I20" s="49">
        <v>3</v>
      </c>
      <c r="J20" s="7"/>
      <c r="K20" s="59">
        <f t="shared" si="0"/>
        <v>3</v>
      </c>
      <c r="L20" s="49">
        <v>3</v>
      </c>
      <c r="M20" s="49">
        <v>2</v>
      </c>
      <c r="N20" s="49">
        <v>4</v>
      </c>
      <c r="O20" s="49">
        <v>2</v>
      </c>
      <c r="P20" s="49">
        <v>2</v>
      </c>
      <c r="Q20" s="59">
        <f t="shared" si="1"/>
        <v>2.6</v>
      </c>
      <c r="R20" s="49"/>
      <c r="S20" s="49">
        <v>3</v>
      </c>
      <c r="T20" s="7"/>
      <c r="U20" s="49"/>
      <c r="V20" s="7"/>
      <c r="W20" s="59">
        <f t="shared" si="2"/>
        <v>3</v>
      </c>
      <c r="X20" s="49"/>
      <c r="Y20" s="49"/>
      <c r="Z20" s="7"/>
      <c r="AA20" s="7"/>
      <c r="AB20" s="7"/>
      <c r="AC20" s="59" t="str">
        <f t="shared" si="3"/>
        <v>0</v>
      </c>
      <c r="AD20" s="49"/>
      <c r="AE20" s="7"/>
      <c r="AF20" s="49"/>
      <c r="AG20" s="7"/>
      <c r="AH20" s="7"/>
      <c r="AI20" s="59" t="str">
        <f t="shared" si="4"/>
        <v>0</v>
      </c>
      <c r="AJ20" s="49">
        <v>3</v>
      </c>
      <c r="AK20" s="49">
        <v>3</v>
      </c>
      <c r="AL20" s="49">
        <v>2</v>
      </c>
      <c r="AM20" s="49">
        <v>3</v>
      </c>
      <c r="AN20" s="7"/>
      <c r="AO20" s="59">
        <f t="shared" si="5"/>
        <v>2.75</v>
      </c>
      <c r="AP20" s="49">
        <v>3</v>
      </c>
      <c r="AQ20" s="49"/>
      <c r="AR20" s="49"/>
      <c r="AS20" s="7"/>
      <c r="AT20" s="7"/>
      <c r="AU20" s="59">
        <f t="shared" si="6"/>
        <v>3</v>
      </c>
      <c r="AV20" s="7"/>
      <c r="AW20" s="7"/>
      <c r="AX20" s="49"/>
      <c r="AY20" s="49">
        <v>4</v>
      </c>
      <c r="AZ20" s="49">
        <v>4</v>
      </c>
      <c r="BA20" s="59">
        <f t="shared" si="7"/>
        <v>4</v>
      </c>
    </row>
    <row r="21" spans="1:53" ht="23.1" customHeight="1" x14ac:dyDescent="0.3">
      <c r="A21" s="49">
        <v>19</v>
      </c>
      <c r="B21" s="49" t="s">
        <v>50</v>
      </c>
      <c r="C21" s="49" t="s">
        <v>51</v>
      </c>
      <c r="D21" s="49" t="s">
        <v>542</v>
      </c>
      <c r="E21" s="49" t="s">
        <v>35</v>
      </c>
      <c r="F21" s="49">
        <v>4</v>
      </c>
      <c r="G21" s="49">
        <v>3.5</v>
      </c>
      <c r="H21" s="49">
        <v>4</v>
      </c>
      <c r="I21" s="49">
        <v>3.5</v>
      </c>
      <c r="J21" s="49"/>
      <c r="K21" s="59">
        <f t="shared" si="0"/>
        <v>3.75</v>
      </c>
      <c r="L21" s="49">
        <v>4</v>
      </c>
      <c r="M21" s="49">
        <v>3.5</v>
      </c>
      <c r="N21" s="49">
        <v>4</v>
      </c>
      <c r="O21" s="49">
        <v>3.5</v>
      </c>
      <c r="P21" s="49">
        <v>3.5</v>
      </c>
      <c r="Q21" s="59">
        <f t="shared" si="1"/>
        <v>3.7</v>
      </c>
      <c r="R21" s="49"/>
      <c r="S21" s="49">
        <v>4</v>
      </c>
      <c r="T21" s="49"/>
      <c r="U21" s="49"/>
      <c r="V21" s="49"/>
      <c r="W21" s="59">
        <f t="shared" si="2"/>
        <v>4</v>
      </c>
      <c r="X21" s="49"/>
      <c r="Y21" s="49"/>
      <c r="Z21" s="49"/>
      <c r="AA21" s="49"/>
      <c r="AB21" s="49"/>
      <c r="AC21" s="59" t="str">
        <f t="shared" si="3"/>
        <v>0</v>
      </c>
      <c r="AD21" s="49"/>
      <c r="AE21" s="49"/>
      <c r="AF21" s="49"/>
      <c r="AG21" s="49"/>
      <c r="AH21" s="49"/>
      <c r="AI21" s="59" t="str">
        <f t="shared" si="4"/>
        <v>0</v>
      </c>
      <c r="AJ21" s="49">
        <v>3.5</v>
      </c>
      <c r="AK21" s="49">
        <v>4</v>
      </c>
      <c r="AL21" s="49">
        <v>4</v>
      </c>
      <c r="AM21" s="49">
        <v>3.5</v>
      </c>
      <c r="AN21" s="49"/>
      <c r="AO21" s="59">
        <f t="shared" si="5"/>
        <v>3.75</v>
      </c>
      <c r="AP21" s="49">
        <v>4</v>
      </c>
      <c r="AQ21" s="49"/>
      <c r="AR21" s="49"/>
      <c r="AS21" s="49"/>
      <c r="AT21" s="49"/>
      <c r="AU21" s="59">
        <f t="shared" si="6"/>
        <v>4</v>
      </c>
      <c r="AV21" s="49"/>
      <c r="AW21" s="49"/>
      <c r="AX21" s="49"/>
      <c r="AY21" s="49">
        <v>3.5</v>
      </c>
      <c r="AZ21" s="49">
        <v>3.5</v>
      </c>
      <c r="BA21" s="59">
        <f t="shared" si="7"/>
        <v>3.5</v>
      </c>
    </row>
    <row r="22" spans="1:53" ht="23.1" customHeight="1" x14ac:dyDescent="0.3">
      <c r="A22" s="7">
        <v>20</v>
      </c>
      <c r="B22" s="7" t="s">
        <v>196</v>
      </c>
      <c r="C22" s="7" t="s">
        <v>537</v>
      </c>
      <c r="D22" s="7" t="s">
        <v>450</v>
      </c>
      <c r="E22" s="7" t="s">
        <v>161</v>
      </c>
      <c r="F22" s="49">
        <v>4</v>
      </c>
      <c r="G22" s="49">
        <v>4</v>
      </c>
      <c r="H22" s="49">
        <v>3</v>
      </c>
      <c r="I22" s="49">
        <v>3</v>
      </c>
      <c r="J22" s="7"/>
      <c r="K22" s="59">
        <f t="shared" si="0"/>
        <v>3.5</v>
      </c>
      <c r="L22" s="49">
        <v>4</v>
      </c>
      <c r="M22" s="49">
        <v>4</v>
      </c>
      <c r="N22" s="49">
        <v>4</v>
      </c>
      <c r="O22" s="49">
        <v>4</v>
      </c>
      <c r="P22" s="49">
        <v>4</v>
      </c>
      <c r="Q22" s="59">
        <f t="shared" si="1"/>
        <v>4</v>
      </c>
      <c r="R22" s="49"/>
      <c r="S22" s="49">
        <v>4</v>
      </c>
      <c r="T22" s="7"/>
      <c r="U22" s="49"/>
      <c r="V22" s="7"/>
      <c r="W22" s="59">
        <f t="shared" si="2"/>
        <v>4</v>
      </c>
      <c r="X22" s="49"/>
      <c r="Y22" s="49"/>
      <c r="Z22" s="7"/>
      <c r="AA22" s="7"/>
      <c r="AB22" s="7"/>
      <c r="AC22" s="59" t="str">
        <f t="shared" si="3"/>
        <v>0</v>
      </c>
      <c r="AD22" s="49"/>
      <c r="AE22" s="7"/>
      <c r="AF22" s="49"/>
      <c r="AG22" s="7"/>
      <c r="AH22" s="7"/>
      <c r="AI22" s="59" t="str">
        <f t="shared" si="4"/>
        <v>0</v>
      </c>
      <c r="AJ22" s="49">
        <v>3</v>
      </c>
      <c r="AK22" s="49">
        <v>4</v>
      </c>
      <c r="AL22" s="49">
        <v>4</v>
      </c>
      <c r="AM22" s="49">
        <v>3</v>
      </c>
      <c r="AN22" s="7"/>
      <c r="AO22" s="59">
        <f t="shared" si="5"/>
        <v>3.5</v>
      </c>
      <c r="AP22" s="49">
        <v>3</v>
      </c>
      <c r="AQ22" s="49"/>
      <c r="AR22" s="49"/>
      <c r="AS22" s="7"/>
      <c r="AT22" s="7"/>
      <c r="AU22" s="59">
        <f t="shared" si="6"/>
        <v>3</v>
      </c>
      <c r="AV22" s="7"/>
      <c r="AW22" s="7"/>
      <c r="AX22" s="49"/>
      <c r="AY22" s="49">
        <v>2</v>
      </c>
      <c r="AZ22" s="49">
        <v>2</v>
      </c>
      <c r="BA22" s="59">
        <f t="shared" si="7"/>
        <v>2</v>
      </c>
    </row>
    <row r="23" spans="1:53" ht="23.1" customHeight="1" x14ac:dyDescent="0.3">
      <c r="A23" s="49">
        <v>21</v>
      </c>
      <c r="B23" s="49" t="s">
        <v>209</v>
      </c>
      <c r="C23" s="49" t="s">
        <v>210</v>
      </c>
      <c r="D23" s="49" t="s">
        <v>450</v>
      </c>
      <c r="E23" s="49" t="s">
        <v>161</v>
      </c>
      <c r="F23" s="49">
        <v>4</v>
      </c>
      <c r="G23" s="49">
        <v>2</v>
      </c>
      <c r="H23" s="49">
        <v>3</v>
      </c>
      <c r="I23" s="49">
        <v>2</v>
      </c>
      <c r="J23" s="49"/>
      <c r="K23" s="59">
        <f t="shared" si="0"/>
        <v>2.75</v>
      </c>
      <c r="L23" s="49">
        <v>2</v>
      </c>
      <c r="M23" s="49">
        <v>2</v>
      </c>
      <c r="N23" s="49">
        <v>2</v>
      </c>
      <c r="O23" s="49">
        <v>2</v>
      </c>
      <c r="P23" s="49">
        <v>3</v>
      </c>
      <c r="Q23" s="59">
        <f t="shared" si="1"/>
        <v>2.2000000000000002</v>
      </c>
      <c r="R23" s="49"/>
      <c r="S23" s="49">
        <v>3</v>
      </c>
      <c r="T23" s="49"/>
      <c r="U23" s="49"/>
      <c r="V23" s="49"/>
      <c r="W23" s="59">
        <f t="shared" si="2"/>
        <v>3</v>
      </c>
      <c r="X23" s="49"/>
      <c r="Y23" s="49"/>
      <c r="Z23" s="49"/>
      <c r="AA23" s="49"/>
      <c r="AB23" s="49"/>
      <c r="AC23" s="59" t="str">
        <f t="shared" si="3"/>
        <v>0</v>
      </c>
      <c r="AD23" s="49"/>
      <c r="AE23" s="49"/>
      <c r="AF23" s="49"/>
      <c r="AG23" s="49"/>
      <c r="AH23" s="49"/>
      <c r="AI23" s="59" t="str">
        <f t="shared" si="4"/>
        <v>0</v>
      </c>
      <c r="AJ23" s="49">
        <v>3</v>
      </c>
      <c r="AK23" s="49">
        <v>2</v>
      </c>
      <c r="AL23" s="49">
        <v>3</v>
      </c>
      <c r="AM23" s="49">
        <v>3</v>
      </c>
      <c r="AN23" s="49"/>
      <c r="AO23" s="59">
        <f t="shared" si="5"/>
        <v>2.75</v>
      </c>
      <c r="AP23" s="49">
        <v>3</v>
      </c>
      <c r="AQ23" s="49"/>
      <c r="AR23" s="49"/>
      <c r="AS23" s="49"/>
      <c r="AT23" s="49"/>
      <c r="AU23" s="59">
        <f t="shared" si="6"/>
        <v>3</v>
      </c>
      <c r="AV23" s="49"/>
      <c r="AW23" s="49"/>
      <c r="AX23" s="49"/>
      <c r="AY23" s="49">
        <v>3</v>
      </c>
      <c r="AZ23" s="49">
        <v>3</v>
      </c>
      <c r="BA23" s="59">
        <f t="shared" si="7"/>
        <v>3</v>
      </c>
    </row>
    <row r="24" spans="1:53" ht="23.1" customHeight="1" x14ac:dyDescent="0.3">
      <c r="A24" s="7">
        <v>22</v>
      </c>
      <c r="B24" s="7" t="s">
        <v>58</v>
      </c>
      <c r="C24" s="7" t="s">
        <v>59</v>
      </c>
      <c r="D24" s="7" t="s">
        <v>450</v>
      </c>
      <c r="E24" s="7" t="s">
        <v>35</v>
      </c>
      <c r="F24" s="49">
        <v>3</v>
      </c>
      <c r="G24" s="49">
        <v>3</v>
      </c>
      <c r="H24" s="49">
        <v>3</v>
      </c>
      <c r="I24" s="49">
        <v>3</v>
      </c>
      <c r="J24" s="7"/>
      <c r="K24" s="59">
        <f t="shared" si="0"/>
        <v>3</v>
      </c>
      <c r="L24" s="49">
        <v>3</v>
      </c>
      <c r="M24" s="49">
        <v>3</v>
      </c>
      <c r="N24" s="49">
        <v>3</v>
      </c>
      <c r="O24" s="49">
        <v>3</v>
      </c>
      <c r="P24" s="49">
        <v>3</v>
      </c>
      <c r="Q24" s="59">
        <f t="shared" si="1"/>
        <v>3</v>
      </c>
      <c r="R24" s="49"/>
      <c r="S24" s="49">
        <v>3</v>
      </c>
      <c r="T24" s="7"/>
      <c r="U24" s="49"/>
      <c r="V24" s="7"/>
      <c r="W24" s="59">
        <f t="shared" si="2"/>
        <v>3</v>
      </c>
      <c r="X24" s="49"/>
      <c r="Y24" s="49"/>
      <c r="Z24" s="7"/>
      <c r="AA24" s="7"/>
      <c r="AB24" s="7"/>
      <c r="AC24" s="59" t="str">
        <f t="shared" si="3"/>
        <v>0</v>
      </c>
      <c r="AD24" s="49"/>
      <c r="AE24" s="7"/>
      <c r="AF24" s="49"/>
      <c r="AG24" s="7"/>
      <c r="AH24" s="7"/>
      <c r="AI24" s="59" t="str">
        <f t="shared" si="4"/>
        <v>0</v>
      </c>
      <c r="AJ24" s="49">
        <v>3</v>
      </c>
      <c r="AK24" s="49">
        <v>3</v>
      </c>
      <c r="AL24" s="49">
        <v>3</v>
      </c>
      <c r="AM24" s="49">
        <v>4</v>
      </c>
      <c r="AN24" s="7"/>
      <c r="AO24" s="59">
        <f t="shared" si="5"/>
        <v>3.25</v>
      </c>
      <c r="AP24" s="49">
        <v>3</v>
      </c>
      <c r="AQ24" s="49"/>
      <c r="AR24" s="49"/>
      <c r="AS24" s="7"/>
      <c r="AT24" s="7"/>
      <c r="AU24" s="59">
        <f t="shared" si="6"/>
        <v>3</v>
      </c>
      <c r="AV24" s="7"/>
      <c r="AW24" s="7"/>
      <c r="AX24" s="49"/>
      <c r="AY24" s="49">
        <v>4</v>
      </c>
      <c r="AZ24" s="49">
        <v>4</v>
      </c>
      <c r="BA24" s="59">
        <f t="shared" si="7"/>
        <v>4</v>
      </c>
    </row>
    <row r="25" spans="1:53" ht="23.1" customHeight="1" x14ac:dyDescent="0.3">
      <c r="A25" s="49">
        <v>23</v>
      </c>
      <c r="B25" s="49" t="s">
        <v>225</v>
      </c>
      <c r="C25" s="49" t="s">
        <v>226</v>
      </c>
      <c r="D25" s="49" t="s">
        <v>450</v>
      </c>
      <c r="E25" s="49" t="s">
        <v>161</v>
      </c>
      <c r="F25" s="49">
        <v>3</v>
      </c>
      <c r="G25" s="49">
        <v>3</v>
      </c>
      <c r="H25" s="49">
        <v>3</v>
      </c>
      <c r="I25" s="49">
        <v>2.5</v>
      </c>
      <c r="J25" s="49"/>
      <c r="K25" s="59">
        <f t="shared" si="0"/>
        <v>2.875</v>
      </c>
      <c r="L25" s="49">
        <v>3</v>
      </c>
      <c r="M25" s="49">
        <v>3</v>
      </c>
      <c r="N25" s="49">
        <v>3</v>
      </c>
      <c r="O25" s="49">
        <v>2.5</v>
      </c>
      <c r="P25" s="49">
        <v>3</v>
      </c>
      <c r="Q25" s="59">
        <f t="shared" si="1"/>
        <v>2.9</v>
      </c>
      <c r="R25" s="49"/>
      <c r="S25" s="49">
        <v>3</v>
      </c>
      <c r="T25" s="49"/>
      <c r="U25" s="49"/>
      <c r="V25" s="49"/>
      <c r="W25" s="59">
        <f t="shared" si="2"/>
        <v>3</v>
      </c>
      <c r="X25" s="49"/>
      <c r="Y25" s="49"/>
      <c r="Z25" s="49"/>
      <c r="AA25" s="49"/>
      <c r="AB25" s="49"/>
      <c r="AC25" s="59" t="str">
        <f t="shared" si="3"/>
        <v>0</v>
      </c>
      <c r="AD25" s="49"/>
      <c r="AE25" s="49"/>
      <c r="AF25" s="49"/>
      <c r="AG25" s="49"/>
      <c r="AH25" s="49"/>
      <c r="AI25" s="59" t="str">
        <f t="shared" si="4"/>
        <v>0</v>
      </c>
      <c r="AJ25" s="49">
        <v>3</v>
      </c>
      <c r="AK25" s="49">
        <v>3</v>
      </c>
      <c r="AL25" s="49">
        <v>3</v>
      </c>
      <c r="AM25" s="49">
        <v>3</v>
      </c>
      <c r="AN25" s="49"/>
      <c r="AO25" s="59">
        <f t="shared" si="5"/>
        <v>3</v>
      </c>
      <c r="AP25" s="49">
        <v>3</v>
      </c>
      <c r="AQ25" s="49"/>
      <c r="AR25" s="49"/>
      <c r="AS25" s="49"/>
      <c r="AT25" s="49"/>
      <c r="AU25" s="59">
        <f t="shared" si="6"/>
        <v>3</v>
      </c>
      <c r="AV25" s="49"/>
      <c r="AW25" s="49"/>
      <c r="AX25" s="49"/>
      <c r="AY25" s="49">
        <v>2.5</v>
      </c>
      <c r="AZ25" s="49">
        <v>3</v>
      </c>
      <c r="BA25" s="59">
        <f t="shared" si="7"/>
        <v>2.75</v>
      </c>
    </row>
    <row r="26" spans="1:53" ht="23.1" customHeight="1" x14ac:dyDescent="0.3">
      <c r="A26" s="7">
        <v>24</v>
      </c>
      <c r="B26" s="7" t="s">
        <v>297</v>
      </c>
      <c r="C26" s="7" t="s">
        <v>109</v>
      </c>
      <c r="D26" s="7" t="s">
        <v>450</v>
      </c>
      <c r="E26" s="7" t="s">
        <v>35</v>
      </c>
      <c r="F26" s="49">
        <v>3</v>
      </c>
      <c r="G26" s="49">
        <v>2</v>
      </c>
      <c r="H26" s="49">
        <v>3</v>
      </c>
      <c r="I26" s="49">
        <v>2</v>
      </c>
      <c r="J26" s="7"/>
      <c r="K26" s="59">
        <f t="shared" si="0"/>
        <v>2.5</v>
      </c>
      <c r="L26" s="49">
        <v>3</v>
      </c>
      <c r="M26" s="49">
        <v>2</v>
      </c>
      <c r="N26" s="49">
        <v>2</v>
      </c>
      <c r="O26" s="49">
        <v>4</v>
      </c>
      <c r="P26" s="49">
        <v>2</v>
      </c>
      <c r="Q26" s="59">
        <f t="shared" si="1"/>
        <v>2.6</v>
      </c>
      <c r="R26" s="49"/>
      <c r="S26" s="49">
        <v>2</v>
      </c>
      <c r="T26" s="7"/>
      <c r="U26" s="49"/>
      <c r="V26" s="7"/>
      <c r="W26" s="59">
        <f t="shared" si="2"/>
        <v>2</v>
      </c>
      <c r="X26" s="49"/>
      <c r="Y26" s="49"/>
      <c r="Z26" s="7"/>
      <c r="AA26" s="7"/>
      <c r="AB26" s="7"/>
      <c r="AC26" s="59" t="str">
        <f t="shared" si="3"/>
        <v>0</v>
      </c>
      <c r="AD26" s="49"/>
      <c r="AE26" s="7"/>
      <c r="AF26" s="49"/>
      <c r="AG26" s="7"/>
      <c r="AH26" s="7"/>
      <c r="AI26" s="59" t="str">
        <f t="shared" si="4"/>
        <v>0</v>
      </c>
      <c r="AJ26" s="49">
        <v>2</v>
      </c>
      <c r="AK26" s="49">
        <v>2</v>
      </c>
      <c r="AL26" s="49">
        <v>2</v>
      </c>
      <c r="AM26" s="49">
        <v>2</v>
      </c>
      <c r="AN26" s="7"/>
      <c r="AO26" s="59">
        <f t="shared" si="5"/>
        <v>2</v>
      </c>
      <c r="AP26" s="49">
        <v>3</v>
      </c>
      <c r="AQ26" s="49"/>
      <c r="AR26" s="49"/>
      <c r="AS26" s="7"/>
      <c r="AT26" s="7"/>
      <c r="AU26" s="59">
        <f t="shared" si="6"/>
        <v>3</v>
      </c>
      <c r="AV26" s="7"/>
      <c r="AW26" s="7"/>
      <c r="AX26" s="49"/>
      <c r="AY26" s="49">
        <v>2</v>
      </c>
      <c r="AZ26" s="49">
        <v>2</v>
      </c>
      <c r="BA26" s="59">
        <f t="shared" si="7"/>
        <v>2</v>
      </c>
    </row>
    <row r="27" spans="1:53" ht="23.1" customHeight="1" x14ac:dyDescent="0.3">
      <c r="A27" s="49">
        <v>25</v>
      </c>
      <c r="B27" s="49" t="s">
        <v>241</v>
      </c>
      <c r="C27" s="49" t="s">
        <v>242</v>
      </c>
      <c r="D27" s="49" t="s">
        <v>450</v>
      </c>
      <c r="E27" s="49" t="s">
        <v>161</v>
      </c>
      <c r="F27" s="49">
        <v>3</v>
      </c>
      <c r="G27" s="49">
        <v>3</v>
      </c>
      <c r="H27" s="49">
        <v>0</v>
      </c>
      <c r="I27" s="49">
        <v>3</v>
      </c>
      <c r="J27" s="49"/>
      <c r="K27" s="59">
        <f t="shared" si="0"/>
        <v>2.25</v>
      </c>
      <c r="L27" s="49">
        <v>4</v>
      </c>
      <c r="M27" s="49">
        <v>4</v>
      </c>
      <c r="N27" s="49">
        <v>4</v>
      </c>
      <c r="O27" s="49">
        <v>3</v>
      </c>
      <c r="P27" s="49">
        <v>3</v>
      </c>
      <c r="Q27" s="59">
        <f t="shared" si="1"/>
        <v>3.6</v>
      </c>
      <c r="R27" s="49"/>
      <c r="S27" s="49">
        <v>3</v>
      </c>
      <c r="T27" s="49"/>
      <c r="U27" s="49"/>
      <c r="V27" s="49"/>
      <c r="W27" s="59">
        <f t="shared" si="2"/>
        <v>3</v>
      </c>
      <c r="X27" s="49"/>
      <c r="Y27" s="49"/>
      <c r="Z27" s="49"/>
      <c r="AA27" s="49"/>
      <c r="AB27" s="49"/>
      <c r="AC27" s="59" t="str">
        <f t="shared" si="3"/>
        <v>0</v>
      </c>
      <c r="AD27" s="49"/>
      <c r="AE27" s="49"/>
      <c r="AF27" s="49"/>
      <c r="AG27" s="49"/>
      <c r="AH27" s="49"/>
      <c r="AI27" s="59" t="str">
        <f t="shared" si="4"/>
        <v>0</v>
      </c>
      <c r="AJ27" s="49">
        <v>3</v>
      </c>
      <c r="AK27" s="49">
        <v>3</v>
      </c>
      <c r="AL27" s="49">
        <v>3</v>
      </c>
      <c r="AM27" s="49">
        <v>3</v>
      </c>
      <c r="AN27" s="49"/>
      <c r="AO27" s="59">
        <f t="shared" si="5"/>
        <v>3</v>
      </c>
      <c r="AP27" s="49">
        <v>3</v>
      </c>
      <c r="AQ27" s="49"/>
      <c r="AR27" s="49"/>
      <c r="AS27" s="49"/>
      <c r="AT27" s="49"/>
      <c r="AU27" s="59">
        <f t="shared" si="6"/>
        <v>3</v>
      </c>
      <c r="AV27" s="49"/>
      <c r="AW27" s="49"/>
      <c r="AX27" s="49"/>
      <c r="AY27" s="49">
        <v>3</v>
      </c>
      <c r="AZ27" s="49">
        <v>3</v>
      </c>
      <c r="BA27" s="59">
        <f t="shared" si="7"/>
        <v>3</v>
      </c>
    </row>
    <row r="28" spans="1:53" ht="23.1" customHeight="1" x14ac:dyDescent="0.3">
      <c r="A28" s="7">
        <v>26</v>
      </c>
      <c r="B28" s="7" t="s">
        <v>298</v>
      </c>
      <c r="C28" s="7" t="s">
        <v>299</v>
      </c>
      <c r="D28" s="7" t="s">
        <v>542</v>
      </c>
      <c r="E28" s="7" t="s">
        <v>493</v>
      </c>
      <c r="F28" s="49">
        <v>2</v>
      </c>
      <c r="G28" s="49">
        <v>2</v>
      </c>
      <c r="H28" s="49">
        <v>2</v>
      </c>
      <c r="I28" s="49">
        <v>2</v>
      </c>
      <c r="J28" s="7"/>
      <c r="K28" s="59">
        <f t="shared" si="0"/>
        <v>2</v>
      </c>
      <c r="L28" s="49">
        <v>2</v>
      </c>
      <c r="M28" s="49">
        <v>3</v>
      </c>
      <c r="N28" s="49">
        <v>2</v>
      </c>
      <c r="O28" s="49">
        <v>3</v>
      </c>
      <c r="P28" s="49">
        <v>2</v>
      </c>
      <c r="Q28" s="59">
        <f t="shared" si="1"/>
        <v>2.4</v>
      </c>
      <c r="R28" s="49"/>
      <c r="S28" s="49">
        <v>3</v>
      </c>
      <c r="T28" s="7"/>
      <c r="U28" s="49"/>
      <c r="V28" s="7"/>
      <c r="W28" s="59">
        <f t="shared" si="2"/>
        <v>3</v>
      </c>
      <c r="X28" s="49"/>
      <c r="Y28" s="49"/>
      <c r="Z28" s="7"/>
      <c r="AA28" s="7"/>
      <c r="AB28" s="7"/>
      <c r="AC28" s="59" t="str">
        <f t="shared" si="3"/>
        <v>0</v>
      </c>
      <c r="AD28" s="49"/>
      <c r="AE28" s="7"/>
      <c r="AF28" s="49"/>
      <c r="AG28" s="7"/>
      <c r="AH28" s="7"/>
      <c r="AI28" s="59" t="str">
        <f t="shared" si="4"/>
        <v>0</v>
      </c>
      <c r="AJ28" s="49">
        <v>3</v>
      </c>
      <c r="AK28" s="49">
        <v>3</v>
      </c>
      <c r="AL28" s="49">
        <v>3</v>
      </c>
      <c r="AM28" s="49">
        <v>3</v>
      </c>
      <c r="AN28" s="7"/>
      <c r="AO28" s="59">
        <f t="shared" si="5"/>
        <v>3</v>
      </c>
      <c r="AP28" s="49">
        <v>3</v>
      </c>
      <c r="AQ28" s="49"/>
      <c r="AR28" s="49"/>
      <c r="AS28" s="7"/>
      <c r="AT28" s="7"/>
      <c r="AU28" s="59">
        <f t="shared" si="6"/>
        <v>3</v>
      </c>
      <c r="AV28" s="7"/>
      <c r="AW28" s="7"/>
      <c r="AX28" s="49"/>
      <c r="AY28" s="49">
        <v>2</v>
      </c>
      <c r="AZ28" s="49">
        <v>2</v>
      </c>
      <c r="BA28" s="59">
        <f t="shared" si="7"/>
        <v>2</v>
      </c>
    </row>
    <row r="29" spans="1:53" ht="23.1" customHeight="1" x14ac:dyDescent="0.3">
      <c r="A29" s="49">
        <v>27</v>
      </c>
      <c r="B29" s="49" t="s">
        <v>257</v>
      </c>
      <c r="C29" s="49" t="s">
        <v>258</v>
      </c>
      <c r="D29" s="49" t="s">
        <v>450</v>
      </c>
      <c r="E29" s="49" t="s">
        <v>161</v>
      </c>
      <c r="F29" s="49">
        <v>4</v>
      </c>
      <c r="G29" s="49">
        <v>3.5</v>
      </c>
      <c r="H29" s="49">
        <v>4</v>
      </c>
      <c r="I29" s="49">
        <v>4</v>
      </c>
      <c r="J29" s="49"/>
      <c r="K29" s="59">
        <f t="shared" si="0"/>
        <v>3.875</v>
      </c>
      <c r="L29" s="49">
        <v>4</v>
      </c>
      <c r="M29" s="49">
        <v>3.5</v>
      </c>
      <c r="N29" s="49">
        <v>4</v>
      </c>
      <c r="O29" s="49">
        <v>4</v>
      </c>
      <c r="P29" s="49">
        <v>4</v>
      </c>
      <c r="Q29" s="59">
        <f t="shared" si="1"/>
        <v>3.9</v>
      </c>
      <c r="R29" s="49"/>
      <c r="S29" s="49">
        <v>3.5</v>
      </c>
      <c r="T29" s="49"/>
      <c r="U29" s="49"/>
      <c r="V29" s="49"/>
      <c r="W29" s="59">
        <f t="shared" si="2"/>
        <v>3.5</v>
      </c>
      <c r="X29" s="49"/>
      <c r="Y29" s="49"/>
      <c r="Z29" s="49"/>
      <c r="AA29" s="49"/>
      <c r="AB29" s="49"/>
      <c r="AC29" s="59" t="str">
        <f t="shared" si="3"/>
        <v>0</v>
      </c>
      <c r="AD29" s="49"/>
      <c r="AE29" s="49"/>
      <c r="AF29" s="49"/>
      <c r="AG29" s="49"/>
      <c r="AH29" s="49"/>
      <c r="AI29" s="59" t="str">
        <f t="shared" si="4"/>
        <v>0</v>
      </c>
      <c r="AJ29" s="49">
        <v>4</v>
      </c>
      <c r="AK29" s="49">
        <v>3.5</v>
      </c>
      <c r="AL29" s="49">
        <v>4</v>
      </c>
      <c r="AM29" s="49">
        <v>3.5</v>
      </c>
      <c r="AN29" s="49"/>
      <c r="AO29" s="59">
        <f t="shared" si="5"/>
        <v>3.75</v>
      </c>
      <c r="AP29" s="49">
        <v>4</v>
      </c>
      <c r="AQ29" s="49"/>
      <c r="AR29" s="49"/>
      <c r="AS29" s="49"/>
      <c r="AT29" s="49"/>
      <c r="AU29" s="59">
        <f t="shared" si="6"/>
        <v>4</v>
      </c>
      <c r="AV29" s="49"/>
      <c r="AW29" s="49"/>
      <c r="AX29" s="49"/>
      <c r="AY29" s="49">
        <v>4</v>
      </c>
      <c r="AZ29" s="49">
        <v>4</v>
      </c>
      <c r="BA29" s="59">
        <f t="shared" si="7"/>
        <v>4</v>
      </c>
    </row>
    <row r="30" spans="1:53" ht="23.1" customHeight="1" x14ac:dyDescent="0.3">
      <c r="A30" s="7">
        <v>28</v>
      </c>
      <c r="B30" s="7" t="s">
        <v>66</v>
      </c>
      <c r="C30" s="7" t="s">
        <v>67</v>
      </c>
      <c r="D30" s="7" t="s">
        <v>450</v>
      </c>
      <c r="E30" s="7" t="s">
        <v>35</v>
      </c>
      <c r="F30" s="49">
        <v>2</v>
      </c>
      <c r="G30" s="49">
        <v>1</v>
      </c>
      <c r="H30" s="49">
        <v>2</v>
      </c>
      <c r="I30" s="49">
        <v>3</v>
      </c>
      <c r="J30" s="7"/>
      <c r="K30" s="59">
        <f t="shared" si="0"/>
        <v>2</v>
      </c>
      <c r="L30" s="49">
        <v>3</v>
      </c>
      <c r="M30" s="49">
        <v>2</v>
      </c>
      <c r="N30" s="49">
        <v>3</v>
      </c>
      <c r="O30" s="49">
        <v>3</v>
      </c>
      <c r="P30" s="49">
        <v>2</v>
      </c>
      <c r="Q30" s="59">
        <f t="shared" si="1"/>
        <v>2.6</v>
      </c>
      <c r="R30" s="49"/>
      <c r="S30" s="49">
        <v>2</v>
      </c>
      <c r="T30" s="7"/>
      <c r="U30" s="49"/>
      <c r="V30" s="7"/>
      <c r="W30" s="59">
        <f t="shared" si="2"/>
        <v>2</v>
      </c>
      <c r="X30" s="49"/>
      <c r="Y30" s="49"/>
      <c r="Z30" s="7"/>
      <c r="AA30" s="7"/>
      <c r="AB30" s="7"/>
      <c r="AC30" s="59" t="str">
        <f t="shared" si="3"/>
        <v>0</v>
      </c>
      <c r="AD30" s="49"/>
      <c r="AE30" s="7"/>
      <c r="AF30" s="49"/>
      <c r="AG30" s="7"/>
      <c r="AH30" s="7"/>
      <c r="AI30" s="59" t="str">
        <f t="shared" si="4"/>
        <v>0</v>
      </c>
      <c r="AJ30" s="49">
        <v>3</v>
      </c>
      <c r="AK30" s="49">
        <v>2</v>
      </c>
      <c r="AL30" s="49">
        <v>2</v>
      </c>
      <c r="AM30" s="49">
        <v>3</v>
      </c>
      <c r="AN30" s="7"/>
      <c r="AO30" s="59">
        <f t="shared" si="5"/>
        <v>2.5</v>
      </c>
      <c r="AP30" s="49">
        <v>3</v>
      </c>
      <c r="AQ30" s="49"/>
      <c r="AR30" s="49"/>
      <c r="AS30" s="7"/>
      <c r="AT30" s="7"/>
      <c r="AU30" s="59">
        <f t="shared" si="6"/>
        <v>3</v>
      </c>
      <c r="AV30" s="7"/>
      <c r="AW30" s="7"/>
      <c r="AX30" s="49"/>
      <c r="AY30" s="49">
        <v>3</v>
      </c>
      <c r="AZ30" s="49">
        <v>4</v>
      </c>
      <c r="BA30" s="59">
        <f t="shared" si="7"/>
        <v>3.5</v>
      </c>
    </row>
    <row r="31" spans="1:53" ht="23.1" customHeight="1" x14ac:dyDescent="0.3">
      <c r="A31" s="49">
        <v>29</v>
      </c>
      <c r="B31" s="49" t="s">
        <v>300</v>
      </c>
      <c r="C31" s="49" t="s">
        <v>301</v>
      </c>
      <c r="D31" s="49" t="s">
        <v>450</v>
      </c>
      <c r="E31" s="49" t="s">
        <v>493</v>
      </c>
      <c r="F31" s="49">
        <v>2</v>
      </c>
      <c r="G31" s="49">
        <v>2</v>
      </c>
      <c r="H31" s="49">
        <v>2</v>
      </c>
      <c r="I31" s="49">
        <v>2</v>
      </c>
      <c r="J31" s="49"/>
      <c r="K31" s="59">
        <f t="shared" si="0"/>
        <v>2</v>
      </c>
      <c r="L31" s="49">
        <v>2</v>
      </c>
      <c r="M31" s="49">
        <v>2</v>
      </c>
      <c r="N31" s="49">
        <v>1</v>
      </c>
      <c r="O31" s="49">
        <v>2</v>
      </c>
      <c r="P31" s="49">
        <v>2</v>
      </c>
      <c r="Q31" s="59">
        <f t="shared" si="1"/>
        <v>1.8</v>
      </c>
      <c r="R31" s="49"/>
      <c r="S31" s="49">
        <v>2</v>
      </c>
      <c r="T31" s="49"/>
      <c r="U31" s="49"/>
      <c r="V31" s="49"/>
      <c r="W31" s="59">
        <f t="shared" si="2"/>
        <v>2</v>
      </c>
      <c r="X31" s="49"/>
      <c r="Y31" s="49"/>
      <c r="Z31" s="49"/>
      <c r="AA31" s="49"/>
      <c r="AB31" s="49"/>
      <c r="AC31" s="59" t="str">
        <f t="shared" si="3"/>
        <v>0</v>
      </c>
      <c r="AD31" s="49"/>
      <c r="AE31" s="49"/>
      <c r="AF31" s="49"/>
      <c r="AG31" s="49"/>
      <c r="AH31" s="49"/>
      <c r="AI31" s="59" t="str">
        <f t="shared" si="4"/>
        <v>0</v>
      </c>
      <c r="AJ31" s="49">
        <v>2</v>
      </c>
      <c r="AK31" s="49">
        <v>2</v>
      </c>
      <c r="AL31" s="49">
        <v>2</v>
      </c>
      <c r="AM31" s="49">
        <v>2</v>
      </c>
      <c r="AN31" s="49"/>
      <c r="AO31" s="59">
        <f t="shared" si="5"/>
        <v>2</v>
      </c>
      <c r="AP31" s="49">
        <v>3</v>
      </c>
      <c r="AQ31" s="49"/>
      <c r="AR31" s="49"/>
      <c r="AS31" s="49"/>
      <c r="AT31" s="49"/>
      <c r="AU31" s="59">
        <f t="shared" si="6"/>
        <v>3</v>
      </c>
      <c r="AV31" s="49"/>
      <c r="AW31" s="49"/>
      <c r="AX31" s="49"/>
      <c r="AY31" s="49">
        <v>3</v>
      </c>
      <c r="AZ31" s="49">
        <v>3</v>
      </c>
      <c r="BA31" s="59">
        <f t="shared" si="7"/>
        <v>3</v>
      </c>
    </row>
    <row r="32" spans="1:53" ht="23.1" customHeight="1" x14ac:dyDescent="0.3">
      <c r="A32" s="7">
        <v>30</v>
      </c>
      <c r="B32" s="7" t="s">
        <v>40</v>
      </c>
      <c r="C32" s="7" t="s">
        <v>41</v>
      </c>
      <c r="D32" s="7" t="s">
        <v>450</v>
      </c>
      <c r="E32" s="7" t="s">
        <v>35</v>
      </c>
      <c r="F32" s="49">
        <v>3</v>
      </c>
      <c r="G32" s="49">
        <v>0</v>
      </c>
      <c r="H32" s="49">
        <v>4</v>
      </c>
      <c r="I32" s="49">
        <v>3</v>
      </c>
      <c r="J32" s="7"/>
      <c r="K32" s="59">
        <f t="shared" si="0"/>
        <v>2.5</v>
      </c>
      <c r="L32" s="49">
        <v>4</v>
      </c>
      <c r="M32" s="49">
        <v>3</v>
      </c>
      <c r="N32" s="49">
        <v>4</v>
      </c>
      <c r="O32" s="49">
        <v>3</v>
      </c>
      <c r="P32" s="49">
        <v>3</v>
      </c>
      <c r="Q32" s="59">
        <f t="shared" si="1"/>
        <v>3.4</v>
      </c>
      <c r="R32" s="49"/>
      <c r="S32" s="49">
        <v>2</v>
      </c>
      <c r="T32" s="7"/>
      <c r="U32" s="49"/>
      <c r="V32" s="7"/>
      <c r="W32" s="59">
        <f t="shared" si="2"/>
        <v>2</v>
      </c>
      <c r="X32" s="49"/>
      <c r="Y32" s="49"/>
      <c r="Z32" s="7"/>
      <c r="AA32" s="7"/>
      <c r="AB32" s="7"/>
      <c r="AC32" s="59" t="str">
        <f t="shared" si="3"/>
        <v>0</v>
      </c>
      <c r="AD32" s="49"/>
      <c r="AE32" s="7"/>
      <c r="AF32" s="49"/>
      <c r="AG32" s="7"/>
      <c r="AH32" s="7"/>
      <c r="AI32" s="59" t="str">
        <f t="shared" si="4"/>
        <v>0</v>
      </c>
      <c r="AJ32" s="49">
        <v>3</v>
      </c>
      <c r="AK32" s="49">
        <v>3</v>
      </c>
      <c r="AL32" s="49">
        <v>2</v>
      </c>
      <c r="AM32" s="49">
        <v>3</v>
      </c>
      <c r="AN32" s="7"/>
      <c r="AO32" s="59">
        <f t="shared" si="5"/>
        <v>2.75</v>
      </c>
      <c r="AP32" s="49">
        <v>3</v>
      </c>
      <c r="AQ32" s="49"/>
      <c r="AR32" s="49"/>
      <c r="AS32" s="7"/>
      <c r="AT32" s="7"/>
      <c r="AU32" s="59">
        <f t="shared" si="6"/>
        <v>3</v>
      </c>
      <c r="AV32" s="7"/>
      <c r="AW32" s="7"/>
      <c r="AX32" s="49"/>
      <c r="AY32" s="49">
        <v>2</v>
      </c>
      <c r="AZ32" s="49">
        <v>2</v>
      </c>
      <c r="BA32" s="59">
        <f t="shared" si="7"/>
        <v>2</v>
      </c>
    </row>
    <row r="33" spans="1:53" ht="23.1" customHeight="1" x14ac:dyDescent="0.3">
      <c r="A33" s="49">
        <v>31</v>
      </c>
      <c r="B33" s="49" t="s">
        <v>110</v>
      </c>
      <c r="C33" s="49" t="s">
        <v>111</v>
      </c>
      <c r="D33" s="49" t="s">
        <v>450</v>
      </c>
      <c r="E33" s="49" t="s">
        <v>35</v>
      </c>
      <c r="F33" s="49">
        <v>4</v>
      </c>
      <c r="G33" s="49">
        <v>3</v>
      </c>
      <c r="H33" s="49">
        <v>3</v>
      </c>
      <c r="I33" s="49">
        <v>3</v>
      </c>
      <c r="J33" s="49"/>
      <c r="K33" s="59">
        <f t="shared" si="0"/>
        <v>3.25</v>
      </c>
      <c r="L33" s="49">
        <v>3</v>
      </c>
      <c r="M33" s="49">
        <v>4</v>
      </c>
      <c r="N33" s="49">
        <v>3</v>
      </c>
      <c r="O33" s="49">
        <v>3</v>
      </c>
      <c r="P33" s="49">
        <v>3</v>
      </c>
      <c r="Q33" s="59">
        <f t="shared" si="1"/>
        <v>3.2</v>
      </c>
      <c r="R33" s="49"/>
      <c r="S33" s="49">
        <v>3</v>
      </c>
      <c r="T33" s="49"/>
      <c r="U33" s="49"/>
      <c r="V33" s="49"/>
      <c r="W33" s="59">
        <f t="shared" si="2"/>
        <v>3</v>
      </c>
      <c r="X33" s="49"/>
      <c r="Y33" s="49"/>
      <c r="Z33" s="49"/>
      <c r="AA33" s="49"/>
      <c r="AB33" s="49"/>
      <c r="AC33" s="59" t="str">
        <f t="shared" si="3"/>
        <v>0</v>
      </c>
      <c r="AD33" s="49"/>
      <c r="AE33" s="49"/>
      <c r="AF33" s="49"/>
      <c r="AG33" s="49"/>
      <c r="AH33" s="49"/>
      <c r="AI33" s="59" t="str">
        <f t="shared" si="4"/>
        <v>0</v>
      </c>
      <c r="AJ33" s="49">
        <v>3</v>
      </c>
      <c r="AK33" s="49">
        <v>3</v>
      </c>
      <c r="AL33" s="49">
        <v>3</v>
      </c>
      <c r="AM33" s="49">
        <v>3</v>
      </c>
      <c r="AN33" s="49"/>
      <c r="AO33" s="59">
        <f t="shared" si="5"/>
        <v>3</v>
      </c>
      <c r="AP33" s="49">
        <v>3</v>
      </c>
      <c r="AQ33" s="49"/>
      <c r="AR33" s="49"/>
      <c r="AS33" s="49"/>
      <c r="AT33" s="49"/>
      <c r="AU33" s="59">
        <f t="shared" si="6"/>
        <v>3</v>
      </c>
      <c r="AV33" s="49"/>
      <c r="AW33" s="49"/>
      <c r="AX33" s="49"/>
      <c r="AY33" s="49">
        <v>4</v>
      </c>
      <c r="AZ33" s="49">
        <v>4</v>
      </c>
      <c r="BA33" s="59">
        <f t="shared" si="7"/>
        <v>4</v>
      </c>
    </row>
    <row r="34" spans="1:53" ht="23.1" customHeight="1" x14ac:dyDescent="0.3">
      <c r="A34" s="7">
        <v>32</v>
      </c>
      <c r="B34" s="7" t="s">
        <v>243</v>
      </c>
      <c r="C34" s="7" t="s">
        <v>244</v>
      </c>
      <c r="D34" s="7" t="s">
        <v>542</v>
      </c>
      <c r="E34" s="7" t="s">
        <v>161</v>
      </c>
      <c r="F34" s="49">
        <v>3</v>
      </c>
      <c r="G34" s="49">
        <v>3</v>
      </c>
      <c r="H34" s="49">
        <v>3</v>
      </c>
      <c r="I34" s="49">
        <v>3</v>
      </c>
      <c r="J34" s="7"/>
      <c r="K34" s="59">
        <f t="shared" si="0"/>
        <v>3</v>
      </c>
      <c r="L34" s="49">
        <v>2</v>
      </c>
      <c r="M34" s="49">
        <v>3</v>
      </c>
      <c r="N34" s="49">
        <v>4</v>
      </c>
      <c r="O34" s="49">
        <v>3</v>
      </c>
      <c r="P34" s="49">
        <v>3</v>
      </c>
      <c r="Q34" s="59">
        <f t="shared" si="1"/>
        <v>3</v>
      </c>
      <c r="R34" s="49"/>
      <c r="S34" s="49">
        <v>3</v>
      </c>
      <c r="T34" s="7"/>
      <c r="U34" s="49"/>
      <c r="V34" s="7"/>
      <c r="W34" s="59">
        <f t="shared" si="2"/>
        <v>3</v>
      </c>
      <c r="X34" s="49"/>
      <c r="Y34" s="49"/>
      <c r="Z34" s="7"/>
      <c r="AA34" s="7"/>
      <c r="AB34" s="7"/>
      <c r="AC34" s="59" t="str">
        <f t="shared" si="3"/>
        <v>0</v>
      </c>
      <c r="AD34" s="49"/>
      <c r="AE34" s="7"/>
      <c r="AF34" s="49"/>
      <c r="AG34" s="7"/>
      <c r="AH34" s="7"/>
      <c r="AI34" s="59" t="str">
        <f t="shared" si="4"/>
        <v>0</v>
      </c>
      <c r="AJ34" s="49">
        <v>3</v>
      </c>
      <c r="AK34" s="49">
        <v>3</v>
      </c>
      <c r="AL34" s="49">
        <v>3</v>
      </c>
      <c r="AM34" s="49">
        <v>3</v>
      </c>
      <c r="AN34" s="7"/>
      <c r="AO34" s="59">
        <f t="shared" si="5"/>
        <v>3</v>
      </c>
      <c r="AP34" s="49">
        <v>3</v>
      </c>
      <c r="AQ34" s="49"/>
      <c r="AR34" s="49"/>
      <c r="AS34" s="7"/>
      <c r="AT34" s="7"/>
      <c r="AU34" s="59">
        <f t="shared" si="6"/>
        <v>3</v>
      </c>
      <c r="AV34" s="7"/>
      <c r="AW34" s="7"/>
      <c r="AX34" s="49"/>
      <c r="AY34" s="49">
        <v>3</v>
      </c>
      <c r="AZ34" s="49">
        <v>4</v>
      </c>
      <c r="BA34" s="59">
        <f t="shared" si="7"/>
        <v>3.5</v>
      </c>
    </row>
    <row r="35" spans="1:53" ht="23.1" customHeight="1" x14ac:dyDescent="0.3">
      <c r="A35" s="49">
        <v>33</v>
      </c>
      <c r="B35" s="49" t="s">
        <v>211</v>
      </c>
      <c r="C35" s="49" t="s">
        <v>212</v>
      </c>
      <c r="D35" s="49" t="s">
        <v>542</v>
      </c>
      <c r="E35" s="49" t="s">
        <v>161</v>
      </c>
      <c r="F35" s="49">
        <v>3</v>
      </c>
      <c r="G35" s="49">
        <v>3</v>
      </c>
      <c r="H35" s="49">
        <v>2.5</v>
      </c>
      <c r="I35" s="49">
        <v>3</v>
      </c>
      <c r="J35" s="49"/>
      <c r="K35" s="59">
        <f t="shared" si="0"/>
        <v>2.875</v>
      </c>
      <c r="L35" s="49">
        <v>3</v>
      </c>
      <c r="M35" s="49">
        <v>3</v>
      </c>
      <c r="N35" s="49">
        <v>2.5</v>
      </c>
      <c r="O35" s="49">
        <v>3</v>
      </c>
      <c r="P35" s="49">
        <v>3</v>
      </c>
      <c r="Q35" s="59">
        <f t="shared" si="1"/>
        <v>2.9</v>
      </c>
      <c r="R35" s="49"/>
      <c r="S35" s="49">
        <v>3</v>
      </c>
      <c r="T35" s="49"/>
      <c r="U35" s="49"/>
      <c r="V35" s="49"/>
      <c r="W35" s="59">
        <f t="shared" si="2"/>
        <v>3</v>
      </c>
      <c r="X35" s="49"/>
      <c r="Y35" s="49"/>
      <c r="Z35" s="49"/>
      <c r="AA35" s="49"/>
      <c r="AB35" s="49"/>
      <c r="AC35" s="59" t="str">
        <f t="shared" si="3"/>
        <v>0</v>
      </c>
      <c r="AD35" s="49"/>
      <c r="AE35" s="49"/>
      <c r="AF35" s="49"/>
      <c r="AG35" s="49"/>
      <c r="AH35" s="49"/>
      <c r="AI35" s="59" t="str">
        <f t="shared" si="4"/>
        <v>0</v>
      </c>
      <c r="AJ35" s="49">
        <v>3</v>
      </c>
      <c r="AK35" s="49">
        <v>3</v>
      </c>
      <c r="AL35" s="49">
        <v>3</v>
      </c>
      <c r="AM35" s="49">
        <v>3</v>
      </c>
      <c r="AN35" s="49"/>
      <c r="AO35" s="59">
        <f t="shared" si="5"/>
        <v>3</v>
      </c>
      <c r="AP35" s="49">
        <v>2.5</v>
      </c>
      <c r="AQ35" s="49"/>
      <c r="AR35" s="49"/>
      <c r="AS35" s="49"/>
      <c r="AT35" s="49"/>
      <c r="AU35" s="59">
        <f t="shared" si="6"/>
        <v>2.5</v>
      </c>
      <c r="AV35" s="49"/>
      <c r="AW35" s="49"/>
      <c r="AX35" s="49"/>
      <c r="AY35" s="49">
        <v>3</v>
      </c>
      <c r="AZ35" s="49">
        <v>3</v>
      </c>
      <c r="BA35" s="59">
        <f t="shared" si="7"/>
        <v>3</v>
      </c>
    </row>
    <row r="36" spans="1:53" ht="23.1" customHeight="1" x14ac:dyDescent="0.3">
      <c r="A36" s="7">
        <v>34</v>
      </c>
      <c r="B36" s="7" t="s">
        <v>95</v>
      </c>
      <c r="C36" s="7" t="s">
        <v>96</v>
      </c>
      <c r="D36" s="7" t="s">
        <v>542</v>
      </c>
      <c r="E36" s="7" t="s">
        <v>35</v>
      </c>
      <c r="F36" s="49">
        <v>3</v>
      </c>
      <c r="G36" s="49">
        <v>3</v>
      </c>
      <c r="H36" s="49">
        <v>2</v>
      </c>
      <c r="I36" s="49">
        <v>3</v>
      </c>
      <c r="J36" s="7"/>
      <c r="K36" s="59">
        <f t="shared" si="0"/>
        <v>2.75</v>
      </c>
      <c r="L36" s="49">
        <v>4</v>
      </c>
      <c r="M36" s="49">
        <v>4</v>
      </c>
      <c r="N36" s="49">
        <v>3</v>
      </c>
      <c r="O36" s="49">
        <v>5</v>
      </c>
      <c r="P36" s="49">
        <v>4</v>
      </c>
      <c r="Q36" s="59">
        <f t="shared" si="1"/>
        <v>4</v>
      </c>
      <c r="R36" s="49"/>
      <c r="S36" s="49">
        <v>3</v>
      </c>
      <c r="T36" s="7"/>
      <c r="U36" s="49"/>
      <c r="V36" s="7"/>
      <c r="W36" s="59">
        <f t="shared" si="2"/>
        <v>3</v>
      </c>
      <c r="X36" s="49"/>
      <c r="Y36" s="49"/>
      <c r="Z36" s="7"/>
      <c r="AA36" s="7"/>
      <c r="AB36" s="7"/>
      <c r="AC36" s="59" t="str">
        <f t="shared" si="3"/>
        <v>0</v>
      </c>
      <c r="AD36" s="49"/>
      <c r="AE36" s="7"/>
      <c r="AF36" s="49"/>
      <c r="AG36" s="7"/>
      <c r="AH36" s="7"/>
      <c r="AI36" s="59" t="str">
        <f t="shared" si="4"/>
        <v>0</v>
      </c>
      <c r="AJ36" s="49">
        <v>3</v>
      </c>
      <c r="AK36" s="49">
        <v>3</v>
      </c>
      <c r="AL36" s="49">
        <v>3</v>
      </c>
      <c r="AM36" s="49">
        <v>3</v>
      </c>
      <c r="AN36" s="7"/>
      <c r="AO36" s="59">
        <f t="shared" si="5"/>
        <v>3</v>
      </c>
      <c r="AP36" s="49">
        <v>3</v>
      </c>
      <c r="AQ36" s="49"/>
      <c r="AR36" s="49"/>
      <c r="AS36" s="7"/>
      <c r="AT36" s="7"/>
      <c r="AU36" s="59">
        <f t="shared" si="6"/>
        <v>3</v>
      </c>
      <c r="AV36" s="7"/>
      <c r="AW36" s="7"/>
      <c r="AX36" s="49"/>
      <c r="AY36" s="49">
        <v>3</v>
      </c>
      <c r="AZ36" s="49">
        <v>4</v>
      </c>
      <c r="BA36" s="59">
        <f t="shared" si="7"/>
        <v>3.5</v>
      </c>
    </row>
    <row r="37" spans="1:53" ht="23.1" customHeight="1" x14ac:dyDescent="0.3">
      <c r="A37" s="49">
        <v>35</v>
      </c>
      <c r="B37" s="49" t="s">
        <v>273</v>
      </c>
      <c r="C37" s="49" t="s">
        <v>274</v>
      </c>
      <c r="D37" s="49" t="s">
        <v>450</v>
      </c>
      <c r="E37" s="49" t="s">
        <v>161</v>
      </c>
      <c r="F37" s="49">
        <v>2</v>
      </c>
      <c r="G37" s="49">
        <v>2</v>
      </c>
      <c r="H37" s="49">
        <v>2</v>
      </c>
      <c r="I37" s="49">
        <v>2</v>
      </c>
      <c r="J37" s="49"/>
      <c r="K37" s="59">
        <f t="shared" si="0"/>
        <v>2</v>
      </c>
      <c r="L37" s="49">
        <v>3</v>
      </c>
      <c r="M37" s="49">
        <v>2</v>
      </c>
      <c r="N37" s="49">
        <v>2</v>
      </c>
      <c r="O37" s="49">
        <v>4</v>
      </c>
      <c r="P37" s="49">
        <v>2</v>
      </c>
      <c r="Q37" s="59">
        <f t="shared" si="1"/>
        <v>2.6</v>
      </c>
      <c r="R37" s="49"/>
      <c r="S37" s="49">
        <v>2</v>
      </c>
      <c r="T37" s="49"/>
      <c r="U37" s="49"/>
      <c r="V37" s="49"/>
      <c r="W37" s="59">
        <f t="shared" si="2"/>
        <v>2</v>
      </c>
      <c r="X37" s="49"/>
      <c r="Y37" s="49"/>
      <c r="Z37" s="49"/>
      <c r="AA37" s="49"/>
      <c r="AB37" s="49"/>
      <c r="AC37" s="59" t="str">
        <f t="shared" si="3"/>
        <v>0</v>
      </c>
      <c r="AD37" s="49"/>
      <c r="AE37" s="49"/>
      <c r="AF37" s="49"/>
      <c r="AG37" s="49"/>
      <c r="AH37" s="49"/>
      <c r="AI37" s="59" t="str">
        <f t="shared" si="4"/>
        <v>0</v>
      </c>
      <c r="AJ37" s="49">
        <v>2</v>
      </c>
      <c r="AK37" s="49">
        <v>2</v>
      </c>
      <c r="AL37" s="49">
        <v>2</v>
      </c>
      <c r="AM37" s="49">
        <v>2</v>
      </c>
      <c r="AN37" s="49"/>
      <c r="AO37" s="59">
        <f t="shared" si="5"/>
        <v>2</v>
      </c>
      <c r="AP37" s="49">
        <v>3</v>
      </c>
      <c r="AQ37" s="49"/>
      <c r="AR37" s="49"/>
      <c r="AS37" s="49"/>
      <c r="AT37" s="49"/>
      <c r="AU37" s="59">
        <f t="shared" si="6"/>
        <v>3</v>
      </c>
      <c r="AV37" s="49"/>
      <c r="AW37" s="49"/>
      <c r="AX37" s="49"/>
      <c r="AY37" s="49">
        <v>2</v>
      </c>
      <c r="AZ37" s="49">
        <v>2</v>
      </c>
      <c r="BA37" s="59">
        <f t="shared" si="7"/>
        <v>2</v>
      </c>
    </row>
    <row r="38" spans="1:53" ht="23.1" customHeight="1" x14ac:dyDescent="0.3">
      <c r="A38" s="7">
        <v>36</v>
      </c>
      <c r="B38" s="7" t="s">
        <v>112</v>
      </c>
      <c r="C38" s="7" t="s">
        <v>113</v>
      </c>
      <c r="D38" s="7" t="s">
        <v>450</v>
      </c>
      <c r="E38" s="7" t="s">
        <v>35</v>
      </c>
      <c r="F38" s="49">
        <v>3</v>
      </c>
      <c r="G38" s="49">
        <v>3</v>
      </c>
      <c r="H38" s="49">
        <v>3</v>
      </c>
      <c r="I38" s="49">
        <v>3</v>
      </c>
      <c r="J38" s="7"/>
      <c r="K38" s="59">
        <f t="shared" si="0"/>
        <v>3</v>
      </c>
      <c r="L38" s="49">
        <v>3</v>
      </c>
      <c r="M38" s="49">
        <v>3</v>
      </c>
      <c r="N38" s="49">
        <v>3</v>
      </c>
      <c r="O38" s="49">
        <v>3</v>
      </c>
      <c r="P38" s="49">
        <v>3</v>
      </c>
      <c r="Q38" s="59">
        <f t="shared" si="1"/>
        <v>3</v>
      </c>
      <c r="R38" s="49"/>
      <c r="S38" s="49">
        <v>3</v>
      </c>
      <c r="T38" s="7"/>
      <c r="U38" s="49"/>
      <c r="V38" s="7"/>
      <c r="W38" s="59">
        <f t="shared" si="2"/>
        <v>3</v>
      </c>
      <c r="X38" s="49"/>
      <c r="Y38" s="49"/>
      <c r="Z38" s="7"/>
      <c r="AA38" s="7"/>
      <c r="AB38" s="7"/>
      <c r="AC38" s="59" t="str">
        <f t="shared" si="3"/>
        <v>0</v>
      </c>
      <c r="AD38" s="49"/>
      <c r="AE38" s="7"/>
      <c r="AF38" s="49"/>
      <c r="AG38" s="7"/>
      <c r="AH38" s="7"/>
      <c r="AI38" s="59" t="str">
        <f t="shared" si="4"/>
        <v>0</v>
      </c>
      <c r="AJ38" s="49">
        <v>3</v>
      </c>
      <c r="AK38" s="49">
        <v>3</v>
      </c>
      <c r="AL38" s="49">
        <v>4</v>
      </c>
      <c r="AM38" s="49">
        <v>3</v>
      </c>
      <c r="AN38" s="7"/>
      <c r="AO38" s="59">
        <f t="shared" si="5"/>
        <v>3.25</v>
      </c>
      <c r="AP38" s="49">
        <v>3</v>
      </c>
      <c r="AQ38" s="49"/>
      <c r="AR38" s="49"/>
      <c r="AS38" s="7"/>
      <c r="AT38" s="7"/>
      <c r="AU38" s="59">
        <f t="shared" si="6"/>
        <v>3</v>
      </c>
      <c r="AV38" s="7"/>
      <c r="AW38" s="7"/>
      <c r="AX38" s="49"/>
      <c r="AY38" s="49">
        <v>1</v>
      </c>
      <c r="AZ38" s="49">
        <v>1</v>
      </c>
      <c r="BA38" s="59">
        <f t="shared" si="7"/>
        <v>1</v>
      </c>
    </row>
    <row r="39" spans="1:53" ht="23.1" customHeight="1" x14ac:dyDescent="0.3">
      <c r="A39" s="49">
        <v>37</v>
      </c>
      <c r="B39" s="49" t="s">
        <v>302</v>
      </c>
      <c r="C39" s="49" t="s">
        <v>303</v>
      </c>
      <c r="D39" s="49" t="s">
        <v>450</v>
      </c>
      <c r="E39" s="49" t="s">
        <v>493</v>
      </c>
      <c r="F39" s="49">
        <v>3</v>
      </c>
      <c r="G39" s="49">
        <v>4</v>
      </c>
      <c r="H39" s="49">
        <v>3</v>
      </c>
      <c r="I39" s="49">
        <v>3</v>
      </c>
      <c r="J39" s="49"/>
      <c r="K39" s="59">
        <f t="shared" si="0"/>
        <v>3.25</v>
      </c>
      <c r="L39" s="49">
        <v>3</v>
      </c>
      <c r="M39" s="49">
        <v>4</v>
      </c>
      <c r="N39" s="49">
        <v>2</v>
      </c>
      <c r="O39" s="49">
        <v>3</v>
      </c>
      <c r="P39" s="49">
        <v>2</v>
      </c>
      <c r="Q39" s="59">
        <f t="shared" si="1"/>
        <v>2.8</v>
      </c>
      <c r="R39" s="49"/>
      <c r="S39" s="49">
        <v>2</v>
      </c>
      <c r="T39" s="49"/>
      <c r="U39" s="49"/>
      <c r="V39" s="49"/>
      <c r="W39" s="59">
        <f t="shared" si="2"/>
        <v>2</v>
      </c>
      <c r="X39" s="49"/>
      <c r="Y39" s="49"/>
      <c r="Z39" s="49"/>
      <c r="AA39" s="49"/>
      <c r="AB39" s="49"/>
      <c r="AC39" s="59" t="str">
        <f t="shared" si="3"/>
        <v>0</v>
      </c>
      <c r="AD39" s="49"/>
      <c r="AE39" s="49"/>
      <c r="AF39" s="49"/>
      <c r="AG39" s="49"/>
      <c r="AH39" s="49"/>
      <c r="AI39" s="59" t="str">
        <f t="shared" si="4"/>
        <v>0</v>
      </c>
      <c r="AJ39" s="49">
        <v>3</v>
      </c>
      <c r="AK39" s="49">
        <v>4</v>
      </c>
      <c r="AL39" s="49">
        <v>3</v>
      </c>
      <c r="AM39" s="49">
        <v>3</v>
      </c>
      <c r="AN39" s="49"/>
      <c r="AO39" s="59">
        <f t="shared" si="5"/>
        <v>3.25</v>
      </c>
      <c r="AP39" s="49">
        <v>3</v>
      </c>
      <c r="AQ39" s="49"/>
      <c r="AR39" s="49"/>
      <c r="AS39" s="49"/>
      <c r="AT39" s="49"/>
      <c r="AU39" s="59">
        <f t="shared" si="6"/>
        <v>3</v>
      </c>
      <c r="AV39" s="49"/>
      <c r="AW39" s="49"/>
      <c r="AX39" s="49"/>
      <c r="AY39" s="49">
        <v>2</v>
      </c>
      <c r="AZ39" s="49">
        <v>3</v>
      </c>
      <c r="BA39" s="59">
        <f t="shared" si="7"/>
        <v>2.5</v>
      </c>
    </row>
    <row r="40" spans="1:53" ht="23.1" customHeight="1" x14ac:dyDescent="0.3">
      <c r="A40" s="7">
        <v>38</v>
      </c>
      <c r="B40" s="7" t="s">
        <v>227</v>
      </c>
      <c r="C40" s="7" t="s">
        <v>228</v>
      </c>
      <c r="D40" s="7" t="s">
        <v>542</v>
      </c>
      <c r="E40" s="7" t="s">
        <v>161</v>
      </c>
      <c r="F40" s="49">
        <v>3.5</v>
      </c>
      <c r="G40" s="49">
        <v>3</v>
      </c>
      <c r="H40" s="49">
        <v>3</v>
      </c>
      <c r="I40" s="49">
        <v>2.5</v>
      </c>
      <c r="J40" s="7"/>
      <c r="K40" s="59">
        <f t="shared" si="0"/>
        <v>3</v>
      </c>
      <c r="L40" s="49">
        <v>3.5</v>
      </c>
      <c r="M40" s="49">
        <v>3</v>
      </c>
      <c r="N40" s="49">
        <v>3</v>
      </c>
      <c r="O40" s="49">
        <v>2.5</v>
      </c>
      <c r="P40" s="49">
        <v>2.5</v>
      </c>
      <c r="Q40" s="59">
        <f t="shared" si="1"/>
        <v>2.9</v>
      </c>
      <c r="R40" s="49"/>
      <c r="S40" s="49">
        <v>3</v>
      </c>
      <c r="T40" s="7"/>
      <c r="U40" s="49"/>
      <c r="V40" s="7"/>
      <c r="W40" s="59">
        <f t="shared" si="2"/>
        <v>3</v>
      </c>
      <c r="X40" s="49"/>
      <c r="Y40" s="49"/>
      <c r="Z40" s="7"/>
      <c r="AA40" s="7"/>
      <c r="AB40" s="7"/>
      <c r="AC40" s="59" t="str">
        <f t="shared" si="3"/>
        <v>0</v>
      </c>
      <c r="AD40" s="49"/>
      <c r="AE40" s="7"/>
      <c r="AF40" s="49"/>
      <c r="AG40" s="7"/>
      <c r="AH40" s="7"/>
      <c r="AI40" s="59" t="str">
        <f t="shared" si="4"/>
        <v>0</v>
      </c>
      <c r="AJ40" s="49">
        <v>2.5</v>
      </c>
      <c r="AK40" s="49">
        <v>3</v>
      </c>
      <c r="AL40" s="49">
        <v>3.5</v>
      </c>
      <c r="AM40" s="49">
        <v>3</v>
      </c>
      <c r="AN40" s="7"/>
      <c r="AO40" s="59">
        <f t="shared" si="5"/>
        <v>3</v>
      </c>
      <c r="AP40" s="49">
        <v>3</v>
      </c>
      <c r="AQ40" s="49"/>
      <c r="AR40" s="49"/>
      <c r="AS40" s="7"/>
      <c r="AT40" s="7"/>
      <c r="AU40" s="59">
        <f t="shared" si="6"/>
        <v>3</v>
      </c>
      <c r="AV40" s="7"/>
      <c r="AW40" s="7"/>
      <c r="AX40" s="49"/>
      <c r="AY40" s="49">
        <v>2.5</v>
      </c>
      <c r="AZ40" s="49">
        <v>2.5</v>
      </c>
      <c r="BA40" s="59">
        <f t="shared" si="7"/>
        <v>2.5</v>
      </c>
    </row>
    <row r="41" spans="1:53" ht="23.1" customHeight="1" x14ac:dyDescent="0.3">
      <c r="A41" s="49">
        <v>39</v>
      </c>
      <c r="B41" s="49" t="s">
        <v>304</v>
      </c>
      <c r="C41" s="49" t="s">
        <v>305</v>
      </c>
      <c r="D41" s="49" t="s">
        <v>542</v>
      </c>
      <c r="E41" s="49" t="s">
        <v>493</v>
      </c>
      <c r="F41" s="49">
        <v>4</v>
      </c>
      <c r="G41" s="49">
        <v>3.5</v>
      </c>
      <c r="H41" s="49">
        <v>3.5</v>
      </c>
      <c r="I41" s="49">
        <v>3</v>
      </c>
      <c r="J41" s="49"/>
      <c r="K41" s="59">
        <f t="shared" si="0"/>
        <v>3.5</v>
      </c>
      <c r="L41" s="49">
        <v>4</v>
      </c>
      <c r="M41" s="49">
        <v>3.5</v>
      </c>
      <c r="N41" s="49">
        <v>3.5</v>
      </c>
      <c r="O41" s="49">
        <v>3</v>
      </c>
      <c r="P41" s="49">
        <v>3</v>
      </c>
      <c r="Q41" s="59">
        <f t="shared" si="1"/>
        <v>3.4</v>
      </c>
      <c r="R41" s="49"/>
      <c r="S41" s="49">
        <v>3</v>
      </c>
      <c r="T41" s="49"/>
      <c r="U41" s="49"/>
      <c r="V41" s="49"/>
      <c r="W41" s="59">
        <f t="shared" si="2"/>
        <v>3</v>
      </c>
      <c r="X41" s="49"/>
      <c r="Y41" s="49"/>
      <c r="Z41" s="49"/>
      <c r="AA41" s="49"/>
      <c r="AB41" s="49"/>
      <c r="AC41" s="59" t="str">
        <f t="shared" si="3"/>
        <v>0</v>
      </c>
      <c r="AD41" s="49"/>
      <c r="AE41" s="49"/>
      <c r="AF41" s="49"/>
      <c r="AG41" s="49"/>
      <c r="AH41" s="49"/>
      <c r="AI41" s="59" t="str">
        <f t="shared" si="4"/>
        <v>0</v>
      </c>
      <c r="AJ41" s="49">
        <v>3</v>
      </c>
      <c r="AK41" s="49">
        <v>3</v>
      </c>
      <c r="AL41" s="49">
        <v>4</v>
      </c>
      <c r="AM41" s="49">
        <v>3.5</v>
      </c>
      <c r="AN41" s="49"/>
      <c r="AO41" s="59">
        <f t="shared" si="5"/>
        <v>3.375</v>
      </c>
      <c r="AP41" s="49">
        <v>3.5</v>
      </c>
      <c r="AQ41" s="49"/>
      <c r="AR41" s="49"/>
      <c r="AS41" s="49"/>
      <c r="AT41" s="49"/>
      <c r="AU41" s="59">
        <f t="shared" si="6"/>
        <v>3.5</v>
      </c>
      <c r="AV41" s="49"/>
      <c r="AW41" s="49"/>
      <c r="AX41" s="49"/>
      <c r="AY41" s="49">
        <v>3</v>
      </c>
      <c r="AZ41" s="49">
        <v>3</v>
      </c>
      <c r="BA41" s="59">
        <f t="shared" si="7"/>
        <v>3</v>
      </c>
    </row>
    <row r="42" spans="1:53" ht="23.1" customHeight="1" x14ac:dyDescent="0.3">
      <c r="A42" s="7">
        <v>40</v>
      </c>
      <c r="B42" s="7" t="s">
        <v>89</v>
      </c>
      <c r="C42" s="7" t="s">
        <v>90</v>
      </c>
      <c r="D42" s="7" t="s">
        <v>450</v>
      </c>
      <c r="E42" s="7" t="s">
        <v>35</v>
      </c>
      <c r="F42" s="49">
        <v>4</v>
      </c>
      <c r="G42" s="49">
        <v>4</v>
      </c>
      <c r="H42" s="49">
        <v>4</v>
      </c>
      <c r="I42" s="49">
        <v>4</v>
      </c>
      <c r="J42" s="7"/>
      <c r="K42" s="59">
        <f t="shared" si="0"/>
        <v>4</v>
      </c>
      <c r="L42" s="49">
        <v>3</v>
      </c>
      <c r="M42" s="49">
        <v>4</v>
      </c>
      <c r="N42" s="49">
        <v>3</v>
      </c>
      <c r="O42" s="49">
        <v>4</v>
      </c>
      <c r="P42" s="49">
        <v>3</v>
      </c>
      <c r="Q42" s="59">
        <f t="shared" si="1"/>
        <v>3.4</v>
      </c>
      <c r="R42" s="49"/>
      <c r="S42" s="49">
        <v>4</v>
      </c>
      <c r="T42" s="7"/>
      <c r="U42" s="49"/>
      <c r="V42" s="7"/>
      <c r="W42" s="59">
        <f t="shared" si="2"/>
        <v>4</v>
      </c>
      <c r="X42" s="49"/>
      <c r="Y42" s="49"/>
      <c r="Z42" s="7"/>
      <c r="AA42" s="7"/>
      <c r="AB42" s="7"/>
      <c r="AC42" s="59" t="str">
        <f t="shared" si="3"/>
        <v>0</v>
      </c>
      <c r="AD42" s="49"/>
      <c r="AE42" s="7"/>
      <c r="AF42" s="49"/>
      <c r="AG42" s="7"/>
      <c r="AH42" s="7"/>
      <c r="AI42" s="59" t="str">
        <f t="shared" si="4"/>
        <v>0</v>
      </c>
      <c r="AJ42" s="49">
        <v>4</v>
      </c>
      <c r="AK42" s="49">
        <v>4</v>
      </c>
      <c r="AL42" s="49">
        <v>4</v>
      </c>
      <c r="AM42" s="49">
        <v>4</v>
      </c>
      <c r="AN42" s="7"/>
      <c r="AO42" s="59">
        <f t="shared" si="5"/>
        <v>4</v>
      </c>
      <c r="AP42" s="49">
        <v>3</v>
      </c>
      <c r="AQ42" s="49"/>
      <c r="AR42" s="49"/>
      <c r="AS42" s="7"/>
      <c r="AT42" s="7"/>
      <c r="AU42" s="59">
        <f t="shared" si="6"/>
        <v>3</v>
      </c>
      <c r="AV42" s="7"/>
      <c r="AW42" s="7"/>
      <c r="AX42" s="49"/>
      <c r="AY42" s="49">
        <v>3</v>
      </c>
      <c r="AZ42" s="49">
        <v>2</v>
      </c>
      <c r="BA42" s="59">
        <f t="shared" si="7"/>
        <v>2.5</v>
      </c>
    </row>
    <row r="43" spans="1:53" ht="23.1" customHeight="1" x14ac:dyDescent="0.3">
      <c r="A43" s="49">
        <v>41</v>
      </c>
      <c r="B43" s="49" t="s">
        <v>306</v>
      </c>
      <c r="C43" s="49" t="s">
        <v>307</v>
      </c>
      <c r="D43" s="49" t="s">
        <v>542</v>
      </c>
      <c r="E43" s="49" t="s">
        <v>493</v>
      </c>
      <c r="F43" s="49">
        <v>3</v>
      </c>
      <c r="G43" s="49">
        <v>3</v>
      </c>
      <c r="H43" s="49">
        <v>3.5</v>
      </c>
      <c r="I43" s="49">
        <v>3</v>
      </c>
      <c r="J43" s="49"/>
      <c r="K43" s="59">
        <f t="shared" si="0"/>
        <v>3.125</v>
      </c>
      <c r="L43" s="49">
        <v>3</v>
      </c>
      <c r="M43" s="49">
        <v>3</v>
      </c>
      <c r="N43" s="49">
        <v>3.5</v>
      </c>
      <c r="O43" s="49">
        <v>3</v>
      </c>
      <c r="P43" s="49">
        <v>3</v>
      </c>
      <c r="Q43" s="59">
        <f t="shared" si="1"/>
        <v>3.1</v>
      </c>
      <c r="R43" s="49"/>
      <c r="S43" s="49">
        <v>3</v>
      </c>
      <c r="T43" s="49"/>
      <c r="U43" s="49"/>
      <c r="V43" s="49"/>
      <c r="W43" s="59">
        <f t="shared" si="2"/>
        <v>3</v>
      </c>
      <c r="X43" s="49"/>
      <c r="Y43" s="49"/>
      <c r="Z43" s="49"/>
      <c r="AA43" s="49"/>
      <c r="AB43" s="49"/>
      <c r="AC43" s="59" t="str">
        <f t="shared" si="3"/>
        <v>0</v>
      </c>
      <c r="AD43" s="49"/>
      <c r="AE43" s="49"/>
      <c r="AF43" s="49"/>
      <c r="AG43" s="49"/>
      <c r="AH43" s="49"/>
      <c r="AI43" s="59" t="str">
        <f t="shared" si="4"/>
        <v>0</v>
      </c>
      <c r="AJ43" s="49">
        <v>3</v>
      </c>
      <c r="AK43" s="49">
        <v>3</v>
      </c>
      <c r="AL43" s="49">
        <v>3</v>
      </c>
      <c r="AM43" s="49">
        <v>3</v>
      </c>
      <c r="AN43" s="49"/>
      <c r="AO43" s="59">
        <f t="shared" si="5"/>
        <v>3</v>
      </c>
      <c r="AP43" s="49">
        <v>3.5</v>
      </c>
      <c r="AQ43" s="49"/>
      <c r="AR43" s="49"/>
      <c r="AS43" s="49"/>
      <c r="AT43" s="49"/>
      <c r="AU43" s="59">
        <f t="shared" si="6"/>
        <v>3.5</v>
      </c>
      <c r="AV43" s="49"/>
      <c r="AW43" s="49"/>
      <c r="AX43" s="49"/>
      <c r="AY43" s="49">
        <v>3</v>
      </c>
      <c r="AZ43" s="49">
        <v>3</v>
      </c>
      <c r="BA43" s="59">
        <f t="shared" si="7"/>
        <v>3</v>
      </c>
    </row>
    <row r="44" spans="1:53" ht="23.1" customHeight="1" x14ac:dyDescent="0.3">
      <c r="A44" s="7">
        <v>42</v>
      </c>
      <c r="B44" s="7" t="s">
        <v>245</v>
      </c>
      <c r="C44" s="7" t="s">
        <v>246</v>
      </c>
      <c r="D44" s="7" t="s">
        <v>542</v>
      </c>
      <c r="E44" s="7" t="s">
        <v>161</v>
      </c>
      <c r="F44" s="49">
        <v>3</v>
      </c>
      <c r="G44" s="49">
        <v>2.5</v>
      </c>
      <c r="H44" s="49">
        <v>3</v>
      </c>
      <c r="I44" s="49">
        <v>2.5</v>
      </c>
      <c r="J44" s="7"/>
      <c r="K44" s="59">
        <f t="shared" si="0"/>
        <v>2.75</v>
      </c>
      <c r="L44" s="49">
        <v>3</v>
      </c>
      <c r="M44" s="49">
        <v>2.5</v>
      </c>
      <c r="N44" s="49">
        <v>3</v>
      </c>
      <c r="O44" s="49">
        <v>2.5</v>
      </c>
      <c r="P44" s="49">
        <v>2.5</v>
      </c>
      <c r="Q44" s="59">
        <f t="shared" si="1"/>
        <v>2.7</v>
      </c>
      <c r="R44" s="49"/>
      <c r="S44" s="49">
        <v>3</v>
      </c>
      <c r="T44" s="7"/>
      <c r="U44" s="49"/>
      <c r="V44" s="7"/>
      <c r="W44" s="59">
        <f t="shared" si="2"/>
        <v>3</v>
      </c>
      <c r="X44" s="49"/>
      <c r="Y44" s="49"/>
      <c r="Z44" s="7"/>
      <c r="AA44" s="7"/>
      <c r="AB44" s="7"/>
      <c r="AC44" s="59" t="str">
        <f t="shared" si="3"/>
        <v>0</v>
      </c>
      <c r="AD44" s="49"/>
      <c r="AE44" s="7"/>
      <c r="AF44" s="49"/>
      <c r="AG44" s="7"/>
      <c r="AH44" s="7"/>
      <c r="AI44" s="59" t="str">
        <f t="shared" si="4"/>
        <v>0</v>
      </c>
      <c r="AJ44" s="49">
        <v>2.5</v>
      </c>
      <c r="AK44" s="49">
        <v>3</v>
      </c>
      <c r="AL44" s="49">
        <v>3</v>
      </c>
      <c r="AM44" s="49">
        <v>2.5</v>
      </c>
      <c r="AN44" s="7"/>
      <c r="AO44" s="59">
        <f t="shared" si="5"/>
        <v>2.75</v>
      </c>
      <c r="AP44" s="49">
        <v>3</v>
      </c>
      <c r="AQ44" s="49"/>
      <c r="AR44" s="49"/>
      <c r="AS44" s="7"/>
      <c r="AT44" s="7"/>
      <c r="AU44" s="59">
        <f t="shared" si="6"/>
        <v>3</v>
      </c>
      <c r="AV44" s="7"/>
      <c r="AW44" s="7"/>
      <c r="AX44" s="49"/>
      <c r="AY44" s="49">
        <v>2.5</v>
      </c>
      <c r="AZ44" s="49">
        <v>2.5</v>
      </c>
      <c r="BA44" s="59">
        <f t="shared" si="7"/>
        <v>2.5</v>
      </c>
    </row>
    <row r="45" spans="1:53" ht="23.1" customHeight="1" x14ac:dyDescent="0.3">
      <c r="A45" s="49">
        <v>43</v>
      </c>
      <c r="B45" s="49" t="s">
        <v>114</v>
      </c>
      <c r="C45" s="49" t="s">
        <v>115</v>
      </c>
      <c r="D45" s="49" t="s">
        <v>450</v>
      </c>
      <c r="E45" s="49" t="s">
        <v>35</v>
      </c>
      <c r="F45" s="49">
        <v>4</v>
      </c>
      <c r="G45" s="49">
        <v>3</v>
      </c>
      <c r="H45" s="49">
        <v>3</v>
      </c>
      <c r="I45" s="49">
        <v>3</v>
      </c>
      <c r="J45" s="49"/>
      <c r="K45" s="59">
        <f t="shared" si="0"/>
        <v>3.25</v>
      </c>
      <c r="L45" s="49">
        <v>4</v>
      </c>
      <c r="M45" s="49">
        <v>4</v>
      </c>
      <c r="N45" s="49">
        <v>4</v>
      </c>
      <c r="O45" s="49">
        <v>4</v>
      </c>
      <c r="P45" s="49">
        <v>4</v>
      </c>
      <c r="Q45" s="59">
        <f t="shared" si="1"/>
        <v>4</v>
      </c>
      <c r="R45" s="49"/>
      <c r="S45" s="49">
        <v>4</v>
      </c>
      <c r="T45" s="49"/>
      <c r="U45" s="49"/>
      <c r="V45" s="49"/>
      <c r="W45" s="59">
        <f t="shared" si="2"/>
        <v>4</v>
      </c>
      <c r="X45" s="49"/>
      <c r="Y45" s="49"/>
      <c r="Z45" s="49"/>
      <c r="AA45" s="49"/>
      <c r="AB45" s="49"/>
      <c r="AC45" s="59" t="str">
        <f t="shared" si="3"/>
        <v>0</v>
      </c>
      <c r="AD45" s="49"/>
      <c r="AE45" s="49"/>
      <c r="AF45" s="49"/>
      <c r="AG45" s="49"/>
      <c r="AH45" s="49"/>
      <c r="AI45" s="59" t="str">
        <f t="shared" si="4"/>
        <v>0</v>
      </c>
      <c r="AJ45" s="49">
        <v>3</v>
      </c>
      <c r="AK45" s="49">
        <v>3</v>
      </c>
      <c r="AL45" s="49">
        <v>4</v>
      </c>
      <c r="AM45" s="49">
        <v>2</v>
      </c>
      <c r="AN45" s="49"/>
      <c r="AO45" s="59">
        <f t="shared" si="5"/>
        <v>3</v>
      </c>
      <c r="AP45" s="49">
        <v>3</v>
      </c>
      <c r="AQ45" s="49"/>
      <c r="AR45" s="49"/>
      <c r="AS45" s="49"/>
      <c r="AT45" s="49"/>
      <c r="AU45" s="59">
        <f t="shared" si="6"/>
        <v>3</v>
      </c>
      <c r="AV45" s="49"/>
      <c r="AW45" s="49"/>
      <c r="AX45" s="49"/>
      <c r="AY45" s="49">
        <v>3</v>
      </c>
      <c r="AZ45" s="49">
        <v>2</v>
      </c>
      <c r="BA45" s="59">
        <f t="shared" si="7"/>
        <v>2.5</v>
      </c>
    </row>
    <row r="46" spans="1:53" ht="23.1" customHeight="1" x14ac:dyDescent="0.3">
      <c r="A46" s="7">
        <v>44</v>
      </c>
      <c r="B46" s="7" t="s">
        <v>116</v>
      </c>
      <c r="C46" s="7" t="s">
        <v>117</v>
      </c>
      <c r="D46" s="7" t="s">
        <v>542</v>
      </c>
      <c r="E46" s="7" t="s">
        <v>35</v>
      </c>
      <c r="F46" s="49">
        <v>3</v>
      </c>
      <c r="G46" s="49">
        <v>4</v>
      </c>
      <c r="H46" s="49">
        <v>3</v>
      </c>
      <c r="I46" s="49">
        <v>4</v>
      </c>
      <c r="J46" s="7"/>
      <c r="K46" s="59">
        <f t="shared" si="0"/>
        <v>3.5</v>
      </c>
      <c r="L46" s="49">
        <v>3</v>
      </c>
      <c r="M46" s="49">
        <v>4</v>
      </c>
      <c r="N46" s="49">
        <v>4</v>
      </c>
      <c r="O46" s="49">
        <v>4</v>
      </c>
      <c r="P46" s="49">
        <v>3</v>
      </c>
      <c r="Q46" s="59">
        <f t="shared" si="1"/>
        <v>3.6</v>
      </c>
      <c r="R46" s="49"/>
      <c r="S46" s="49">
        <v>2</v>
      </c>
      <c r="T46" s="7"/>
      <c r="U46" s="49"/>
      <c r="V46" s="7"/>
      <c r="W46" s="59">
        <f t="shared" si="2"/>
        <v>2</v>
      </c>
      <c r="X46" s="49"/>
      <c r="Y46" s="49"/>
      <c r="Z46" s="7"/>
      <c r="AA46" s="7"/>
      <c r="AB46" s="7"/>
      <c r="AC46" s="59" t="str">
        <f t="shared" si="3"/>
        <v>0</v>
      </c>
      <c r="AD46" s="49"/>
      <c r="AE46" s="7"/>
      <c r="AF46" s="49"/>
      <c r="AG46" s="7"/>
      <c r="AH46" s="7"/>
      <c r="AI46" s="59" t="str">
        <f t="shared" si="4"/>
        <v>0</v>
      </c>
      <c r="AJ46" s="49">
        <v>3</v>
      </c>
      <c r="AK46" s="49">
        <v>4</v>
      </c>
      <c r="AL46" s="49">
        <v>3</v>
      </c>
      <c r="AM46" s="49">
        <v>3</v>
      </c>
      <c r="AN46" s="7"/>
      <c r="AO46" s="59">
        <f t="shared" si="5"/>
        <v>3.25</v>
      </c>
      <c r="AP46" s="49">
        <v>3</v>
      </c>
      <c r="AQ46" s="49"/>
      <c r="AR46" s="49"/>
      <c r="AS46" s="7"/>
      <c r="AT46" s="7"/>
      <c r="AU46" s="59">
        <f t="shared" si="6"/>
        <v>3</v>
      </c>
      <c r="AV46" s="7"/>
      <c r="AW46" s="7"/>
      <c r="AX46" s="49"/>
      <c r="AY46" s="49">
        <v>4</v>
      </c>
      <c r="AZ46" s="49">
        <v>4</v>
      </c>
      <c r="BA46" s="59">
        <f t="shared" si="7"/>
        <v>4</v>
      </c>
    </row>
    <row r="47" spans="1:53" ht="23.1" customHeight="1" x14ac:dyDescent="0.3">
      <c r="A47" s="49">
        <v>45</v>
      </c>
      <c r="B47" s="49" t="s">
        <v>180</v>
      </c>
      <c r="C47" s="49" t="s">
        <v>181</v>
      </c>
      <c r="D47" s="49" t="s">
        <v>450</v>
      </c>
      <c r="E47" s="49" t="s">
        <v>161</v>
      </c>
      <c r="F47" s="49" t="s">
        <v>581</v>
      </c>
      <c r="G47" s="49" t="s">
        <v>581</v>
      </c>
      <c r="H47" s="49" t="s">
        <v>581</v>
      </c>
      <c r="I47" s="49" t="s">
        <v>581</v>
      </c>
      <c r="J47" s="49"/>
      <c r="K47" s="59" t="str">
        <f t="shared" si="0"/>
        <v>0</v>
      </c>
      <c r="L47" s="49" t="s">
        <v>581</v>
      </c>
      <c r="M47" s="49" t="s">
        <v>581</v>
      </c>
      <c r="N47" s="49" t="s">
        <v>581</v>
      </c>
      <c r="O47" s="49" t="s">
        <v>581</v>
      </c>
      <c r="P47" s="49" t="s">
        <v>581</v>
      </c>
      <c r="Q47" s="59" t="str">
        <f t="shared" si="1"/>
        <v>0</v>
      </c>
      <c r="R47" s="49"/>
      <c r="S47" s="49" t="s">
        <v>581</v>
      </c>
      <c r="T47" s="49"/>
      <c r="U47" s="49"/>
      <c r="V47" s="49"/>
      <c r="W47" s="59" t="str">
        <f t="shared" si="2"/>
        <v>0</v>
      </c>
      <c r="X47" s="49"/>
      <c r="Y47" s="49"/>
      <c r="Z47" s="49"/>
      <c r="AA47" s="49"/>
      <c r="AB47" s="49"/>
      <c r="AC47" s="59" t="str">
        <f t="shared" si="3"/>
        <v>0</v>
      </c>
      <c r="AD47" s="49"/>
      <c r="AE47" s="49"/>
      <c r="AF47" s="49"/>
      <c r="AG47" s="49"/>
      <c r="AH47" s="49"/>
      <c r="AI47" s="59" t="str">
        <f t="shared" si="4"/>
        <v>0</v>
      </c>
      <c r="AJ47" s="49" t="s">
        <v>581</v>
      </c>
      <c r="AK47" s="49" t="s">
        <v>581</v>
      </c>
      <c r="AL47" s="49" t="s">
        <v>581</v>
      </c>
      <c r="AM47" s="49" t="s">
        <v>581</v>
      </c>
      <c r="AN47" s="49"/>
      <c r="AO47" s="59" t="str">
        <f t="shared" si="5"/>
        <v>0</v>
      </c>
      <c r="AP47" s="49" t="s">
        <v>581</v>
      </c>
      <c r="AQ47" s="49"/>
      <c r="AR47" s="49"/>
      <c r="AS47" s="49"/>
      <c r="AT47" s="49"/>
      <c r="AU47" s="59" t="str">
        <f t="shared" si="6"/>
        <v>0</v>
      </c>
      <c r="AV47" s="49"/>
      <c r="AW47" s="49"/>
      <c r="AX47" s="49"/>
      <c r="AY47" s="49" t="s">
        <v>581</v>
      </c>
      <c r="AZ47" s="49" t="s">
        <v>581</v>
      </c>
      <c r="BA47" s="59" t="str">
        <f t="shared" si="7"/>
        <v>0</v>
      </c>
    </row>
    <row r="48" spans="1:53" ht="23.1" customHeight="1" x14ac:dyDescent="0.3">
      <c r="A48" s="7">
        <v>46</v>
      </c>
      <c r="B48" s="7" t="s">
        <v>308</v>
      </c>
      <c r="C48" s="7" t="s">
        <v>309</v>
      </c>
      <c r="D48" s="7" t="s">
        <v>542</v>
      </c>
      <c r="E48" s="7" t="s">
        <v>493</v>
      </c>
      <c r="F48" s="49">
        <v>3</v>
      </c>
      <c r="G48" s="49">
        <v>3</v>
      </c>
      <c r="H48" s="49">
        <v>3</v>
      </c>
      <c r="I48" s="49">
        <v>3</v>
      </c>
      <c r="J48" s="7"/>
      <c r="K48" s="59">
        <f t="shared" si="0"/>
        <v>3</v>
      </c>
      <c r="L48" s="49">
        <v>3</v>
      </c>
      <c r="M48" s="49">
        <v>3</v>
      </c>
      <c r="N48" s="49">
        <v>3</v>
      </c>
      <c r="O48" s="49">
        <v>4</v>
      </c>
      <c r="P48" s="49">
        <v>2</v>
      </c>
      <c r="Q48" s="59">
        <f t="shared" si="1"/>
        <v>3</v>
      </c>
      <c r="R48" s="49"/>
      <c r="S48" s="49">
        <v>2</v>
      </c>
      <c r="T48" s="7"/>
      <c r="U48" s="49"/>
      <c r="V48" s="7"/>
      <c r="W48" s="59">
        <f t="shared" si="2"/>
        <v>2</v>
      </c>
      <c r="X48" s="49"/>
      <c r="Y48" s="49"/>
      <c r="Z48" s="7"/>
      <c r="AA48" s="7"/>
      <c r="AB48" s="7"/>
      <c r="AC48" s="59" t="str">
        <f t="shared" si="3"/>
        <v>0</v>
      </c>
      <c r="AD48" s="49"/>
      <c r="AE48" s="7"/>
      <c r="AF48" s="49"/>
      <c r="AG48" s="7"/>
      <c r="AH48" s="7"/>
      <c r="AI48" s="59" t="str">
        <f t="shared" si="4"/>
        <v>0</v>
      </c>
      <c r="AJ48" s="49">
        <v>3</v>
      </c>
      <c r="AK48" s="49">
        <v>3</v>
      </c>
      <c r="AL48" s="49">
        <v>3</v>
      </c>
      <c r="AM48" s="49">
        <v>3</v>
      </c>
      <c r="AN48" s="7"/>
      <c r="AO48" s="59">
        <f t="shared" si="5"/>
        <v>3</v>
      </c>
      <c r="AP48" s="49">
        <v>3</v>
      </c>
      <c r="AQ48" s="49"/>
      <c r="AR48" s="49"/>
      <c r="AS48" s="7"/>
      <c r="AT48" s="7"/>
      <c r="AU48" s="59">
        <f t="shared" si="6"/>
        <v>3</v>
      </c>
      <c r="AV48" s="7"/>
      <c r="AW48" s="7"/>
      <c r="AX48" s="49"/>
      <c r="AY48" s="49">
        <v>3</v>
      </c>
      <c r="AZ48" s="49">
        <v>3</v>
      </c>
      <c r="BA48" s="59">
        <f t="shared" si="7"/>
        <v>3</v>
      </c>
    </row>
    <row r="49" spans="1:53" ht="23.1" customHeight="1" x14ac:dyDescent="0.3">
      <c r="A49" s="49">
        <v>47</v>
      </c>
      <c r="B49" s="49" t="s">
        <v>118</v>
      </c>
      <c r="C49" s="49" t="s">
        <v>119</v>
      </c>
      <c r="D49" s="49" t="s">
        <v>450</v>
      </c>
      <c r="E49" s="49" t="s">
        <v>35</v>
      </c>
      <c r="F49" s="49">
        <v>2</v>
      </c>
      <c r="G49" s="49">
        <v>1</v>
      </c>
      <c r="H49" s="49">
        <v>2</v>
      </c>
      <c r="I49" s="49">
        <v>3</v>
      </c>
      <c r="J49" s="49"/>
      <c r="K49" s="59">
        <f t="shared" si="0"/>
        <v>2</v>
      </c>
      <c r="L49" s="49">
        <v>2</v>
      </c>
      <c r="M49" s="49">
        <v>2</v>
      </c>
      <c r="N49" s="49">
        <v>2</v>
      </c>
      <c r="O49" s="49">
        <v>3</v>
      </c>
      <c r="P49" s="49">
        <v>2</v>
      </c>
      <c r="Q49" s="59">
        <f t="shared" si="1"/>
        <v>2.2000000000000002</v>
      </c>
      <c r="R49" s="49"/>
      <c r="S49" s="49">
        <v>2</v>
      </c>
      <c r="T49" s="49"/>
      <c r="U49" s="49"/>
      <c r="V49" s="49"/>
      <c r="W49" s="59">
        <f t="shared" si="2"/>
        <v>2</v>
      </c>
      <c r="X49" s="49"/>
      <c r="Y49" s="49"/>
      <c r="Z49" s="49"/>
      <c r="AA49" s="49"/>
      <c r="AB49" s="49"/>
      <c r="AC49" s="59" t="str">
        <f t="shared" si="3"/>
        <v>0</v>
      </c>
      <c r="AD49" s="49"/>
      <c r="AE49" s="49"/>
      <c r="AF49" s="49"/>
      <c r="AG49" s="49"/>
      <c r="AH49" s="49"/>
      <c r="AI49" s="59" t="str">
        <f t="shared" si="4"/>
        <v>0</v>
      </c>
      <c r="AJ49" s="49">
        <v>3</v>
      </c>
      <c r="AK49" s="49">
        <v>2</v>
      </c>
      <c r="AL49" s="49">
        <v>2</v>
      </c>
      <c r="AM49" s="49">
        <v>3</v>
      </c>
      <c r="AN49" s="49"/>
      <c r="AO49" s="59">
        <f t="shared" si="5"/>
        <v>2.5</v>
      </c>
      <c r="AP49" s="49">
        <v>3</v>
      </c>
      <c r="AQ49" s="49"/>
      <c r="AR49" s="49"/>
      <c r="AS49" s="49"/>
      <c r="AT49" s="49"/>
      <c r="AU49" s="59">
        <f t="shared" si="6"/>
        <v>3</v>
      </c>
      <c r="AV49" s="49"/>
      <c r="AW49" s="49"/>
      <c r="AX49" s="49"/>
      <c r="AY49" s="49">
        <v>2</v>
      </c>
      <c r="AZ49" s="49">
        <v>3</v>
      </c>
      <c r="BA49" s="59">
        <f t="shared" si="7"/>
        <v>2.5</v>
      </c>
    </row>
    <row r="50" spans="1:53" ht="23.1" customHeight="1" x14ac:dyDescent="0.3">
      <c r="A50" s="7">
        <v>48</v>
      </c>
      <c r="B50" s="7" t="s">
        <v>197</v>
      </c>
      <c r="C50" s="7" t="s">
        <v>198</v>
      </c>
      <c r="D50" s="7" t="s">
        <v>450</v>
      </c>
      <c r="E50" s="7" t="s">
        <v>161</v>
      </c>
      <c r="F50" s="49">
        <v>2.5</v>
      </c>
      <c r="G50" s="49">
        <v>2</v>
      </c>
      <c r="H50" s="49">
        <v>3</v>
      </c>
      <c r="I50" s="49">
        <v>2.5</v>
      </c>
      <c r="J50" s="7"/>
      <c r="K50" s="59">
        <f t="shared" si="0"/>
        <v>2.5</v>
      </c>
      <c r="L50" s="49">
        <v>2.5</v>
      </c>
      <c r="M50" s="49">
        <v>2</v>
      </c>
      <c r="N50" s="49">
        <v>3</v>
      </c>
      <c r="O50" s="49">
        <v>2.5</v>
      </c>
      <c r="P50" s="49">
        <v>3</v>
      </c>
      <c r="Q50" s="59">
        <f t="shared" si="1"/>
        <v>2.6</v>
      </c>
      <c r="R50" s="49"/>
      <c r="S50" s="49">
        <v>2.5</v>
      </c>
      <c r="T50" s="7"/>
      <c r="U50" s="49"/>
      <c r="V50" s="7"/>
      <c r="W50" s="59">
        <f t="shared" si="2"/>
        <v>2.5</v>
      </c>
      <c r="X50" s="49"/>
      <c r="Y50" s="49"/>
      <c r="Z50" s="7"/>
      <c r="AA50" s="7"/>
      <c r="AB50" s="7"/>
      <c r="AC50" s="59" t="str">
        <f t="shared" si="3"/>
        <v>0</v>
      </c>
      <c r="AD50" s="49"/>
      <c r="AE50" s="7"/>
      <c r="AF50" s="49"/>
      <c r="AG50" s="7"/>
      <c r="AH50" s="7"/>
      <c r="AI50" s="59" t="str">
        <f t="shared" si="4"/>
        <v>0</v>
      </c>
      <c r="AJ50" s="49">
        <v>3</v>
      </c>
      <c r="AK50" s="49">
        <v>2.5</v>
      </c>
      <c r="AL50" s="49">
        <v>2.5</v>
      </c>
      <c r="AM50" s="49">
        <v>2</v>
      </c>
      <c r="AN50" s="7"/>
      <c r="AO50" s="59">
        <f t="shared" si="5"/>
        <v>2.5</v>
      </c>
      <c r="AP50" s="49">
        <v>3</v>
      </c>
      <c r="AQ50" s="49"/>
      <c r="AR50" s="49"/>
      <c r="AS50" s="7"/>
      <c r="AT50" s="7"/>
      <c r="AU50" s="59">
        <f t="shared" si="6"/>
        <v>3</v>
      </c>
      <c r="AV50" s="7"/>
      <c r="AW50" s="7"/>
      <c r="AX50" s="49"/>
      <c r="AY50" s="49">
        <v>2.5</v>
      </c>
      <c r="AZ50" s="49">
        <v>3</v>
      </c>
      <c r="BA50" s="59">
        <f t="shared" si="7"/>
        <v>2.75</v>
      </c>
    </row>
    <row r="51" spans="1:53" ht="23.1" customHeight="1" x14ac:dyDescent="0.3">
      <c r="A51" s="49">
        <v>49</v>
      </c>
      <c r="B51" s="49" t="s">
        <v>310</v>
      </c>
      <c r="C51" s="49" t="s">
        <v>311</v>
      </c>
      <c r="D51" s="49" t="s">
        <v>450</v>
      </c>
      <c r="E51" s="49" t="s">
        <v>493</v>
      </c>
      <c r="F51" s="49">
        <v>4</v>
      </c>
      <c r="G51" s="49">
        <v>5</v>
      </c>
      <c r="H51" s="49">
        <v>5</v>
      </c>
      <c r="I51" s="49">
        <v>5</v>
      </c>
      <c r="J51" s="49"/>
      <c r="K51" s="59">
        <f t="shared" si="0"/>
        <v>4.75</v>
      </c>
      <c r="L51" s="49">
        <v>4</v>
      </c>
      <c r="M51" s="49">
        <v>5</v>
      </c>
      <c r="N51" s="49">
        <v>5</v>
      </c>
      <c r="O51" s="49">
        <v>5</v>
      </c>
      <c r="P51" s="49">
        <v>5</v>
      </c>
      <c r="Q51" s="59">
        <f t="shared" si="1"/>
        <v>4.8</v>
      </c>
      <c r="R51" s="49"/>
      <c r="S51" s="49">
        <v>5</v>
      </c>
      <c r="T51" s="49"/>
      <c r="U51" s="49"/>
      <c r="V51" s="49"/>
      <c r="W51" s="59">
        <f t="shared" si="2"/>
        <v>5</v>
      </c>
      <c r="X51" s="49"/>
      <c r="Y51" s="49"/>
      <c r="Z51" s="49"/>
      <c r="AA51" s="49"/>
      <c r="AB51" s="49"/>
      <c r="AC51" s="59" t="str">
        <f t="shared" si="3"/>
        <v>0</v>
      </c>
      <c r="AD51" s="49"/>
      <c r="AE51" s="49"/>
      <c r="AF51" s="49"/>
      <c r="AG51" s="49"/>
      <c r="AH51" s="49"/>
      <c r="AI51" s="59" t="str">
        <f t="shared" si="4"/>
        <v>0</v>
      </c>
      <c r="AJ51" s="49">
        <v>5</v>
      </c>
      <c r="AK51" s="49">
        <v>5</v>
      </c>
      <c r="AL51" s="49">
        <v>4</v>
      </c>
      <c r="AM51" s="49">
        <v>4</v>
      </c>
      <c r="AN51" s="49"/>
      <c r="AO51" s="59">
        <f t="shared" si="5"/>
        <v>4.5</v>
      </c>
      <c r="AP51" s="49">
        <v>3</v>
      </c>
      <c r="AQ51" s="49"/>
      <c r="AR51" s="49"/>
      <c r="AS51" s="49"/>
      <c r="AT51" s="49"/>
      <c r="AU51" s="59">
        <f t="shared" si="6"/>
        <v>3</v>
      </c>
      <c r="AV51" s="49"/>
      <c r="AW51" s="49"/>
      <c r="AX51" s="49"/>
      <c r="AY51" s="49">
        <v>3</v>
      </c>
      <c r="AZ51" s="49">
        <v>3</v>
      </c>
      <c r="BA51" s="59">
        <f t="shared" si="7"/>
        <v>3</v>
      </c>
    </row>
    <row r="52" spans="1:53" ht="23.1" customHeight="1" x14ac:dyDescent="0.3">
      <c r="A52" s="7">
        <v>50</v>
      </c>
      <c r="B52" s="7" t="s">
        <v>122</v>
      </c>
      <c r="C52" s="7" t="s">
        <v>123</v>
      </c>
      <c r="D52" s="7" t="s">
        <v>450</v>
      </c>
      <c r="E52" s="7" t="s">
        <v>35</v>
      </c>
      <c r="F52" s="49">
        <v>2.5</v>
      </c>
      <c r="G52" s="49">
        <v>2</v>
      </c>
      <c r="H52" s="49">
        <v>1.5</v>
      </c>
      <c r="I52" s="49">
        <v>2</v>
      </c>
      <c r="J52" s="7"/>
      <c r="K52" s="59">
        <f t="shared" si="0"/>
        <v>2</v>
      </c>
      <c r="L52" s="49">
        <v>2.5</v>
      </c>
      <c r="M52" s="49">
        <v>2</v>
      </c>
      <c r="N52" s="49">
        <v>1.5</v>
      </c>
      <c r="O52" s="49">
        <v>2</v>
      </c>
      <c r="P52" s="49">
        <v>2.5</v>
      </c>
      <c r="Q52" s="59">
        <f t="shared" si="1"/>
        <v>2.1</v>
      </c>
      <c r="R52" s="49"/>
      <c r="S52" s="49">
        <v>2</v>
      </c>
      <c r="T52" s="7"/>
      <c r="U52" s="49"/>
      <c r="V52" s="7"/>
      <c r="W52" s="59">
        <f t="shared" si="2"/>
        <v>2</v>
      </c>
      <c r="X52" s="49"/>
      <c r="Y52" s="49"/>
      <c r="Z52" s="7"/>
      <c r="AA52" s="7"/>
      <c r="AB52" s="7"/>
      <c r="AC52" s="59" t="str">
        <f t="shared" si="3"/>
        <v>0</v>
      </c>
      <c r="AD52" s="49"/>
      <c r="AE52" s="7"/>
      <c r="AF52" s="49"/>
      <c r="AG52" s="7"/>
      <c r="AH52" s="7"/>
      <c r="AI52" s="59" t="str">
        <f t="shared" si="4"/>
        <v>0</v>
      </c>
      <c r="AJ52" s="49">
        <v>2.5</v>
      </c>
      <c r="AK52" s="49">
        <v>2</v>
      </c>
      <c r="AL52" s="49">
        <v>2.5</v>
      </c>
      <c r="AM52" s="49">
        <v>2</v>
      </c>
      <c r="AN52" s="7"/>
      <c r="AO52" s="59">
        <f t="shared" si="5"/>
        <v>2.25</v>
      </c>
      <c r="AP52" s="49">
        <v>1.5</v>
      </c>
      <c r="AQ52" s="49"/>
      <c r="AR52" s="49"/>
      <c r="AS52" s="7"/>
      <c r="AT52" s="7"/>
      <c r="AU52" s="59">
        <f t="shared" si="6"/>
        <v>1.5</v>
      </c>
      <c r="AV52" s="7"/>
      <c r="AW52" s="7"/>
      <c r="AX52" s="49"/>
      <c r="AY52" s="49">
        <v>2</v>
      </c>
      <c r="AZ52" s="49">
        <v>2.5</v>
      </c>
      <c r="BA52" s="59">
        <f t="shared" si="7"/>
        <v>2.25</v>
      </c>
    </row>
    <row r="53" spans="1:53" ht="23.1" customHeight="1" x14ac:dyDescent="0.3">
      <c r="A53" s="49">
        <v>51</v>
      </c>
      <c r="B53" s="49" t="s">
        <v>259</v>
      </c>
      <c r="C53" s="49" t="s">
        <v>260</v>
      </c>
      <c r="D53" s="49" t="s">
        <v>542</v>
      </c>
      <c r="E53" s="49" t="s">
        <v>161</v>
      </c>
      <c r="F53" s="49">
        <v>3</v>
      </c>
      <c r="G53" s="49">
        <v>3</v>
      </c>
      <c r="H53" s="49">
        <v>2</v>
      </c>
      <c r="I53" s="49">
        <v>2</v>
      </c>
      <c r="J53" s="49"/>
      <c r="K53" s="59">
        <f t="shared" si="0"/>
        <v>2.5</v>
      </c>
      <c r="L53" s="49">
        <v>3</v>
      </c>
      <c r="M53" s="49">
        <v>2</v>
      </c>
      <c r="N53" s="49">
        <v>3</v>
      </c>
      <c r="O53" s="49">
        <v>4</v>
      </c>
      <c r="P53" s="49">
        <v>3</v>
      </c>
      <c r="Q53" s="59">
        <f t="shared" si="1"/>
        <v>3</v>
      </c>
      <c r="R53" s="49"/>
      <c r="S53" s="49">
        <v>3</v>
      </c>
      <c r="T53" s="49"/>
      <c r="U53" s="49"/>
      <c r="V53" s="49"/>
      <c r="W53" s="59">
        <f t="shared" si="2"/>
        <v>3</v>
      </c>
      <c r="X53" s="49"/>
      <c r="Y53" s="49"/>
      <c r="Z53" s="49"/>
      <c r="AA53" s="49"/>
      <c r="AB53" s="49"/>
      <c r="AC53" s="59" t="str">
        <f t="shared" si="3"/>
        <v>0</v>
      </c>
      <c r="AD53" s="49"/>
      <c r="AE53" s="49"/>
      <c r="AF53" s="49"/>
      <c r="AG53" s="49"/>
      <c r="AH53" s="49"/>
      <c r="AI53" s="59" t="str">
        <f t="shared" si="4"/>
        <v>0</v>
      </c>
      <c r="AJ53" s="49">
        <v>2</v>
      </c>
      <c r="AK53" s="49">
        <v>3</v>
      </c>
      <c r="AL53" s="49">
        <v>3</v>
      </c>
      <c r="AM53" s="49">
        <v>2</v>
      </c>
      <c r="AN53" s="49"/>
      <c r="AO53" s="59">
        <f t="shared" si="5"/>
        <v>2.5</v>
      </c>
      <c r="AP53" s="49">
        <v>3</v>
      </c>
      <c r="AQ53" s="49"/>
      <c r="AR53" s="49"/>
      <c r="AS53" s="49"/>
      <c r="AT53" s="49"/>
      <c r="AU53" s="59">
        <f t="shared" si="6"/>
        <v>3</v>
      </c>
      <c r="AV53" s="49"/>
      <c r="AW53" s="49"/>
      <c r="AX53" s="49"/>
      <c r="AY53" s="49">
        <v>3</v>
      </c>
      <c r="AZ53" s="49">
        <v>3</v>
      </c>
      <c r="BA53" s="59">
        <f t="shared" si="7"/>
        <v>3</v>
      </c>
    </row>
    <row r="54" spans="1:53" ht="23.1" customHeight="1" x14ac:dyDescent="0.3">
      <c r="A54" s="7">
        <v>52</v>
      </c>
      <c r="B54" s="7" t="s">
        <v>213</v>
      </c>
      <c r="C54" s="7" t="s">
        <v>214</v>
      </c>
      <c r="D54" s="7" t="s">
        <v>450</v>
      </c>
      <c r="E54" s="7" t="s">
        <v>161</v>
      </c>
      <c r="F54" s="49">
        <v>3</v>
      </c>
      <c r="G54" s="49">
        <v>3</v>
      </c>
      <c r="H54" s="49">
        <v>3</v>
      </c>
      <c r="I54" s="49">
        <v>3</v>
      </c>
      <c r="J54" s="7"/>
      <c r="K54" s="59">
        <f t="shared" si="0"/>
        <v>3</v>
      </c>
      <c r="L54" s="49">
        <v>3</v>
      </c>
      <c r="M54" s="49">
        <v>4</v>
      </c>
      <c r="N54" s="49">
        <v>3</v>
      </c>
      <c r="O54" s="49">
        <v>4</v>
      </c>
      <c r="P54" s="49">
        <v>3</v>
      </c>
      <c r="Q54" s="59">
        <f t="shared" si="1"/>
        <v>3.4</v>
      </c>
      <c r="R54" s="49"/>
      <c r="S54" s="49">
        <v>3</v>
      </c>
      <c r="T54" s="7"/>
      <c r="U54" s="49"/>
      <c r="V54" s="7"/>
      <c r="W54" s="59">
        <f t="shared" si="2"/>
        <v>3</v>
      </c>
      <c r="X54" s="49"/>
      <c r="Y54" s="49"/>
      <c r="Z54" s="7"/>
      <c r="AA54" s="7"/>
      <c r="AB54" s="7"/>
      <c r="AC54" s="59" t="str">
        <f t="shared" si="3"/>
        <v>0</v>
      </c>
      <c r="AD54" s="49"/>
      <c r="AE54" s="7"/>
      <c r="AF54" s="49"/>
      <c r="AG54" s="7"/>
      <c r="AH54" s="7"/>
      <c r="AI54" s="59" t="str">
        <f t="shared" si="4"/>
        <v>0</v>
      </c>
      <c r="AJ54" s="49">
        <v>3</v>
      </c>
      <c r="AK54" s="49">
        <v>3</v>
      </c>
      <c r="AL54" s="49">
        <v>3</v>
      </c>
      <c r="AM54" s="49">
        <v>3</v>
      </c>
      <c r="AN54" s="7"/>
      <c r="AO54" s="59">
        <f t="shared" si="5"/>
        <v>3</v>
      </c>
      <c r="AP54" s="49">
        <v>3</v>
      </c>
      <c r="AQ54" s="49"/>
      <c r="AR54" s="49"/>
      <c r="AS54" s="7"/>
      <c r="AT54" s="7"/>
      <c r="AU54" s="59">
        <f t="shared" si="6"/>
        <v>3</v>
      </c>
      <c r="AV54" s="7"/>
      <c r="AW54" s="7"/>
      <c r="AX54" s="49"/>
      <c r="AY54" s="49">
        <v>1</v>
      </c>
      <c r="AZ54" s="49">
        <v>1</v>
      </c>
      <c r="BA54" s="59">
        <f t="shared" si="7"/>
        <v>1</v>
      </c>
    </row>
    <row r="55" spans="1:53" ht="23.1" customHeight="1" x14ac:dyDescent="0.3">
      <c r="A55" s="49">
        <v>53</v>
      </c>
      <c r="B55" s="49" t="s">
        <v>229</v>
      </c>
      <c r="C55" s="49" t="s">
        <v>230</v>
      </c>
      <c r="D55" s="49" t="s">
        <v>450</v>
      </c>
      <c r="E55" s="49" t="s">
        <v>161</v>
      </c>
      <c r="F55" s="49">
        <v>2</v>
      </c>
      <c r="G55" s="49">
        <v>3</v>
      </c>
      <c r="H55" s="49">
        <v>2</v>
      </c>
      <c r="I55" s="49">
        <v>2</v>
      </c>
      <c r="J55" s="49"/>
      <c r="K55" s="59">
        <f t="shared" si="0"/>
        <v>2.25</v>
      </c>
      <c r="L55" s="49">
        <v>2</v>
      </c>
      <c r="M55" s="49">
        <v>3</v>
      </c>
      <c r="N55" s="49">
        <v>2</v>
      </c>
      <c r="O55" s="49">
        <v>4</v>
      </c>
      <c r="P55" s="49">
        <v>2</v>
      </c>
      <c r="Q55" s="59">
        <f t="shared" si="1"/>
        <v>2.6</v>
      </c>
      <c r="R55" s="49"/>
      <c r="S55" s="49">
        <v>2</v>
      </c>
      <c r="T55" s="49"/>
      <c r="U55" s="49"/>
      <c r="V55" s="49"/>
      <c r="W55" s="59">
        <f t="shared" si="2"/>
        <v>2</v>
      </c>
      <c r="X55" s="49"/>
      <c r="Y55" s="49"/>
      <c r="Z55" s="49"/>
      <c r="AA55" s="49"/>
      <c r="AB55" s="49"/>
      <c r="AC55" s="59" t="str">
        <f t="shared" si="3"/>
        <v>0</v>
      </c>
      <c r="AD55" s="49"/>
      <c r="AE55" s="49"/>
      <c r="AF55" s="49"/>
      <c r="AG55" s="49"/>
      <c r="AH55" s="49"/>
      <c r="AI55" s="59" t="str">
        <f t="shared" si="4"/>
        <v>0</v>
      </c>
      <c r="AJ55" s="49">
        <v>3</v>
      </c>
      <c r="AK55" s="49">
        <v>3</v>
      </c>
      <c r="AL55" s="49">
        <v>3</v>
      </c>
      <c r="AM55" s="49">
        <v>2</v>
      </c>
      <c r="AN55" s="49"/>
      <c r="AO55" s="59">
        <f t="shared" si="5"/>
        <v>2.75</v>
      </c>
      <c r="AP55" s="49">
        <v>3</v>
      </c>
      <c r="AQ55" s="49"/>
      <c r="AR55" s="49"/>
      <c r="AS55" s="49"/>
      <c r="AT55" s="49"/>
      <c r="AU55" s="59">
        <f t="shared" si="6"/>
        <v>3</v>
      </c>
      <c r="AV55" s="49"/>
      <c r="AW55" s="49"/>
      <c r="AX55" s="49"/>
      <c r="AY55" s="49">
        <v>3</v>
      </c>
      <c r="AZ55" s="49">
        <v>3</v>
      </c>
      <c r="BA55" s="59">
        <f t="shared" si="7"/>
        <v>3</v>
      </c>
    </row>
    <row r="56" spans="1:53" ht="23.1" customHeight="1" x14ac:dyDescent="0.3">
      <c r="A56" s="7">
        <v>54</v>
      </c>
      <c r="B56" s="7" t="s">
        <v>312</v>
      </c>
      <c r="C56" s="7" t="s">
        <v>313</v>
      </c>
      <c r="D56" s="7" t="s">
        <v>450</v>
      </c>
      <c r="E56" s="7" t="s">
        <v>493</v>
      </c>
      <c r="F56" s="49">
        <v>1</v>
      </c>
      <c r="G56" s="49">
        <v>4</v>
      </c>
      <c r="H56" s="49">
        <v>2</v>
      </c>
      <c r="I56" s="49">
        <v>2</v>
      </c>
      <c r="J56" s="7"/>
      <c r="K56" s="59">
        <f t="shared" si="0"/>
        <v>2.25</v>
      </c>
      <c r="L56" s="49">
        <v>3</v>
      </c>
      <c r="M56" s="49">
        <v>4</v>
      </c>
      <c r="N56" s="49">
        <v>3</v>
      </c>
      <c r="O56" s="49">
        <v>2</v>
      </c>
      <c r="P56" s="49">
        <v>2</v>
      </c>
      <c r="Q56" s="59">
        <f t="shared" si="1"/>
        <v>2.8</v>
      </c>
      <c r="R56" s="49"/>
      <c r="S56" s="49">
        <v>2</v>
      </c>
      <c r="T56" s="7"/>
      <c r="U56" s="49"/>
      <c r="V56" s="7"/>
      <c r="W56" s="59">
        <f t="shared" si="2"/>
        <v>2</v>
      </c>
      <c r="X56" s="49"/>
      <c r="Y56" s="49"/>
      <c r="Z56" s="7"/>
      <c r="AA56" s="7"/>
      <c r="AB56" s="7"/>
      <c r="AC56" s="59" t="str">
        <f t="shared" si="3"/>
        <v>0</v>
      </c>
      <c r="AD56" s="49"/>
      <c r="AE56" s="7"/>
      <c r="AF56" s="49"/>
      <c r="AG56" s="7"/>
      <c r="AH56" s="7"/>
      <c r="AI56" s="59" t="str">
        <f t="shared" si="4"/>
        <v>0</v>
      </c>
      <c r="AJ56" s="49">
        <v>3</v>
      </c>
      <c r="AK56" s="49">
        <v>2</v>
      </c>
      <c r="AL56" s="49">
        <v>2</v>
      </c>
      <c r="AM56" s="49">
        <v>3</v>
      </c>
      <c r="AN56" s="7"/>
      <c r="AO56" s="59">
        <f t="shared" si="5"/>
        <v>2.5</v>
      </c>
      <c r="AP56" s="49">
        <v>3</v>
      </c>
      <c r="AQ56" s="49"/>
      <c r="AR56" s="49"/>
      <c r="AS56" s="7"/>
      <c r="AT56" s="7"/>
      <c r="AU56" s="59">
        <f t="shared" si="6"/>
        <v>3</v>
      </c>
      <c r="AV56" s="7"/>
      <c r="AW56" s="7"/>
      <c r="AX56" s="49"/>
      <c r="AY56" s="49">
        <v>3</v>
      </c>
      <c r="AZ56" s="49">
        <v>3</v>
      </c>
      <c r="BA56" s="59">
        <f t="shared" si="7"/>
        <v>3</v>
      </c>
    </row>
    <row r="57" spans="1:53" ht="23.1" customHeight="1" x14ac:dyDescent="0.3">
      <c r="A57" s="49">
        <v>55</v>
      </c>
      <c r="B57" s="49" t="s">
        <v>247</v>
      </c>
      <c r="C57" s="49" t="s">
        <v>248</v>
      </c>
      <c r="D57" s="49" t="s">
        <v>450</v>
      </c>
      <c r="E57" s="49" t="s">
        <v>161</v>
      </c>
      <c r="F57" s="49">
        <v>2</v>
      </c>
      <c r="G57" s="49">
        <v>3</v>
      </c>
      <c r="H57" s="49">
        <v>2</v>
      </c>
      <c r="I57" s="49">
        <v>2</v>
      </c>
      <c r="J57" s="49"/>
      <c r="K57" s="59">
        <f t="shared" si="0"/>
        <v>2.25</v>
      </c>
      <c r="L57" s="49">
        <v>4</v>
      </c>
      <c r="M57" s="49">
        <v>4</v>
      </c>
      <c r="N57" s="49">
        <v>3</v>
      </c>
      <c r="O57" s="49">
        <v>4</v>
      </c>
      <c r="P57" s="49">
        <v>2</v>
      </c>
      <c r="Q57" s="59">
        <f t="shared" si="1"/>
        <v>3.4</v>
      </c>
      <c r="R57" s="49"/>
      <c r="S57" s="49">
        <v>4</v>
      </c>
      <c r="T57" s="49"/>
      <c r="U57" s="49"/>
      <c r="V57" s="49"/>
      <c r="W57" s="59">
        <f t="shared" si="2"/>
        <v>4</v>
      </c>
      <c r="X57" s="49"/>
      <c r="Y57" s="49"/>
      <c r="Z57" s="49"/>
      <c r="AA57" s="49"/>
      <c r="AB57" s="49"/>
      <c r="AC57" s="59" t="str">
        <f t="shared" si="3"/>
        <v>0</v>
      </c>
      <c r="AD57" s="49"/>
      <c r="AE57" s="49"/>
      <c r="AF57" s="49"/>
      <c r="AG57" s="49"/>
      <c r="AH57" s="49"/>
      <c r="AI57" s="59" t="str">
        <f t="shared" si="4"/>
        <v>0</v>
      </c>
      <c r="AJ57" s="49">
        <v>3</v>
      </c>
      <c r="AK57" s="49">
        <v>2</v>
      </c>
      <c r="AL57" s="49">
        <v>3</v>
      </c>
      <c r="AM57" s="49">
        <v>3</v>
      </c>
      <c r="AN57" s="49"/>
      <c r="AO57" s="59">
        <f t="shared" si="5"/>
        <v>2.75</v>
      </c>
      <c r="AP57" s="49">
        <v>3</v>
      </c>
      <c r="AQ57" s="49"/>
      <c r="AR57" s="49"/>
      <c r="AS57" s="49"/>
      <c r="AT57" s="49"/>
      <c r="AU57" s="59">
        <f t="shared" si="6"/>
        <v>3</v>
      </c>
      <c r="AV57" s="49"/>
      <c r="AW57" s="49"/>
      <c r="AX57" s="49"/>
      <c r="AY57" s="49">
        <v>3</v>
      </c>
      <c r="AZ57" s="49">
        <v>3</v>
      </c>
      <c r="BA57" s="59">
        <f t="shared" si="7"/>
        <v>3</v>
      </c>
    </row>
    <row r="58" spans="1:53" ht="23.1" customHeight="1" x14ac:dyDescent="0.3">
      <c r="A58" s="7">
        <v>56</v>
      </c>
      <c r="B58" s="7" t="s">
        <v>124</v>
      </c>
      <c r="C58" s="7" t="s">
        <v>125</v>
      </c>
      <c r="D58" s="7" t="s">
        <v>542</v>
      </c>
      <c r="E58" s="7" t="s">
        <v>35</v>
      </c>
      <c r="F58" s="49">
        <v>2</v>
      </c>
      <c r="G58" s="49">
        <v>4</v>
      </c>
      <c r="H58" s="49">
        <v>2</v>
      </c>
      <c r="I58" s="49">
        <v>4</v>
      </c>
      <c r="J58" s="7"/>
      <c r="K58" s="59">
        <f t="shared" si="0"/>
        <v>3</v>
      </c>
      <c r="L58" s="49">
        <v>3</v>
      </c>
      <c r="M58" s="49">
        <v>3</v>
      </c>
      <c r="N58" s="49">
        <v>4</v>
      </c>
      <c r="O58" s="49">
        <v>3</v>
      </c>
      <c r="P58" s="49">
        <v>2</v>
      </c>
      <c r="Q58" s="59">
        <f t="shared" si="1"/>
        <v>3</v>
      </c>
      <c r="R58" s="49"/>
      <c r="S58" s="49">
        <v>4</v>
      </c>
      <c r="T58" s="7"/>
      <c r="U58" s="49"/>
      <c r="V58" s="7"/>
      <c r="W58" s="59">
        <f t="shared" si="2"/>
        <v>4</v>
      </c>
      <c r="X58" s="49"/>
      <c r="Y58" s="49"/>
      <c r="Z58" s="7"/>
      <c r="AA58" s="7"/>
      <c r="AB58" s="7"/>
      <c r="AC58" s="59" t="str">
        <f t="shared" si="3"/>
        <v>0</v>
      </c>
      <c r="AD58" s="49"/>
      <c r="AE58" s="7"/>
      <c r="AF58" s="49"/>
      <c r="AG58" s="7"/>
      <c r="AH58" s="7"/>
      <c r="AI58" s="59" t="str">
        <f t="shared" si="4"/>
        <v>0</v>
      </c>
      <c r="AJ58" s="49">
        <v>3</v>
      </c>
      <c r="AK58" s="49">
        <v>3</v>
      </c>
      <c r="AL58" s="49">
        <v>3</v>
      </c>
      <c r="AM58" s="49">
        <v>3</v>
      </c>
      <c r="AN58" s="7"/>
      <c r="AO58" s="59">
        <f t="shared" si="5"/>
        <v>3</v>
      </c>
      <c r="AP58" s="49">
        <v>3</v>
      </c>
      <c r="AQ58" s="49"/>
      <c r="AR58" s="49"/>
      <c r="AS58" s="7"/>
      <c r="AT58" s="7"/>
      <c r="AU58" s="59">
        <f t="shared" si="6"/>
        <v>3</v>
      </c>
      <c r="AV58" s="7"/>
      <c r="AW58" s="7"/>
      <c r="AX58" s="49"/>
      <c r="AY58" s="49">
        <v>3</v>
      </c>
      <c r="AZ58" s="49">
        <v>3</v>
      </c>
      <c r="BA58" s="59">
        <f t="shared" si="7"/>
        <v>3</v>
      </c>
    </row>
    <row r="59" spans="1:53" ht="23.1" customHeight="1" x14ac:dyDescent="0.3">
      <c r="A59" s="49">
        <v>57</v>
      </c>
      <c r="B59" s="49" t="s">
        <v>314</v>
      </c>
      <c r="C59" s="49" t="s">
        <v>315</v>
      </c>
      <c r="D59" s="49" t="s">
        <v>542</v>
      </c>
      <c r="E59" s="49" t="s">
        <v>493</v>
      </c>
      <c r="F59" s="49">
        <v>0</v>
      </c>
      <c r="G59" s="49">
        <v>0</v>
      </c>
      <c r="H59" s="49">
        <v>0</v>
      </c>
      <c r="I59" s="49">
        <v>0</v>
      </c>
      <c r="J59" s="49"/>
      <c r="K59" s="59">
        <f t="shared" si="0"/>
        <v>0</v>
      </c>
      <c r="L59" s="49">
        <v>0</v>
      </c>
      <c r="M59" s="49">
        <v>0</v>
      </c>
      <c r="N59" s="49">
        <v>0</v>
      </c>
      <c r="O59" s="49">
        <v>0</v>
      </c>
      <c r="P59" s="49">
        <v>0</v>
      </c>
      <c r="Q59" s="59">
        <f t="shared" si="1"/>
        <v>0</v>
      </c>
      <c r="R59" s="49"/>
      <c r="S59" s="49">
        <v>0</v>
      </c>
      <c r="T59" s="49"/>
      <c r="U59" s="49"/>
      <c r="V59" s="49"/>
      <c r="W59" s="59">
        <f t="shared" si="2"/>
        <v>0</v>
      </c>
      <c r="X59" s="49"/>
      <c r="Y59" s="49"/>
      <c r="Z59" s="49"/>
      <c r="AA59" s="49"/>
      <c r="AB59" s="49"/>
      <c r="AC59" s="59" t="str">
        <f t="shared" si="3"/>
        <v>0</v>
      </c>
      <c r="AD59" s="49"/>
      <c r="AE59" s="49"/>
      <c r="AF59" s="49"/>
      <c r="AG59" s="49"/>
      <c r="AH59" s="49"/>
      <c r="AI59" s="59" t="str">
        <f t="shared" si="4"/>
        <v>0</v>
      </c>
      <c r="AJ59" s="49">
        <v>0</v>
      </c>
      <c r="AK59" s="49">
        <v>0</v>
      </c>
      <c r="AL59" s="49">
        <v>0</v>
      </c>
      <c r="AM59" s="49">
        <v>0</v>
      </c>
      <c r="AN59" s="49"/>
      <c r="AO59" s="59">
        <f t="shared" si="5"/>
        <v>0</v>
      </c>
      <c r="AP59" s="49">
        <v>0</v>
      </c>
      <c r="AQ59" s="49"/>
      <c r="AR59" s="49"/>
      <c r="AS59" s="49"/>
      <c r="AT59" s="49"/>
      <c r="AU59" s="59">
        <f t="shared" si="6"/>
        <v>0</v>
      </c>
      <c r="AV59" s="49"/>
      <c r="AW59" s="49"/>
      <c r="AX59" s="49"/>
      <c r="AY59" s="49">
        <v>0</v>
      </c>
      <c r="AZ59" s="49">
        <v>0</v>
      </c>
      <c r="BA59" s="59">
        <f t="shared" si="7"/>
        <v>0</v>
      </c>
    </row>
    <row r="60" spans="1:53" ht="23.1" customHeight="1" x14ac:dyDescent="0.3">
      <c r="A60" s="7">
        <v>58</v>
      </c>
      <c r="B60" s="7" t="s">
        <v>316</v>
      </c>
      <c r="C60" s="7" t="s">
        <v>317</v>
      </c>
      <c r="D60" s="7" t="s">
        <v>450</v>
      </c>
      <c r="E60" s="7" t="s">
        <v>493</v>
      </c>
      <c r="F60" s="49">
        <v>2</v>
      </c>
      <c r="G60" s="49">
        <v>2</v>
      </c>
      <c r="H60" s="49">
        <v>2</v>
      </c>
      <c r="I60" s="49">
        <v>2</v>
      </c>
      <c r="J60" s="7"/>
      <c r="K60" s="59">
        <f t="shared" si="0"/>
        <v>2</v>
      </c>
      <c r="L60" s="49">
        <v>2</v>
      </c>
      <c r="M60" s="49">
        <v>2</v>
      </c>
      <c r="N60" s="49">
        <v>2</v>
      </c>
      <c r="O60" s="49">
        <v>2</v>
      </c>
      <c r="P60" s="49">
        <v>2</v>
      </c>
      <c r="Q60" s="59">
        <f t="shared" si="1"/>
        <v>2</v>
      </c>
      <c r="R60" s="49"/>
      <c r="S60" s="49">
        <v>2</v>
      </c>
      <c r="T60" s="7"/>
      <c r="U60" s="49"/>
      <c r="V60" s="7"/>
      <c r="W60" s="59">
        <f t="shared" si="2"/>
        <v>2</v>
      </c>
      <c r="X60" s="49"/>
      <c r="Y60" s="49"/>
      <c r="Z60" s="7"/>
      <c r="AA60" s="7"/>
      <c r="AB60" s="7"/>
      <c r="AC60" s="59" t="str">
        <f t="shared" si="3"/>
        <v>0</v>
      </c>
      <c r="AD60" s="49"/>
      <c r="AE60" s="7"/>
      <c r="AF60" s="49"/>
      <c r="AG60" s="7"/>
      <c r="AH60" s="7"/>
      <c r="AI60" s="59" t="str">
        <f t="shared" si="4"/>
        <v>0</v>
      </c>
      <c r="AJ60" s="49">
        <v>2</v>
      </c>
      <c r="AK60" s="49">
        <v>2</v>
      </c>
      <c r="AL60" s="49">
        <v>3</v>
      </c>
      <c r="AM60" s="49">
        <v>3</v>
      </c>
      <c r="AN60" s="7"/>
      <c r="AO60" s="59">
        <f t="shared" si="5"/>
        <v>2.5</v>
      </c>
      <c r="AP60" s="49">
        <v>3</v>
      </c>
      <c r="AQ60" s="49"/>
      <c r="AR60" s="49"/>
      <c r="AS60" s="7"/>
      <c r="AT60" s="7"/>
      <c r="AU60" s="59">
        <f t="shared" si="6"/>
        <v>3</v>
      </c>
      <c r="AV60" s="7"/>
      <c r="AW60" s="7"/>
      <c r="AX60" s="49"/>
      <c r="AY60" s="49">
        <v>2</v>
      </c>
      <c r="AZ60" s="49">
        <v>3</v>
      </c>
      <c r="BA60" s="59">
        <f t="shared" si="7"/>
        <v>2.5</v>
      </c>
    </row>
    <row r="61" spans="1:53" ht="23.1" customHeight="1" x14ac:dyDescent="0.3">
      <c r="A61" s="49">
        <v>59</v>
      </c>
      <c r="B61" s="49" t="s">
        <v>126</v>
      </c>
      <c r="C61" s="49" t="s">
        <v>127</v>
      </c>
      <c r="D61" s="49" t="s">
        <v>450</v>
      </c>
      <c r="E61" s="49" t="s">
        <v>35</v>
      </c>
      <c r="F61" s="49">
        <v>3</v>
      </c>
      <c r="G61" s="49">
        <v>1</v>
      </c>
      <c r="H61" s="49">
        <v>4</v>
      </c>
      <c r="I61" s="49">
        <v>3</v>
      </c>
      <c r="J61" s="49"/>
      <c r="K61" s="59">
        <f t="shared" si="0"/>
        <v>2.75</v>
      </c>
      <c r="L61" s="49">
        <v>4</v>
      </c>
      <c r="M61" s="49">
        <v>3</v>
      </c>
      <c r="N61" s="49">
        <v>4</v>
      </c>
      <c r="O61" s="49">
        <v>4</v>
      </c>
      <c r="P61" s="49">
        <v>3</v>
      </c>
      <c r="Q61" s="59">
        <f t="shared" si="1"/>
        <v>3.6</v>
      </c>
      <c r="R61" s="49"/>
      <c r="S61" s="49">
        <v>2</v>
      </c>
      <c r="T61" s="49"/>
      <c r="U61" s="49"/>
      <c r="V61" s="49"/>
      <c r="W61" s="59">
        <f t="shared" si="2"/>
        <v>2</v>
      </c>
      <c r="X61" s="49"/>
      <c r="Y61" s="49"/>
      <c r="Z61" s="49"/>
      <c r="AA61" s="49"/>
      <c r="AB61" s="49"/>
      <c r="AC61" s="59" t="str">
        <f t="shared" si="3"/>
        <v>0</v>
      </c>
      <c r="AD61" s="49"/>
      <c r="AE61" s="49"/>
      <c r="AF61" s="49"/>
      <c r="AG61" s="49"/>
      <c r="AH61" s="49"/>
      <c r="AI61" s="59" t="str">
        <f t="shared" si="4"/>
        <v>0</v>
      </c>
      <c r="AJ61" s="49">
        <v>3</v>
      </c>
      <c r="AK61" s="49">
        <v>3</v>
      </c>
      <c r="AL61" s="49">
        <v>2</v>
      </c>
      <c r="AM61" s="49">
        <v>4</v>
      </c>
      <c r="AN61" s="49"/>
      <c r="AO61" s="59">
        <f t="shared" si="5"/>
        <v>3</v>
      </c>
      <c r="AP61" s="49">
        <v>3</v>
      </c>
      <c r="AQ61" s="49"/>
      <c r="AR61" s="49"/>
      <c r="AS61" s="49"/>
      <c r="AT61" s="49"/>
      <c r="AU61" s="59">
        <f t="shared" si="6"/>
        <v>3</v>
      </c>
      <c r="AV61" s="49"/>
      <c r="AW61" s="49"/>
      <c r="AX61" s="49"/>
      <c r="AY61" s="49">
        <v>2</v>
      </c>
      <c r="AZ61" s="49">
        <v>2</v>
      </c>
      <c r="BA61" s="59">
        <f t="shared" si="7"/>
        <v>2</v>
      </c>
    </row>
    <row r="62" spans="1:53" ht="23.1" customHeight="1" x14ac:dyDescent="0.3">
      <c r="A62" s="7">
        <v>60</v>
      </c>
      <c r="B62" s="7" t="s">
        <v>42</v>
      </c>
      <c r="C62" s="7" t="s">
        <v>43</v>
      </c>
      <c r="D62" s="7" t="s">
        <v>450</v>
      </c>
      <c r="E62" s="7" t="s">
        <v>35</v>
      </c>
      <c r="F62" s="49">
        <v>3</v>
      </c>
      <c r="G62" s="49">
        <v>3</v>
      </c>
      <c r="H62" s="49">
        <v>3</v>
      </c>
      <c r="I62" s="49">
        <v>2.5</v>
      </c>
      <c r="J62" s="7"/>
      <c r="K62" s="59">
        <f t="shared" si="0"/>
        <v>2.875</v>
      </c>
      <c r="L62" s="49">
        <v>3</v>
      </c>
      <c r="M62" s="49">
        <v>3</v>
      </c>
      <c r="N62" s="49">
        <v>3</v>
      </c>
      <c r="O62" s="49">
        <v>2.5</v>
      </c>
      <c r="P62" s="49">
        <v>3</v>
      </c>
      <c r="Q62" s="59">
        <f t="shared" si="1"/>
        <v>2.9</v>
      </c>
      <c r="R62" s="49"/>
      <c r="S62" s="49">
        <v>3</v>
      </c>
      <c r="T62" s="7"/>
      <c r="U62" s="49"/>
      <c r="V62" s="7"/>
      <c r="W62" s="59">
        <f t="shared" si="2"/>
        <v>3</v>
      </c>
      <c r="X62" s="49"/>
      <c r="Y62" s="49"/>
      <c r="Z62" s="7"/>
      <c r="AA62" s="7"/>
      <c r="AB62" s="7"/>
      <c r="AC62" s="59" t="str">
        <f t="shared" si="3"/>
        <v>0</v>
      </c>
      <c r="AD62" s="49"/>
      <c r="AE62" s="7"/>
      <c r="AF62" s="49"/>
      <c r="AG62" s="7"/>
      <c r="AH62" s="7"/>
      <c r="AI62" s="59" t="str">
        <f t="shared" si="4"/>
        <v>0</v>
      </c>
      <c r="AJ62" s="49">
        <v>3</v>
      </c>
      <c r="AK62" s="49">
        <v>3</v>
      </c>
      <c r="AL62" s="49">
        <v>3</v>
      </c>
      <c r="AM62" s="49">
        <v>3</v>
      </c>
      <c r="AN62" s="7"/>
      <c r="AO62" s="59">
        <f t="shared" si="5"/>
        <v>3</v>
      </c>
      <c r="AP62" s="49">
        <v>3</v>
      </c>
      <c r="AQ62" s="49"/>
      <c r="AR62" s="49"/>
      <c r="AS62" s="7"/>
      <c r="AT62" s="7"/>
      <c r="AU62" s="59">
        <f t="shared" si="6"/>
        <v>3</v>
      </c>
      <c r="AV62" s="7"/>
      <c r="AW62" s="7"/>
      <c r="AX62" s="49"/>
      <c r="AY62" s="49">
        <v>2.5</v>
      </c>
      <c r="AZ62" s="49">
        <v>3</v>
      </c>
      <c r="BA62" s="59">
        <f t="shared" si="7"/>
        <v>2.75</v>
      </c>
    </row>
    <row r="63" spans="1:53" ht="23.1" customHeight="1" x14ac:dyDescent="0.3">
      <c r="A63" s="49">
        <v>61</v>
      </c>
      <c r="B63" s="49" t="s">
        <v>128</v>
      </c>
      <c r="C63" s="49" t="s">
        <v>129</v>
      </c>
      <c r="D63" s="49" t="s">
        <v>450</v>
      </c>
      <c r="E63" s="49" t="s">
        <v>35</v>
      </c>
      <c r="F63" s="49">
        <v>2</v>
      </c>
      <c r="G63" s="49">
        <v>2</v>
      </c>
      <c r="H63" s="49">
        <v>2</v>
      </c>
      <c r="I63" s="49">
        <v>2</v>
      </c>
      <c r="J63" s="49"/>
      <c r="K63" s="59">
        <f t="shared" si="0"/>
        <v>2</v>
      </c>
      <c r="L63" s="49">
        <v>3</v>
      </c>
      <c r="M63" s="49">
        <v>2</v>
      </c>
      <c r="N63" s="49">
        <v>3</v>
      </c>
      <c r="O63" s="49">
        <v>4</v>
      </c>
      <c r="P63" s="49">
        <v>3</v>
      </c>
      <c r="Q63" s="59">
        <f t="shared" si="1"/>
        <v>3</v>
      </c>
      <c r="R63" s="49"/>
      <c r="S63" s="49">
        <v>2</v>
      </c>
      <c r="T63" s="49"/>
      <c r="U63" s="49"/>
      <c r="V63" s="49"/>
      <c r="W63" s="59">
        <f t="shared" si="2"/>
        <v>2</v>
      </c>
      <c r="X63" s="49"/>
      <c r="Y63" s="49"/>
      <c r="Z63" s="49"/>
      <c r="AA63" s="49"/>
      <c r="AB63" s="49"/>
      <c r="AC63" s="59" t="str">
        <f t="shared" si="3"/>
        <v>0</v>
      </c>
      <c r="AD63" s="49"/>
      <c r="AE63" s="49"/>
      <c r="AF63" s="49"/>
      <c r="AG63" s="49"/>
      <c r="AH63" s="49"/>
      <c r="AI63" s="59" t="str">
        <f t="shared" si="4"/>
        <v>0</v>
      </c>
      <c r="AJ63" s="49">
        <v>2</v>
      </c>
      <c r="AK63" s="49">
        <v>3</v>
      </c>
      <c r="AL63" s="49">
        <v>3</v>
      </c>
      <c r="AM63" s="49">
        <v>3</v>
      </c>
      <c r="AN63" s="49"/>
      <c r="AO63" s="59">
        <f t="shared" si="5"/>
        <v>2.75</v>
      </c>
      <c r="AP63" s="49">
        <v>3</v>
      </c>
      <c r="AQ63" s="49"/>
      <c r="AR63" s="49"/>
      <c r="AS63" s="49"/>
      <c r="AT63" s="49"/>
      <c r="AU63" s="59">
        <f t="shared" si="6"/>
        <v>3</v>
      </c>
      <c r="AV63" s="49"/>
      <c r="AW63" s="49"/>
      <c r="AX63" s="49"/>
      <c r="AY63" s="49">
        <v>3</v>
      </c>
      <c r="AZ63" s="49">
        <v>3</v>
      </c>
      <c r="BA63" s="59">
        <f t="shared" si="7"/>
        <v>3</v>
      </c>
    </row>
    <row r="64" spans="1:53" ht="23.1" customHeight="1" x14ac:dyDescent="0.3">
      <c r="A64" s="7">
        <v>62</v>
      </c>
      <c r="B64" s="7" t="s">
        <v>275</v>
      </c>
      <c r="C64" s="7" t="s">
        <v>276</v>
      </c>
      <c r="D64" s="7" t="s">
        <v>542</v>
      </c>
      <c r="E64" s="7" t="s">
        <v>161</v>
      </c>
      <c r="F64" s="49">
        <v>1</v>
      </c>
      <c r="G64" s="49">
        <v>3</v>
      </c>
      <c r="H64" s="49">
        <v>0</v>
      </c>
      <c r="I64" s="49">
        <v>2</v>
      </c>
      <c r="J64" s="7"/>
      <c r="K64" s="59">
        <f t="shared" si="0"/>
        <v>1.5</v>
      </c>
      <c r="L64" s="49">
        <v>4</v>
      </c>
      <c r="M64" s="49">
        <v>2</v>
      </c>
      <c r="N64" s="49">
        <v>2</v>
      </c>
      <c r="O64" s="49">
        <v>2</v>
      </c>
      <c r="P64" s="49">
        <v>3</v>
      </c>
      <c r="Q64" s="59">
        <f t="shared" si="1"/>
        <v>2.6</v>
      </c>
      <c r="R64" s="49"/>
      <c r="S64" s="49">
        <v>1</v>
      </c>
      <c r="T64" s="7"/>
      <c r="U64" s="49"/>
      <c r="V64" s="7"/>
      <c r="W64" s="59">
        <f t="shared" si="2"/>
        <v>1</v>
      </c>
      <c r="X64" s="49"/>
      <c r="Y64" s="49"/>
      <c r="Z64" s="7"/>
      <c r="AA64" s="7"/>
      <c r="AB64" s="7"/>
      <c r="AC64" s="59" t="str">
        <f t="shared" si="3"/>
        <v>0</v>
      </c>
      <c r="AD64" s="49"/>
      <c r="AE64" s="7"/>
      <c r="AF64" s="49"/>
      <c r="AG64" s="7"/>
      <c r="AH64" s="7"/>
      <c r="AI64" s="59" t="str">
        <f t="shared" si="4"/>
        <v>0</v>
      </c>
      <c r="AJ64" s="49">
        <v>3</v>
      </c>
      <c r="AK64" s="49">
        <v>2</v>
      </c>
      <c r="AL64" s="49">
        <v>3</v>
      </c>
      <c r="AM64" s="49">
        <v>3</v>
      </c>
      <c r="AN64" s="7"/>
      <c r="AO64" s="59">
        <f t="shared" si="5"/>
        <v>2.75</v>
      </c>
      <c r="AP64" s="49">
        <v>3</v>
      </c>
      <c r="AQ64" s="49"/>
      <c r="AR64" s="49"/>
      <c r="AS64" s="7"/>
      <c r="AT64" s="7"/>
      <c r="AU64" s="59">
        <f t="shared" si="6"/>
        <v>3</v>
      </c>
      <c r="AV64" s="7"/>
      <c r="AW64" s="7"/>
      <c r="AX64" s="49"/>
      <c r="AY64" s="49">
        <v>3</v>
      </c>
      <c r="AZ64" s="49">
        <v>3</v>
      </c>
      <c r="BA64" s="59">
        <f t="shared" si="7"/>
        <v>3</v>
      </c>
    </row>
    <row r="65" spans="1:53" ht="23.1" customHeight="1" x14ac:dyDescent="0.3">
      <c r="A65" s="49">
        <v>63</v>
      </c>
      <c r="B65" s="49" t="s">
        <v>60</v>
      </c>
      <c r="C65" s="49" t="s">
        <v>61</v>
      </c>
      <c r="D65" s="49" t="s">
        <v>450</v>
      </c>
      <c r="E65" s="49" t="s">
        <v>35</v>
      </c>
      <c r="F65" s="49">
        <v>4</v>
      </c>
      <c r="G65" s="49">
        <v>4</v>
      </c>
      <c r="H65" s="49">
        <v>4</v>
      </c>
      <c r="I65" s="49">
        <v>4</v>
      </c>
      <c r="J65" s="49"/>
      <c r="K65" s="59">
        <f t="shared" si="0"/>
        <v>4</v>
      </c>
      <c r="L65" s="49">
        <v>3</v>
      </c>
      <c r="M65" s="49">
        <v>4</v>
      </c>
      <c r="N65" s="49">
        <v>4</v>
      </c>
      <c r="O65" s="49">
        <v>4</v>
      </c>
      <c r="P65" s="49">
        <v>4</v>
      </c>
      <c r="Q65" s="59">
        <f t="shared" si="1"/>
        <v>3.8</v>
      </c>
      <c r="R65" s="49"/>
      <c r="S65" s="49">
        <v>4</v>
      </c>
      <c r="T65" s="49"/>
      <c r="U65" s="49"/>
      <c r="V65" s="49"/>
      <c r="W65" s="59">
        <f t="shared" si="2"/>
        <v>4</v>
      </c>
      <c r="X65" s="49"/>
      <c r="Y65" s="49"/>
      <c r="Z65" s="49"/>
      <c r="AA65" s="49"/>
      <c r="AB65" s="49"/>
      <c r="AC65" s="59" t="str">
        <f t="shared" si="3"/>
        <v>0</v>
      </c>
      <c r="AD65" s="49"/>
      <c r="AE65" s="49"/>
      <c r="AF65" s="49"/>
      <c r="AG65" s="49"/>
      <c r="AH65" s="49"/>
      <c r="AI65" s="59" t="str">
        <f t="shared" si="4"/>
        <v>0</v>
      </c>
      <c r="AJ65" s="49">
        <v>4</v>
      </c>
      <c r="AK65" s="49">
        <v>4</v>
      </c>
      <c r="AL65" s="49">
        <v>4</v>
      </c>
      <c r="AM65" s="49">
        <v>4</v>
      </c>
      <c r="AN65" s="49"/>
      <c r="AO65" s="59">
        <f t="shared" si="5"/>
        <v>4</v>
      </c>
      <c r="AP65" s="49">
        <v>3</v>
      </c>
      <c r="AQ65" s="49"/>
      <c r="AR65" s="49"/>
      <c r="AS65" s="49"/>
      <c r="AT65" s="49"/>
      <c r="AU65" s="59">
        <f t="shared" si="6"/>
        <v>3</v>
      </c>
      <c r="AV65" s="49"/>
      <c r="AW65" s="49"/>
      <c r="AX65" s="49"/>
      <c r="AY65" s="49">
        <v>5</v>
      </c>
      <c r="AZ65" s="49">
        <v>4</v>
      </c>
      <c r="BA65" s="59">
        <f t="shared" si="7"/>
        <v>4.5</v>
      </c>
    </row>
    <row r="66" spans="1:53" ht="23.1" customHeight="1" x14ac:dyDescent="0.3">
      <c r="A66" s="7">
        <v>64</v>
      </c>
      <c r="B66" s="7" t="s">
        <v>318</v>
      </c>
      <c r="C66" s="7" t="s">
        <v>319</v>
      </c>
      <c r="D66" s="7" t="s">
        <v>450</v>
      </c>
      <c r="E66" s="7" t="s">
        <v>493</v>
      </c>
      <c r="F66" s="49">
        <v>3</v>
      </c>
      <c r="G66" s="49">
        <v>2</v>
      </c>
      <c r="H66" s="49">
        <v>2</v>
      </c>
      <c r="I66" s="49">
        <v>2</v>
      </c>
      <c r="J66" s="7"/>
      <c r="K66" s="59">
        <f t="shared" si="0"/>
        <v>2.25</v>
      </c>
      <c r="L66" s="49">
        <v>3</v>
      </c>
      <c r="M66" s="49">
        <v>3</v>
      </c>
      <c r="N66" s="49">
        <v>2</v>
      </c>
      <c r="O66" s="49">
        <v>3</v>
      </c>
      <c r="P66" s="49">
        <v>3</v>
      </c>
      <c r="Q66" s="59">
        <f t="shared" si="1"/>
        <v>2.8</v>
      </c>
      <c r="R66" s="49"/>
      <c r="S66" s="49">
        <v>2</v>
      </c>
      <c r="T66" s="7"/>
      <c r="U66" s="49"/>
      <c r="V66" s="7"/>
      <c r="W66" s="59">
        <f t="shared" si="2"/>
        <v>2</v>
      </c>
      <c r="X66" s="49"/>
      <c r="Y66" s="49"/>
      <c r="Z66" s="7"/>
      <c r="AA66" s="7"/>
      <c r="AB66" s="7"/>
      <c r="AC66" s="59" t="str">
        <f t="shared" si="3"/>
        <v>0</v>
      </c>
      <c r="AD66" s="49"/>
      <c r="AE66" s="7"/>
      <c r="AF66" s="49"/>
      <c r="AG66" s="7"/>
      <c r="AH66" s="7"/>
      <c r="AI66" s="59" t="str">
        <f t="shared" si="4"/>
        <v>0</v>
      </c>
      <c r="AJ66" s="49">
        <v>2</v>
      </c>
      <c r="AK66" s="49">
        <v>2</v>
      </c>
      <c r="AL66" s="49">
        <v>2</v>
      </c>
      <c r="AM66" s="49">
        <v>2</v>
      </c>
      <c r="AN66" s="7"/>
      <c r="AO66" s="59">
        <f t="shared" si="5"/>
        <v>2</v>
      </c>
      <c r="AP66" s="49">
        <v>3</v>
      </c>
      <c r="AQ66" s="49"/>
      <c r="AR66" s="49"/>
      <c r="AS66" s="7"/>
      <c r="AT66" s="7"/>
      <c r="AU66" s="59">
        <f t="shared" si="6"/>
        <v>3</v>
      </c>
      <c r="AV66" s="7"/>
      <c r="AW66" s="7"/>
      <c r="AX66" s="49"/>
      <c r="AY66" s="49">
        <v>2</v>
      </c>
      <c r="AZ66" s="49">
        <v>3</v>
      </c>
      <c r="BA66" s="59">
        <f t="shared" si="7"/>
        <v>2.5</v>
      </c>
    </row>
    <row r="67" spans="1:53" ht="23.1" customHeight="1" x14ac:dyDescent="0.3">
      <c r="A67" s="49">
        <v>65</v>
      </c>
      <c r="B67" s="49" t="s">
        <v>91</v>
      </c>
      <c r="C67" s="49" t="s">
        <v>92</v>
      </c>
      <c r="D67" s="49" t="s">
        <v>450</v>
      </c>
      <c r="E67" s="49" t="s">
        <v>35</v>
      </c>
      <c r="F67" s="49">
        <v>5</v>
      </c>
      <c r="G67" s="49">
        <v>0</v>
      </c>
      <c r="H67" s="49">
        <v>4</v>
      </c>
      <c r="I67" s="49">
        <v>3</v>
      </c>
      <c r="J67" s="49"/>
      <c r="K67" s="59">
        <f t="shared" si="0"/>
        <v>3</v>
      </c>
      <c r="L67" s="49">
        <v>3</v>
      </c>
      <c r="M67" s="49">
        <v>3</v>
      </c>
      <c r="N67" s="49">
        <v>3</v>
      </c>
      <c r="O67" s="49">
        <v>5</v>
      </c>
      <c r="P67" s="49">
        <v>4</v>
      </c>
      <c r="Q67" s="59">
        <f t="shared" si="1"/>
        <v>3.6</v>
      </c>
      <c r="R67" s="49"/>
      <c r="S67" s="49">
        <v>4</v>
      </c>
      <c r="T67" s="49"/>
      <c r="U67" s="49"/>
      <c r="V67" s="49"/>
      <c r="W67" s="59">
        <f t="shared" si="2"/>
        <v>4</v>
      </c>
      <c r="X67" s="49"/>
      <c r="Y67" s="49"/>
      <c r="Z67" s="49"/>
      <c r="AA67" s="49"/>
      <c r="AB67" s="49"/>
      <c r="AC67" s="59" t="str">
        <f t="shared" si="3"/>
        <v>0</v>
      </c>
      <c r="AD67" s="49"/>
      <c r="AE67" s="49"/>
      <c r="AF67" s="49"/>
      <c r="AG67" s="49"/>
      <c r="AH67" s="49"/>
      <c r="AI67" s="59" t="str">
        <f t="shared" si="4"/>
        <v>0</v>
      </c>
      <c r="AJ67" s="49">
        <v>3</v>
      </c>
      <c r="AK67" s="49">
        <v>3</v>
      </c>
      <c r="AL67" s="49">
        <v>4</v>
      </c>
      <c r="AM67" s="49">
        <v>4</v>
      </c>
      <c r="AN67" s="49"/>
      <c r="AO67" s="59">
        <f t="shared" si="5"/>
        <v>3.5</v>
      </c>
      <c r="AP67" s="49">
        <v>3</v>
      </c>
      <c r="AQ67" s="49"/>
      <c r="AR67" s="49"/>
      <c r="AS67" s="49"/>
      <c r="AT67" s="49"/>
      <c r="AU67" s="59">
        <f t="shared" si="6"/>
        <v>3</v>
      </c>
      <c r="AV67" s="49"/>
      <c r="AW67" s="49"/>
      <c r="AX67" s="49"/>
      <c r="AY67" s="49">
        <v>4</v>
      </c>
      <c r="AZ67" s="49">
        <v>4</v>
      </c>
      <c r="BA67" s="59">
        <f t="shared" si="7"/>
        <v>4</v>
      </c>
    </row>
    <row r="68" spans="1:53" ht="23.1" customHeight="1" x14ac:dyDescent="0.3">
      <c r="A68" s="7">
        <v>66</v>
      </c>
      <c r="B68" s="7" t="s">
        <v>261</v>
      </c>
      <c r="C68" s="7" t="s">
        <v>262</v>
      </c>
      <c r="D68" s="7" t="s">
        <v>450</v>
      </c>
      <c r="E68" s="7" t="s">
        <v>161</v>
      </c>
      <c r="F68" s="49" t="s">
        <v>581</v>
      </c>
      <c r="G68" s="49" t="s">
        <v>581</v>
      </c>
      <c r="H68" s="49" t="s">
        <v>581</v>
      </c>
      <c r="I68" s="49" t="s">
        <v>581</v>
      </c>
      <c r="J68" s="7"/>
      <c r="K68" s="59" t="str">
        <f t="shared" ref="K68:K131" si="8">IFERROR(AVERAGE(F68,G68,H68,I68,J68),"0")</f>
        <v>0</v>
      </c>
      <c r="L68" s="49" t="s">
        <v>581</v>
      </c>
      <c r="M68" s="49" t="s">
        <v>581</v>
      </c>
      <c r="N68" s="49" t="s">
        <v>581</v>
      </c>
      <c r="O68" s="49" t="s">
        <v>581</v>
      </c>
      <c r="P68" s="49" t="s">
        <v>581</v>
      </c>
      <c r="Q68" s="59" t="str">
        <f t="shared" ref="Q68:Q131" si="9">IFERROR(AVERAGE(L68,M68,N68,O68,P68),"0")</f>
        <v>0</v>
      </c>
      <c r="R68" s="49"/>
      <c r="S68" s="49" t="s">
        <v>581</v>
      </c>
      <c r="T68" s="7"/>
      <c r="U68" s="49"/>
      <c r="V68" s="7"/>
      <c r="W68" s="59" t="str">
        <f t="shared" ref="W68:W131" si="10">IFERROR(AVERAGE(R68,S68,T68,U68,V68),"0")</f>
        <v>0</v>
      </c>
      <c r="X68" s="49"/>
      <c r="Y68" s="49"/>
      <c r="Z68" s="7"/>
      <c r="AA68" s="7"/>
      <c r="AB68" s="7"/>
      <c r="AC68" s="59" t="str">
        <f t="shared" ref="AC68:AC131" si="11">IFERROR(AVERAGE(X68,Y68,Z68,AA68,AB68),"0")</f>
        <v>0</v>
      </c>
      <c r="AD68" s="49"/>
      <c r="AE68" s="7"/>
      <c r="AF68" s="49"/>
      <c r="AG68" s="7"/>
      <c r="AH68" s="7"/>
      <c r="AI68" s="59" t="str">
        <f t="shared" ref="AI68:AI131" si="12">IFERROR(AVERAGE(AD68,AE68,AF68,AG68,AH68),"0")</f>
        <v>0</v>
      </c>
      <c r="AJ68" s="49" t="s">
        <v>581</v>
      </c>
      <c r="AK68" s="49" t="s">
        <v>581</v>
      </c>
      <c r="AL68" s="49" t="s">
        <v>581</v>
      </c>
      <c r="AM68" s="49" t="s">
        <v>581</v>
      </c>
      <c r="AN68" s="7"/>
      <c r="AO68" s="59" t="str">
        <f t="shared" ref="AO68:AO131" si="13">IFERROR(AVERAGE(AJ68,AK68,AL68,AM68,AN68),"0")</f>
        <v>0</v>
      </c>
      <c r="AP68" s="49" t="s">
        <v>581</v>
      </c>
      <c r="AQ68" s="49"/>
      <c r="AR68" s="49"/>
      <c r="AS68" s="7"/>
      <c r="AT68" s="7"/>
      <c r="AU68" s="59" t="str">
        <f t="shared" ref="AU68:AU131" si="14">IFERROR(AVERAGE(AP68,AQ68,AR68,AS68,AT68),"0")</f>
        <v>0</v>
      </c>
      <c r="AV68" s="7"/>
      <c r="AW68" s="7"/>
      <c r="AX68" s="49"/>
      <c r="AY68" s="49" t="s">
        <v>581</v>
      </c>
      <c r="AZ68" s="49" t="s">
        <v>581</v>
      </c>
      <c r="BA68" s="59" t="str">
        <f t="shared" ref="BA68:BA131" si="15">IFERROR(AVERAGE(AV68,AW68,AX68,AY68,AZ68),"0")</f>
        <v>0</v>
      </c>
    </row>
    <row r="69" spans="1:53" ht="23.1" customHeight="1" x14ac:dyDescent="0.3">
      <c r="A69" s="49">
        <v>67</v>
      </c>
      <c r="B69" s="49" t="s">
        <v>277</v>
      </c>
      <c r="C69" s="49" t="s">
        <v>278</v>
      </c>
      <c r="D69" s="49" t="s">
        <v>450</v>
      </c>
      <c r="E69" s="49" t="s">
        <v>161</v>
      </c>
      <c r="F69" s="49">
        <v>3</v>
      </c>
      <c r="G69" s="49">
        <v>3</v>
      </c>
      <c r="H69" s="49">
        <v>2</v>
      </c>
      <c r="I69" s="49">
        <v>3</v>
      </c>
      <c r="J69" s="49"/>
      <c r="K69" s="59">
        <f t="shared" si="8"/>
        <v>2.75</v>
      </c>
      <c r="L69" s="49">
        <v>4</v>
      </c>
      <c r="M69" s="49">
        <v>4</v>
      </c>
      <c r="N69" s="49">
        <v>3</v>
      </c>
      <c r="O69" s="49">
        <v>4</v>
      </c>
      <c r="P69" s="49">
        <v>3</v>
      </c>
      <c r="Q69" s="59">
        <f t="shared" si="9"/>
        <v>3.6</v>
      </c>
      <c r="R69" s="49"/>
      <c r="S69" s="49">
        <v>2</v>
      </c>
      <c r="T69" s="49"/>
      <c r="U69" s="49"/>
      <c r="V69" s="49"/>
      <c r="W69" s="59">
        <f t="shared" si="10"/>
        <v>2</v>
      </c>
      <c r="X69" s="49"/>
      <c r="Y69" s="49"/>
      <c r="Z69" s="49"/>
      <c r="AA69" s="49"/>
      <c r="AB69" s="49"/>
      <c r="AC69" s="59" t="str">
        <f t="shared" si="11"/>
        <v>0</v>
      </c>
      <c r="AD69" s="49"/>
      <c r="AE69" s="49"/>
      <c r="AF69" s="49"/>
      <c r="AG69" s="49"/>
      <c r="AH69" s="49"/>
      <c r="AI69" s="59" t="str">
        <f t="shared" si="12"/>
        <v>0</v>
      </c>
      <c r="AJ69" s="49">
        <v>3</v>
      </c>
      <c r="AK69" s="49">
        <v>3</v>
      </c>
      <c r="AL69" s="49">
        <v>3</v>
      </c>
      <c r="AM69" s="49">
        <v>2</v>
      </c>
      <c r="AN69" s="49"/>
      <c r="AO69" s="59">
        <f t="shared" si="13"/>
        <v>2.75</v>
      </c>
      <c r="AP69" s="49">
        <v>3</v>
      </c>
      <c r="AQ69" s="49"/>
      <c r="AR69" s="49"/>
      <c r="AS69" s="49"/>
      <c r="AT69" s="49"/>
      <c r="AU69" s="59">
        <f t="shared" si="14"/>
        <v>3</v>
      </c>
      <c r="AV69" s="49"/>
      <c r="AW69" s="49"/>
      <c r="AX69" s="49"/>
      <c r="AY69" s="49">
        <v>2</v>
      </c>
      <c r="AZ69" s="49">
        <v>3</v>
      </c>
      <c r="BA69" s="59">
        <f t="shared" si="15"/>
        <v>2.5</v>
      </c>
    </row>
    <row r="70" spans="1:53" ht="23.1" customHeight="1" x14ac:dyDescent="0.3">
      <c r="A70" s="7">
        <v>68</v>
      </c>
      <c r="B70" s="7" t="s">
        <v>164</v>
      </c>
      <c r="C70" s="7" t="s">
        <v>165</v>
      </c>
      <c r="D70" s="7" t="s">
        <v>450</v>
      </c>
      <c r="E70" s="7" t="s">
        <v>161</v>
      </c>
      <c r="F70" s="49">
        <v>3</v>
      </c>
      <c r="G70" s="49">
        <v>3</v>
      </c>
      <c r="H70" s="49">
        <v>3</v>
      </c>
      <c r="I70" s="49">
        <v>2</v>
      </c>
      <c r="J70" s="7"/>
      <c r="K70" s="59">
        <f t="shared" si="8"/>
        <v>2.75</v>
      </c>
      <c r="L70" s="49">
        <v>3</v>
      </c>
      <c r="M70" s="49">
        <v>4</v>
      </c>
      <c r="N70" s="49">
        <v>4</v>
      </c>
      <c r="O70" s="49">
        <v>4</v>
      </c>
      <c r="P70" s="49">
        <v>3</v>
      </c>
      <c r="Q70" s="59">
        <f t="shared" si="9"/>
        <v>3.6</v>
      </c>
      <c r="R70" s="49"/>
      <c r="S70" s="49">
        <v>2</v>
      </c>
      <c r="T70" s="7"/>
      <c r="U70" s="49"/>
      <c r="V70" s="7"/>
      <c r="W70" s="59">
        <f t="shared" si="10"/>
        <v>2</v>
      </c>
      <c r="X70" s="49"/>
      <c r="Y70" s="49"/>
      <c r="Z70" s="7"/>
      <c r="AA70" s="7"/>
      <c r="AB70" s="7"/>
      <c r="AC70" s="59" t="str">
        <f t="shared" si="11"/>
        <v>0</v>
      </c>
      <c r="AD70" s="49"/>
      <c r="AE70" s="7"/>
      <c r="AF70" s="49"/>
      <c r="AG70" s="7"/>
      <c r="AH70" s="7"/>
      <c r="AI70" s="59" t="str">
        <f t="shared" si="12"/>
        <v>0</v>
      </c>
      <c r="AJ70" s="49">
        <v>3</v>
      </c>
      <c r="AK70" s="49">
        <v>2</v>
      </c>
      <c r="AL70" s="49">
        <v>2</v>
      </c>
      <c r="AM70" s="49">
        <v>3</v>
      </c>
      <c r="AN70" s="7"/>
      <c r="AO70" s="59">
        <f t="shared" si="13"/>
        <v>2.5</v>
      </c>
      <c r="AP70" s="49">
        <v>3</v>
      </c>
      <c r="AQ70" s="49"/>
      <c r="AR70" s="49"/>
      <c r="AS70" s="7"/>
      <c r="AT70" s="7"/>
      <c r="AU70" s="59">
        <f t="shared" si="14"/>
        <v>3</v>
      </c>
      <c r="AV70" s="7"/>
      <c r="AW70" s="7"/>
      <c r="AX70" s="49"/>
      <c r="AY70" s="49">
        <v>3</v>
      </c>
      <c r="AZ70" s="49">
        <v>3</v>
      </c>
      <c r="BA70" s="59">
        <f t="shared" si="15"/>
        <v>3</v>
      </c>
    </row>
    <row r="71" spans="1:53" ht="23.1" customHeight="1" x14ac:dyDescent="0.3">
      <c r="A71" s="49">
        <v>69</v>
      </c>
      <c r="B71" s="49" t="s">
        <v>130</v>
      </c>
      <c r="C71" s="49" t="s">
        <v>131</v>
      </c>
      <c r="D71" s="49" t="s">
        <v>542</v>
      </c>
      <c r="E71" s="49" t="s">
        <v>35</v>
      </c>
      <c r="F71" s="49">
        <v>2</v>
      </c>
      <c r="G71" s="49">
        <v>0</v>
      </c>
      <c r="H71" s="49">
        <v>4</v>
      </c>
      <c r="I71" s="49">
        <v>3</v>
      </c>
      <c r="J71" s="49"/>
      <c r="K71" s="59">
        <f t="shared" si="8"/>
        <v>2.25</v>
      </c>
      <c r="L71" s="49">
        <v>3</v>
      </c>
      <c r="M71" s="49">
        <v>4</v>
      </c>
      <c r="N71" s="49">
        <v>2</v>
      </c>
      <c r="O71" s="49">
        <v>3</v>
      </c>
      <c r="P71" s="49">
        <v>3</v>
      </c>
      <c r="Q71" s="59">
        <f t="shared" si="9"/>
        <v>3</v>
      </c>
      <c r="R71" s="49"/>
      <c r="S71" s="49">
        <v>3</v>
      </c>
      <c r="T71" s="49"/>
      <c r="U71" s="49"/>
      <c r="V71" s="49"/>
      <c r="W71" s="59">
        <f t="shared" si="10"/>
        <v>3</v>
      </c>
      <c r="X71" s="49"/>
      <c r="Y71" s="49"/>
      <c r="Z71" s="49"/>
      <c r="AA71" s="49"/>
      <c r="AB71" s="49"/>
      <c r="AC71" s="59" t="str">
        <f t="shared" si="11"/>
        <v>0</v>
      </c>
      <c r="AD71" s="49"/>
      <c r="AE71" s="49"/>
      <c r="AF71" s="49"/>
      <c r="AG71" s="49"/>
      <c r="AH71" s="49"/>
      <c r="AI71" s="59" t="str">
        <f t="shared" si="12"/>
        <v>0</v>
      </c>
      <c r="AJ71" s="49">
        <v>3</v>
      </c>
      <c r="AK71" s="49">
        <v>3</v>
      </c>
      <c r="AL71" s="49">
        <v>3</v>
      </c>
      <c r="AM71" s="49">
        <v>2</v>
      </c>
      <c r="AN71" s="49"/>
      <c r="AO71" s="59">
        <f t="shared" si="13"/>
        <v>2.75</v>
      </c>
      <c r="AP71" s="49">
        <v>3</v>
      </c>
      <c r="AQ71" s="49"/>
      <c r="AR71" s="49"/>
      <c r="AS71" s="49"/>
      <c r="AT71" s="49"/>
      <c r="AU71" s="59">
        <f t="shared" si="14"/>
        <v>3</v>
      </c>
      <c r="AV71" s="49"/>
      <c r="AW71" s="49"/>
      <c r="AX71" s="49"/>
      <c r="AY71" s="49">
        <v>3</v>
      </c>
      <c r="AZ71" s="49">
        <v>2</v>
      </c>
      <c r="BA71" s="59">
        <f t="shared" si="15"/>
        <v>2.5</v>
      </c>
    </row>
    <row r="72" spans="1:53" ht="23.1" customHeight="1" x14ac:dyDescent="0.3">
      <c r="A72" s="7">
        <v>70</v>
      </c>
      <c r="B72" s="7" t="s">
        <v>320</v>
      </c>
      <c r="C72" s="7" t="s">
        <v>321</v>
      </c>
      <c r="D72" s="7" t="s">
        <v>542</v>
      </c>
      <c r="E72" s="7" t="s">
        <v>493</v>
      </c>
      <c r="F72" s="49">
        <v>4</v>
      </c>
      <c r="G72" s="49">
        <v>4</v>
      </c>
      <c r="H72" s="49">
        <v>3</v>
      </c>
      <c r="I72" s="49">
        <v>3</v>
      </c>
      <c r="J72" s="7"/>
      <c r="K72" s="59">
        <f t="shared" si="8"/>
        <v>3.5</v>
      </c>
      <c r="L72" s="49">
        <v>3</v>
      </c>
      <c r="M72" s="49">
        <v>3</v>
      </c>
      <c r="N72" s="49">
        <v>3</v>
      </c>
      <c r="O72" s="49">
        <v>4</v>
      </c>
      <c r="P72" s="49">
        <v>3</v>
      </c>
      <c r="Q72" s="59">
        <f t="shared" si="9"/>
        <v>3.2</v>
      </c>
      <c r="R72" s="49"/>
      <c r="S72" s="49">
        <v>3</v>
      </c>
      <c r="T72" s="7"/>
      <c r="U72" s="49"/>
      <c r="V72" s="7"/>
      <c r="W72" s="59">
        <f t="shared" si="10"/>
        <v>3</v>
      </c>
      <c r="X72" s="49"/>
      <c r="Y72" s="49"/>
      <c r="Z72" s="7"/>
      <c r="AA72" s="7"/>
      <c r="AB72" s="7"/>
      <c r="AC72" s="59" t="str">
        <f t="shared" si="11"/>
        <v>0</v>
      </c>
      <c r="AD72" s="49"/>
      <c r="AE72" s="7"/>
      <c r="AF72" s="49"/>
      <c r="AG72" s="7"/>
      <c r="AH72" s="7"/>
      <c r="AI72" s="59" t="str">
        <f t="shared" si="12"/>
        <v>0</v>
      </c>
      <c r="AJ72" s="49">
        <v>3</v>
      </c>
      <c r="AK72" s="49">
        <v>4</v>
      </c>
      <c r="AL72" s="49">
        <v>3</v>
      </c>
      <c r="AM72" s="49">
        <v>4</v>
      </c>
      <c r="AN72" s="7"/>
      <c r="AO72" s="59">
        <f t="shared" si="13"/>
        <v>3.5</v>
      </c>
      <c r="AP72" s="49">
        <v>3</v>
      </c>
      <c r="AQ72" s="49"/>
      <c r="AR72" s="49"/>
      <c r="AS72" s="7"/>
      <c r="AT72" s="7"/>
      <c r="AU72" s="59">
        <f t="shared" si="14"/>
        <v>3</v>
      </c>
      <c r="AV72" s="7"/>
      <c r="AW72" s="7"/>
      <c r="AX72" s="49"/>
      <c r="AY72" s="49">
        <v>4</v>
      </c>
      <c r="AZ72" s="49">
        <v>4</v>
      </c>
      <c r="BA72" s="59">
        <f t="shared" si="15"/>
        <v>4</v>
      </c>
    </row>
    <row r="73" spans="1:53" ht="23.1" customHeight="1" x14ac:dyDescent="0.3">
      <c r="A73" s="49">
        <v>71</v>
      </c>
      <c r="B73" s="49" t="s">
        <v>132</v>
      </c>
      <c r="C73" s="49" t="s">
        <v>133</v>
      </c>
      <c r="D73" s="49" t="s">
        <v>542</v>
      </c>
      <c r="E73" s="49" t="s">
        <v>35</v>
      </c>
      <c r="F73" s="49">
        <v>0</v>
      </c>
      <c r="G73" s="49">
        <v>0</v>
      </c>
      <c r="H73" s="49">
        <v>0</v>
      </c>
      <c r="I73" s="49">
        <v>0</v>
      </c>
      <c r="J73" s="49"/>
      <c r="K73" s="59">
        <f t="shared" si="8"/>
        <v>0</v>
      </c>
      <c r="L73" s="49">
        <v>0</v>
      </c>
      <c r="M73" s="49">
        <v>0</v>
      </c>
      <c r="N73" s="49">
        <v>0</v>
      </c>
      <c r="O73" s="49">
        <v>0</v>
      </c>
      <c r="P73" s="49">
        <v>0</v>
      </c>
      <c r="Q73" s="59">
        <f t="shared" si="9"/>
        <v>0</v>
      </c>
      <c r="R73" s="49"/>
      <c r="S73" s="49">
        <v>0</v>
      </c>
      <c r="T73" s="49"/>
      <c r="U73" s="49"/>
      <c r="V73" s="49"/>
      <c r="W73" s="59">
        <f t="shared" si="10"/>
        <v>0</v>
      </c>
      <c r="X73" s="49"/>
      <c r="Y73" s="49"/>
      <c r="Z73" s="49"/>
      <c r="AA73" s="49"/>
      <c r="AB73" s="49"/>
      <c r="AC73" s="59" t="str">
        <f t="shared" si="11"/>
        <v>0</v>
      </c>
      <c r="AD73" s="49"/>
      <c r="AE73" s="49"/>
      <c r="AF73" s="49"/>
      <c r="AG73" s="49"/>
      <c r="AH73" s="49"/>
      <c r="AI73" s="59" t="str">
        <f t="shared" si="12"/>
        <v>0</v>
      </c>
      <c r="AJ73" s="49">
        <v>0</v>
      </c>
      <c r="AK73" s="49">
        <v>0</v>
      </c>
      <c r="AL73" s="49">
        <v>0</v>
      </c>
      <c r="AM73" s="49">
        <v>0</v>
      </c>
      <c r="AN73" s="49"/>
      <c r="AO73" s="59">
        <f t="shared" si="13"/>
        <v>0</v>
      </c>
      <c r="AP73" s="49">
        <v>0</v>
      </c>
      <c r="AQ73" s="49"/>
      <c r="AR73" s="49"/>
      <c r="AS73" s="49"/>
      <c r="AT73" s="49"/>
      <c r="AU73" s="59">
        <f t="shared" si="14"/>
        <v>0</v>
      </c>
      <c r="AV73" s="49"/>
      <c r="AW73" s="49"/>
      <c r="AX73" s="49"/>
      <c r="AY73" s="49">
        <v>0</v>
      </c>
      <c r="AZ73" s="49">
        <v>0</v>
      </c>
      <c r="BA73" s="59">
        <f t="shared" si="15"/>
        <v>0</v>
      </c>
    </row>
    <row r="74" spans="1:53" ht="23.1" customHeight="1" x14ac:dyDescent="0.3">
      <c r="A74" s="7">
        <v>72</v>
      </c>
      <c r="B74" s="7" t="s">
        <v>166</v>
      </c>
      <c r="C74" s="7" t="s">
        <v>167</v>
      </c>
      <c r="D74" s="7" t="s">
        <v>542</v>
      </c>
      <c r="E74" s="7" t="s">
        <v>161</v>
      </c>
      <c r="F74" s="49">
        <v>2.5</v>
      </c>
      <c r="G74" s="49">
        <v>2</v>
      </c>
      <c r="H74" s="49">
        <v>2</v>
      </c>
      <c r="I74" s="49">
        <v>2</v>
      </c>
      <c r="J74" s="7"/>
      <c r="K74" s="59">
        <f t="shared" si="8"/>
        <v>2.125</v>
      </c>
      <c r="L74" s="49">
        <v>2.5</v>
      </c>
      <c r="M74" s="49">
        <v>2</v>
      </c>
      <c r="N74" s="49">
        <v>2</v>
      </c>
      <c r="O74" s="49">
        <v>2</v>
      </c>
      <c r="P74" s="49">
        <v>2.5</v>
      </c>
      <c r="Q74" s="59">
        <f t="shared" si="9"/>
        <v>2.2000000000000002</v>
      </c>
      <c r="R74" s="49"/>
      <c r="S74" s="49">
        <v>2.5</v>
      </c>
      <c r="T74" s="7"/>
      <c r="U74" s="49"/>
      <c r="V74" s="7"/>
      <c r="W74" s="59">
        <f t="shared" si="10"/>
        <v>2.5</v>
      </c>
      <c r="X74" s="49"/>
      <c r="Y74" s="49"/>
      <c r="Z74" s="7"/>
      <c r="AA74" s="7"/>
      <c r="AB74" s="7"/>
      <c r="AC74" s="59" t="str">
        <f t="shared" si="11"/>
        <v>0</v>
      </c>
      <c r="AD74" s="49"/>
      <c r="AE74" s="7"/>
      <c r="AF74" s="49"/>
      <c r="AG74" s="7"/>
      <c r="AH74" s="7"/>
      <c r="AI74" s="59" t="str">
        <f t="shared" si="12"/>
        <v>0</v>
      </c>
      <c r="AJ74" s="49">
        <v>2.5</v>
      </c>
      <c r="AK74" s="49">
        <v>2.5</v>
      </c>
      <c r="AL74" s="49">
        <v>2.5</v>
      </c>
      <c r="AM74" s="49">
        <v>2</v>
      </c>
      <c r="AN74" s="7"/>
      <c r="AO74" s="59">
        <f t="shared" si="13"/>
        <v>2.375</v>
      </c>
      <c r="AP74" s="49">
        <v>2</v>
      </c>
      <c r="AQ74" s="49"/>
      <c r="AR74" s="49"/>
      <c r="AS74" s="7"/>
      <c r="AT74" s="7"/>
      <c r="AU74" s="59">
        <f t="shared" si="14"/>
        <v>2</v>
      </c>
      <c r="AV74" s="7"/>
      <c r="AW74" s="7"/>
      <c r="AX74" s="49"/>
      <c r="AY74" s="49">
        <v>2</v>
      </c>
      <c r="AZ74" s="49">
        <v>2.5</v>
      </c>
      <c r="BA74" s="59">
        <f t="shared" si="15"/>
        <v>2.25</v>
      </c>
    </row>
    <row r="75" spans="1:53" ht="23.1" customHeight="1" x14ac:dyDescent="0.3">
      <c r="A75" s="49">
        <v>73</v>
      </c>
      <c r="B75" s="49" t="s">
        <v>182</v>
      </c>
      <c r="C75" s="49" t="s">
        <v>183</v>
      </c>
      <c r="D75" s="49" t="s">
        <v>450</v>
      </c>
      <c r="E75" s="49" t="s">
        <v>161</v>
      </c>
      <c r="F75" s="49">
        <v>2</v>
      </c>
      <c r="G75" s="49">
        <v>2</v>
      </c>
      <c r="H75" s="49">
        <v>5</v>
      </c>
      <c r="I75" s="49">
        <v>4</v>
      </c>
      <c r="J75" s="49"/>
      <c r="K75" s="59">
        <f t="shared" si="8"/>
        <v>3.25</v>
      </c>
      <c r="L75" s="49">
        <v>3</v>
      </c>
      <c r="M75" s="49">
        <v>3</v>
      </c>
      <c r="N75" s="49">
        <v>3</v>
      </c>
      <c r="O75" s="49">
        <v>3</v>
      </c>
      <c r="P75" s="49">
        <v>3</v>
      </c>
      <c r="Q75" s="59">
        <f t="shared" si="9"/>
        <v>3</v>
      </c>
      <c r="R75" s="49"/>
      <c r="S75" s="49">
        <v>3</v>
      </c>
      <c r="T75" s="49"/>
      <c r="U75" s="49"/>
      <c r="V75" s="49"/>
      <c r="W75" s="59">
        <f t="shared" si="10"/>
        <v>3</v>
      </c>
      <c r="X75" s="49"/>
      <c r="Y75" s="49"/>
      <c r="Z75" s="49"/>
      <c r="AA75" s="49"/>
      <c r="AB75" s="49"/>
      <c r="AC75" s="59" t="str">
        <f t="shared" si="11"/>
        <v>0</v>
      </c>
      <c r="AD75" s="49"/>
      <c r="AE75" s="49"/>
      <c r="AF75" s="49"/>
      <c r="AG75" s="49"/>
      <c r="AH75" s="49"/>
      <c r="AI75" s="59" t="str">
        <f t="shared" si="12"/>
        <v>0</v>
      </c>
      <c r="AJ75" s="49">
        <v>3</v>
      </c>
      <c r="AK75" s="49">
        <v>3</v>
      </c>
      <c r="AL75" s="49">
        <v>4</v>
      </c>
      <c r="AM75" s="49">
        <v>4</v>
      </c>
      <c r="AN75" s="49"/>
      <c r="AO75" s="59">
        <f t="shared" si="13"/>
        <v>3.5</v>
      </c>
      <c r="AP75" s="49">
        <v>3</v>
      </c>
      <c r="AQ75" s="49"/>
      <c r="AR75" s="49"/>
      <c r="AS75" s="49"/>
      <c r="AT75" s="49"/>
      <c r="AU75" s="59">
        <f t="shared" si="14"/>
        <v>3</v>
      </c>
      <c r="AV75" s="49"/>
      <c r="AW75" s="49"/>
      <c r="AX75" s="49"/>
      <c r="AY75" s="49">
        <v>3</v>
      </c>
      <c r="AZ75" s="49">
        <v>3</v>
      </c>
      <c r="BA75" s="59">
        <f t="shared" si="15"/>
        <v>3</v>
      </c>
    </row>
    <row r="76" spans="1:53" ht="23.1" customHeight="1" x14ac:dyDescent="0.3">
      <c r="A76" s="7">
        <v>74</v>
      </c>
      <c r="B76" s="7" t="s">
        <v>322</v>
      </c>
      <c r="C76" s="7" t="s">
        <v>323</v>
      </c>
      <c r="D76" s="7" t="s">
        <v>450</v>
      </c>
      <c r="E76" s="7" t="s">
        <v>493</v>
      </c>
      <c r="F76" s="49">
        <v>3</v>
      </c>
      <c r="G76" s="49">
        <v>3</v>
      </c>
      <c r="H76" s="49">
        <v>2</v>
      </c>
      <c r="I76" s="49">
        <v>2</v>
      </c>
      <c r="J76" s="7"/>
      <c r="K76" s="59">
        <f t="shared" si="8"/>
        <v>2.5</v>
      </c>
      <c r="L76" s="49">
        <v>2</v>
      </c>
      <c r="M76" s="49">
        <v>3</v>
      </c>
      <c r="N76" s="49">
        <v>2</v>
      </c>
      <c r="O76" s="49">
        <v>3</v>
      </c>
      <c r="P76" s="49">
        <v>3</v>
      </c>
      <c r="Q76" s="59">
        <f t="shared" si="9"/>
        <v>2.6</v>
      </c>
      <c r="R76" s="49"/>
      <c r="S76" s="49">
        <v>2</v>
      </c>
      <c r="T76" s="7"/>
      <c r="U76" s="49"/>
      <c r="V76" s="7"/>
      <c r="W76" s="59">
        <f t="shared" si="10"/>
        <v>2</v>
      </c>
      <c r="X76" s="49"/>
      <c r="Y76" s="49"/>
      <c r="Z76" s="7"/>
      <c r="AA76" s="7"/>
      <c r="AB76" s="7"/>
      <c r="AC76" s="59" t="str">
        <f t="shared" si="11"/>
        <v>0</v>
      </c>
      <c r="AD76" s="49"/>
      <c r="AE76" s="7"/>
      <c r="AF76" s="49"/>
      <c r="AG76" s="7"/>
      <c r="AH76" s="7"/>
      <c r="AI76" s="59" t="str">
        <f t="shared" si="12"/>
        <v>0</v>
      </c>
      <c r="AJ76" s="49">
        <v>2</v>
      </c>
      <c r="AK76" s="49">
        <v>2</v>
      </c>
      <c r="AL76" s="49">
        <v>3</v>
      </c>
      <c r="AM76" s="49">
        <v>3</v>
      </c>
      <c r="AN76" s="7"/>
      <c r="AO76" s="59">
        <f t="shared" si="13"/>
        <v>2.5</v>
      </c>
      <c r="AP76" s="49">
        <v>3</v>
      </c>
      <c r="AQ76" s="49"/>
      <c r="AR76" s="49"/>
      <c r="AS76" s="7"/>
      <c r="AT76" s="7"/>
      <c r="AU76" s="59">
        <f t="shared" si="14"/>
        <v>3</v>
      </c>
      <c r="AV76" s="7"/>
      <c r="AW76" s="7"/>
      <c r="AX76" s="49"/>
      <c r="AY76" s="49">
        <v>4</v>
      </c>
      <c r="AZ76" s="49">
        <v>3</v>
      </c>
      <c r="BA76" s="59">
        <f t="shared" si="15"/>
        <v>3.5</v>
      </c>
    </row>
    <row r="77" spans="1:53" ht="23.1" customHeight="1" x14ac:dyDescent="0.3">
      <c r="A77" s="49">
        <v>75</v>
      </c>
      <c r="B77" s="49" t="s">
        <v>324</v>
      </c>
      <c r="C77" s="49" t="s">
        <v>325</v>
      </c>
      <c r="D77" s="49" t="s">
        <v>450</v>
      </c>
      <c r="E77" s="49" t="s">
        <v>493</v>
      </c>
      <c r="F77" s="49">
        <v>2.5</v>
      </c>
      <c r="G77" s="49">
        <v>2</v>
      </c>
      <c r="H77" s="49">
        <v>2.5</v>
      </c>
      <c r="I77" s="49">
        <v>2</v>
      </c>
      <c r="J77" s="49"/>
      <c r="K77" s="59">
        <f t="shared" si="8"/>
        <v>2.25</v>
      </c>
      <c r="L77" s="49">
        <v>2.5</v>
      </c>
      <c r="M77" s="49">
        <v>2</v>
      </c>
      <c r="N77" s="49">
        <v>2.5</v>
      </c>
      <c r="O77" s="49">
        <v>2</v>
      </c>
      <c r="P77" s="49">
        <v>2</v>
      </c>
      <c r="Q77" s="59">
        <f t="shared" si="9"/>
        <v>2.2000000000000002</v>
      </c>
      <c r="R77" s="49"/>
      <c r="S77" s="49">
        <v>2</v>
      </c>
      <c r="T77" s="49"/>
      <c r="U77" s="49"/>
      <c r="V77" s="49"/>
      <c r="W77" s="59">
        <f t="shared" si="10"/>
        <v>2</v>
      </c>
      <c r="X77" s="49"/>
      <c r="Y77" s="49"/>
      <c r="Z77" s="49"/>
      <c r="AA77" s="49"/>
      <c r="AB77" s="49"/>
      <c r="AC77" s="59" t="str">
        <f t="shared" si="11"/>
        <v>0</v>
      </c>
      <c r="AD77" s="49"/>
      <c r="AE77" s="49"/>
      <c r="AF77" s="49"/>
      <c r="AG77" s="49"/>
      <c r="AH77" s="49"/>
      <c r="AI77" s="59" t="str">
        <f t="shared" si="12"/>
        <v>0</v>
      </c>
      <c r="AJ77" s="49">
        <v>2</v>
      </c>
      <c r="AK77" s="49">
        <v>2</v>
      </c>
      <c r="AL77" s="49">
        <v>2.5</v>
      </c>
      <c r="AM77" s="49">
        <v>2</v>
      </c>
      <c r="AN77" s="49"/>
      <c r="AO77" s="59">
        <f t="shared" si="13"/>
        <v>2.125</v>
      </c>
      <c r="AP77" s="49">
        <v>2.5</v>
      </c>
      <c r="AQ77" s="49"/>
      <c r="AR77" s="49"/>
      <c r="AS77" s="49"/>
      <c r="AT77" s="49"/>
      <c r="AU77" s="59">
        <f t="shared" si="14"/>
        <v>2.5</v>
      </c>
      <c r="AV77" s="49"/>
      <c r="AW77" s="49"/>
      <c r="AX77" s="49"/>
      <c r="AY77" s="49">
        <v>2</v>
      </c>
      <c r="AZ77" s="49">
        <v>2</v>
      </c>
      <c r="BA77" s="59">
        <f t="shared" si="15"/>
        <v>2</v>
      </c>
    </row>
    <row r="78" spans="1:53" ht="23.1" customHeight="1" x14ac:dyDescent="0.3">
      <c r="A78" s="7">
        <v>76</v>
      </c>
      <c r="B78" s="7" t="s">
        <v>326</v>
      </c>
      <c r="C78" s="7" t="s">
        <v>327</v>
      </c>
      <c r="D78" s="7" t="s">
        <v>450</v>
      </c>
      <c r="E78" s="7" t="s">
        <v>493</v>
      </c>
      <c r="F78" s="49">
        <v>4</v>
      </c>
      <c r="G78" s="49">
        <v>4</v>
      </c>
      <c r="H78" s="49">
        <v>2</v>
      </c>
      <c r="I78" s="49">
        <v>4</v>
      </c>
      <c r="J78" s="7"/>
      <c r="K78" s="59">
        <f t="shared" si="8"/>
        <v>3.5</v>
      </c>
      <c r="L78" s="49">
        <v>4</v>
      </c>
      <c r="M78" s="49">
        <v>4</v>
      </c>
      <c r="N78" s="49">
        <v>4</v>
      </c>
      <c r="O78" s="49">
        <v>5</v>
      </c>
      <c r="P78" s="49">
        <v>4</v>
      </c>
      <c r="Q78" s="59">
        <f t="shared" si="9"/>
        <v>4.2</v>
      </c>
      <c r="R78" s="49"/>
      <c r="S78" s="49">
        <v>4</v>
      </c>
      <c r="T78" s="7"/>
      <c r="U78" s="49"/>
      <c r="V78" s="7"/>
      <c r="W78" s="59">
        <f t="shared" si="10"/>
        <v>4</v>
      </c>
      <c r="X78" s="49"/>
      <c r="Y78" s="49"/>
      <c r="Z78" s="7"/>
      <c r="AA78" s="7"/>
      <c r="AB78" s="7"/>
      <c r="AC78" s="59" t="str">
        <f t="shared" si="11"/>
        <v>0</v>
      </c>
      <c r="AD78" s="49"/>
      <c r="AE78" s="7"/>
      <c r="AF78" s="49"/>
      <c r="AG78" s="7"/>
      <c r="AH78" s="7"/>
      <c r="AI78" s="59" t="str">
        <f t="shared" si="12"/>
        <v>0</v>
      </c>
      <c r="AJ78" s="49">
        <v>3</v>
      </c>
      <c r="AK78" s="49">
        <v>3</v>
      </c>
      <c r="AL78" s="49">
        <v>4</v>
      </c>
      <c r="AM78" s="49">
        <v>4</v>
      </c>
      <c r="AN78" s="7"/>
      <c r="AO78" s="59">
        <f t="shared" si="13"/>
        <v>3.5</v>
      </c>
      <c r="AP78" s="49">
        <v>3</v>
      </c>
      <c r="AQ78" s="49"/>
      <c r="AR78" s="49"/>
      <c r="AS78" s="7"/>
      <c r="AT78" s="7"/>
      <c r="AU78" s="59">
        <f t="shared" si="14"/>
        <v>3</v>
      </c>
      <c r="AV78" s="7"/>
      <c r="AW78" s="7"/>
      <c r="AX78" s="49"/>
      <c r="AY78" s="49">
        <v>3</v>
      </c>
      <c r="AZ78" s="49">
        <v>3</v>
      </c>
      <c r="BA78" s="59">
        <f t="shared" si="15"/>
        <v>3</v>
      </c>
    </row>
    <row r="79" spans="1:53" ht="23.1" customHeight="1" x14ac:dyDescent="0.3">
      <c r="A79" s="49">
        <v>77</v>
      </c>
      <c r="B79" s="49" t="s">
        <v>328</v>
      </c>
      <c r="C79" s="49" t="s">
        <v>329</v>
      </c>
      <c r="D79" s="49" t="s">
        <v>450</v>
      </c>
      <c r="E79" s="49" t="s">
        <v>493</v>
      </c>
      <c r="F79" s="49">
        <v>2</v>
      </c>
      <c r="G79" s="49">
        <v>3</v>
      </c>
      <c r="H79" s="49">
        <v>3</v>
      </c>
      <c r="I79" s="49">
        <v>3</v>
      </c>
      <c r="J79" s="49"/>
      <c r="K79" s="59">
        <f t="shared" si="8"/>
        <v>2.75</v>
      </c>
      <c r="L79" s="49">
        <v>4</v>
      </c>
      <c r="M79" s="49">
        <v>2</v>
      </c>
      <c r="N79" s="49">
        <v>3</v>
      </c>
      <c r="O79" s="49">
        <v>3</v>
      </c>
      <c r="P79" s="49">
        <v>2</v>
      </c>
      <c r="Q79" s="59">
        <f t="shared" si="9"/>
        <v>2.8</v>
      </c>
      <c r="R79" s="49"/>
      <c r="S79" s="49">
        <v>2</v>
      </c>
      <c r="T79" s="49"/>
      <c r="U79" s="49"/>
      <c r="V79" s="49"/>
      <c r="W79" s="59">
        <f t="shared" si="10"/>
        <v>2</v>
      </c>
      <c r="X79" s="49"/>
      <c r="Y79" s="49"/>
      <c r="Z79" s="49"/>
      <c r="AA79" s="49"/>
      <c r="AB79" s="49"/>
      <c r="AC79" s="59" t="str">
        <f t="shared" si="11"/>
        <v>0</v>
      </c>
      <c r="AD79" s="49"/>
      <c r="AE79" s="49"/>
      <c r="AF79" s="49"/>
      <c r="AG79" s="49"/>
      <c r="AH79" s="49"/>
      <c r="AI79" s="59" t="str">
        <f t="shared" si="12"/>
        <v>0</v>
      </c>
      <c r="AJ79" s="49">
        <v>3</v>
      </c>
      <c r="AK79" s="49">
        <v>3</v>
      </c>
      <c r="AL79" s="49">
        <v>3</v>
      </c>
      <c r="AM79" s="49">
        <v>3</v>
      </c>
      <c r="AN79" s="49"/>
      <c r="AO79" s="59">
        <f t="shared" si="13"/>
        <v>3</v>
      </c>
      <c r="AP79" s="49">
        <v>3</v>
      </c>
      <c r="AQ79" s="49"/>
      <c r="AR79" s="49"/>
      <c r="AS79" s="49"/>
      <c r="AT79" s="49"/>
      <c r="AU79" s="59">
        <f t="shared" si="14"/>
        <v>3</v>
      </c>
      <c r="AV79" s="49"/>
      <c r="AW79" s="49"/>
      <c r="AX79" s="49"/>
      <c r="AY79" s="49">
        <v>3</v>
      </c>
      <c r="AZ79" s="49">
        <v>3</v>
      </c>
      <c r="BA79" s="59">
        <f t="shared" si="15"/>
        <v>3</v>
      </c>
    </row>
    <row r="80" spans="1:53" ht="23.1" customHeight="1" x14ac:dyDescent="0.3">
      <c r="A80" s="7">
        <v>78</v>
      </c>
      <c r="B80" s="7" t="s">
        <v>330</v>
      </c>
      <c r="C80" s="7" t="s">
        <v>331</v>
      </c>
      <c r="D80" s="7" t="s">
        <v>450</v>
      </c>
      <c r="E80" s="7" t="s">
        <v>493</v>
      </c>
      <c r="F80" s="49">
        <v>3</v>
      </c>
      <c r="G80" s="49">
        <v>3</v>
      </c>
      <c r="H80" s="49">
        <v>0</v>
      </c>
      <c r="I80" s="49">
        <v>3</v>
      </c>
      <c r="J80" s="7"/>
      <c r="K80" s="59">
        <f t="shared" si="8"/>
        <v>2.25</v>
      </c>
      <c r="L80" s="49">
        <v>3</v>
      </c>
      <c r="M80" s="49">
        <v>3</v>
      </c>
      <c r="N80" s="49">
        <v>3</v>
      </c>
      <c r="O80" s="49">
        <v>3</v>
      </c>
      <c r="P80" s="49">
        <v>3</v>
      </c>
      <c r="Q80" s="59">
        <f t="shared" si="9"/>
        <v>3</v>
      </c>
      <c r="R80" s="49"/>
      <c r="S80" s="49">
        <v>3</v>
      </c>
      <c r="T80" s="7"/>
      <c r="U80" s="49"/>
      <c r="V80" s="7"/>
      <c r="W80" s="59">
        <f t="shared" si="10"/>
        <v>3</v>
      </c>
      <c r="X80" s="49"/>
      <c r="Y80" s="49"/>
      <c r="Z80" s="7"/>
      <c r="AA80" s="7"/>
      <c r="AB80" s="7"/>
      <c r="AC80" s="59" t="str">
        <f t="shared" si="11"/>
        <v>0</v>
      </c>
      <c r="AD80" s="49"/>
      <c r="AE80" s="7"/>
      <c r="AF80" s="49"/>
      <c r="AG80" s="7"/>
      <c r="AH80" s="7"/>
      <c r="AI80" s="59" t="str">
        <f t="shared" si="12"/>
        <v>0</v>
      </c>
      <c r="AJ80" s="49">
        <v>3</v>
      </c>
      <c r="AK80" s="49">
        <v>3</v>
      </c>
      <c r="AL80" s="49">
        <v>3</v>
      </c>
      <c r="AM80" s="49">
        <v>3</v>
      </c>
      <c r="AN80" s="7"/>
      <c r="AO80" s="59">
        <f t="shared" si="13"/>
        <v>3</v>
      </c>
      <c r="AP80" s="49">
        <v>2</v>
      </c>
      <c r="AQ80" s="49"/>
      <c r="AR80" s="49"/>
      <c r="AS80" s="7"/>
      <c r="AT80" s="7"/>
      <c r="AU80" s="59">
        <f t="shared" si="14"/>
        <v>2</v>
      </c>
      <c r="AV80" s="7"/>
      <c r="AW80" s="7"/>
      <c r="AX80" s="49"/>
      <c r="AY80" s="49">
        <v>1</v>
      </c>
      <c r="AZ80" s="49">
        <v>2</v>
      </c>
      <c r="BA80" s="59">
        <f t="shared" si="15"/>
        <v>1.5</v>
      </c>
    </row>
    <row r="81" spans="1:53" ht="23.1" customHeight="1" x14ac:dyDescent="0.3">
      <c r="A81" s="49">
        <v>79</v>
      </c>
      <c r="B81" s="49" t="s">
        <v>199</v>
      </c>
      <c r="C81" s="49" t="s">
        <v>200</v>
      </c>
      <c r="D81" s="49" t="s">
        <v>450</v>
      </c>
      <c r="E81" s="49" t="s">
        <v>161</v>
      </c>
      <c r="F81" s="49">
        <v>3</v>
      </c>
      <c r="G81" s="49">
        <v>2</v>
      </c>
      <c r="H81" s="49">
        <v>2</v>
      </c>
      <c r="I81" s="49">
        <v>2</v>
      </c>
      <c r="J81" s="49"/>
      <c r="K81" s="59">
        <f t="shared" si="8"/>
        <v>2.25</v>
      </c>
      <c r="L81" s="49">
        <v>2</v>
      </c>
      <c r="M81" s="49">
        <v>3</v>
      </c>
      <c r="N81" s="49">
        <v>2</v>
      </c>
      <c r="O81" s="49">
        <v>4</v>
      </c>
      <c r="P81" s="49">
        <v>2</v>
      </c>
      <c r="Q81" s="59">
        <f t="shared" si="9"/>
        <v>2.6</v>
      </c>
      <c r="R81" s="49"/>
      <c r="S81" s="49">
        <v>2</v>
      </c>
      <c r="T81" s="49"/>
      <c r="U81" s="49"/>
      <c r="V81" s="49"/>
      <c r="W81" s="59">
        <f t="shared" si="10"/>
        <v>2</v>
      </c>
      <c r="X81" s="49"/>
      <c r="Y81" s="49"/>
      <c r="Z81" s="49"/>
      <c r="AA81" s="49"/>
      <c r="AB81" s="49"/>
      <c r="AC81" s="59" t="str">
        <f t="shared" si="11"/>
        <v>0</v>
      </c>
      <c r="AD81" s="49"/>
      <c r="AE81" s="49"/>
      <c r="AF81" s="49"/>
      <c r="AG81" s="49"/>
      <c r="AH81" s="49"/>
      <c r="AI81" s="59" t="str">
        <f t="shared" si="12"/>
        <v>0</v>
      </c>
      <c r="AJ81" s="49">
        <v>2</v>
      </c>
      <c r="AK81" s="49">
        <v>3</v>
      </c>
      <c r="AL81" s="49">
        <v>3</v>
      </c>
      <c r="AM81" s="49">
        <v>3</v>
      </c>
      <c r="AN81" s="49"/>
      <c r="AO81" s="59">
        <f t="shared" si="13"/>
        <v>2.75</v>
      </c>
      <c r="AP81" s="49">
        <v>3</v>
      </c>
      <c r="AQ81" s="49"/>
      <c r="AR81" s="49"/>
      <c r="AS81" s="49"/>
      <c r="AT81" s="49"/>
      <c r="AU81" s="59">
        <f t="shared" si="14"/>
        <v>3</v>
      </c>
      <c r="AV81" s="49"/>
      <c r="AW81" s="49"/>
      <c r="AX81" s="49"/>
      <c r="AY81" s="49">
        <v>3</v>
      </c>
      <c r="AZ81" s="49">
        <v>3</v>
      </c>
      <c r="BA81" s="59">
        <f t="shared" si="15"/>
        <v>3</v>
      </c>
    </row>
    <row r="82" spans="1:53" ht="23.1" customHeight="1" x14ac:dyDescent="0.3">
      <c r="A82" s="7">
        <v>80</v>
      </c>
      <c r="B82" s="7" t="s">
        <v>332</v>
      </c>
      <c r="C82" s="7" t="s">
        <v>333</v>
      </c>
      <c r="D82" s="7" t="s">
        <v>450</v>
      </c>
      <c r="E82" s="7" t="s">
        <v>493</v>
      </c>
      <c r="F82" s="49">
        <v>2</v>
      </c>
      <c r="G82" s="49">
        <v>2</v>
      </c>
      <c r="H82" s="49">
        <v>2</v>
      </c>
      <c r="I82" s="49">
        <v>2</v>
      </c>
      <c r="J82" s="7"/>
      <c r="K82" s="59">
        <f t="shared" si="8"/>
        <v>2</v>
      </c>
      <c r="L82" s="49">
        <v>2</v>
      </c>
      <c r="M82" s="49">
        <v>3</v>
      </c>
      <c r="N82" s="49">
        <v>2</v>
      </c>
      <c r="O82" s="49">
        <v>4</v>
      </c>
      <c r="P82" s="49">
        <v>2</v>
      </c>
      <c r="Q82" s="59">
        <f t="shared" si="9"/>
        <v>2.6</v>
      </c>
      <c r="R82" s="49"/>
      <c r="S82" s="49">
        <v>2</v>
      </c>
      <c r="T82" s="7"/>
      <c r="U82" s="49"/>
      <c r="V82" s="7"/>
      <c r="W82" s="59">
        <f t="shared" si="10"/>
        <v>2</v>
      </c>
      <c r="X82" s="49"/>
      <c r="Y82" s="49"/>
      <c r="Z82" s="7"/>
      <c r="AA82" s="7"/>
      <c r="AB82" s="7"/>
      <c r="AC82" s="59" t="str">
        <f t="shared" si="11"/>
        <v>0</v>
      </c>
      <c r="AD82" s="49"/>
      <c r="AE82" s="7"/>
      <c r="AF82" s="49"/>
      <c r="AG82" s="7"/>
      <c r="AH82" s="7"/>
      <c r="AI82" s="59" t="str">
        <f t="shared" si="12"/>
        <v>0</v>
      </c>
      <c r="AJ82" s="49">
        <v>2</v>
      </c>
      <c r="AK82" s="49">
        <v>2</v>
      </c>
      <c r="AL82" s="49">
        <v>2</v>
      </c>
      <c r="AM82" s="49">
        <v>2</v>
      </c>
      <c r="AN82" s="7"/>
      <c r="AO82" s="59">
        <f t="shared" si="13"/>
        <v>2</v>
      </c>
      <c r="AP82" s="49">
        <v>3</v>
      </c>
      <c r="AQ82" s="49"/>
      <c r="AR82" s="49"/>
      <c r="AS82" s="7"/>
      <c r="AT82" s="7"/>
      <c r="AU82" s="59">
        <f t="shared" si="14"/>
        <v>3</v>
      </c>
      <c r="AV82" s="7"/>
      <c r="AW82" s="7"/>
      <c r="AX82" s="49"/>
      <c r="AY82" s="49">
        <v>2</v>
      </c>
      <c r="AZ82" s="49">
        <v>2</v>
      </c>
      <c r="BA82" s="59">
        <f t="shared" si="15"/>
        <v>2</v>
      </c>
    </row>
    <row r="83" spans="1:53" ht="23.1" customHeight="1" x14ac:dyDescent="0.3">
      <c r="A83" s="49">
        <v>81</v>
      </c>
      <c r="B83" s="49" t="s">
        <v>334</v>
      </c>
      <c r="C83" s="49" t="s">
        <v>335</v>
      </c>
      <c r="D83" s="49" t="s">
        <v>542</v>
      </c>
      <c r="E83" s="49" t="s">
        <v>493</v>
      </c>
      <c r="F83" s="49">
        <v>2</v>
      </c>
      <c r="G83" s="49">
        <v>4</v>
      </c>
      <c r="H83" s="49">
        <v>4</v>
      </c>
      <c r="I83" s="49">
        <v>2</v>
      </c>
      <c r="J83" s="49"/>
      <c r="K83" s="59">
        <f t="shared" si="8"/>
        <v>3</v>
      </c>
      <c r="L83" s="49">
        <v>3</v>
      </c>
      <c r="M83" s="49">
        <v>2</v>
      </c>
      <c r="N83" s="49">
        <v>3</v>
      </c>
      <c r="O83" s="49">
        <v>2</v>
      </c>
      <c r="P83" s="49">
        <v>2</v>
      </c>
      <c r="Q83" s="59">
        <f t="shared" si="9"/>
        <v>2.4</v>
      </c>
      <c r="R83" s="49"/>
      <c r="S83" s="49">
        <v>3</v>
      </c>
      <c r="T83" s="49"/>
      <c r="U83" s="49"/>
      <c r="V83" s="49"/>
      <c r="W83" s="59">
        <f t="shared" si="10"/>
        <v>3</v>
      </c>
      <c r="X83" s="49"/>
      <c r="Y83" s="49"/>
      <c r="Z83" s="49"/>
      <c r="AA83" s="49"/>
      <c r="AB83" s="49"/>
      <c r="AC83" s="59" t="str">
        <f t="shared" si="11"/>
        <v>0</v>
      </c>
      <c r="AD83" s="49"/>
      <c r="AE83" s="49"/>
      <c r="AF83" s="49"/>
      <c r="AG83" s="49"/>
      <c r="AH83" s="49"/>
      <c r="AI83" s="59" t="str">
        <f t="shared" si="12"/>
        <v>0</v>
      </c>
      <c r="AJ83" s="49">
        <v>3</v>
      </c>
      <c r="AK83" s="49">
        <v>2</v>
      </c>
      <c r="AL83" s="49">
        <v>2</v>
      </c>
      <c r="AM83" s="49">
        <v>3</v>
      </c>
      <c r="AN83" s="49"/>
      <c r="AO83" s="59">
        <f t="shared" si="13"/>
        <v>2.5</v>
      </c>
      <c r="AP83" s="49">
        <v>3</v>
      </c>
      <c r="AQ83" s="49"/>
      <c r="AR83" s="49"/>
      <c r="AS83" s="49"/>
      <c r="AT83" s="49"/>
      <c r="AU83" s="59">
        <f t="shared" si="14"/>
        <v>3</v>
      </c>
      <c r="AV83" s="49"/>
      <c r="AW83" s="49"/>
      <c r="AX83" s="49"/>
      <c r="AY83" s="49">
        <v>2</v>
      </c>
      <c r="AZ83" s="49">
        <v>2</v>
      </c>
      <c r="BA83" s="59">
        <f t="shared" si="15"/>
        <v>2</v>
      </c>
    </row>
    <row r="84" spans="1:53" ht="23.1" customHeight="1" x14ac:dyDescent="0.3">
      <c r="A84" s="7">
        <v>82</v>
      </c>
      <c r="B84" s="7" t="s">
        <v>81</v>
      </c>
      <c r="C84" s="7" t="s">
        <v>82</v>
      </c>
      <c r="D84" s="7" t="s">
        <v>542</v>
      </c>
      <c r="E84" s="7" t="s">
        <v>35</v>
      </c>
      <c r="F84" s="49">
        <v>4.5</v>
      </c>
      <c r="G84" s="49">
        <v>4</v>
      </c>
      <c r="H84" s="49">
        <v>3.5</v>
      </c>
      <c r="I84" s="49">
        <v>3</v>
      </c>
      <c r="J84" s="7"/>
      <c r="K84" s="59">
        <f t="shared" si="8"/>
        <v>3.75</v>
      </c>
      <c r="L84" s="49">
        <v>4.5</v>
      </c>
      <c r="M84" s="49">
        <v>4</v>
      </c>
      <c r="N84" s="49">
        <v>3.5</v>
      </c>
      <c r="O84" s="49">
        <v>3</v>
      </c>
      <c r="P84" s="49">
        <v>4</v>
      </c>
      <c r="Q84" s="59">
        <f t="shared" si="9"/>
        <v>3.8</v>
      </c>
      <c r="R84" s="49"/>
      <c r="S84" s="49">
        <v>4</v>
      </c>
      <c r="T84" s="7"/>
      <c r="U84" s="49"/>
      <c r="V84" s="7"/>
      <c r="W84" s="59">
        <f t="shared" si="10"/>
        <v>4</v>
      </c>
      <c r="X84" s="49"/>
      <c r="Y84" s="49"/>
      <c r="Z84" s="7"/>
      <c r="AA84" s="7"/>
      <c r="AB84" s="7"/>
      <c r="AC84" s="59" t="str">
        <f t="shared" si="11"/>
        <v>0</v>
      </c>
      <c r="AD84" s="49"/>
      <c r="AE84" s="7"/>
      <c r="AF84" s="49"/>
      <c r="AG84" s="7"/>
      <c r="AH84" s="7"/>
      <c r="AI84" s="59" t="str">
        <f t="shared" si="12"/>
        <v>0</v>
      </c>
      <c r="AJ84" s="49">
        <v>4</v>
      </c>
      <c r="AK84" s="49">
        <v>4</v>
      </c>
      <c r="AL84" s="49">
        <v>4.5</v>
      </c>
      <c r="AM84" s="49">
        <v>4</v>
      </c>
      <c r="AN84" s="7"/>
      <c r="AO84" s="59">
        <f t="shared" si="13"/>
        <v>4.125</v>
      </c>
      <c r="AP84" s="49">
        <v>3.5</v>
      </c>
      <c r="AQ84" s="49"/>
      <c r="AR84" s="49"/>
      <c r="AS84" s="7"/>
      <c r="AT84" s="7"/>
      <c r="AU84" s="59">
        <f t="shared" si="14"/>
        <v>3.5</v>
      </c>
      <c r="AV84" s="7"/>
      <c r="AW84" s="7"/>
      <c r="AX84" s="49"/>
      <c r="AY84" s="49">
        <v>3</v>
      </c>
      <c r="AZ84" s="49">
        <v>4</v>
      </c>
      <c r="BA84" s="59">
        <f t="shared" si="15"/>
        <v>3.5</v>
      </c>
    </row>
    <row r="85" spans="1:53" ht="23.1" customHeight="1" x14ac:dyDescent="0.3">
      <c r="A85" s="49">
        <v>83</v>
      </c>
      <c r="B85" s="49" t="s">
        <v>70</v>
      </c>
      <c r="C85" s="49" t="s">
        <v>71</v>
      </c>
      <c r="D85" s="49" t="s">
        <v>450</v>
      </c>
      <c r="E85" s="49" t="s">
        <v>35</v>
      </c>
      <c r="F85" s="49">
        <v>2</v>
      </c>
      <c r="G85" s="49">
        <v>2</v>
      </c>
      <c r="H85" s="49">
        <v>2</v>
      </c>
      <c r="I85" s="49">
        <v>3</v>
      </c>
      <c r="J85" s="49"/>
      <c r="K85" s="59">
        <f t="shared" si="8"/>
        <v>2.25</v>
      </c>
      <c r="L85" s="49">
        <v>3</v>
      </c>
      <c r="M85" s="49">
        <v>3</v>
      </c>
      <c r="N85" s="49">
        <v>2</v>
      </c>
      <c r="O85" s="49">
        <v>2</v>
      </c>
      <c r="P85" s="49">
        <v>2</v>
      </c>
      <c r="Q85" s="59">
        <f t="shared" si="9"/>
        <v>2.4</v>
      </c>
      <c r="R85" s="49"/>
      <c r="S85" s="49">
        <v>2</v>
      </c>
      <c r="T85" s="49"/>
      <c r="U85" s="49"/>
      <c r="V85" s="49"/>
      <c r="W85" s="59">
        <f t="shared" si="10"/>
        <v>2</v>
      </c>
      <c r="X85" s="49"/>
      <c r="Y85" s="49"/>
      <c r="Z85" s="49"/>
      <c r="AA85" s="49"/>
      <c r="AB85" s="49"/>
      <c r="AC85" s="59" t="str">
        <f t="shared" si="11"/>
        <v>0</v>
      </c>
      <c r="AD85" s="49"/>
      <c r="AE85" s="49"/>
      <c r="AF85" s="49"/>
      <c r="AG85" s="49"/>
      <c r="AH85" s="49"/>
      <c r="AI85" s="59" t="str">
        <f t="shared" si="12"/>
        <v>0</v>
      </c>
      <c r="AJ85" s="49">
        <v>3</v>
      </c>
      <c r="AK85" s="49">
        <v>3</v>
      </c>
      <c r="AL85" s="49">
        <v>2</v>
      </c>
      <c r="AM85" s="49">
        <v>2</v>
      </c>
      <c r="AN85" s="49"/>
      <c r="AO85" s="59">
        <f t="shared" si="13"/>
        <v>2.5</v>
      </c>
      <c r="AP85" s="49">
        <v>3</v>
      </c>
      <c r="AQ85" s="49"/>
      <c r="AR85" s="49"/>
      <c r="AS85" s="49"/>
      <c r="AT85" s="49"/>
      <c r="AU85" s="59">
        <f t="shared" si="14"/>
        <v>3</v>
      </c>
      <c r="AV85" s="49"/>
      <c r="AW85" s="49"/>
      <c r="AX85" s="49"/>
      <c r="AY85" s="49">
        <v>4</v>
      </c>
      <c r="AZ85" s="49">
        <v>4</v>
      </c>
      <c r="BA85" s="59">
        <f t="shared" si="15"/>
        <v>4</v>
      </c>
    </row>
    <row r="86" spans="1:53" ht="23.1" customHeight="1" x14ac:dyDescent="0.3">
      <c r="A86" s="7">
        <v>84</v>
      </c>
      <c r="B86" s="7" t="s">
        <v>336</v>
      </c>
      <c r="C86" s="7" t="s">
        <v>337</v>
      </c>
      <c r="D86" s="7" t="s">
        <v>450</v>
      </c>
      <c r="E86" s="7" t="s">
        <v>493</v>
      </c>
      <c r="F86" s="49">
        <v>3</v>
      </c>
      <c r="G86" s="49">
        <v>3</v>
      </c>
      <c r="H86" s="49">
        <v>3</v>
      </c>
      <c r="I86" s="49">
        <v>3</v>
      </c>
      <c r="J86" s="7"/>
      <c r="K86" s="59">
        <f t="shared" si="8"/>
        <v>3</v>
      </c>
      <c r="L86" s="49">
        <v>3</v>
      </c>
      <c r="M86" s="49">
        <v>3</v>
      </c>
      <c r="N86" s="49">
        <v>3</v>
      </c>
      <c r="O86" s="49">
        <v>3</v>
      </c>
      <c r="P86" s="49">
        <v>3</v>
      </c>
      <c r="Q86" s="59">
        <f t="shared" si="9"/>
        <v>3</v>
      </c>
      <c r="R86" s="49"/>
      <c r="S86" s="49">
        <v>3</v>
      </c>
      <c r="T86" s="7"/>
      <c r="U86" s="49"/>
      <c r="V86" s="7"/>
      <c r="W86" s="59">
        <f t="shared" si="10"/>
        <v>3</v>
      </c>
      <c r="X86" s="49"/>
      <c r="Y86" s="49"/>
      <c r="Z86" s="7"/>
      <c r="AA86" s="7"/>
      <c r="AB86" s="7"/>
      <c r="AC86" s="59" t="str">
        <f t="shared" si="11"/>
        <v>0</v>
      </c>
      <c r="AD86" s="49"/>
      <c r="AE86" s="7"/>
      <c r="AF86" s="49"/>
      <c r="AG86" s="7"/>
      <c r="AH86" s="7"/>
      <c r="AI86" s="59" t="str">
        <f t="shared" si="12"/>
        <v>0</v>
      </c>
      <c r="AJ86" s="49">
        <v>3</v>
      </c>
      <c r="AK86" s="49">
        <v>3</v>
      </c>
      <c r="AL86" s="49">
        <v>3</v>
      </c>
      <c r="AM86" s="49">
        <v>3</v>
      </c>
      <c r="AN86" s="7"/>
      <c r="AO86" s="59">
        <f t="shared" si="13"/>
        <v>3</v>
      </c>
      <c r="AP86" s="49">
        <v>3</v>
      </c>
      <c r="AQ86" s="49"/>
      <c r="AR86" s="49"/>
      <c r="AS86" s="7"/>
      <c r="AT86" s="7"/>
      <c r="AU86" s="59">
        <f t="shared" si="14"/>
        <v>3</v>
      </c>
      <c r="AV86" s="7"/>
      <c r="AW86" s="7"/>
      <c r="AX86" s="49"/>
      <c r="AY86" s="49">
        <v>2</v>
      </c>
      <c r="AZ86" s="49">
        <v>1</v>
      </c>
      <c r="BA86" s="59">
        <f t="shared" si="15"/>
        <v>1.5</v>
      </c>
    </row>
    <row r="87" spans="1:53" ht="23.1" customHeight="1" x14ac:dyDescent="0.3">
      <c r="A87" s="49">
        <v>85</v>
      </c>
      <c r="B87" s="49" t="s">
        <v>134</v>
      </c>
      <c r="C87" s="49" t="s">
        <v>135</v>
      </c>
      <c r="D87" s="49" t="s">
        <v>450</v>
      </c>
      <c r="E87" s="49" t="s">
        <v>35</v>
      </c>
      <c r="F87" s="49">
        <v>4</v>
      </c>
      <c r="G87" s="49">
        <v>4</v>
      </c>
      <c r="H87" s="49">
        <v>4</v>
      </c>
      <c r="I87" s="49">
        <v>4</v>
      </c>
      <c r="J87" s="49"/>
      <c r="K87" s="59">
        <f t="shared" si="8"/>
        <v>4</v>
      </c>
      <c r="L87" s="49">
        <v>4</v>
      </c>
      <c r="M87" s="49">
        <v>4</v>
      </c>
      <c r="N87" s="49">
        <v>4</v>
      </c>
      <c r="O87" s="49">
        <v>4</v>
      </c>
      <c r="P87" s="49">
        <v>4</v>
      </c>
      <c r="Q87" s="59">
        <f t="shared" si="9"/>
        <v>4</v>
      </c>
      <c r="R87" s="49"/>
      <c r="S87" s="49">
        <v>4</v>
      </c>
      <c r="T87" s="49"/>
      <c r="U87" s="49"/>
      <c r="V87" s="49"/>
      <c r="W87" s="59">
        <f t="shared" si="10"/>
        <v>4</v>
      </c>
      <c r="X87" s="49"/>
      <c r="Y87" s="49"/>
      <c r="Z87" s="49"/>
      <c r="AA87" s="49"/>
      <c r="AB87" s="49"/>
      <c r="AC87" s="59" t="str">
        <f t="shared" si="11"/>
        <v>0</v>
      </c>
      <c r="AD87" s="49"/>
      <c r="AE87" s="49"/>
      <c r="AF87" s="49"/>
      <c r="AG87" s="49"/>
      <c r="AH87" s="49"/>
      <c r="AI87" s="59" t="str">
        <f t="shared" si="12"/>
        <v>0</v>
      </c>
      <c r="AJ87" s="49">
        <v>4</v>
      </c>
      <c r="AK87" s="49">
        <v>4</v>
      </c>
      <c r="AL87" s="49">
        <v>4</v>
      </c>
      <c r="AM87" s="49">
        <v>4</v>
      </c>
      <c r="AN87" s="49"/>
      <c r="AO87" s="59">
        <f t="shared" si="13"/>
        <v>4</v>
      </c>
      <c r="AP87" s="49">
        <v>3</v>
      </c>
      <c r="AQ87" s="49"/>
      <c r="AR87" s="49"/>
      <c r="AS87" s="49"/>
      <c r="AT87" s="49"/>
      <c r="AU87" s="59">
        <f t="shared" si="14"/>
        <v>3</v>
      </c>
      <c r="AV87" s="49"/>
      <c r="AW87" s="49"/>
      <c r="AX87" s="49"/>
      <c r="AY87" s="49">
        <v>3</v>
      </c>
      <c r="AZ87" s="49">
        <v>3</v>
      </c>
      <c r="BA87" s="59">
        <f t="shared" si="15"/>
        <v>3</v>
      </c>
    </row>
    <row r="88" spans="1:53" ht="23.1" customHeight="1" x14ac:dyDescent="0.3">
      <c r="A88" s="7">
        <v>86</v>
      </c>
      <c r="B88" s="7" t="s">
        <v>215</v>
      </c>
      <c r="C88" s="7" t="s">
        <v>216</v>
      </c>
      <c r="D88" s="7" t="s">
        <v>450</v>
      </c>
      <c r="E88" s="7" t="s">
        <v>161</v>
      </c>
      <c r="F88" s="49">
        <v>3</v>
      </c>
      <c r="G88" s="49">
        <v>4</v>
      </c>
      <c r="H88" s="49">
        <v>3</v>
      </c>
      <c r="I88" s="49">
        <v>3</v>
      </c>
      <c r="J88" s="7"/>
      <c r="K88" s="59">
        <f t="shared" si="8"/>
        <v>3.25</v>
      </c>
      <c r="L88" s="49">
        <v>2</v>
      </c>
      <c r="M88" s="49">
        <v>3</v>
      </c>
      <c r="N88" s="49">
        <v>2</v>
      </c>
      <c r="O88" s="49">
        <v>4</v>
      </c>
      <c r="P88" s="49">
        <v>4</v>
      </c>
      <c r="Q88" s="59">
        <f t="shared" si="9"/>
        <v>3</v>
      </c>
      <c r="R88" s="49"/>
      <c r="S88" s="49">
        <v>3</v>
      </c>
      <c r="T88" s="7"/>
      <c r="U88" s="49"/>
      <c r="V88" s="7"/>
      <c r="W88" s="59">
        <f t="shared" si="10"/>
        <v>3</v>
      </c>
      <c r="X88" s="49"/>
      <c r="Y88" s="49"/>
      <c r="Z88" s="7"/>
      <c r="AA88" s="7"/>
      <c r="AB88" s="7"/>
      <c r="AC88" s="59" t="str">
        <f t="shared" si="11"/>
        <v>0</v>
      </c>
      <c r="AD88" s="49"/>
      <c r="AE88" s="7"/>
      <c r="AF88" s="49"/>
      <c r="AG88" s="7"/>
      <c r="AH88" s="7"/>
      <c r="AI88" s="59" t="str">
        <f t="shared" si="12"/>
        <v>0</v>
      </c>
      <c r="AJ88" s="49">
        <v>3</v>
      </c>
      <c r="AK88" s="49">
        <v>2</v>
      </c>
      <c r="AL88" s="49">
        <v>3</v>
      </c>
      <c r="AM88" s="49">
        <v>3</v>
      </c>
      <c r="AN88" s="7"/>
      <c r="AO88" s="59">
        <f t="shared" si="13"/>
        <v>2.75</v>
      </c>
      <c r="AP88" s="49">
        <v>3</v>
      </c>
      <c r="AQ88" s="49"/>
      <c r="AR88" s="49"/>
      <c r="AS88" s="7"/>
      <c r="AT88" s="7"/>
      <c r="AU88" s="59">
        <f t="shared" si="14"/>
        <v>3</v>
      </c>
      <c r="AV88" s="7"/>
      <c r="AW88" s="7"/>
      <c r="AX88" s="49"/>
      <c r="AY88" s="49">
        <v>4</v>
      </c>
      <c r="AZ88" s="49">
        <v>4</v>
      </c>
      <c r="BA88" s="59">
        <f t="shared" si="15"/>
        <v>4</v>
      </c>
    </row>
    <row r="89" spans="1:53" ht="23.1" customHeight="1" x14ac:dyDescent="0.3">
      <c r="A89" s="49">
        <v>87</v>
      </c>
      <c r="B89" s="49" t="s">
        <v>338</v>
      </c>
      <c r="C89" s="49" t="s">
        <v>339</v>
      </c>
      <c r="D89" s="49" t="s">
        <v>542</v>
      </c>
      <c r="E89" s="49" t="s">
        <v>493</v>
      </c>
      <c r="F89" s="49">
        <v>3</v>
      </c>
      <c r="G89" s="49">
        <v>3</v>
      </c>
      <c r="H89" s="49">
        <v>2</v>
      </c>
      <c r="I89" s="49">
        <v>4</v>
      </c>
      <c r="J89" s="49"/>
      <c r="K89" s="59">
        <f t="shared" si="8"/>
        <v>3</v>
      </c>
      <c r="L89" s="49">
        <v>3</v>
      </c>
      <c r="M89" s="49">
        <v>4</v>
      </c>
      <c r="N89" s="49">
        <v>3</v>
      </c>
      <c r="O89" s="49">
        <v>4</v>
      </c>
      <c r="P89" s="49">
        <v>3</v>
      </c>
      <c r="Q89" s="59">
        <f t="shared" si="9"/>
        <v>3.4</v>
      </c>
      <c r="R89" s="49"/>
      <c r="S89" s="49">
        <v>4</v>
      </c>
      <c r="T89" s="49"/>
      <c r="U89" s="49"/>
      <c r="V89" s="49"/>
      <c r="W89" s="59">
        <f t="shared" si="10"/>
        <v>4</v>
      </c>
      <c r="X89" s="49"/>
      <c r="Y89" s="49"/>
      <c r="Z89" s="49"/>
      <c r="AA89" s="49"/>
      <c r="AB89" s="49"/>
      <c r="AC89" s="59" t="str">
        <f t="shared" si="11"/>
        <v>0</v>
      </c>
      <c r="AD89" s="49"/>
      <c r="AE89" s="49"/>
      <c r="AF89" s="49"/>
      <c r="AG89" s="49"/>
      <c r="AH89" s="49"/>
      <c r="AI89" s="59" t="str">
        <f t="shared" si="12"/>
        <v>0</v>
      </c>
      <c r="AJ89" s="49">
        <v>4</v>
      </c>
      <c r="AK89" s="49">
        <v>4</v>
      </c>
      <c r="AL89" s="49">
        <v>4</v>
      </c>
      <c r="AM89" s="49">
        <v>4</v>
      </c>
      <c r="AN89" s="49"/>
      <c r="AO89" s="59">
        <f t="shared" si="13"/>
        <v>4</v>
      </c>
      <c r="AP89" s="49">
        <v>2</v>
      </c>
      <c r="AQ89" s="49"/>
      <c r="AR89" s="49"/>
      <c r="AS89" s="49"/>
      <c r="AT89" s="49"/>
      <c r="AU89" s="59">
        <f t="shared" si="14"/>
        <v>2</v>
      </c>
      <c r="AV89" s="49"/>
      <c r="AW89" s="49"/>
      <c r="AX89" s="49"/>
      <c r="AY89" s="49">
        <v>2</v>
      </c>
      <c r="AZ89" s="49">
        <v>2</v>
      </c>
      <c r="BA89" s="59">
        <f t="shared" si="15"/>
        <v>2</v>
      </c>
    </row>
    <row r="90" spans="1:53" ht="23.1" customHeight="1" x14ac:dyDescent="0.3">
      <c r="A90" s="7">
        <v>88</v>
      </c>
      <c r="B90" s="7" t="s">
        <v>136</v>
      </c>
      <c r="C90" s="7" t="s">
        <v>137</v>
      </c>
      <c r="D90" s="7" t="s">
        <v>542</v>
      </c>
      <c r="E90" s="7" t="s">
        <v>35</v>
      </c>
      <c r="F90" s="49">
        <v>3</v>
      </c>
      <c r="G90" s="49">
        <v>2</v>
      </c>
      <c r="H90" s="49">
        <v>3</v>
      </c>
      <c r="I90" s="49">
        <v>4</v>
      </c>
      <c r="J90" s="7"/>
      <c r="K90" s="59">
        <f t="shared" si="8"/>
        <v>3</v>
      </c>
      <c r="L90" s="49">
        <v>4</v>
      </c>
      <c r="M90" s="49">
        <v>3</v>
      </c>
      <c r="N90" s="49">
        <v>4</v>
      </c>
      <c r="O90" s="49">
        <v>4</v>
      </c>
      <c r="P90" s="49">
        <v>3</v>
      </c>
      <c r="Q90" s="59">
        <f t="shared" si="9"/>
        <v>3.6</v>
      </c>
      <c r="R90" s="49"/>
      <c r="S90" s="49">
        <v>3</v>
      </c>
      <c r="T90" s="7"/>
      <c r="U90" s="49"/>
      <c r="V90" s="7"/>
      <c r="W90" s="59">
        <f t="shared" si="10"/>
        <v>3</v>
      </c>
      <c r="X90" s="49"/>
      <c r="Y90" s="49"/>
      <c r="Z90" s="7"/>
      <c r="AA90" s="7"/>
      <c r="AB90" s="7"/>
      <c r="AC90" s="59" t="str">
        <f t="shared" si="11"/>
        <v>0</v>
      </c>
      <c r="AD90" s="49"/>
      <c r="AE90" s="7"/>
      <c r="AF90" s="49"/>
      <c r="AG90" s="7"/>
      <c r="AH90" s="7"/>
      <c r="AI90" s="59" t="str">
        <f t="shared" si="12"/>
        <v>0</v>
      </c>
      <c r="AJ90" s="49">
        <v>3</v>
      </c>
      <c r="AK90" s="49">
        <v>3</v>
      </c>
      <c r="AL90" s="49">
        <v>4</v>
      </c>
      <c r="AM90" s="49">
        <v>3</v>
      </c>
      <c r="AN90" s="7"/>
      <c r="AO90" s="59">
        <f t="shared" si="13"/>
        <v>3.25</v>
      </c>
      <c r="AP90" s="49">
        <v>3</v>
      </c>
      <c r="AQ90" s="49"/>
      <c r="AR90" s="49"/>
      <c r="AS90" s="7"/>
      <c r="AT90" s="7"/>
      <c r="AU90" s="59">
        <f t="shared" si="14"/>
        <v>3</v>
      </c>
      <c r="AV90" s="7"/>
      <c r="AW90" s="7"/>
      <c r="AX90" s="49"/>
      <c r="AY90" s="49">
        <v>4</v>
      </c>
      <c r="AZ90" s="49">
        <v>3</v>
      </c>
      <c r="BA90" s="59">
        <f t="shared" si="15"/>
        <v>3.5</v>
      </c>
    </row>
    <row r="91" spans="1:53" ht="23.1" customHeight="1" x14ac:dyDescent="0.3">
      <c r="A91" s="49">
        <v>89</v>
      </c>
      <c r="B91" s="49" t="s">
        <v>62</v>
      </c>
      <c r="C91" s="49" t="s">
        <v>63</v>
      </c>
      <c r="D91" s="49" t="s">
        <v>542</v>
      </c>
      <c r="E91" s="49" t="s">
        <v>35</v>
      </c>
      <c r="F91" s="49">
        <v>4</v>
      </c>
      <c r="G91" s="49">
        <v>4</v>
      </c>
      <c r="H91" s="49">
        <v>4</v>
      </c>
      <c r="I91" s="49">
        <v>4</v>
      </c>
      <c r="J91" s="49"/>
      <c r="K91" s="59">
        <f t="shared" si="8"/>
        <v>4</v>
      </c>
      <c r="L91" s="49">
        <v>4</v>
      </c>
      <c r="M91" s="49">
        <v>4</v>
      </c>
      <c r="N91" s="49">
        <v>4</v>
      </c>
      <c r="O91" s="49">
        <v>4</v>
      </c>
      <c r="P91" s="49">
        <v>4</v>
      </c>
      <c r="Q91" s="59">
        <f t="shared" si="9"/>
        <v>4</v>
      </c>
      <c r="R91" s="49"/>
      <c r="S91" s="49">
        <v>4</v>
      </c>
      <c r="T91" s="49"/>
      <c r="U91" s="49"/>
      <c r="V91" s="49"/>
      <c r="W91" s="59">
        <f t="shared" si="10"/>
        <v>4</v>
      </c>
      <c r="X91" s="49"/>
      <c r="Y91" s="49"/>
      <c r="Z91" s="49"/>
      <c r="AA91" s="49"/>
      <c r="AB91" s="49"/>
      <c r="AC91" s="59" t="str">
        <f t="shared" si="11"/>
        <v>0</v>
      </c>
      <c r="AD91" s="49"/>
      <c r="AE91" s="49"/>
      <c r="AF91" s="49"/>
      <c r="AG91" s="49"/>
      <c r="AH91" s="49"/>
      <c r="AI91" s="59" t="str">
        <f t="shared" si="12"/>
        <v>0</v>
      </c>
      <c r="AJ91" s="49">
        <v>4</v>
      </c>
      <c r="AK91" s="49">
        <v>4</v>
      </c>
      <c r="AL91" s="49">
        <v>4</v>
      </c>
      <c r="AM91" s="49">
        <v>3</v>
      </c>
      <c r="AN91" s="49"/>
      <c r="AO91" s="59">
        <f t="shared" si="13"/>
        <v>3.75</v>
      </c>
      <c r="AP91" s="49">
        <v>3</v>
      </c>
      <c r="AQ91" s="49"/>
      <c r="AR91" s="49"/>
      <c r="AS91" s="49"/>
      <c r="AT91" s="49"/>
      <c r="AU91" s="59">
        <f t="shared" si="14"/>
        <v>3</v>
      </c>
      <c r="AV91" s="49"/>
      <c r="AW91" s="49"/>
      <c r="AX91" s="49"/>
      <c r="AY91" s="49">
        <v>3</v>
      </c>
      <c r="AZ91" s="49">
        <v>4</v>
      </c>
      <c r="BA91" s="59">
        <f t="shared" si="15"/>
        <v>3.5</v>
      </c>
    </row>
    <row r="92" spans="1:53" ht="23.1" customHeight="1" x14ac:dyDescent="0.3">
      <c r="A92" s="7">
        <v>90</v>
      </c>
      <c r="B92" s="7" t="s">
        <v>38</v>
      </c>
      <c r="C92" s="7" t="s">
        <v>39</v>
      </c>
      <c r="D92" s="7" t="s">
        <v>544</v>
      </c>
      <c r="E92" s="7" t="s">
        <v>35</v>
      </c>
      <c r="F92" s="49">
        <v>3</v>
      </c>
      <c r="G92" s="49">
        <v>3</v>
      </c>
      <c r="H92" s="49">
        <v>3</v>
      </c>
      <c r="I92" s="49">
        <v>2</v>
      </c>
      <c r="J92" s="7"/>
      <c r="K92" s="59">
        <f t="shared" si="8"/>
        <v>2.75</v>
      </c>
      <c r="L92" s="49">
        <v>3</v>
      </c>
      <c r="M92" s="49">
        <v>3</v>
      </c>
      <c r="N92" s="49">
        <v>3</v>
      </c>
      <c r="O92" s="49">
        <v>4</v>
      </c>
      <c r="P92" s="49">
        <v>3</v>
      </c>
      <c r="Q92" s="59">
        <f t="shared" si="9"/>
        <v>3.2</v>
      </c>
      <c r="R92" s="49"/>
      <c r="S92" s="49">
        <v>2</v>
      </c>
      <c r="T92" s="7"/>
      <c r="U92" s="49"/>
      <c r="V92" s="7"/>
      <c r="W92" s="59">
        <f t="shared" si="10"/>
        <v>2</v>
      </c>
      <c r="X92" s="49"/>
      <c r="Y92" s="49"/>
      <c r="Z92" s="7"/>
      <c r="AA92" s="7"/>
      <c r="AB92" s="7"/>
      <c r="AC92" s="59" t="str">
        <f t="shared" si="11"/>
        <v>0</v>
      </c>
      <c r="AD92" s="49"/>
      <c r="AE92" s="7"/>
      <c r="AF92" s="49"/>
      <c r="AG92" s="7"/>
      <c r="AH92" s="7"/>
      <c r="AI92" s="59" t="str">
        <f t="shared" si="12"/>
        <v>0</v>
      </c>
      <c r="AJ92" s="49">
        <v>3</v>
      </c>
      <c r="AK92" s="49">
        <v>3</v>
      </c>
      <c r="AL92" s="49">
        <v>3</v>
      </c>
      <c r="AM92" s="49">
        <v>3</v>
      </c>
      <c r="AN92" s="7"/>
      <c r="AO92" s="59">
        <f t="shared" si="13"/>
        <v>3</v>
      </c>
      <c r="AP92" s="49">
        <v>3</v>
      </c>
      <c r="AQ92" s="49"/>
      <c r="AR92" s="49"/>
      <c r="AS92" s="7"/>
      <c r="AT92" s="7"/>
      <c r="AU92" s="59">
        <f t="shared" si="14"/>
        <v>3</v>
      </c>
      <c r="AV92" s="7"/>
      <c r="AW92" s="7"/>
      <c r="AX92" s="49"/>
      <c r="AY92" s="49">
        <v>3</v>
      </c>
      <c r="AZ92" s="49">
        <v>3</v>
      </c>
      <c r="BA92" s="59">
        <f t="shared" si="15"/>
        <v>3</v>
      </c>
    </row>
    <row r="93" spans="1:53" ht="23.1" customHeight="1" x14ac:dyDescent="0.3">
      <c r="A93" s="49">
        <v>91</v>
      </c>
      <c r="B93" s="49" t="s">
        <v>138</v>
      </c>
      <c r="C93" s="49" t="s">
        <v>139</v>
      </c>
      <c r="D93" s="49" t="s">
        <v>450</v>
      </c>
      <c r="E93" s="49" t="s">
        <v>35</v>
      </c>
      <c r="F93" s="49">
        <v>1</v>
      </c>
      <c r="G93" s="49">
        <v>1</v>
      </c>
      <c r="H93" s="49">
        <v>1</v>
      </c>
      <c r="I93" s="49">
        <v>1</v>
      </c>
      <c r="J93" s="49"/>
      <c r="K93" s="59">
        <f t="shared" si="8"/>
        <v>1</v>
      </c>
      <c r="L93" s="49">
        <v>3</v>
      </c>
      <c r="M93" s="49">
        <v>2</v>
      </c>
      <c r="N93" s="49">
        <v>2</v>
      </c>
      <c r="O93" s="49">
        <v>4</v>
      </c>
      <c r="P93" s="49">
        <v>2</v>
      </c>
      <c r="Q93" s="59">
        <f t="shared" si="9"/>
        <v>2.6</v>
      </c>
      <c r="R93" s="49"/>
      <c r="S93" s="49">
        <v>1</v>
      </c>
      <c r="T93" s="49"/>
      <c r="U93" s="49"/>
      <c r="V93" s="49"/>
      <c r="W93" s="59">
        <f t="shared" si="10"/>
        <v>1</v>
      </c>
      <c r="X93" s="49"/>
      <c r="Y93" s="49"/>
      <c r="Z93" s="49"/>
      <c r="AA93" s="49"/>
      <c r="AB93" s="49"/>
      <c r="AC93" s="59" t="str">
        <f t="shared" si="11"/>
        <v>0</v>
      </c>
      <c r="AD93" s="49"/>
      <c r="AE93" s="49"/>
      <c r="AF93" s="49"/>
      <c r="AG93" s="49"/>
      <c r="AH93" s="49"/>
      <c r="AI93" s="59" t="str">
        <f t="shared" si="12"/>
        <v>0</v>
      </c>
      <c r="AJ93" s="49">
        <v>1</v>
      </c>
      <c r="AK93" s="49">
        <v>3</v>
      </c>
      <c r="AL93" s="49">
        <v>1</v>
      </c>
      <c r="AM93" s="49">
        <v>1</v>
      </c>
      <c r="AN93" s="49"/>
      <c r="AO93" s="59">
        <f t="shared" si="13"/>
        <v>1.5</v>
      </c>
      <c r="AP93" s="49">
        <v>3</v>
      </c>
      <c r="AQ93" s="49"/>
      <c r="AR93" s="49"/>
      <c r="AS93" s="49"/>
      <c r="AT93" s="49"/>
      <c r="AU93" s="59">
        <f t="shared" si="14"/>
        <v>3</v>
      </c>
      <c r="AV93" s="49"/>
      <c r="AW93" s="49"/>
      <c r="AX93" s="49"/>
      <c r="AY93" s="49">
        <v>1</v>
      </c>
      <c r="AZ93" s="49">
        <v>2</v>
      </c>
      <c r="BA93" s="59">
        <f t="shared" si="15"/>
        <v>1.5</v>
      </c>
    </row>
    <row r="94" spans="1:53" ht="23.1" customHeight="1" x14ac:dyDescent="0.3">
      <c r="A94" s="7">
        <v>92</v>
      </c>
      <c r="B94" s="7" t="s">
        <v>231</v>
      </c>
      <c r="C94" s="7" t="s">
        <v>232</v>
      </c>
      <c r="D94" s="7" t="s">
        <v>450</v>
      </c>
      <c r="E94" s="7" t="s">
        <v>161</v>
      </c>
      <c r="F94" s="49">
        <v>4</v>
      </c>
      <c r="G94" s="49">
        <v>4</v>
      </c>
      <c r="H94" s="49">
        <v>3</v>
      </c>
      <c r="I94" s="49">
        <v>3</v>
      </c>
      <c r="J94" s="7"/>
      <c r="K94" s="59">
        <f t="shared" si="8"/>
        <v>3.5</v>
      </c>
      <c r="L94" s="49">
        <v>2</v>
      </c>
      <c r="M94" s="49">
        <v>3</v>
      </c>
      <c r="N94" s="49">
        <v>3</v>
      </c>
      <c r="O94" s="49">
        <v>3</v>
      </c>
      <c r="P94" s="49">
        <v>3</v>
      </c>
      <c r="Q94" s="59">
        <f t="shared" si="9"/>
        <v>2.8</v>
      </c>
      <c r="R94" s="49"/>
      <c r="S94" s="49">
        <v>3</v>
      </c>
      <c r="T94" s="7"/>
      <c r="U94" s="49"/>
      <c r="V94" s="7"/>
      <c r="W94" s="59">
        <f t="shared" si="10"/>
        <v>3</v>
      </c>
      <c r="X94" s="49"/>
      <c r="Y94" s="49"/>
      <c r="Z94" s="7"/>
      <c r="AA94" s="7"/>
      <c r="AB94" s="7"/>
      <c r="AC94" s="59" t="str">
        <f t="shared" si="11"/>
        <v>0</v>
      </c>
      <c r="AD94" s="49"/>
      <c r="AE94" s="7"/>
      <c r="AF94" s="49"/>
      <c r="AG94" s="7"/>
      <c r="AH94" s="7"/>
      <c r="AI94" s="59" t="str">
        <f t="shared" si="12"/>
        <v>0</v>
      </c>
      <c r="AJ94" s="49">
        <v>4</v>
      </c>
      <c r="AK94" s="49">
        <v>4</v>
      </c>
      <c r="AL94" s="49">
        <v>3</v>
      </c>
      <c r="AM94" s="49">
        <v>3</v>
      </c>
      <c r="AN94" s="7"/>
      <c r="AO94" s="59">
        <f t="shared" si="13"/>
        <v>3.5</v>
      </c>
      <c r="AP94" s="49">
        <v>3</v>
      </c>
      <c r="AQ94" s="49"/>
      <c r="AR94" s="49"/>
      <c r="AS94" s="7"/>
      <c r="AT94" s="7"/>
      <c r="AU94" s="59">
        <f t="shared" si="14"/>
        <v>3</v>
      </c>
      <c r="AV94" s="7"/>
      <c r="AW94" s="7"/>
      <c r="AX94" s="49"/>
      <c r="AY94" s="49">
        <v>4</v>
      </c>
      <c r="AZ94" s="49">
        <v>4</v>
      </c>
      <c r="BA94" s="59">
        <f t="shared" si="15"/>
        <v>4</v>
      </c>
    </row>
    <row r="95" spans="1:53" ht="23.1" customHeight="1" x14ac:dyDescent="0.3">
      <c r="A95" s="49">
        <v>93</v>
      </c>
      <c r="B95" s="49" t="s">
        <v>340</v>
      </c>
      <c r="C95" s="49" t="s">
        <v>341</v>
      </c>
      <c r="D95" s="49" t="s">
        <v>542</v>
      </c>
      <c r="E95" s="49" t="s">
        <v>493</v>
      </c>
      <c r="F95" s="49">
        <v>3</v>
      </c>
      <c r="G95" s="49">
        <v>2</v>
      </c>
      <c r="H95" s="49">
        <v>2</v>
      </c>
      <c r="I95" s="49">
        <v>2</v>
      </c>
      <c r="J95" s="49"/>
      <c r="K95" s="59">
        <f t="shared" si="8"/>
        <v>2.25</v>
      </c>
      <c r="L95" s="49">
        <v>2</v>
      </c>
      <c r="M95" s="49">
        <v>2</v>
      </c>
      <c r="N95" s="49">
        <v>2</v>
      </c>
      <c r="O95" s="49">
        <v>2</v>
      </c>
      <c r="P95" s="49">
        <v>2</v>
      </c>
      <c r="Q95" s="59">
        <f t="shared" si="9"/>
        <v>2</v>
      </c>
      <c r="R95" s="49"/>
      <c r="S95" s="49">
        <v>2</v>
      </c>
      <c r="T95" s="49"/>
      <c r="U95" s="49"/>
      <c r="V95" s="49"/>
      <c r="W95" s="59">
        <f t="shared" si="10"/>
        <v>2</v>
      </c>
      <c r="X95" s="49"/>
      <c r="Y95" s="49"/>
      <c r="Z95" s="49"/>
      <c r="AA95" s="49"/>
      <c r="AB95" s="49"/>
      <c r="AC95" s="59" t="str">
        <f t="shared" si="11"/>
        <v>0</v>
      </c>
      <c r="AD95" s="49"/>
      <c r="AE95" s="49"/>
      <c r="AF95" s="49"/>
      <c r="AG95" s="49"/>
      <c r="AH95" s="49"/>
      <c r="AI95" s="59" t="str">
        <f t="shared" si="12"/>
        <v>0</v>
      </c>
      <c r="AJ95" s="49">
        <v>3</v>
      </c>
      <c r="AK95" s="49">
        <v>2</v>
      </c>
      <c r="AL95" s="49">
        <v>2</v>
      </c>
      <c r="AM95" s="49">
        <v>2</v>
      </c>
      <c r="AN95" s="49"/>
      <c r="AO95" s="59">
        <f t="shared" si="13"/>
        <v>2.25</v>
      </c>
      <c r="AP95" s="49">
        <v>3</v>
      </c>
      <c r="AQ95" s="49"/>
      <c r="AR95" s="49"/>
      <c r="AS95" s="49"/>
      <c r="AT95" s="49"/>
      <c r="AU95" s="59">
        <f t="shared" si="14"/>
        <v>3</v>
      </c>
      <c r="AV95" s="49"/>
      <c r="AW95" s="49"/>
      <c r="AX95" s="49"/>
      <c r="AY95" s="49">
        <v>1</v>
      </c>
      <c r="AZ95" s="49">
        <v>2</v>
      </c>
      <c r="BA95" s="59">
        <f t="shared" si="15"/>
        <v>1.5</v>
      </c>
    </row>
    <row r="96" spans="1:53" ht="23.1" customHeight="1" x14ac:dyDescent="0.3">
      <c r="A96" s="7">
        <v>94</v>
      </c>
      <c r="B96" s="7" t="s">
        <v>97</v>
      </c>
      <c r="C96" s="7" t="s">
        <v>98</v>
      </c>
      <c r="D96" s="7" t="s">
        <v>450</v>
      </c>
      <c r="E96" s="7" t="s">
        <v>35</v>
      </c>
      <c r="F96" s="49">
        <v>3</v>
      </c>
      <c r="G96" s="49">
        <v>0</v>
      </c>
      <c r="H96" s="49">
        <v>4</v>
      </c>
      <c r="I96" s="49">
        <v>3</v>
      </c>
      <c r="J96" s="7"/>
      <c r="K96" s="59">
        <f t="shared" si="8"/>
        <v>2.5</v>
      </c>
      <c r="L96" s="49">
        <v>4</v>
      </c>
      <c r="M96" s="49">
        <v>3</v>
      </c>
      <c r="N96" s="49">
        <v>3</v>
      </c>
      <c r="O96" s="49">
        <v>4</v>
      </c>
      <c r="P96" s="49">
        <v>3</v>
      </c>
      <c r="Q96" s="59">
        <f t="shared" si="9"/>
        <v>3.4</v>
      </c>
      <c r="R96" s="49"/>
      <c r="S96" s="49">
        <v>2</v>
      </c>
      <c r="T96" s="7"/>
      <c r="U96" s="49"/>
      <c r="V96" s="7"/>
      <c r="W96" s="59">
        <f t="shared" si="10"/>
        <v>2</v>
      </c>
      <c r="X96" s="49"/>
      <c r="Y96" s="49"/>
      <c r="Z96" s="7"/>
      <c r="AA96" s="7"/>
      <c r="AB96" s="7"/>
      <c r="AC96" s="59" t="str">
        <f t="shared" si="11"/>
        <v>0</v>
      </c>
      <c r="AD96" s="49"/>
      <c r="AE96" s="7"/>
      <c r="AF96" s="49"/>
      <c r="AG96" s="7"/>
      <c r="AH96" s="7"/>
      <c r="AI96" s="59" t="str">
        <f t="shared" si="12"/>
        <v>0</v>
      </c>
      <c r="AJ96" s="49">
        <v>3</v>
      </c>
      <c r="AK96" s="49">
        <v>3</v>
      </c>
      <c r="AL96" s="49">
        <v>2</v>
      </c>
      <c r="AM96" s="49">
        <v>4</v>
      </c>
      <c r="AN96" s="7"/>
      <c r="AO96" s="59">
        <f t="shared" si="13"/>
        <v>3</v>
      </c>
      <c r="AP96" s="49">
        <v>3</v>
      </c>
      <c r="AQ96" s="49"/>
      <c r="AR96" s="49"/>
      <c r="AS96" s="7"/>
      <c r="AT96" s="7"/>
      <c r="AU96" s="59">
        <f t="shared" si="14"/>
        <v>3</v>
      </c>
      <c r="AV96" s="7"/>
      <c r="AW96" s="7"/>
      <c r="AX96" s="49"/>
      <c r="AY96" s="49">
        <v>5</v>
      </c>
      <c r="AZ96" s="49">
        <v>5</v>
      </c>
      <c r="BA96" s="59">
        <f t="shared" si="15"/>
        <v>5</v>
      </c>
    </row>
    <row r="97" spans="1:53" ht="23.1" customHeight="1" x14ac:dyDescent="0.3">
      <c r="A97" s="49">
        <v>95</v>
      </c>
      <c r="B97" s="49" t="s">
        <v>249</v>
      </c>
      <c r="C97" s="49" t="s">
        <v>250</v>
      </c>
      <c r="D97" s="49" t="s">
        <v>450</v>
      </c>
      <c r="E97" s="49" t="s">
        <v>161</v>
      </c>
      <c r="F97" s="49">
        <v>3</v>
      </c>
      <c r="G97" s="49">
        <v>3</v>
      </c>
      <c r="H97" s="49">
        <v>0</v>
      </c>
      <c r="I97" s="49">
        <v>3</v>
      </c>
      <c r="J97" s="49"/>
      <c r="K97" s="59">
        <f t="shared" si="8"/>
        <v>2.25</v>
      </c>
      <c r="L97" s="49">
        <v>3</v>
      </c>
      <c r="M97" s="49">
        <v>3</v>
      </c>
      <c r="N97" s="49">
        <v>3</v>
      </c>
      <c r="O97" s="49">
        <v>3</v>
      </c>
      <c r="P97" s="49">
        <v>3</v>
      </c>
      <c r="Q97" s="59">
        <f t="shared" si="9"/>
        <v>3</v>
      </c>
      <c r="R97" s="49"/>
      <c r="S97" s="49">
        <v>3</v>
      </c>
      <c r="T97" s="49"/>
      <c r="U97" s="49"/>
      <c r="V97" s="49"/>
      <c r="W97" s="59">
        <f t="shared" si="10"/>
        <v>3</v>
      </c>
      <c r="X97" s="49"/>
      <c r="Y97" s="49"/>
      <c r="Z97" s="49"/>
      <c r="AA97" s="49"/>
      <c r="AB97" s="49"/>
      <c r="AC97" s="59" t="str">
        <f t="shared" si="11"/>
        <v>0</v>
      </c>
      <c r="AD97" s="49"/>
      <c r="AE97" s="49"/>
      <c r="AF97" s="49"/>
      <c r="AG97" s="49"/>
      <c r="AH97" s="49"/>
      <c r="AI97" s="59" t="str">
        <f t="shared" si="12"/>
        <v>0</v>
      </c>
      <c r="AJ97" s="49">
        <v>3</v>
      </c>
      <c r="AK97" s="49">
        <v>2</v>
      </c>
      <c r="AL97" s="49">
        <v>3</v>
      </c>
      <c r="AM97" s="49">
        <v>3</v>
      </c>
      <c r="AN97" s="49"/>
      <c r="AO97" s="59">
        <f t="shared" si="13"/>
        <v>2.75</v>
      </c>
      <c r="AP97" s="49">
        <v>3</v>
      </c>
      <c r="AQ97" s="49"/>
      <c r="AR97" s="49"/>
      <c r="AS97" s="49"/>
      <c r="AT97" s="49"/>
      <c r="AU97" s="59">
        <f t="shared" si="14"/>
        <v>3</v>
      </c>
      <c r="AV97" s="49"/>
      <c r="AW97" s="49"/>
      <c r="AX97" s="49"/>
      <c r="AY97" s="49">
        <v>3</v>
      </c>
      <c r="AZ97" s="49">
        <v>3</v>
      </c>
      <c r="BA97" s="59">
        <f t="shared" si="15"/>
        <v>3</v>
      </c>
    </row>
    <row r="98" spans="1:53" ht="23.1" customHeight="1" x14ac:dyDescent="0.3">
      <c r="A98" s="7">
        <v>96</v>
      </c>
      <c r="B98" s="7" t="s">
        <v>342</v>
      </c>
      <c r="C98" s="7" t="s">
        <v>343</v>
      </c>
      <c r="D98" s="7" t="s">
        <v>450</v>
      </c>
      <c r="E98" s="7" t="s">
        <v>493</v>
      </c>
      <c r="F98" s="49">
        <v>2</v>
      </c>
      <c r="G98" s="49">
        <v>3</v>
      </c>
      <c r="H98" s="49">
        <v>2</v>
      </c>
      <c r="I98" s="49">
        <v>2</v>
      </c>
      <c r="J98" s="7"/>
      <c r="K98" s="59">
        <f t="shared" si="8"/>
        <v>2.25</v>
      </c>
      <c r="L98" s="49">
        <v>3</v>
      </c>
      <c r="M98" s="49">
        <v>4</v>
      </c>
      <c r="N98" s="49">
        <v>3</v>
      </c>
      <c r="O98" s="49">
        <v>3</v>
      </c>
      <c r="P98" s="49">
        <v>2</v>
      </c>
      <c r="Q98" s="59">
        <f t="shared" si="9"/>
        <v>3</v>
      </c>
      <c r="R98" s="49"/>
      <c r="S98" s="49">
        <v>3</v>
      </c>
      <c r="T98" s="7"/>
      <c r="U98" s="49"/>
      <c r="V98" s="7"/>
      <c r="W98" s="59">
        <f t="shared" si="10"/>
        <v>3</v>
      </c>
      <c r="X98" s="49"/>
      <c r="Y98" s="49"/>
      <c r="Z98" s="7"/>
      <c r="AA98" s="7"/>
      <c r="AB98" s="7"/>
      <c r="AC98" s="59" t="str">
        <f t="shared" si="11"/>
        <v>0</v>
      </c>
      <c r="AD98" s="49"/>
      <c r="AE98" s="7"/>
      <c r="AF98" s="49"/>
      <c r="AG98" s="7"/>
      <c r="AH98" s="7"/>
      <c r="AI98" s="59" t="str">
        <f t="shared" si="12"/>
        <v>0</v>
      </c>
      <c r="AJ98" s="49">
        <v>3</v>
      </c>
      <c r="AK98" s="49">
        <v>2</v>
      </c>
      <c r="AL98" s="49">
        <v>2</v>
      </c>
      <c r="AM98" s="49">
        <v>2</v>
      </c>
      <c r="AN98" s="7"/>
      <c r="AO98" s="59">
        <f t="shared" si="13"/>
        <v>2.25</v>
      </c>
      <c r="AP98" s="49">
        <v>3</v>
      </c>
      <c r="AQ98" s="49"/>
      <c r="AR98" s="49"/>
      <c r="AS98" s="7"/>
      <c r="AT98" s="7"/>
      <c r="AU98" s="59">
        <f t="shared" si="14"/>
        <v>3</v>
      </c>
      <c r="AV98" s="7"/>
      <c r="AW98" s="7"/>
      <c r="AX98" s="49"/>
      <c r="AY98" s="49">
        <v>3</v>
      </c>
      <c r="AZ98" s="49">
        <v>3</v>
      </c>
      <c r="BA98" s="59">
        <f t="shared" si="15"/>
        <v>3</v>
      </c>
    </row>
    <row r="99" spans="1:53" ht="23.1" customHeight="1" x14ac:dyDescent="0.3">
      <c r="A99" s="49">
        <v>97</v>
      </c>
      <c r="B99" s="49" t="s">
        <v>184</v>
      </c>
      <c r="C99" s="49" t="s">
        <v>185</v>
      </c>
      <c r="D99" s="49" t="s">
        <v>542</v>
      </c>
      <c r="E99" s="49" t="s">
        <v>161</v>
      </c>
      <c r="F99" s="49">
        <v>3.5</v>
      </c>
      <c r="G99" s="49">
        <v>3</v>
      </c>
      <c r="H99" s="49">
        <v>3.5</v>
      </c>
      <c r="I99" s="49">
        <v>3</v>
      </c>
      <c r="J99" s="49"/>
      <c r="K99" s="59">
        <f t="shared" si="8"/>
        <v>3.25</v>
      </c>
      <c r="L99" s="49">
        <v>3.5</v>
      </c>
      <c r="M99" s="49">
        <v>3</v>
      </c>
      <c r="N99" s="49">
        <v>3.5</v>
      </c>
      <c r="O99" s="49">
        <v>3</v>
      </c>
      <c r="P99" s="49">
        <v>3</v>
      </c>
      <c r="Q99" s="59">
        <f t="shared" si="9"/>
        <v>3.2</v>
      </c>
      <c r="R99" s="49"/>
      <c r="S99" s="49">
        <v>3.5</v>
      </c>
      <c r="T99" s="49"/>
      <c r="U99" s="49"/>
      <c r="V99" s="49"/>
      <c r="W99" s="59">
        <f t="shared" si="10"/>
        <v>3.5</v>
      </c>
      <c r="X99" s="49"/>
      <c r="Y99" s="49"/>
      <c r="Z99" s="49"/>
      <c r="AA99" s="49"/>
      <c r="AB99" s="49"/>
      <c r="AC99" s="59" t="str">
        <f t="shared" si="11"/>
        <v>0</v>
      </c>
      <c r="AD99" s="49"/>
      <c r="AE99" s="49"/>
      <c r="AF99" s="49"/>
      <c r="AG99" s="49"/>
      <c r="AH99" s="49"/>
      <c r="AI99" s="59" t="str">
        <f t="shared" si="12"/>
        <v>0</v>
      </c>
      <c r="AJ99" s="49">
        <v>3</v>
      </c>
      <c r="AK99" s="49">
        <v>3.5</v>
      </c>
      <c r="AL99" s="49">
        <v>3.5</v>
      </c>
      <c r="AM99" s="49">
        <v>3</v>
      </c>
      <c r="AN99" s="49"/>
      <c r="AO99" s="59">
        <f t="shared" si="13"/>
        <v>3.25</v>
      </c>
      <c r="AP99" s="49">
        <v>3.5</v>
      </c>
      <c r="AQ99" s="49"/>
      <c r="AR99" s="49"/>
      <c r="AS99" s="49"/>
      <c r="AT99" s="49"/>
      <c r="AU99" s="59">
        <f t="shared" si="14"/>
        <v>3.5</v>
      </c>
      <c r="AV99" s="49"/>
      <c r="AW99" s="49"/>
      <c r="AX99" s="49"/>
      <c r="AY99" s="49">
        <v>3</v>
      </c>
      <c r="AZ99" s="49">
        <v>3</v>
      </c>
      <c r="BA99" s="59">
        <f t="shared" si="15"/>
        <v>3</v>
      </c>
    </row>
    <row r="100" spans="1:53" ht="23.1" customHeight="1" x14ac:dyDescent="0.3">
      <c r="A100" s="7">
        <v>98</v>
      </c>
      <c r="B100" s="7" t="s">
        <v>344</v>
      </c>
      <c r="C100" s="7" t="s">
        <v>345</v>
      </c>
      <c r="D100" s="7" t="s">
        <v>542</v>
      </c>
      <c r="E100" s="7" t="s">
        <v>493</v>
      </c>
      <c r="F100" s="49">
        <v>2</v>
      </c>
      <c r="G100" s="49">
        <v>3</v>
      </c>
      <c r="H100" s="49">
        <v>2</v>
      </c>
      <c r="I100" s="49">
        <v>2</v>
      </c>
      <c r="J100" s="7"/>
      <c r="K100" s="59">
        <f t="shared" si="8"/>
        <v>2.25</v>
      </c>
      <c r="L100" s="49">
        <v>3</v>
      </c>
      <c r="M100" s="49">
        <v>3</v>
      </c>
      <c r="N100" s="49">
        <v>4</v>
      </c>
      <c r="O100" s="49">
        <v>3</v>
      </c>
      <c r="P100" s="49">
        <v>3</v>
      </c>
      <c r="Q100" s="59">
        <f t="shared" si="9"/>
        <v>3.2</v>
      </c>
      <c r="R100" s="49"/>
      <c r="S100" s="49">
        <v>3</v>
      </c>
      <c r="T100" s="7"/>
      <c r="U100" s="49"/>
      <c r="V100" s="7"/>
      <c r="W100" s="59">
        <f t="shared" si="10"/>
        <v>3</v>
      </c>
      <c r="X100" s="49"/>
      <c r="Y100" s="49"/>
      <c r="Z100" s="7"/>
      <c r="AA100" s="7"/>
      <c r="AB100" s="7"/>
      <c r="AC100" s="59" t="str">
        <f t="shared" si="11"/>
        <v>0</v>
      </c>
      <c r="AD100" s="49"/>
      <c r="AE100" s="7"/>
      <c r="AF100" s="49"/>
      <c r="AG100" s="7"/>
      <c r="AH100" s="7"/>
      <c r="AI100" s="59" t="str">
        <f t="shared" si="12"/>
        <v>0</v>
      </c>
      <c r="AJ100" s="49">
        <v>3</v>
      </c>
      <c r="AK100" s="49">
        <v>3</v>
      </c>
      <c r="AL100" s="49">
        <v>3</v>
      </c>
      <c r="AM100" s="49">
        <v>2</v>
      </c>
      <c r="AN100" s="7"/>
      <c r="AO100" s="59">
        <f t="shared" si="13"/>
        <v>2.75</v>
      </c>
      <c r="AP100" s="49">
        <v>3</v>
      </c>
      <c r="AQ100" s="49"/>
      <c r="AR100" s="49"/>
      <c r="AS100" s="7"/>
      <c r="AT100" s="7"/>
      <c r="AU100" s="59">
        <f t="shared" si="14"/>
        <v>3</v>
      </c>
      <c r="AV100" s="7"/>
      <c r="AW100" s="7"/>
      <c r="AX100" s="49"/>
      <c r="AY100" s="49">
        <v>3</v>
      </c>
      <c r="AZ100" s="49">
        <v>3</v>
      </c>
      <c r="BA100" s="59">
        <f t="shared" si="15"/>
        <v>3</v>
      </c>
    </row>
    <row r="101" spans="1:53" ht="23.1" customHeight="1" x14ac:dyDescent="0.3">
      <c r="A101" s="49">
        <v>99</v>
      </c>
      <c r="B101" s="49" t="s">
        <v>263</v>
      </c>
      <c r="C101" s="49" t="s">
        <v>264</v>
      </c>
      <c r="D101" s="49" t="s">
        <v>450</v>
      </c>
      <c r="E101" s="49" t="s">
        <v>161</v>
      </c>
      <c r="F101" s="49">
        <v>1</v>
      </c>
      <c r="G101" s="49">
        <v>1</v>
      </c>
      <c r="H101" s="49">
        <v>1</v>
      </c>
      <c r="I101" s="49">
        <v>1</v>
      </c>
      <c r="J101" s="49"/>
      <c r="K101" s="59">
        <f t="shared" si="8"/>
        <v>1</v>
      </c>
      <c r="L101" s="49">
        <v>2</v>
      </c>
      <c r="M101" s="49">
        <v>2</v>
      </c>
      <c r="N101" s="49">
        <v>2</v>
      </c>
      <c r="O101" s="49">
        <v>3</v>
      </c>
      <c r="P101" s="49">
        <v>1</v>
      </c>
      <c r="Q101" s="59">
        <f t="shared" si="9"/>
        <v>2</v>
      </c>
      <c r="R101" s="49"/>
      <c r="S101" s="49">
        <v>1</v>
      </c>
      <c r="T101" s="49"/>
      <c r="U101" s="49"/>
      <c r="V101" s="49"/>
      <c r="W101" s="59">
        <f t="shared" si="10"/>
        <v>1</v>
      </c>
      <c r="X101" s="49"/>
      <c r="Y101" s="49"/>
      <c r="Z101" s="49"/>
      <c r="AA101" s="49"/>
      <c r="AB101" s="49"/>
      <c r="AC101" s="59" t="str">
        <f t="shared" si="11"/>
        <v>0</v>
      </c>
      <c r="AD101" s="49"/>
      <c r="AE101" s="49"/>
      <c r="AF101" s="49"/>
      <c r="AG101" s="49"/>
      <c r="AH101" s="49"/>
      <c r="AI101" s="59" t="str">
        <f t="shared" si="12"/>
        <v>0</v>
      </c>
      <c r="AJ101" s="49">
        <v>1</v>
      </c>
      <c r="AK101" s="49">
        <v>1</v>
      </c>
      <c r="AL101" s="49">
        <v>1</v>
      </c>
      <c r="AM101" s="49">
        <v>1</v>
      </c>
      <c r="AN101" s="49"/>
      <c r="AO101" s="59">
        <f t="shared" si="13"/>
        <v>1</v>
      </c>
      <c r="AP101" s="49">
        <v>3</v>
      </c>
      <c r="AQ101" s="49"/>
      <c r="AR101" s="49"/>
      <c r="AS101" s="49"/>
      <c r="AT101" s="49"/>
      <c r="AU101" s="59">
        <f t="shared" si="14"/>
        <v>3</v>
      </c>
      <c r="AV101" s="49"/>
      <c r="AW101" s="49"/>
      <c r="AX101" s="49"/>
      <c r="AY101" s="49">
        <v>1</v>
      </c>
      <c r="AZ101" s="49">
        <v>1</v>
      </c>
      <c r="BA101" s="59">
        <f t="shared" si="15"/>
        <v>1</v>
      </c>
    </row>
    <row r="102" spans="1:53" ht="23.1" customHeight="1" x14ac:dyDescent="0.3">
      <c r="A102" s="7">
        <v>100</v>
      </c>
      <c r="B102" s="7" t="s">
        <v>140</v>
      </c>
      <c r="C102" s="7" t="s">
        <v>141</v>
      </c>
      <c r="D102" s="7" t="s">
        <v>450</v>
      </c>
      <c r="E102" s="7" t="s">
        <v>35</v>
      </c>
      <c r="F102" s="49">
        <v>1</v>
      </c>
      <c r="G102" s="49">
        <v>1</v>
      </c>
      <c r="H102" s="49">
        <v>1</v>
      </c>
      <c r="I102" s="49">
        <v>1</v>
      </c>
      <c r="J102" s="7"/>
      <c r="K102" s="59">
        <f t="shared" si="8"/>
        <v>1</v>
      </c>
      <c r="L102" s="49">
        <v>2</v>
      </c>
      <c r="M102" s="49">
        <v>1</v>
      </c>
      <c r="N102" s="49">
        <v>1</v>
      </c>
      <c r="O102" s="49">
        <v>3</v>
      </c>
      <c r="P102" s="49">
        <v>3</v>
      </c>
      <c r="Q102" s="59">
        <f t="shared" si="9"/>
        <v>2</v>
      </c>
      <c r="R102" s="49"/>
      <c r="S102" s="49">
        <v>1</v>
      </c>
      <c r="T102" s="7"/>
      <c r="U102" s="49"/>
      <c r="V102" s="7"/>
      <c r="W102" s="59">
        <f t="shared" si="10"/>
        <v>1</v>
      </c>
      <c r="X102" s="49"/>
      <c r="Y102" s="49"/>
      <c r="Z102" s="7"/>
      <c r="AA102" s="7"/>
      <c r="AB102" s="7"/>
      <c r="AC102" s="59" t="str">
        <f t="shared" si="11"/>
        <v>0</v>
      </c>
      <c r="AD102" s="49"/>
      <c r="AE102" s="7"/>
      <c r="AF102" s="49"/>
      <c r="AG102" s="7"/>
      <c r="AH102" s="7"/>
      <c r="AI102" s="59" t="str">
        <f t="shared" si="12"/>
        <v>0</v>
      </c>
      <c r="AJ102" s="49">
        <v>1</v>
      </c>
      <c r="AK102" s="49">
        <v>1</v>
      </c>
      <c r="AL102" s="49">
        <v>1</v>
      </c>
      <c r="AM102" s="49">
        <v>1</v>
      </c>
      <c r="AN102" s="7"/>
      <c r="AO102" s="59">
        <f t="shared" si="13"/>
        <v>1</v>
      </c>
      <c r="AP102" s="49">
        <v>3</v>
      </c>
      <c r="AQ102" s="49"/>
      <c r="AR102" s="49"/>
      <c r="AS102" s="7"/>
      <c r="AT102" s="7"/>
      <c r="AU102" s="59">
        <f t="shared" si="14"/>
        <v>3</v>
      </c>
      <c r="AV102" s="7"/>
      <c r="AW102" s="7"/>
      <c r="AX102" s="49"/>
      <c r="AY102" s="49">
        <v>1</v>
      </c>
      <c r="AZ102" s="49">
        <v>1</v>
      </c>
      <c r="BA102" s="59">
        <f t="shared" si="15"/>
        <v>1</v>
      </c>
    </row>
    <row r="103" spans="1:53" ht="23.1" customHeight="1" x14ac:dyDescent="0.3">
      <c r="A103" s="49">
        <v>101</v>
      </c>
      <c r="B103" s="49" t="s">
        <v>346</v>
      </c>
      <c r="C103" s="49" t="s">
        <v>347</v>
      </c>
      <c r="D103" s="49" t="s">
        <v>450</v>
      </c>
      <c r="E103" s="49" t="s">
        <v>493</v>
      </c>
      <c r="F103" s="49">
        <v>4</v>
      </c>
      <c r="G103" s="49">
        <v>4</v>
      </c>
      <c r="H103" s="49">
        <v>4</v>
      </c>
      <c r="I103" s="49">
        <v>2</v>
      </c>
      <c r="J103" s="49"/>
      <c r="K103" s="59">
        <f t="shared" si="8"/>
        <v>3.5</v>
      </c>
      <c r="L103" s="49">
        <v>3</v>
      </c>
      <c r="M103" s="49">
        <v>4</v>
      </c>
      <c r="N103" s="49">
        <v>3</v>
      </c>
      <c r="O103" s="49">
        <v>4</v>
      </c>
      <c r="P103" s="49">
        <v>3</v>
      </c>
      <c r="Q103" s="59">
        <f t="shared" si="9"/>
        <v>3.4</v>
      </c>
      <c r="R103" s="49"/>
      <c r="S103" s="49">
        <v>4</v>
      </c>
      <c r="T103" s="49"/>
      <c r="U103" s="49"/>
      <c r="V103" s="49"/>
      <c r="W103" s="59">
        <f t="shared" si="10"/>
        <v>4</v>
      </c>
      <c r="X103" s="49"/>
      <c r="Y103" s="49"/>
      <c r="Z103" s="49"/>
      <c r="AA103" s="49"/>
      <c r="AB103" s="49"/>
      <c r="AC103" s="59" t="str">
        <f t="shared" si="11"/>
        <v>0</v>
      </c>
      <c r="AD103" s="49"/>
      <c r="AE103" s="49"/>
      <c r="AF103" s="49"/>
      <c r="AG103" s="49"/>
      <c r="AH103" s="49"/>
      <c r="AI103" s="59" t="str">
        <f t="shared" si="12"/>
        <v>0</v>
      </c>
      <c r="AJ103" s="49">
        <v>3</v>
      </c>
      <c r="AK103" s="49">
        <v>4</v>
      </c>
      <c r="AL103" s="49">
        <v>4</v>
      </c>
      <c r="AM103" s="49">
        <v>4</v>
      </c>
      <c r="AN103" s="49"/>
      <c r="AO103" s="59">
        <f t="shared" si="13"/>
        <v>3.75</v>
      </c>
      <c r="AP103" s="49">
        <v>3</v>
      </c>
      <c r="AQ103" s="49"/>
      <c r="AR103" s="49"/>
      <c r="AS103" s="49"/>
      <c r="AT103" s="49"/>
      <c r="AU103" s="59">
        <f t="shared" si="14"/>
        <v>3</v>
      </c>
      <c r="AV103" s="49"/>
      <c r="AW103" s="49"/>
      <c r="AX103" s="49"/>
      <c r="AY103" s="49">
        <v>3</v>
      </c>
      <c r="AZ103" s="49">
        <v>3</v>
      </c>
      <c r="BA103" s="59">
        <f t="shared" si="15"/>
        <v>3</v>
      </c>
    </row>
    <row r="104" spans="1:53" ht="23.1" customHeight="1" x14ac:dyDescent="0.3">
      <c r="A104" s="7">
        <v>102</v>
      </c>
      <c r="B104" s="7" t="s">
        <v>348</v>
      </c>
      <c r="C104" s="7" t="s">
        <v>349</v>
      </c>
      <c r="D104" s="7" t="s">
        <v>542</v>
      </c>
      <c r="E104" s="7" t="s">
        <v>493</v>
      </c>
      <c r="F104" s="49">
        <v>3</v>
      </c>
      <c r="G104" s="49">
        <v>3</v>
      </c>
      <c r="H104" s="49">
        <v>3</v>
      </c>
      <c r="I104" s="49">
        <v>3</v>
      </c>
      <c r="J104" s="7"/>
      <c r="K104" s="59">
        <f t="shared" si="8"/>
        <v>3</v>
      </c>
      <c r="L104" s="49">
        <v>3</v>
      </c>
      <c r="M104" s="49">
        <v>4</v>
      </c>
      <c r="N104" s="49">
        <v>4</v>
      </c>
      <c r="O104" s="49">
        <v>3</v>
      </c>
      <c r="P104" s="49">
        <v>4</v>
      </c>
      <c r="Q104" s="59">
        <f t="shared" si="9"/>
        <v>3.6</v>
      </c>
      <c r="R104" s="49"/>
      <c r="S104" s="49">
        <v>3</v>
      </c>
      <c r="T104" s="7"/>
      <c r="U104" s="49"/>
      <c r="V104" s="7"/>
      <c r="W104" s="59">
        <f t="shared" si="10"/>
        <v>3</v>
      </c>
      <c r="X104" s="49"/>
      <c r="Y104" s="49"/>
      <c r="Z104" s="7"/>
      <c r="AA104" s="7"/>
      <c r="AB104" s="7"/>
      <c r="AC104" s="59" t="str">
        <f t="shared" si="11"/>
        <v>0</v>
      </c>
      <c r="AD104" s="49"/>
      <c r="AE104" s="7"/>
      <c r="AF104" s="49"/>
      <c r="AG104" s="7"/>
      <c r="AH104" s="7"/>
      <c r="AI104" s="59" t="str">
        <f t="shared" si="12"/>
        <v>0</v>
      </c>
      <c r="AJ104" s="49">
        <v>3</v>
      </c>
      <c r="AK104" s="49">
        <v>3</v>
      </c>
      <c r="AL104" s="49">
        <v>3</v>
      </c>
      <c r="AM104" s="49">
        <v>3</v>
      </c>
      <c r="AN104" s="7"/>
      <c r="AO104" s="59">
        <f t="shared" si="13"/>
        <v>3</v>
      </c>
      <c r="AP104" s="49">
        <v>3</v>
      </c>
      <c r="AQ104" s="49"/>
      <c r="AR104" s="49"/>
      <c r="AS104" s="7"/>
      <c r="AT104" s="7"/>
      <c r="AU104" s="59">
        <f t="shared" si="14"/>
        <v>3</v>
      </c>
      <c r="AV104" s="7"/>
      <c r="AW104" s="7"/>
      <c r="AX104" s="49"/>
      <c r="AY104" s="49">
        <v>4</v>
      </c>
      <c r="AZ104" s="49">
        <v>3</v>
      </c>
      <c r="BA104" s="59">
        <f t="shared" si="15"/>
        <v>3.5</v>
      </c>
    </row>
    <row r="105" spans="1:53" ht="23.1" customHeight="1" x14ac:dyDescent="0.3">
      <c r="A105" s="49">
        <v>103</v>
      </c>
      <c r="B105" s="49" t="s">
        <v>142</v>
      </c>
      <c r="C105" s="49" t="s">
        <v>143</v>
      </c>
      <c r="D105" s="49" t="s">
        <v>542</v>
      </c>
      <c r="E105" s="49" t="s">
        <v>35</v>
      </c>
      <c r="F105" s="49">
        <v>2</v>
      </c>
      <c r="G105" s="49">
        <v>2</v>
      </c>
      <c r="H105" s="49">
        <v>2</v>
      </c>
      <c r="I105" s="49">
        <v>2</v>
      </c>
      <c r="J105" s="49"/>
      <c r="K105" s="59">
        <f t="shared" si="8"/>
        <v>2</v>
      </c>
      <c r="L105" s="49">
        <v>3</v>
      </c>
      <c r="M105" s="49">
        <v>3</v>
      </c>
      <c r="N105" s="49">
        <v>2</v>
      </c>
      <c r="O105" s="49">
        <v>4</v>
      </c>
      <c r="P105" s="49">
        <v>2</v>
      </c>
      <c r="Q105" s="59">
        <f t="shared" si="9"/>
        <v>2.8</v>
      </c>
      <c r="R105" s="49"/>
      <c r="S105" s="49">
        <v>2</v>
      </c>
      <c r="T105" s="49"/>
      <c r="U105" s="49"/>
      <c r="V105" s="49"/>
      <c r="W105" s="59">
        <f t="shared" si="10"/>
        <v>2</v>
      </c>
      <c r="X105" s="49"/>
      <c r="Y105" s="49"/>
      <c r="Z105" s="49"/>
      <c r="AA105" s="49"/>
      <c r="AB105" s="49"/>
      <c r="AC105" s="59" t="str">
        <f t="shared" si="11"/>
        <v>0</v>
      </c>
      <c r="AD105" s="49"/>
      <c r="AE105" s="49"/>
      <c r="AF105" s="49"/>
      <c r="AG105" s="49"/>
      <c r="AH105" s="49"/>
      <c r="AI105" s="59" t="str">
        <f t="shared" si="12"/>
        <v>0</v>
      </c>
      <c r="AJ105" s="49">
        <v>2</v>
      </c>
      <c r="AK105" s="49">
        <v>2</v>
      </c>
      <c r="AL105" s="49">
        <v>2</v>
      </c>
      <c r="AM105" s="49">
        <v>2</v>
      </c>
      <c r="AN105" s="49"/>
      <c r="AO105" s="59">
        <f t="shared" si="13"/>
        <v>2</v>
      </c>
      <c r="AP105" s="49">
        <v>3</v>
      </c>
      <c r="AQ105" s="49"/>
      <c r="AR105" s="49"/>
      <c r="AS105" s="49"/>
      <c r="AT105" s="49"/>
      <c r="AU105" s="59">
        <f t="shared" si="14"/>
        <v>3</v>
      </c>
      <c r="AV105" s="49"/>
      <c r="AW105" s="49"/>
      <c r="AX105" s="49"/>
      <c r="AY105" s="49">
        <v>3</v>
      </c>
      <c r="AZ105" s="49">
        <v>2</v>
      </c>
      <c r="BA105" s="59">
        <f t="shared" si="15"/>
        <v>2.5</v>
      </c>
    </row>
    <row r="106" spans="1:53" ht="23.1" customHeight="1" x14ac:dyDescent="0.3">
      <c r="A106" s="7">
        <v>104</v>
      </c>
      <c r="B106" s="7" t="s">
        <v>77</v>
      </c>
      <c r="C106" s="7" t="s">
        <v>78</v>
      </c>
      <c r="D106" s="7" t="s">
        <v>450</v>
      </c>
      <c r="E106" s="7" t="s">
        <v>35</v>
      </c>
      <c r="F106" s="49">
        <v>4</v>
      </c>
      <c r="G106" s="49">
        <v>4</v>
      </c>
      <c r="H106" s="49">
        <v>4</v>
      </c>
      <c r="I106" s="49">
        <v>4</v>
      </c>
      <c r="J106" s="7"/>
      <c r="K106" s="59">
        <f t="shared" si="8"/>
        <v>4</v>
      </c>
      <c r="L106" s="49">
        <v>5</v>
      </c>
      <c r="M106" s="49">
        <v>5</v>
      </c>
      <c r="N106" s="49">
        <v>5</v>
      </c>
      <c r="O106" s="49">
        <v>3</v>
      </c>
      <c r="P106" s="49">
        <v>5</v>
      </c>
      <c r="Q106" s="59">
        <f t="shared" si="9"/>
        <v>4.5999999999999996</v>
      </c>
      <c r="R106" s="49"/>
      <c r="S106" s="49">
        <v>3</v>
      </c>
      <c r="T106" s="7"/>
      <c r="U106" s="49"/>
      <c r="V106" s="7"/>
      <c r="W106" s="59">
        <f t="shared" si="10"/>
        <v>3</v>
      </c>
      <c r="X106" s="49"/>
      <c r="Y106" s="49"/>
      <c r="Z106" s="7"/>
      <c r="AA106" s="7"/>
      <c r="AB106" s="7"/>
      <c r="AC106" s="59" t="str">
        <f t="shared" si="11"/>
        <v>0</v>
      </c>
      <c r="AD106" s="49"/>
      <c r="AE106" s="7"/>
      <c r="AF106" s="49"/>
      <c r="AG106" s="7"/>
      <c r="AH106" s="7"/>
      <c r="AI106" s="59" t="str">
        <f t="shared" si="12"/>
        <v>0</v>
      </c>
      <c r="AJ106" s="49">
        <v>4</v>
      </c>
      <c r="AK106" s="49">
        <v>4</v>
      </c>
      <c r="AL106" s="49">
        <v>4</v>
      </c>
      <c r="AM106" s="49">
        <v>4</v>
      </c>
      <c r="AN106" s="7"/>
      <c r="AO106" s="59">
        <f t="shared" si="13"/>
        <v>4</v>
      </c>
      <c r="AP106" s="49">
        <v>3</v>
      </c>
      <c r="AQ106" s="49"/>
      <c r="AR106" s="49"/>
      <c r="AS106" s="7"/>
      <c r="AT106" s="7"/>
      <c r="AU106" s="59">
        <f t="shared" si="14"/>
        <v>3</v>
      </c>
      <c r="AV106" s="7"/>
      <c r="AW106" s="7"/>
      <c r="AX106" s="49"/>
      <c r="AY106" s="49">
        <v>4</v>
      </c>
      <c r="AZ106" s="49">
        <v>4</v>
      </c>
      <c r="BA106" s="59">
        <f t="shared" si="15"/>
        <v>4</v>
      </c>
    </row>
    <row r="107" spans="1:53" ht="23.1" customHeight="1" x14ac:dyDescent="0.3">
      <c r="A107" s="49">
        <v>105</v>
      </c>
      <c r="B107" s="49" t="s">
        <v>144</v>
      </c>
      <c r="C107" s="49" t="s">
        <v>145</v>
      </c>
      <c r="D107" s="49" t="s">
        <v>542</v>
      </c>
      <c r="E107" s="49" t="s">
        <v>35</v>
      </c>
      <c r="F107" s="49">
        <v>4</v>
      </c>
      <c r="G107" s="49">
        <v>4</v>
      </c>
      <c r="H107" s="49">
        <v>2</v>
      </c>
      <c r="I107" s="49">
        <v>3</v>
      </c>
      <c r="J107" s="49"/>
      <c r="K107" s="59">
        <f t="shared" si="8"/>
        <v>3.25</v>
      </c>
      <c r="L107" s="49">
        <v>4</v>
      </c>
      <c r="M107" s="49">
        <v>4</v>
      </c>
      <c r="N107" s="49">
        <v>3</v>
      </c>
      <c r="O107" s="49">
        <v>5</v>
      </c>
      <c r="P107" s="49">
        <v>4</v>
      </c>
      <c r="Q107" s="59">
        <f t="shared" si="9"/>
        <v>4</v>
      </c>
      <c r="R107" s="49"/>
      <c r="S107" s="49">
        <v>4</v>
      </c>
      <c r="T107" s="49"/>
      <c r="U107" s="49"/>
      <c r="V107" s="49"/>
      <c r="W107" s="59">
        <f t="shared" si="10"/>
        <v>4</v>
      </c>
      <c r="X107" s="49"/>
      <c r="Y107" s="49"/>
      <c r="Z107" s="49"/>
      <c r="AA107" s="49"/>
      <c r="AB107" s="49"/>
      <c r="AC107" s="59" t="str">
        <f t="shared" si="11"/>
        <v>0</v>
      </c>
      <c r="AD107" s="49"/>
      <c r="AE107" s="49"/>
      <c r="AF107" s="49"/>
      <c r="AG107" s="49"/>
      <c r="AH107" s="49"/>
      <c r="AI107" s="59" t="str">
        <f t="shared" si="12"/>
        <v>0</v>
      </c>
      <c r="AJ107" s="49">
        <v>3</v>
      </c>
      <c r="AK107" s="49">
        <v>3</v>
      </c>
      <c r="AL107" s="49">
        <v>3</v>
      </c>
      <c r="AM107" s="49">
        <v>3</v>
      </c>
      <c r="AN107" s="49"/>
      <c r="AO107" s="59">
        <f t="shared" si="13"/>
        <v>3</v>
      </c>
      <c r="AP107" s="49">
        <v>3</v>
      </c>
      <c r="AQ107" s="49"/>
      <c r="AR107" s="49"/>
      <c r="AS107" s="49"/>
      <c r="AT107" s="49"/>
      <c r="AU107" s="59">
        <f t="shared" si="14"/>
        <v>3</v>
      </c>
      <c r="AV107" s="49"/>
      <c r="AW107" s="49"/>
      <c r="AX107" s="49"/>
      <c r="AY107" s="49">
        <v>5</v>
      </c>
      <c r="AZ107" s="49">
        <v>4</v>
      </c>
      <c r="BA107" s="59">
        <f t="shared" si="15"/>
        <v>4.5</v>
      </c>
    </row>
    <row r="108" spans="1:53" ht="23.1" customHeight="1" x14ac:dyDescent="0.3">
      <c r="A108" s="7">
        <v>106</v>
      </c>
      <c r="B108" s="7" t="s">
        <v>350</v>
      </c>
      <c r="C108" s="7" t="s">
        <v>351</v>
      </c>
      <c r="D108" s="7" t="s">
        <v>450</v>
      </c>
      <c r="E108" s="7" t="s">
        <v>493</v>
      </c>
      <c r="F108" s="49">
        <v>3</v>
      </c>
      <c r="G108" s="49">
        <v>3</v>
      </c>
      <c r="H108" s="49">
        <v>0</v>
      </c>
      <c r="I108" s="49">
        <v>3</v>
      </c>
      <c r="J108" s="7"/>
      <c r="K108" s="59">
        <f t="shared" si="8"/>
        <v>2.25</v>
      </c>
      <c r="L108" s="49">
        <v>3</v>
      </c>
      <c r="M108" s="49">
        <v>3</v>
      </c>
      <c r="N108" s="49">
        <v>3</v>
      </c>
      <c r="O108" s="49">
        <v>3</v>
      </c>
      <c r="P108" s="49">
        <v>3</v>
      </c>
      <c r="Q108" s="59">
        <f t="shared" si="9"/>
        <v>3</v>
      </c>
      <c r="R108" s="49"/>
      <c r="S108" s="49">
        <v>3</v>
      </c>
      <c r="T108" s="7"/>
      <c r="U108" s="49"/>
      <c r="V108" s="7"/>
      <c r="W108" s="59">
        <f t="shared" si="10"/>
        <v>3</v>
      </c>
      <c r="X108" s="49"/>
      <c r="Y108" s="49"/>
      <c r="Z108" s="7"/>
      <c r="AA108" s="7"/>
      <c r="AB108" s="7"/>
      <c r="AC108" s="59" t="str">
        <f t="shared" si="11"/>
        <v>0</v>
      </c>
      <c r="AD108" s="49"/>
      <c r="AE108" s="7"/>
      <c r="AF108" s="49"/>
      <c r="AG108" s="7"/>
      <c r="AH108" s="7"/>
      <c r="AI108" s="59" t="str">
        <f t="shared" si="12"/>
        <v>0</v>
      </c>
      <c r="AJ108" s="49">
        <v>3</v>
      </c>
      <c r="AK108" s="49">
        <v>3</v>
      </c>
      <c r="AL108" s="49">
        <v>4</v>
      </c>
      <c r="AM108" s="49">
        <v>4</v>
      </c>
      <c r="AN108" s="7"/>
      <c r="AO108" s="59">
        <f t="shared" si="13"/>
        <v>3.5</v>
      </c>
      <c r="AP108" s="49">
        <v>3</v>
      </c>
      <c r="AQ108" s="49"/>
      <c r="AR108" s="49"/>
      <c r="AS108" s="7"/>
      <c r="AT108" s="7"/>
      <c r="AU108" s="59">
        <f t="shared" si="14"/>
        <v>3</v>
      </c>
      <c r="AV108" s="7"/>
      <c r="AW108" s="7"/>
      <c r="AX108" s="49"/>
      <c r="AY108" s="49">
        <v>4</v>
      </c>
      <c r="AZ108" s="49">
        <v>3</v>
      </c>
      <c r="BA108" s="59">
        <f t="shared" si="15"/>
        <v>3.5</v>
      </c>
    </row>
    <row r="109" spans="1:53" ht="23.1" customHeight="1" x14ac:dyDescent="0.3">
      <c r="A109" s="49">
        <v>107</v>
      </c>
      <c r="B109" s="49" t="s">
        <v>352</v>
      </c>
      <c r="C109" s="49" t="s">
        <v>353</v>
      </c>
      <c r="D109" s="49" t="s">
        <v>542</v>
      </c>
      <c r="E109" s="49" t="s">
        <v>493</v>
      </c>
      <c r="F109" s="49">
        <v>2</v>
      </c>
      <c r="G109" s="49">
        <v>2</v>
      </c>
      <c r="H109" s="49">
        <v>2</v>
      </c>
      <c r="I109" s="49">
        <v>2</v>
      </c>
      <c r="J109" s="49"/>
      <c r="K109" s="59">
        <f t="shared" si="8"/>
        <v>2</v>
      </c>
      <c r="L109" s="49">
        <v>5</v>
      </c>
      <c r="M109" s="49">
        <v>5</v>
      </c>
      <c r="N109" s="49">
        <v>4</v>
      </c>
      <c r="O109" s="49">
        <v>3</v>
      </c>
      <c r="P109" s="49">
        <v>5</v>
      </c>
      <c r="Q109" s="59">
        <f t="shared" si="9"/>
        <v>4.4000000000000004</v>
      </c>
      <c r="R109" s="49"/>
      <c r="S109" s="49">
        <v>3</v>
      </c>
      <c r="T109" s="49"/>
      <c r="U109" s="49"/>
      <c r="V109" s="49"/>
      <c r="W109" s="59">
        <f t="shared" si="10"/>
        <v>3</v>
      </c>
      <c r="X109" s="49"/>
      <c r="Y109" s="49"/>
      <c r="Z109" s="49"/>
      <c r="AA109" s="49"/>
      <c r="AB109" s="49"/>
      <c r="AC109" s="59" t="str">
        <f t="shared" si="11"/>
        <v>0</v>
      </c>
      <c r="AD109" s="49"/>
      <c r="AE109" s="49"/>
      <c r="AF109" s="49"/>
      <c r="AG109" s="49"/>
      <c r="AH109" s="49"/>
      <c r="AI109" s="59" t="str">
        <f t="shared" si="12"/>
        <v>0</v>
      </c>
      <c r="AJ109" s="49">
        <v>2</v>
      </c>
      <c r="AK109" s="49">
        <v>2</v>
      </c>
      <c r="AL109" s="49">
        <v>2</v>
      </c>
      <c r="AM109" s="49">
        <v>2</v>
      </c>
      <c r="AN109" s="49"/>
      <c r="AO109" s="59">
        <f t="shared" si="13"/>
        <v>2</v>
      </c>
      <c r="AP109" s="49">
        <v>3</v>
      </c>
      <c r="AQ109" s="49"/>
      <c r="AR109" s="49"/>
      <c r="AS109" s="49"/>
      <c r="AT109" s="49"/>
      <c r="AU109" s="59">
        <f t="shared" si="14"/>
        <v>3</v>
      </c>
      <c r="AV109" s="49"/>
      <c r="AW109" s="49"/>
      <c r="AX109" s="49"/>
      <c r="AY109" s="49">
        <v>2</v>
      </c>
      <c r="AZ109" s="49">
        <v>3</v>
      </c>
      <c r="BA109" s="59">
        <f t="shared" si="15"/>
        <v>2.5</v>
      </c>
    </row>
    <row r="110" spans="1:53" ht="23.1" customHeight="1" x14ac:dyDescent="0.3">
      <c r="A110" s="7">
        <v>108</v>
      </c>
      <c r="B110" s="7" t="s">
        <v>279</v>
      </c>
      <c r="C110" s="7" t="s">
        <v>280</v>
      </c>
      <c r="D110" s="7" t="s">
        <v>450</v>
      </c>
      <c r="E110" s="7" t="s">
        <v>161</v>
      </c>
      <c r="F110" s="49">
        <v>1</v>
      </c>
      <c r="G110" s="49">
        <v>2</v>
      </c>
      <c r="H110" s="49">
        <v>2</v>
      </c>
      <c r="I110" s="49">
        <v>2</v>
      </c>
      <c r="J110" s="7"/>
      <c r="K110" s="59">
        <f t="shared" si="8"/>
        <v>1.75</v>
      </c>
      <c r="L110" s="49">
        <v>2</v>
      </c>
      <c r="M110" s="49">
        <v>2</v>
      </c>
      <c r="N110" s="49">
        <v>2</v>
      </c>
      <c r="O110" s="49">
        <v>4</v>
      </c>
      <c r="P110" s="49">
        <v>2</v>
      </c>
      <c r="Q110" s="59">
        <f t="shared" si="9"/>
        <v>2.4</v>
      </c>
      <c r="R110" s="49"/>
      <c r="S110" s="49">
        <v>2</v>
      </c>
      <c r="T110" s="7"/>
      <c r="U110" s="49"/>
      <c r="V110" s="7"/>
      <c r="W110" s="59">
        <f t="shared" si="10"/>
        <v>2</v>
      </c>
      <c r="X110" s="49"/>
      <c r="Y110" s="49"/>
      <c r="Z110" s="7"/>
      <c r="AA110" s="7"/>
      <c r="AB110" s="7"/>
      <c r="AC110" s="59" t="str">
        <f t="shared" si="11"/>
        <v>0</v>
      </c>
      <c r="AD110" s="49"/>
      <c r="AE110" s="7"/>
      <c r="AF110" s="49"/>
      <c r="AG110" s="7"/>
      <c r="AH110" s="7"/>
      <c r="AI110" s="59" t="str">
        <f t="shared" si="12"/>
        <v>0</v>
      </c>
      <c r="AJ110" s="49">
        <v>2</v>
      </c>
      <c r="AK110" s="49">
        <v>2</v>
      </c>
      <c r="AL110" s="49">
        <v>3</v>
      </c>
      <c r="AM110" s="49">
        <v>2</v>
      </c>
      <c r="AN110" s="7"/>
      <c r="AO110" s="59">
        <f t="shared" si="13"/>
        <v>2.25</v>
      </c>
      <c r="AP110" s="49">
        <v>3</v>
      </c>
      <c r="AQ110" s="49"/>
      <c r="AR110" s="49"/>
      <c r="AS110" s="7"/>
      <c r="AT110" s="7"/>
      <c r="AU110" s="59">
        <f t="shared" si="14"/>
        <v>3</v>
      </c>
      <c r="AV110" s="7"/>
      <c r="AW110" s="7"/>
      <c r="AX110" s="49"/>
      <c r="AY110" s="49">
        <v>2</v>
      </c>
      <c r="AZ110" s="49">
        <v>2</v>
      </c>
      <c r="BA110" s="59">
        <f t="shared" si="15"/>
        <v>2</v>
      </c>
    </row>
    <row r="111" spans="1:53" ht="23.1" customHeight="1" x14ac:dyDescent="0.3">
      <c r="A111" s="49">
        <v>109</v>
      </c>
      <c r="B111" s="49" t="s">
        <v>168</v>
      </c>
      <c r="C111" s="49" t="s">
        <v>169</v>
      </c>
      <c r="D111" s="49" t="s">
        <v>450</v>
      </c>
      <c r="E111" s="49" t="s">
        <v>161</v>
      </c>
      <c r="F111" s="49">
        <v>2</v>
      </c>
      <c r="G111" s="49">
        <v>5</v>
      </c>
      <c r="H111" s="49">
        <v>2</v>
      </c>
      <c r="I111" s="49">
        <v>2</v>
      </c>
      <c r="J111" s="49"/>
      <c r="K111" s="59">
        <f t="shared" si="8"/>
        <v>2.75</v>
      </c>
      <c r="L111" s="49">
        <v>3</v>
      </c>
      <c r="M111" s="49">
        <v>4</v>
      </c>
      <c r="N111" s="49">
        <v>3</v>
      </c>
      <c r="O111" s="49">
        <v>3</v>
      </c>
      <c r="P111" s="49">
        <v>2</v>
      </c>
      <c r="Q111" s="59">
        <f t="shared" si="9"/>
        <v>3</v>
      </c>
      <c r="R111" s="49"/>
      <c r="S111" s="49">
        <v>4</v>
      </c>
      <c r="T111" s="49"/>
      <c r="U111" s="49"/>
      <c r="V111" s="49"/>
      <c r="W111" s="59">
        <f t="shared" si="10"/>
        <v>4</v>
      </c>
      <c r="X111" s="49"/>
      <c r="Y111" s="49"/>
      <c r="Z111" s="49"/>
      <c r="AA111" s="49"/>
      <c r="AB111" s="49"/>
      <c r="AC111" s="59" t="str">
        <f t="shared" si="11"/>
        <v>0</v>
      </c>
      <c r="AD111" s="49"/>
      <c r="AE111" s="49"/>
      <c r="AF111" s="49"/>
      <c r="AG111" s="49"/>
      <c r="AH111" s="49"/>
      <c r="AI111" s="59" t="str">
        <f t="shared" si="12"/>
        <v>0</v>
      </c>
      <c r="AJ111" s="49">
        <v>3</v>
      </c>
      <c r="AK111" s="49">
        <v>2</v>
      </c>
      <c r="AL111" s="49">
        <v>3</v>
      </c>
      <c r="AM111" s="49">
        <v>3</v>
      </c>
      <c r="AN111" s="49"/>
      <c r="AO111" s="59">
        <f t="shared" si="13"/>
        <v>2.75</v>
      </c>
      <c r="AP111" s="49">
        <v>3</v>
      </c>
      <c r="AQ111" s="49"/>
      <c r="AR111" s="49"/>
      <c r="AS111" s="49"/>
      <c r="AT111" s="49"/>
      <c r="AU111" s="59">
        <f t="shared" si="14"/>
        <v>3</v>
      </c>
      <c r="AV111" s="49"/>
      <c r="AW111" s="49"/>
      <c r="AX111" s="49"/>
      <c r="AY111" s="49">
        <v>2</v>
      </c>
      <c r="AZ111" s="49">
        <v>2</v>
      </c>
      <c r="BA111" s="59">
        <f t="shared" si="15"/>
        <v>2</v>
      </c>
    </row>
    <row r="112" spans="1:53" ht="23.1" customHeight="1" x14ac:dyDescent="0.3">
      <c r="A112" s="7">
        <v>110</v>
      </c>
      <c r="B112" s="7" t="s">
        <v>186</v>
      </c>
      <c r="C112" s="7" t="s">
        <v>187</v>
      </c>
      <c r="D112" s="7" t="s">
        <v>450</v>
      </c>
      <c r="E112" s="7" t="s">
        <v>161</v>
      </c>
      <c r="F112" s="49">
        <v>2</v>
      </c>
      <c r="G112" s="49">
        <v>3</v>
      </c>
      <c r="H112" s="49">
        <v>0</v>
      </c>
      <c r="I112" s="49">
        <v>2</v>
      </c>
      <c r="J112" s="7"/>
      <c r="K112" s="59">
        <f t="shared" si="8"/>
        <v>1.75</v>
      </c>
      <c r="L112" s="49">
        <v>3</v>
      </c>
      <c r="M112" s="49">
        <v>2</v>
      </c>
      <c r="N112" s="49">
        <v>2</v>
      </c>
      <c r="O112" s="49">
        <v>2</v>
      </c>
      <c r="P112" s="49">
        <v>2</v>
      </c>
      <c r="Q112" s="59">
        <f t="shared" si="9"/>
        <v>2.2000000000000002</v>
      </c>
      <c r="R112" s="49"/>
      <c r="S112" s="49">
        <v>2</v>
      </c>
      <c r="T112" s="7"/>
      <c r="U112" s="49"/>
      <c r="V112" s="7"/>
      <c r="W112" s="59">
        <f t="shared" si="10"/>
        <v>2</v>
      </c>
      <c r="X112" s="49"/>
      <c r="Y112" s="49"/>
      <c r="Z112" s="7"/>
      <c r="AA112" s="7"/>
      <c r="AB112" s="7"/>
      <c r="AC112" s="59" t="str">
        <f t="shared" si="11"/>
        <v>0</v>
      </c>
      <c r="AD112" s="49"/>
      <c r="AE112" s="7"/>
      <c r="AF112" s="49"/>
      <c r="AG112" s="7"/>
      <c r="AH112" s="7"/>
      <c r="AI112" s="59" t="str">
        <f t="shared" si="12"/>
        <v>0</v>
      </c>
      <c r="AJ112" s="49">
        <v>2</v>
      </c>
      <c r="AK112" s="49">
        <v>2</v>
      </c>
      <c r="AL112" s="49">
        <v>2</v>
      </c>
      <c r="AM112" s="49">
        <v>2</v>
      </c>
      <c r="AN112" s="7"/>
      <c r="AO112" s="59">
        <f t="shared" si="13"/>
        <v>2</v>
      </c>
      <c r="AP112" s="49">
        <v>3</v>
      </c>
      <c r="AQ112" s="49"/>
      <c r="AR112" s="49"/>
      <c r="AS112" s="7"/>
      <c r="AT112" s="7"/>
      <c r="AU112" s="59">
        <f t="shared" si="14"/>
        <v>3</v>
      </c>
      <c r="AV112" s="7"/>
      <c r="AW112" s="7"/>
      <c r="AX112" s="49"/>
      <c r="AY112" s="49">
        <v>2</v>
      </c>
      <c r="AZ112" s="49">
        <v>2</v>
      </c>
      <c r="BA112" s="59">
        <f t="shared" si="15"/>
        <v>2</v>
      </c>
    </row>
    <row r="113" spans="1:53" ht="23.1" customHeight="1" x14ac:dyDescent="0.3">
      <c r="A113" s="49">
        <v>111</v>
      </c>
      <c r="B113" s="49" t="s">
        <v>233</v>
      </c>
      <c r="C113" s="49" t="s">
        <v>234</v>
      </c>
      <c r="D113" s="49" t="s">
        <v>450</v>
      </c>
      <c r="E113" s="49" t="s">
        <v>161</v>
      </c>
      <c r="F113" s="49">
        <v>2</v>
      </c>
      <c r="G113" s="49">
        <v>2</v>
      </c>
      <c r="H113" s="49">
        <v>2</v>
      </c>
      <c r="I113" s="49">
        <v>3</v>
      </c>
      <c r="J113" s="49"/>
      <c r="K113" s="59">
        <f t="shared" si="8"/>
        <v>2.25</v>
      </c>
      <c r="L113" s="49">
        <v>2</v>
      </c>
      <c r="M113" s="49">
        <v>3</v>
      </c>
      <c r="N113" s="49">
        <v>2</v>
      </c>
      <c r="O113" s="49">
        <v>3</v>
      </c>
      <c r="P113" s="49">
        <v>2</v>
      </c>
      <c r="Q113" s="59">
        <f t="shared" si="9"/>
        <v>2.4</v>
      </c>
      <c r="R113" s="49"/>
      <c r="S113" s="49">
        <v>2</v>
      </c>
      <c r="T113" s="49"/>
      <c r="U113" s="49"/>
      <c r="V113" s="49"/>
      <c r="W113" s="59">
        <f t="shared" si="10"/>
        <v>2</v>
      </c>
      <c r="X113" s="49"/>
      <c r="Y113" s="49"/>
      <c r="Z113" s="49"/>
      <c r="AA113" s="49"/>
      <c r="AB113" s="49"/>
      <c r="AC113" s="59" t="str">
        <f t="shared" si="11"/>
        <v>0</v>
      </c>
      <c r="AD113" s="49"/>
      <c r="AE113" s="49"/>
      <c r="AF113" s="49"/>
      <c r="AG113" s="49"/>
      <c r="AH113" s="49"/>
      <c r="AI113" s="59" t="str">
        <f t="shared" si="12"/>
        <v>0</v>
      </c>
      <c r="AJ113" s="49">
        <v>2</v>
      </c>
      <c r="AK113" s="49">
        <v>2</v>
      </c>
      <c r="AL113" s="49">
        <v>2</v>
      </c>
      <c r="AM113" s="49">
        <v>2</v>
      </c>
      <c r="AN113" s="49"/>
      <c r="AO113" s="59">
        <f t="shared" si="13"/>
        <v>2</v>
      </c>
      <c r="AP113" s="49">
        <v>1</v>
      </c>
      <c r="AQ113" s="49"/>
      <c r="AR113" s="49"/>
      <c r="AS113" s="49"/>
      <c r="AT113" s="49"/>
      <c r="AU113" s="59">
        <f t="shared" si="14"/>
        <v>1</v>
      </c>
      <c r="AV113" s="49"/>
      <c r="AW113" s="49"/>
      <c r="AX113" s="49"/>
      <c r="AY113" s="49">
        <v>1</v>
      </c>
      <c r="AZ113" s="49">
        <v>1</v>
      </c>
      <c r="BA113" s="59">
        <f t="shared" si="15"/>
        <v>1</v>
      </c>
    </row>
    <row r="114" spans="1:53" ht="23.1" customHeight="1" x14ac:dyDescent="0.3">
      <c r="A114" s="7">
        <v>112</v>
      </c>
      <c r="B114" s="7" t="s">
        <v>146</v>
      </c>
      <c r="C114" s="7" t="s">
        <v>147</v>
      </c>
      <c r="D114" s="7" t="s">
        <v>450</v>
      </c>
      <c r="E114" s="7" t="s">
        <v>35</v>
      </c>
      <c r="F114" s="49">
        <v>3</v>
      </c>
      <c r="G114" s="49">
        <v>3</v>
      </c>
      <c r="H114" s="49">
        <v>3</v>
      </c>
      <c r="I114" s="49">
        <v>3</v>
      </c>
      <c r="J114" s="7"/>
      <c r="K114" s="59">
        <f t="shared" si="8"/>
        <v>3</v>
      </c>
      <c r="L114" s="49">
        <v>3</v>
      </c>
      <c r="M114" s="49">
        <v>4</v>
      </c>
      <c r="N114" s="49">
        <v>3</v>
      </c>
      <c r="O114" s="49">
        <v>3</v>
      </c>
      <c r="P114" s="49">
        <v>2</v>
      </c>
      <c r="Q114" s="59">
        <f t="shared" si="9"/>
        <v>3</v>
      </c>
      <c r="R114" s="49"/>
      <c r="S114" s="49">
        <v>3</v>
      </c>
      <c r="T114" s="7"/>
      <c r="U114" s="49"/>
      <c r="V114" s="7"/>
      <c r="W114" s="59">
        <f t="shared" si="10"/>
        <v>3</v>
      </c>
      <c r="X114" s="49"/>
      <c r="Y114" s="49"/>
      <c r="Z114" s="7"/>
      <c r="AA114" s="7"/>
      <c r="AB114" s="7"/>
      <c r="AC114" s="59" t="str">
        <f t="shared" si="11"/>
        <v>0</v>
      </c>
      <c r="AD114" s="49"/>
      <c r="AE114" s="7"/>
      <c r="AF114" s="49"/>
      <c r="AG114" s="7"/>
      <c r="AH114" s="7"/>
      <c r="AI114" s="59" t="str">
        <f t="shared" si="12"/>
        <v>0</v>
      </c>
      <c r="AJ114" s="49">
        <v>3</v>
      </c>
      <c r="AK114" s="49">
        <v>2</v>
      </c>
      <c r="AL114" s="49">
        <v>3</v>
      </c>
      <c r="AM114" s="49">
        <v>2</v>
      </c>
      <c r="AN114" s="7"/>
      <c r="AO114" s="59">
        <f t="shared" si="13"/>
        <v>2.5</v>
      </c>
      <c r="AP114" s="49">
        <v>3</v>
      </c>
      <c r="AQ114" s="49"/>
      <c r="AR114" s="49"/>
      <c r="AS114" s="7"/>
      <c r="AT114" s="7"/>
      <c r="AU114" s="59">
        <f t="shared" si="14"/>
        <v>3</v>
      </c>
      <c r="AV114" s="7"/>
      <c r="AW114" s="7"/>
      <c r="AX114" s="49"/>
      <c r="AY114" s="49">
        <v>3</v>
      </c>
      <c r="AZ114" s="49">
        <v>3</v>
      </c>
      <c r="BA114" s="59">
        <f t="shared" si="15"/>
        <v>3</v>
      </c>
    </row>
    <row r="115" spans="1:53" ht="23.1" customHeight="1" x14ac:dyDescent="0.3">
      <c r="A115" s="49">
        <v>113</v>
      </c>
      <c r="B115" s="49" t="s">
        <v>201</v>
      </c>
      <c r="C115" s="49" t="s">
        <v>202</v>
      </c>
      <c r="D115" s="49" t="s">
        <v>450</v>
      </c>
      <c r="E115" s="49" t="s">
        <v>161</v>
      </c>
      <c r="F115" s="49">
        <v>4</v>
      </c>
      <c r="G115" s="49">
        <v>4</v>
      </c>
      <c r="H115" s="49">
        <v>4</v>
      </c>
      <c r="I115" s="49">
        <v>4</v>
      </c>
      <c r="J115" s="49"/>
      <c r="K115" s="59">
        <f t="shared" si="8"/>
        <v>4</v>
      </c>
      <c r="L115" s="49">
        <v>2</v>
      </c>
      <c r="M115" s="49">
        <v>3</v>
      </c>
      <c r="N115" s="49">
        <v>4</v>
      </c>
      <c r="O115" s="49">
        <v>3</v>
      </c>
      <c r="P115" s="49">
        <v>3</v>
      </c>
      <c r="Q115" s="59">
        <f t="shared" si="9"/>
        <v>3</v>
      </c>
      <c r="R115" s="49"/>
      <c r="S115" s="49">
        <v>3</v>
      </c>
      <c r="T115" s="49"/>
      <c r="U115" s="49"/>
      <c r="V115" s="49"/>
      <c r="W115" s="59">
        <f t="shared" si="10"/>
        <v>3</v>
      </c>
      <c r="X115" s="49"/>
      <c r="Y115" s="49"/>
      <c r="Z115" s="49"/>
      <c r="AA115" s="49"/>
      <c r="AB115" s="49"/>
      <c r="AC115" s="59" t="str">
        <f t="shared" si="11"/>
        <v>0</v>
      </c>
      <c r="AD115" s="49"/>
      <c r="AE115" s="49"/>
      <c r="AF115" s="49"/>
      <c r="AG115" s="49"/>
      <c r="AH115" s="49"/>
      <c r="AI115" s="59" t="str">
        <f t="shared" si="12"/>
        <v>0</v>
      </c>
      <c r="AJ115" s="49">
        <v>4</v>
      </c>
      <c r="AK115" s="49">
        <v>3</v>
      </c>
      <c r="AL115" s="49">
        <v>4</v>
      </c>
      <c r="AM115" s="49">
        <v>3</v>
      </c>
      <c r="AN115" s="49"/>
      <c r="AO115" s="59">
        <f t="shared" si="13"/>
        <v>3.5</v>
      </c>
      <c r="AP115" s="49">
        <v>3</v>
      </c>
      <c r="AQ115" s="49"/>
      <c r="AR115" s="49"/>
      <c r="AS115" s="49"/>
      <c r="AT115" s="49"/>
      <c r="AU115" s="59">
        <f t="shared" si="14"/>
        <v>3</v>
      </c>
      <c r="AV115" s="49"/>
      <c r="AW115" s="49"/>
      <c r="AX115" s="49"/>
      <c r="AY115" s="49">
        <v>4</v>
      </c>
      <c r="AZ115" s="49">
        <v>4</v>
      </c>
      <c r="BA115" s="59">
        <f t="shared" si="15"/>
        <v>4</v>
      </c>
    </row>
    <row r="116" spans="1:53" ht="23.1" customHeight="1" x14ac:dyDescent="0.3">
      <c r="A116" s="7">
        <v>114</v>
      </c>
      <c r="B116" s="7" t="s">
        <v>217</v>
      </c>
      <c r="C116" s="7" t="s">
        <v>218</v>
      </c>
      <c r="D116" s="7" t="s">
        <v>450</v>
      </c>
      <c r="E116" s="7" t="s">
        <v>161</v>
      </c>
      <c r="F116" s="49">
        <v>2</v>
      </c>
      <c r="G116" s="49">
        <v>2</v>
      </c>
      <c r="H116" s="49">
        <v>0</v>
      </c>
      <c r="I116" s="49">
        <v>2</v>
      </c>
      <c r="J116" s="7"/>
      <c r="K116" s="59">
        <f t="shared" si="8"/>
        <v>1.5</v>
      </c>
      <c r="L116" s="49">
        <v>2</v>
      </c>
      <c r="M116" s="49">
        <v>2</v>
      </c>
      <c r="N116" s="49">
        <v>2</v>
      </c>
      <c r="O116" s="49">
        <v>2</v>
      </c>
      <c r="P116" s="49">
        <v>2</v>
      </c>
      <c r="Q116" s="59">
        <f t="shared" si="9"/>
        <v>2</v>
      </c>
      <c r="R116" s="49"/>
      <c r="S116" s="49">
        <v>2</v>
      </c>
      <c r="T116" s="7"/>
      <c r="U116" s="49"/>
      <c r="V116" s="7"/>
      <c r="W116" s="59">
        <f t="shared" si="10"/>
        <v>2</v>
      </c>
      <c r="X116" s="49"/>
      <c r="Y116" s="49"/>
      <c r="Z116" s="7"/>
      <c r="AA116" s="7"/>
      <c r="AB116" s="7"/>
      <c r="AC116" s="59" t="str">
        <f t="shared" si="11"/>
        <v>0</v>
      </c>
      <c r="AD116" s="49"/>
      <c r="AE116" s="7"/>
      <c r="AF116" s="49"/>
      <c r="AG116" s="7"/>
      <c r="AH116" s="7"/>
      <c r="AI116" s="59" t="str">
        <f t="shared" si="12"/>
        <v>0</v>
      </c>
      <c r="AJ116" s="49">
        <v>2</v>
      </c>
      <c r="AK116" s="49">
        <v>2</v>
      </c>
      <c r="AL116" s="49">
        <v>2</v>
      </c>
      <c r="AM116" s="49">
        <v>2</v>
      </c>
      <c r="AN116" s="7"/>
      <c r="AO116" s="59">
        <f t="shared" si="13"/>
        <v>2</v>
      </c>
      <c r="AP116" s="49">
        <v>3</v>
      </c>
      <c r="AQ116" s="49"/>
      <c r="AR116" s="49"/>
      <c r="AS116" s="7"/>
      <c r="AT116" s="7"/>
      <c r="AU116" s="59">
        <f t="shared" si="14"/>
        <v>3</v>
      </c>
      <c r="AV116" s="7"/>
      <c r="AW116" s="7"/>
      <c r="AX116" s="49"/>
      <c r="AY116" s="49">
        <v>2</v>
      </c>
      <c r="AZ116" s="49">
        <v>2</v>
      </c>
      <c r="BA116" s="59">
        <f t="shared" si="15"/>
        <v>2</v>
      </c>
    </row>
    <row r="117" spans="1:53" ht="23.1" customHeight="1" x14ac:dyDescent="0.3">
      <c r="A117" s="49">
        <v>115</v>
      </c>
      <c r="B117" s="49" t="s">
        <v>235</v>
      </c>
      <c r="C117" s="49" t="s">
        <v>236</v>
      </c>
      <c r="D117" s="49" t="s">
        <v>450</v>
      </c>
      <c r="E117" s="49" t="s">
        <v>161</v>
      </c>
      <c r="F117" s="49">
        <v>2.5</v>
      </c>
      <c r="G117" s="49">
        <v>2.5</v>
      </c>
      <c r="H117" s="49">
        <v>2.5</v>
      </c>
      <c r="I117" s="49">
        <v>2.5</v>
      </c>
      <c r="J117" s="49"/>
      <c r="K117" s="59">
        <f t="shared" si="8"/>
        <v>2.5</v>
      </c>
      <c r="L117" s="49">
        <v>2.5</v>
      </c>
      <c r="M117" s="49">
        <v>2.5</v>
      </c>
      <c r="N117" s="49">
        <v>2.5</v>
      </c>
      <c r="O117" s="49">
        <v>2.5</v>
      </c>
      <c r="P117" s="49">
        <v>2.5</v>
      </c>
      <c r="Q117" s="59">
        <f t="shared" si="9"/>
        <v>2.5</v>
      </c>
      <c r="R117" s="49"/>
      <c r="S117" s="49">
        <v>2.5</v>
      </c>
      <c r="T117" s="49"/>
      <c r="U117" s="49"/>
      <c r="V117" s="49"/>
      <c r="W117" s="59">
        <f t="shared" si="10"/>
        <v>2.5</v>
      </c>
      <c r="X117" s="49"/>
      <c r="Y117" s="49"/>
      <c r="Z117" s="49"/>
      <c r="AA117" s="49"/>
      <c r="AB117" s="49"/>
      <c r="AC117" s="59" t="str">
        <f t="shared" si="11"/>
        <v>0</v>
      </c>
      <c r="AD117" s="49"/>
      <c r="AE117" s="49"/>
      <c r="AF117" s="49"/>
      <c r="AG117" s="49"/>
      <c r="AH117" s="49"/>
      <c r="AI117" s="59" t="str">
        <f t="shared" si="12"/>
        <v>0</v>
      </c>
      <c r="AJ117" s="49">
        <v>2.5</v>
      </c>
      <c r="AK117" s="49">
        <v>2.5</v>
      </c>
      <c r="AL117" s="49">
        <v>2.5</v>
      </c>
      <c r="AM117" s="49">
        <v>2.5</v>
      </c>
      <c r="AN117" s="49"/>
      <c r="AO117" s="59">
        <f t="shared" si="13"/>
        <v>2.5</v>
      </c>
      <c r="AP117" s="49">
        <v>2.5</v>
      </c>
      <c r="AQ117" s="49"/>
      <c r="AR117" s="49"/>
      <c r="AS117" s="49"/>
      <c r="AT117" s="49"/>
      <c r="AU117" s="59">
        <f t="shared" si="14"/>
        <v>2.5</v>
      </c>
      <c r="AV117" s="49"/>
      <c r="AW117" s="49"/>
      <c r="AX117" s="49"/>
      <c r="AY117" s="49">
        <v>2.5</v>
      </c>
      <c r="AZ117" s="49">
        <v>2.5</v>
      </c>
      <c r="BA117" s="59">
        <f t="shared" si="15"/>
        <v>2.5</v>
      </c>
    </row>
    <row r="118" spans="1:53" ht="23.1" customHeight="1" x14ac:dyDescent="0.3">
      <c r="A118" s="7">
        <v>116</v>
      </c>
      <c r="B118" s="7" t="s">
        <v>354</v>
      </c>
      <c r="C118" s="7" t="s">
        <v>355</v>
      </c>
      <c r="D118" s="7" t="s">
        <v>544</v>
      </c>
      <c r="E118" s="7" t="s">
        <v>493</v>
      </c>
      <c r="F118" s="49">
        <v>4</v>
      </c>
      <c r="G118" s="49">
        <v>4</v>
      </c>
      <c r="H118" s="49">
        <v>4</v>
      </c>
      <c r="I118" s="49">
        <v>4</v>
      </c>
      <c r="J118" s="7"/>
      <c r="K118" s="59">
        <f t="shared" si="8"/>
        <v>4</v>
      </c>
      <c r="L118" s="49">
        <v>4</v>
      </c>
      <c r="M118" s="49">
        <v>4</v>
      </c>
      <c r="N118" s="49">
        <v>5</v>
      </c>
      <c r="O118" s="49">
        <v>3</v>
      </c>
      <c r="P118" s="49">
        <v>4</v>
      </c>
      <c r="Q118" s="59">
        <f t="shared" si="9"/>
        <v>4</v>
      </c>
      <c r="R118" s="49"/>
      <c r="S118" s="49">
        <v>4</v>
      </c>
      <c r="T118" s="7"/>
      <c r="U118" s="49"/>
      <c r="V118" s="7"/>
      <c r="W118" s="59">
        <f t="shared" si="10"/>
        <v>4</v>
      </c>
      <c r="X118" s="49"/>
      <c r="Y118" s="49"/>
      <c r="Z118" s="7"/>
      <c r="AA118" s="7"/>
      <c r="AB118" s="7"/>
      <c r="AC118" s="59" t="str">
        <f t="shared" si="11"/>
        <v>0</v>
      </c>
      <c r="AD118" s="49"/>
      <c r="AE118" s="7"/>
      <c r="AF118" s="49"/>
      <c r="AG118" s="7"/>
      <c r="AH118" s="7"/>
      <c r="AI118" s="59" t="str">
        <f t="shared" si="12"/>
        <v>0</v>
      </c>
      <c r="AJ118" s="49">
        <v>4</v>
      </c>
      <c r="AK118" s="49">
        <v>4</v>
      </c>
      <c r="AL118" s="49">
        <v>4</v>
      </c>
      <c r="AM118" s="49">
        <v>4</v>
      </c>
      <c r="AN118" s="7"/>
      <c r="AO118" s="59">
        <f t="shared" si="13"/>
        <v>4</v>
      </c>
      <c r="AP118" s="49">
        <v>3</v>
      </c>
      <c r="AQ118" s="49"/>
      <c r="AR118" s="49"/>
      <c r="AS118" s="7"/>
      <c r="AT118" s="7"/>
      <c r="AU118" s="59">
        <f t="shared" si="14"/>
        <v>3</v>
      </c>
      <c r="AV118" s="7"/>
      <c r="AW118" s="7"/>
      <c r="AX118" s="49"/>
      <c r="AY118" s="49">
        <v>4</v>
      </c>
      <c r="AZ118" s="49">
        <v>4</v>
      </c>
      <c r="BA118" s="59">
        <f t="shared" si="15"/>
        <v>4</v>
      </c>
    </row>
    <row r="119" spans="1:53" ht="23.1" customHeight="1" x14ac:dyDescent="0.3">
      <c r="A119" s="49">
        <v>117</v>
      </c>
      <c r="B119" s="49" t="s">
        <v>203</v>
      </c>
      <c r="C119" s="49" t="s">
        <v>204</v>
      </c>
      <c r="D119" s="49" t="s">
        <v>542</v>
      </c>
      <c r="E119" s="49" t="s">
        <v>161</v>
      </c>
      <c r="F119" s="49">
        <v>4</v>
      </c>
      <c r="G119" s="49">
        <v>4</v>
      </c>
      <c r="H119" s="49">
        <v>4</v>
      </c>
      <c r="I119" s="49">
        <v>4</v>
      </c>
      <c r="J119" s="49"/>
      <c r="K119" s="59">
        <f t="shared" si="8"/>
        <v>4</v>
      </c>
      <c r="L119" s="49">
        <v>4</v>
      </c>
      <c r="M119" s="49">
        <v>4</v>
      </c>
      <c r="N119" s="49">
        <v>4</v>
      </c>
      <c r="O119" s="49">
        <v>3</v>
      </c>
      <c r="P119" s="49">
        <v>3</v>
      </c>
      <c r="Q119" s="59">
        <f t="shared" si="9"/>
        <v>3.6</v>
      </c>
      <c r="R119" s="49"/>
      <c r="S119" s="49">
        <v>4</v>
      </c>
      <c r="T119" s="49"/>
      <c r="U119" s="49"/>
      <c r="V119" s="49"/>
      <c r="W119" s="59">
        <f t="shared" si="10"/>
        <v>4</v>
      </c>
      <c r="X119" s="49"/>
      <c r="Y119" s="49"/>
      <c r="Z119" s="49"/>
      <c r="AA119" s="49"/>
      <c r="AB119" s="49"/>
      <c r="AC119" s="59" t="str">
        <f t="shared" si="11"/>
        <v>0</v>
      </c>
      <c r="AD119" s="49"/>
      <c r="AE119" s="49"/>
      <c r="AF119" s="49"/>
      <c r="AG119" s="49"/>
      <c r="AH119" s="49"/>
      <c r="AI119" s="59" t="str">
        <f t="shared" si="12"/>
        <v>0</v>
      </c>
      <c r="AJ119" s="49">
        <v>4</v>
      </c>
      <c r="AK119" s="49">
        <v>4</v>
      </c>
      <c r="AL119" s="49">
        <v>4</v>
      </c>
      <c r="AM119" s="49">
        <v>4</v>
      </c>
      <c r="AN119" s="49"/>
      <c r="AO119" s="59">
        <f t="shared" si="13"/>
        <v>4</v>
      </c>
      <c r="AP119" s="49">
        <v>3</v>
      </c>
      <c r="AQ119" s="49"/>
      <c r="AR119" s="49"/>
      <c r="AS119" s="49"/>
      <c r="AT119" s="49"/>
      <c r="AU119" s="59">
        <f t="shared" si="14"/>
        <v>3</v>
      </c>
      <c r="AV119" s="49"/>
      <c r="AW119" s="49"/>
      <c r="AX119" s="49"/>
      <c r="AY119" s="49">
        <v>4</v>
      </c>
      <c r="AZ119" s="49">
        <v>4</v>
      </c>
      <c r="BA119" s="59">
        <f t="shared" si="15"/>
        <v>4</v>
      </c>
    </row>
    <row r="120" spans="1:53" ht="23.1" customHeight="1" x14ac:dyDescent="0.3">
      <c r="A120" s="7">
        <v>118</v>
      </c>
      <c r="B120" s="7" t="s">
        <v>356</v>
      </c>
      <c r="C120" s="7" t="s">
        <v>357</v>
      </c>
      <c r="D120" s="7" t="s">
        <v>542</v>
      </c>
      <c r="E120" s="7" t="s">
        <v>493</v>
      </c>
      <c r="F120" s="49">
        <v>2</v>
      </c>
      <c r="G120" s="49">
        <v>3</v>
      </c>
      <c r="H120" s="49">
        <v>2</v>
      </c>
      <c r="I120" s="49">
        <v>3</v>
      </c>
      <c r="J120" s="7"/>
      <c r="K120" s="59">
        <f t="shared" si="8"/>
        <v>2.5</v>
      </c>
      <c r="L120" s="49">
        <v>3</v>
      </c>
      <c r="M120" s="49">
        <v>2</v>
      </c>
      <c r="N120" s="49">
        <v>3</v>
      </c>
      <c r="O120" s="49">
        <v>3</v>
      </c>
      <c r="P120" s="49">
        <v>3</v>
      </c>
      <c r="Q120" s="59">
        <f t="shared" si="9"/>
        <v>2.8</v>
      </c>
      <c r="R120" s="49"/>
      <c r="S120" s="49">
        <v>2</v>
      </c>
      <c r="T120" s="7"/>
      <c r="U120" s="49"/>
      <c r="V120" s="7"/>
      <c r="W120" s="59">
        <f t="shared" si="10"/>
        <v>2</v>
      </c>
      <c r="X120" s="49"/>
      <c r="Y120" s="49"/>
      <c r="Z120" s="7"/>
      <c r="AA120" s="7"/>
      <c r="AB120" s="7"/>
      <c r="AC120" s="59" t="str">
        <f t="shared" si="11"/>
        <v>0</v>
      </c>
      <c r="AD120" s="49"/>
      <c r="AE120" s="7"/>
      <c r="AF120" s="49"/>
      <c r="AG120" s="7"/>
      <c r="AH120" s="7"/>
      <c r="AI120" s="59" t="str">
        <f t="shared" si="12"/>
        <v>0</v>
      </c>
      <c r="AJ120" s="49">
        <v>3</v>
      </c>
      <c r="AK120" s="49">
        <v>2</v>
      </c>
      <c r="AL120" s="49">
        <v>2</v>
      </c>
      <c r="AM120" s="49">
        <v>2</v>
      </c>
      <c r="AN120" s="7"/>
      <c r="AO120" s="59">
        <f t="shared" si="13"/>
        <v>2.25</v>
      </c>
      <c r="AP120" s="49">
        <v>3</v>
      </c>
      <c r="AQ120" s="49"/>
      <c r="AR120" s="49"/>
      <c r="AS120" s="7"/>
      <c r="AT120" s="7"/>
      <c r="AU120" s="59">
        <f t="shared" si="14"/>
        <v>3</v>
      </c>
      <c r="AV120" s="7"/>
      <c r="AW120" s="7"/>
      <c r="AX120" s="49"/>
      <c r="AY120" s="49">
        <v>2</v>
      </c>
      <c r="AZ120" s="49">
        <v>3</v>
      </c>
      <c r="BA120" s="59">
        <f t="shared" si="15"/>
        <v>2.5</v>
      </c>
    </row>
    <row r="121" spans="1:53" ht="23.1" customHeight="1" x14ac:dyDescent="0.3">
      <c r="A121" s="49">
        <v>119</v>
      </c>
      <c r="B121" s="49" t="s">
        <v>358</v>
      </c>
      <c r="C121" s="49" t="s">
        <v>359</v>
      </c>
      <c r="D121" s="49" t="s">
        <v>542</v>
      </c>
      <c r="E121" s="49" t="s">
        <v>493</v>
      </c>
      <c r="F121" s="49">
        <v>4</v>
      </c>
      <c r="G121" s="49">
        <v>3.5</v>
      </c>
      <c r="H121" s="49">
        <v>4</v>
      </c>
      <c r="I121" s="49">
        <v>3.5</v>
      </c>
      <c r="J121" s="49"/>
      <c r="K121" s="59">
        <f t="shared" si="8"/>
        <v>3.75</v>
      </c>
      <c r="L121" s="49">
        <v>4</v>
      </c>
      <c r="M121" s="49">
        <v>3.5</v>
      </c>
      <c r="N121" s="49">
        <v>4</v>
      </c>
      <c r="O121" s="49">
        <v>3.5</v>
      </c>
      <c r="P121" s="49">
        <v>3.5</v>
      </c>
      <c r="Q121" s="59">
        <f t="shared" si="9"/>
        <v>3.7</v>
      </c>
      <c r="R121" s="49"/>
      <c r="S121" s="49">
        <v>4</v>
      </c>
      <c r="T121" s="49"/>
      <c r="U121" s="49"/>
      <c r="V121" s="49"/>
      <c r="W121" s="59">
        <f t="shared" si="10"/>
        <v>4</v>
      </c>
      <c r="X121" s="49"/>
      <c r="Y121" s="49"/>
      <c r="Z121" s="49"/>
      <c r="AA121" s="49"/>
      <c r="AB121" s="49"/>
      <c r="AC121" s="59" t="str">
        <f t="shared" si="11"/>
        <v>0</v>
      </c>
      <c r="AD121" s="49"/>
      <c r="AE121" s="49"/>
      <c r="AF121" s="49"/>
      <c r="AG121" s="49"/>
      <c r="AH121" s="49"/>
      <c r="AI121" s="59" t="str">
        <f t="shared" si="12"/>
        <v>0</v>
      </c>
      <c r="AJ121" s="49">
        <v>3.5</v>
      </c>
      <c r="AK121" s="49">
        <v>4</v>
      </c>
      <c r="AL121" s="49">
        <v>4</v>
      </c>
      <c r="AM121" s="49">
        <v>3.5</v>
      </c>
      <c r="AN121" s="49"/>
      <c r="AO121" s="59">
        <f t="shared" si="13"/>
        <v>3.75</v>
      </c>
      <c r="AP121" s="49">
        <v>4</v>
      </c>
      <c r="AQ121" s="49"/>
      <c r="AR121" s="49"/>
      <c r="AS121" s="49"/>
      <c r="AT121" s="49"/>
      <c r="AU121" s="59">
        <f t="shared" si="14"/>
        <v>4</v>
      </c>
      <c r="AV121" s="49"/>
      <c r="AW121" s="49"/>
      <c r="AX121" s="49"/>
      <c r="AY121" s="49">
        <v>3.5</v>
      </c>
      <c r="AZ121" s="49">
        <v>3.5</v>
      </c>
      <c r="BA121" s="59">
        <f t="shared" si="15"/>
        <v>3.5</v>
      </c>
    </row>
    <row r="122" spans="1:53" ht="23.1" customHeight="1" x14ac:dyDescent="0.3">
      <c r="A122" s="7">
        <v>120</v>
      </c>
      <c r="B122" s="7" t="s">
        <v>150</v>
      </c>
      <c r="C122" s="7" t="s">
        <v>151</v>
      </c>
      <c r="D122" s="7" t="s">
        <v>450</v>
      </c>
      <c r="E122" s="7" t="s">
        <v>35</v>
      </c>
      <c r="F122" s="49">
        <v>3</v>
      </c>
      <c r="G122" s="49">
        <v>3</v>
      </c>
      <c r="H122" s="49">
        <v>2</v>
      </c>
      <c r="I122" s="49">
        <v>2</v>
      </c>
      <c r="J122" s="7"/>
      <c r="K122" s="59">
        <f t="shared" si="8"/>
        <v>2.5</v>
      </c>
      <c r="L122" s="49">
        <v>2</v>
      </c>
      <c r="M122" s="49">
        <v>3</v>
      </c>
      <c r="N122" s="49">
        <v>3</v>
      </c>
      <c r="O122" s="49">
        <v>4</v>
      </c>
      <c r="P122" s="49">
        <v>2</v>
      </c>
      <c r="Q122" s="59">
        <f t="shared" si="9"/>
        <v>2.8</v>
      </c>
      <c r="R122" s="49"/>
      <c r="S122" s="49">
        <v>2</v>
      </c>
      <c r="T122" s="7"/>
      <c r="U122" s="49"/>
      <c r="V122" s="7"/>
      <c r="W122" s="59">
        <f t="shared" si="10"/>
        <v>2</v>
      </c>
      <c r="X122" s="49"/>
      <c r="Y122" s="49"/>
      <c r="Z122" s="7"/>
      <c r="AA122" s="7"/>
      <c r="AB122" s="7"/>
      <c r="AC122" s="59" t="str">
        <f t="shared" si="11"/>
        <v>0</v>
      </c>
      <c r="AD122" s="49"/>
      <c r="AE122" s="7"/>
      <c r="AF122" s="49"/>
      <c r="AG122" s="7"/>
      <c r="AH122" s="7"/>
      <c r="AI122" s="59" t="str">
        <f t="shared" si="12"/>
        <v>0</v>
      </c>
      <c r="AJ122" s="49">
        <v>2</v>
      </c>
      <c r="AK122" s="49">
        <v>2</v>
      </c>
      <c r="AL122" s="49">
        <v>3</v>
      </c>
      <c r="AM122" s="49">
        <v>2</v>
      </c>
      <c r="AN122" s="7"/>
      <c r="AO122" s="59">
        <f t="shared" si="13"/>
        <v>2.25</v>
      </c>
      <c r="AP122" s="49">
        <v>3</v>
      </c>
      <c r="AQ122" s="49"/>
      <c r="AR122" s="49"/>
      <c r="AS122" s="7"/>
      <c r="AT122" s="7"/>
      <c r="AU122" s="59">
        <f t="shared" si="14"/>
        <v>3</v>
      </c>
      <c r="AV122" s="7"/>
      <c r="AW122" s="7"/>
      <c r="AX122" s="49"/>
      <c r="AY122" s="49">
        <v>3</v>
      </c>
      <c r="AZ122" s="49">
        <v>2</v>
      </c>
      <c r="BA122" s="59">
        <f t="shared" si="15"/>
        <v>2.5</v>
      </c>
    </row>
    <row r="123" spans="1:53" ht="23.1" customHeight="1" x14ac:dyDescent="0.3">
      <c r="A123" s="49">
        <v>121</v>
      </c>
      <c r="B123" s="49" t="s">
        <v>360</v>
      </c>
      <c r="C123" s="49" t="s">
        <v>361</v>
      </c>
      <c r="D123" s="49" t="s">
        <v>450</v>
      </c>
      <c r="E123" s="49" t="s">
        <v>493</v>
      </c>
      <c r="F123" s="49">
        <v>2</v>
      </c>
      <c r="G123" s="49">
        <v>1</v>
      </c>
      <c r="H123" s="49">
        <v>0</v>
      </c>
      <c r="I123" s="49">
        <v>2</v>
      </c>
      <c r="J123" s="49"/>
      <c r="K123" s="59">
        <f t="shared" si="8"/>
        <v>1.25</v>
      </c>
      <c r="L123" s="49">
        <v>2</v>
      </c>
      <c r="M123" s="49">
        <v>1</v>
      </c>
      <c r="N123" s="49">
        <v>2</v>
      </c>
      <c r="O123" s="49">
        <v>2</v>
      </c>
      <c r="P123" s="49">
        <v>2</v>
      </c>
      <c r="Q123" s="59">
        <f t="shared" si="9"/>
        <v>1.8</v>
      </c>
      <c r="R123" s="49"/>
      <c r="S123" s="49">
        <v>1</v>
      </c>
      <c r="T123" s="49"/>
      <c r="U123" s="49"/>
      <c r="V123" s="49"/>
      <c r="W123" s="59">
        <f t="shared" si="10"/>
        <v>1</v>
      </c>
      <c r="X123" s="49"/>
      <c r="Y123" s="49"/>
      <c r="Z123" s="49"/>
      <c r="AA123" s="49"/>
      <c r="AB123" s="49"/>
      <c r="AC123" s="59" t="str">
        <f t="shared" si="11"/>
        <v>0</v>
      </c>
      <c r="AD123" s="49"/>
      <c r="AE123" s="49"/>
      <c r="AF123" s="49"/>
      <c r="AG123" s="49"/>
      <c r="AH123" s="49"/>
      <c r="AI123" s="59" t="str">
        <f t="shared" si="12"/>
        <v>0</v>
      </c>
      <c r="AJ123" s="49">
        <v>3</v>
      </c>
      <c r="AK123" s="49">
        <v>2</v>
      </c>
      <c r="AL123" s="49">
        <v>2</v>
      </c>
      <c r="AM123" s="49">
        <v>2</v>
      </c>
      <c r="AN123" s="49"/>
      <c r="AO123" s="59">
        <f t="shared" si="13"/>
        <v>2.25</v>
      </c>
      <c r="AP123" s="49">
        <v>3</v>
      </c>
      <c r="AQ123" s="49"/>
      <c r="AR123" s="49"/>
      <c r="AS123" s="49"/>
      <c r="AT123" s="49"/>
      <c r="AU123" s="59">
        <f t="shared" si="14"/>
        <v>3</v>
      </c>
      <c r="AV123" s="49"/>
      <c r="AW123" s="49"/>
      <c r="AX123" s="49"/>
      <c r="AY123" s="49">
        <v>2</v>
      </c>
      <c r="AZ123" s="49">
        <v>2</v>
      </c>
      <c r="BA123" s="59">
        <f t="shared" si="15"/>
        <v>2</v>
      </c>
    </row>
    <row r="124" spans="1:53" ht="23.1" customHeight="1" x14ac:dyDescent="0.3">
      <c r="A124" s="7">
        <v>122</v>
      </c>
      <c r="B124" s="7" t="s">
        <v>362</v>
      </c>
      <c r="C124" s="7" t="s">
        <v>363</v>
      </c>
      <c r="D124" s="7" t="s">
        <v>450</v>
      </c>
      <c r="E124" s="7" t="s">
        <v>493</v>
      </c>
      <c r="F124" s="49">
        <v>4</v>
      </c>
      <c r="G124" s="49">
        <v>4</v>
      </c>
      <c r="H124" s="49">
        <v>3</v>
      </c>
      <c r="I124" s="49">
        <v>3</v>
      </c>
      <c r="J124" s="7"/>
      <c r="K124" s="59">
        <f t="shared" si="8"/>
        <v>3.5</v>
      </c>
      <c r="L124" s="49">
        <v>4</v>
      </c>
      <c r="M124" s="49">
        <v>4</v>
      </c>
      <c r="N124" s="49">
        <v>4</v>
      </c>
      <c r="O124" s="49">
        <v>4</v>
      </c>
      <c r="P124" s="49">
        <v>4</v>
      </c>
      <c r="Q124" s="59">
        <f t="shared" si="9"/>
        <v>4</v>
      </c>
      <c r="R124" s="49"/>
      <c r="S124" s="49">
        <v>4</v>
      </c>
      <c r="T124" s="7"/>
      <c r="U124" s="49"/>
      <c r="V124" s="7"/>
      <c r="W124" s="59">
        <f t="shared" si="10"/>
        <v>4</v>
      </c>
      <c r="X124" s="49"/>
      <c r="Y124" s="49"/>
      <c r="Z124" s="7"/>
      <c r="AA124" s="7"/>
      <c r="AB124" s="7"/>
      <c r="AC124" s="59" t="str">
        <f t="shared" si="11"/>
        <v>0</v>
      </c>
      <c r="AD124" s="49"/>
      <c r="AE124" s="7"/>
      <c r="AF124" s="49"/>
      <c r="AG124" s="7"/>
      <c r="AH124" s="7"/>
      <c r="AI124" s="59" t="str">
        <f t="shared" si="12"/>
        <v>0</v>
      </c>
      <c r="AJ124" s="49">
        <v>3</v>
      </c>
      <c r="AK124" s="49">
        <v>3</v>
      </c>
      <c r="AL124" s="49">
        <v>3</v>
      </c>
      <c r="AM124" s="49">
        <v>4</v>
      </c>
      <c r="AN124" s="7"/>
      <c r="AO124" s="59">
        <f t="shared" si="13"/>
        <v>3.25</v>
      </c>
      <c r="AP124" s="49">
        <v>3</v>
      </c>
      <c r="AQ124" s="49"/>
      <c r="AR124" s="49"/>
      <c r="AS124" s="7"/>
      <c r="AT124" s="7"/>
      <c r="AU124" s="59">
        <f t="shared" si="14"/>
        <v>3</v>
      </c>
      <c r="AV124" s="7"/>
      <c r="AW124" s="7"/>
      <c r="AX124" s="49"/>
      <c r="AY124" s="49">
        <v>5</v>
      </c>
      <c r="AZ124" s="49">
        <v>4</v>
      </c>
      <c r="BA124" s="59">
        <f t="shared" si="15"/>
        <v>4.5</v>
      </c>
    </row>
    <row r="125" spans="1:53" ht="23.1" customHeight="1" x14ac:dyDescent="0.3">
      <c r="A125" s="49">
        <v>123</v>
      </c>
      <c r="B125" s="49" t="s">
        <v>364</v>
      </c>
      <c r="C125" s="49" t="s">
        <v>365</v>
      </c>
      <c r="D125" s="49" t="s">
        <v>450</v>
      </c>
      <c r="E125" s="49" t="s">
        <v>493</v>
      </c>
      <c r="F125" s="49">
        <v>5</v>
      </c>
      <c r="G125" s="49">
        <v>5</v>
      </c>
      <c r="H125" s="49">
        <v>5</v>
      </c>
      <c r="I125" s="49">
        <v>5</v>
      </c>
      <c r="J125" s="49"/>
      <c r="K125" s="59">
        <f t="shared" si="8"/>
        <v>5</v>
      </c>
      <c r="L125" s="49">
        <v>3</v>
      </c>
      <c r="M125" s="49">
        <v>4</v>
      </c>
      <c r="N125" s="49">
        <v>3</v>
      </c>
      <c r="O125" s="49">
        <v>4</v>
      </c>
      <c r="P125" s="49">
        <v>3</v>
      </c>
      <c r="Q125" s="59">
        <f t="shared" si="9"/>
        <v>3.4</v>
      </c>
      <c r="R125" s="49"/>
      <c r="S125" s="49">
        <v>4</v>
      </c>
      <c r="T125" s="49"/>
      <c r="U125" s="49"/>
      <c r="V125" s="49"/>
      <c r="W125" s="59">
        <f t="shared" si="10"/>
        <v>4</v>
      </c>
      <c r="X125" s="49"/>
      <c r="Y125" s="49"/>
      <c r="Z125" s="49"/>
      <c r="AA125" s="49"/>
      <c r="AB125" s="49"/>
      <c r="AC125" s="59" t="str">
        <f t="shared" si="11"/>
        <v>0</v>
      </c>
      <c r="AD125" s="49"/>
      <c r="AE125" s="49"/>
      <c r="AF125" s="49"/>
      <c r="AG125" s="49"/>
      <c r="AH125" s="49"/>
      <c r="AI125" s="59" t="str">
        <f t="shared" si="12"/>
        <v>0</v>
      </c>
      <c r="AJ125" s="49">
        <v>5</v>
      </c>
      <c r="AK125" s="49">
        <v>5</v>
      </c>
      <c r="AL125" s="49">
        <v>4</v>
      </c>
      <c r="AM125" s="49">
        <v>5</v>
      </c>
      <c r="AN125" s="49"/>
      <c r="AO125" s="59">
        <f t="shared" si="13"/>
        <v>4.75</v>
      </c>
      <c r="AP125" s="49">
        <v>3</v>
      </c>
      <c r="AQ125" s="49"/>
      <c r="AR125" s="49"/>
      <c r="AS125" s="49"/>
      <c r="AT125" s="49"/>
      <c r="AU125" s="59">
        <f t="shared" si="14"/>
        <v>3</v>
      </c>
      <c r="AV125" s="49"/>
      <c r="AW125" s="49"/>
      <c r="AX125" s="49"/>
      <c r="AY125" s="49">
        <v>5</v>
      </c>
      <c r="AZ125" s="49">
        <v>5</v>
      </c>
      <c r="BA125" s="59">
        <f t="shared" si="15"/>
        <v>5</v>
      </c>
    </row>
    <row r="126" spans="1:53" ht="23.1" customHeight="1" x14ac:dyDescent="0.3">
      <c r="A126" s="7">
        <v>124</v>
      </c>
      <c r="B126" s="7" t="s">
        <v>54</v>
      </c>
      <c r="C126" s="7" t="s">
        <v>55</v>
      </c>
      <c r="D126" s="7" t="s">
        <v>450</v>
      </c>
      <c r="E126" s="7" t="s">
        <v>35</v>
      </c>
      <c r="F126" s="49">
        <v>3.5</v>
      </c>
      <c r="G126" s="49">
        <v>3.5</v>
      </c>
      <c r="H126" s="49">
        <v>3</v>
      </c>
      <c r="I126" s="49">
        <v>3</v>
      </c>
      <c r="J126" s="7"/>
      <c r="K126" s="59">
        <f t="shared" si="8"/>
        <v>3.25</v>
      </c>
      <c r="L126" s="49">
        <v>3.5</v>
      </c>
      <c r="M126" s="49">
        <v>3.5</v>
      </c>
      <c r="N126" s="49">
        <v>3</v>
      </c>
      <c r="O126" s="49">
        <v>3</v>
      </c>
      <c r="P126" s="49">
        <v>3.5</v>
      </c>
      <c r="Q126" s="59">
        <f t="shared" si="9"/>
        <v>3.3</v>
      </c>
      <c r="R126" s="49"/>
      <c r="S126" s="49">
        <v>3</v>
      </c>
      <c r="T126" s="7"/>
      <c r="U126" s="49"/>
      <c r="V126" s="7"/>
      <c r="W126" s="59">
        <f t="shared" si="10"/>
        <v>3</v>
      </c>
      <c r="X126" s="49"/>
      <c r="Y126" s="49"/>
      <c r="Z126" s="7"/>
      <c r="AA126" s="7"/>
      <c r="AB126" s="7"/>
      <c r="AC126" s="59" t="str">
        <f t="shared" si="11"/>
        <v>0</v>
      </c>
      <c r="AD126" s="49"/>
      <c r="AE126" s="7"/>
      <c r="AF126" s="49"/>
      <c r="AG126" s="7"/>
      <c r="AH126" s="7"/>
      <c r="AI126" s="59" t="str">
        <f t="shared" si="12"/>
        <v>0</v>
      </c>
      <c r="AJ126" s="49">
        <v>3.5</v>
      </c>
      <c r="AK126" s="49">
        <v>3</v>
      </c>
      <c r="AL126" s="49">
        <v>3.5</v>
      </c>
      <c r="AM126" s="49">
        <v>3.5</v>
      </c>
      <c r="AN126" s="7"/>
      <c r="AO126" s="59">
        <f t="shared" si="13"/>
        <v>3.375</v>
      </c>
      <c r="AP126" s="49">
        <v>3</v>
      </c>
      <c r="AQ126" s="49"/>
      <c r="AR126" s="49"/>
      <c r="AS126" s="7"/>
      <c r="AT126" s="7"/>
      <c r="AU126" s="59">
        <f t="shared" si="14"/>
        <v>3</v>
      </c>
      <c r="AV126" s="7"/>
      <c r="AW126" s="7"/>
      <c r="AX126" s="49"/>
      <c r="AY126" s="49">
        <v>3</v>
      </c>
      <c r="AZ126" s="49">
        <v>3.5</v>
      </c>
      <c r="BA126" s="59">
        <f t="shared" si="15"/>
        <v>3.25</v>
      </c>
    </row>
    <row r="127" spans="1:53" ht="23.1" customHeight="1" x14ac:dyDescent="0.3">
      <c r="A127" s="49">
        <v>125</v>
      </c>
      <c r="B127" s="49" t="s">
        <v>219</v>
      </c>
      <c r="C127" s="49" t="s">
        <v>220</v>
      </c>
      <c r="D127" s="49" t="s">
        <v>542</v>
      </c>
      <c r="E127" s="49" t="s">
        <v>161</v>
      </c>
      <c r="F127" s="49">
        <v>3.5</v>
      </c>
      <c r="G127" s="49">
        <v>3.5</v>
      </c>
      <c r="H127" s="49">
        <v>4</v>
      </c>
      <c r="I127" s="49">
        <v>3</v>
      </c>
      <c r="J127" s="49"/>
      <c r="K127" s="59">
        <f t="shared" si="8"/>
        <v>3.5</v>
      </c>
      <c r="L127" s="49">
        <v>3.5</v>
      </c>
      <c r="M127" s="49">
        <v>3.5</v>
      </c>
      <c r="N127" s="49">
        <v>4</v>
      </c>
      <c r="O127" s="49">
        <v>3</v>
      </c>
      <c r="P127" s="49">
        <v>3.5</v>
      </c>
      <c r="Q127" s="59">
        <f t="shared" si="9"/>
        <v>3.5</v>
      </c>
      <c r="R127" s="49"/>
      <c r="S127" s="49">
        <v>3.5</v>
      </c>
      <c r="T127" s="49"/>
      <c r="U127" s="49"/>
      <c r="V127" s="49"/>
      <c r="W127" s="59">
        <f t="shared" si="10"/>
        <v>3.5</v>
      </c>
      <c r="X127" s="49"/>
      <c r="Y127" s="49"/>
      <c r="Z127" s="49"/>
      <c r="AA127" s="49"/>
      <c r="AB127" s="49"/>
      <c r="AC127" s="59" t="str">
        <f t="shared" si="11"/>
        <v>0</v>
      </c>
      <c r="AD127" s="49"/>
      <c r="AE127" s="49"/>
      <c r="AF127" s="49"/>
      <c r="AG127" s="49"/>
      <c r="AH127" s="49"/>
      <c r="AI127" s="59" t="str">
        <f t="shared" si="12"/>
        <v>0</v>
      </c>
      <c r="AJ127" s="49">
        <v>3.5</v>
      </c>
      <c r="AK127" s="49">
        <v>3.5</v>
      </c>
      <c r="AL127" s="49">
        <v>3.5</v>
      </c>
      <c r="AM127" s="49">
        <v>3.5</v>
      </c>
      <c r="AN127" s="49"/>
      <c r="AO127" s="59">
        <f t="shared" si="13"/>
        <v>3.5</v>
      </c>
      <c r="AP127" s="49">
        <v>4</v>
      </c>
      <c r="AQ127" s="49"/>
      <c r="AR127" s="49"/>
      <c r="AS127" s="49"/>
      <c r="AT127" s="49"/>
      <c r="AU127" s="59">
        <f t="shared" si="14"/>
        <v>4</v>
      </c>
      <c r="AV127" s="49"/>
      <c r="AW127" s="49"/>
      <c r="AX127" s="49"/>
      <c r="AY127" s="49">
        <v>3</v>
      </c>
      <c r="AZ127" s="49">
        <v>3.5</v>
      </c>
      <c r="BA127" s="59">
        <f t="shared" si="15"/>
        <v>3.25</v>
      </c>
    </row>
    <row r="128" spans="1:53" ht="23.1" customHeight="1" x14ac:dyDescent="0.3">
      <c r="A128" s="7">
        <v>126</v>
      </c>
      <c r="B128" s="7" t="s">
        <v>237</v>
      </c>
      <c r="C128" s="7" t="s">
        <v>238</v>
      </c>
      <c r="D128" s="7" t="s">
        <v>542</v>
      </c>
      <c r="E128" s="7" t="s">
        <v>161</v>
      </c>
      <c r="F128" s="49">
        <v>2</v>
      </c>
      <c r="G128" s="49">
        <v>2</v>
      </c>
      <c r="H128" s="49">
        <v>2</v>
      </c>
      <c r="I128" s="49">
        <v>2</v>
      </c>
      <c r="J128" s="7"/>
      <c r="K128" s="59">
        <f t="shared" si="8"/>
        <v>2</v>
      </c>
      <c r="L128" s="49">
        <v>2</v>
      </c>
      <c r="M128" s="49">
        <v>2</v>
      </c>
      <c r="N128" s="49">
        <v>2</v>
      </c>
      <c r="O128" s="49">
        <v>2</v>
      </c>
      <c r="P128" s="49">
        <v>2</v>
      </c>
      <c r="Q128" s="59">
        <f t="shared" si="9"/>
        <v>2</v>
      </c>
      <c r="R128" s="49"/>
      <c r="S128" s="49">
        <v>2</v>
      </c>
      <c r="T128" s="7"/>
      <c r="U128" s="49"/>
      <c r="V128" s="7"/>
      <c r="W128" s="59">
        <f t="shared" si="10"/>
        <v>2</v>
      </c>
      <c r="X128" s="49"/>
      <c r="Y128" s="49"/>
      <c r="Z128" s="7"/>
      <c r="AA128" s="7"/>
      <c r="AB128" s="7"/>
      <c r="AC128" s="59" t="str">
        <f t="shared" si="11"/>
        <v>0</v>
      </c>
      <c r="AD128" s="49"/>
      <c r="AE128" s="7"/>
      <c r="AF128" s="49"/>
      <c r="AG128" s="7"/>
      <c r="AH128" s="7"/>
      <c r="AI128" s="59" t="str">
        <f t="shared" si="12"/>
        <v>0</v>
      </c>
      <c r="AJ128" s="49">
        <v>2</v>
      </c>
      <c r="AK128" s="49">
        <v>2</v>
      </c>
      <c r="AL128" s="49">
        <v>2</v>
      </c>
      <c r="AM128" s="49">
        <v>2</v>
      </c>
      <c r="AN128" s="7"/>
      <c r="AO128" s="59">
        <f t="shared" si="13"/>
        <v>2</v>
      </c>
      <c r="AP128" s="49">
        <v>3</v>
      </c>
      <c r="AQ128" s="49"/>
      <c r="AR128" s="49"/>
      <c r="AS128" s="7"/>
      <c r="AT128" s="7"/>
      <c r="AU128" s="59">
        <f t="shared" si="14"/>
        <v>3</v>
      </c>
      <c r="AV128" s="7"/>
      <c r="AW128" s="7"/>
      <c r="AX128" s="49"/>
      <c r="AY128" s="49">
        <v>3</v>
      </c>
      <c r="AZ128" s="49">
        <v>3</v>
      </c>
      <c r="BA128" s="59">
        <f t="shared" si="15"/>
        <v>3</v>
      </c>
    </row>
    <row r="129" spans="1:53" ht="23.1" customHeight="1" x14ac:dyDescent="0.3">
      <c r="A129" s="49">
        <v>127</v>
      </c>
      <c r="B129" s="49" t="s">
        <v>366</v>
      </c>
      <c r="C129" s="49" t="s">
        <v>367</v>
      </c>
      <c r="D129" s="49" t="s">
        <v>542</v>
      </c>
      <c r="E129" s="49" t="s">
        <v>493</v>
      </c>
      <c r="F129" s="49">
        <v>2</v>
      </c>
      <c r="G129" s="49">
        <v>2</v>
      </c>
      <c r="H129" s="49">
        <v>2.5</v>
      </c>
      <c r="I129" s="49">
        <v>2.5</v>
      </c>
      <c r="J129" s="49"/>
      <c r="K129" s="59">
        <f t="shared" si="8"/>
        <v>2.25</v>
      </c>
      <c r="L129" s="49">
        <v>2</v>
      </c>
      <c r="M129" s="49">
        <v>2</v>
      </c>
      <c r="N129" s="49">
        <v>2.5</v>
      </c>
      <c r="O129" s="49">
        <v>2.5</v>
      </c>
      <c r="P129" s="49">
        <v>2</v>
      </c>
      <c r="Q129" s="59">
        <f t="shared" si="9"/>
        <v>2.2000000000000002</v>
      </c>
      <c r="R129" s="49"/>
      <c r="S129" s="49">
        <v>2.5</v>
      </c>
      <c r="T129" s="49"/>
      <c r="U129" s="49"/>
      <c r="V129" s="49"/>
      <c r="W129" s="59">
        <f t="shared" si="10"/>
        <v>2.5</v>
      </c>
      <c r="X129" s="49"/>
      <c r="Y129" s="49"/>
      <c r="Z129" s="49"/>
      <c r="AA129" s="49"/>
      <c r="AB129" s="49"/>
      <c r="AC129" s="59" t="str">
        <f t="shared" si="11"/>
        <v>0</v>
      </c>
      <c r="AD129" s="49"/>
      <c r="AE129" s="49"/>
      <c r="AF129" s="49"/>
      <c r="AG129" s="49"/>
      <c r="AH129" s="49"/>
      <c r="AI129" s="59" t="str">
        <f t="shared" si="12"/>
        <v>0</v>
      </c>
      <c r="AJ129" s="49">
        <v>2</v>
      </c>
      <c r="AK129" s="49">
        <v>2.5</v>
      </c>
      <c r="AL129" s="49">
        <v>2</v>
      </c>
      <c r="AM129" s="49">
        <v>2</v>
      </c>
      <c r="AN129" s="49"/>
      <c r="AO129" s="59">
        <f t="shared" si="13"/>
        <v>2.125</v>
      </c>
      <c r="AP129" s="49">
        <v>2.5</v>
      </c>
      <c r="AQ129" s="49"/>
      <c r="AR129" s="49"/>
      <c r="AS129" s="49"/>
      <c r="AT129" s="49"/>
      <c r="AU129" s="59">
        <f t="shared" si="14"/>
        <v>2.5</v>
      </c>
      <c r="AV129" s="49"/>
      <c r="AW129" s="49"/>
      <c r="AX129" s="49"/>
      <c r="AY129" s="49">
        <v>2.5</v>
      </c>
      <c r="AZ129" s="49">
        <v>2</v>
      </c>
      <c r="BA129" s="59">
        <f t="shared" si="15"/>
        <v>2.25</v>
      </c>
    </row>
    <row r="130" spans="1:53" ht="23.1" customHeight="1" x14ac:dyDescent="0.3">
      <c r="A130" s="7">
        <v>128</v>
      </c>
      <c r="B130" s="7" t="s">
        <v>368</v>
      </c>
      <c r="C130" s="7" t="s">
        <v>369</v>
      </c>
      <c r="D130" s="7" t="s">
        <v>450</v>
      </c>
      <c r="E130" s="7" t="s">
        <v>493</v>
      </c>
      <c r="F130" s="49">
        <v>3</v>
      </c>
      <c r="G130" s="49">
        <v>4</v>
      </c>
      <c r="H130" s="49">
        <v>3</v>
      </c>
      <c r="I130" s="49">
        <v>3</v>
      </c>
      <c r="J130" s="7"/>
      <c r="K130" s="59">
        <f t="shared" si="8"/>
        <v>3.25</v>
      </c>
      <c r="L130" s="49">
        <v>3</v>
      </c>
      <c r="M130" s="49">
        <v>4</v>
      </c>
      <c r="N130" s="49">
        <v>2</v>
      </c>
      <c r="O130" s="49">
        <v>3</v>
      </c>
      <c r="P130" s="49">
        <v>2</v>
      </c>
      <c r="Q130" s="59">
        <f t="shared" si="9"/>
        <v>2.8</v>
      </c>
      <c r="R130" s="49"/>
      <c r="S130" s="49">
        <v>3</v>
      </c>
      <c r="T130" s="7"/>
      <c r="U130" s="49"/>
      <c r="V130" s="7"/>
      <c r="W130" s="59">
        <f t="shared" si="10"/>
        <v>3</v>
      </c>
      <c r="X130" s="49"/>
      <c r="Y130" s="49"/>
      <c r="Z130" s="7"/>
      <c r="AA130" s="7"/>
      <c r="AB130" s="7"/>
      <c r="AC130" s="59" t="str">
        <f t="shared" si="11"/>
        <v>0</v>
      </c>
      <c r="AD130" s="49"/>
      <c r="AE130" s="7"/>
      <c r="AF130" s="49"/>
      <c r="AG130" s="7"/>
      <c r="AH130" s="7"/>
      <c r="AI130" s="59" t="str">
        <f t="shared" si="12"/>
        <v>0</v>
      </c>
      <c r="AJ130" s="49">
        <v>3</v>
      </c>
      <c r="AK130" s="49">
        <v>2</v>
      </c>
      <c r="AL130" s="49">
        <v>3</v>
      </c>
      <c r="AM130" s="49">
        <v>3</v>
      </c>
      <c r="AN130" s="7"/>
      <c r="AO130" s="59">
        <f t="shared" si="13"/>
        <v>2.75</v>
      </c>
      <c r="AP130" s="49">
        <v>3</v>
      </c>
      <c r="AQ130" s="49"/>
      <c r="AR130" s="49"/>
      <c r="AS130" s="7"/>
      <c r="AT130" s="7"/>
      <c r="AU130" s="59">
        <f t="shared" si="14"/>
        <v>3</v>
      </c>
      <c r="AV130" s="7"/>
      <c r="AW130" s="7"/>
      <c r="AX130" s="49"/>
      <c r="AY130" s="49">
        <v>3</v>
      </c>
      <c r="AZ130" s="49">
        <v>3</v>
      </c>
      <c r="BA130" s="59">
        <f t="shared" si="15"/>
        <v>3</v>
      </c>
    </row>
    <row r="131" spans="1:53" ht="23.1" customHeight="1" x14ac:dyDescent="0.3">
      <c r="A131" s="49">
        <v>129</v>
      </c>
      <c r="B131" s="49" t="s">
        <v>251</v>
      </c>
      <c r="C131" s="49" t="s">
        <v>252</v>
      </c>
      <c r="D131" s="49" t="s">
        <v>542</v>
      </c>
      <c r="E131" s="49" t="s">
        <v>161</v>
      </c>
      <c r="F131" s="49">
        <v>3</v>
      </c>
      <c r="G131" s="49">
        <v>4</v>
      </c>
      <c r="H131" s="49">
        <v>4</v>
      </c>
      <c r="I131" s="49">
        <v>3</v>
      </c>
      <c r="J131" s="49"/>
      <c r="K131" s="59">
        <f t="shared" si="8"/>
        <v>3.5</v>
      </c>
      <c r="L131" s="49">
        <v>2</v>
      </c>
      <c r="M131" s="49">
        <v>4</v>
      </c>
      <c r="N131" s="49">
        <v>3</v>
      </c>
      <c r="O131" s="49">
        <v>3</v>
      </c>
      <c r="P131" s="49">
        <v>3</v>
      </c>
      <c r="Q131" s="59">
        <f t="shared" si="9"/>
        <v>3</v>
      </c>
      <c r="R131" s="49"/>
      <c r="S131" s="49">
        <v>3</v>
      </c>
      <c r="T131" s="49"/>
      <c r="U131" s="49"/>
      <c r="V131" s="49"/>
      <c r="W131" s="59">
        <f t="shared" si="10"/>
        <v>3</v>
      </c>
      <c r="X131" s="49"/>
      <c r="Y131" s="49"/>
      <c r="Z131" s="49"/>
      <c r="AA131" s="49"/>
      <c r="AB131" s="49"/>
      <c r="AC131" s="59" t="str">
        <f t="shared" si="11"/>
        <v>0</v>
      </c>
      <c r="AD131" s="49"/>
      <c r="AE131" s="49"/>
      <c r="AF131" s="49"/>
      <c r="AG131" s="49"/>
      <c r="AH131" s="49"/>
      <c r="AI131" s="59" t="str">
        <f t="shared" si="12"/>
        <v>0</v>
      </c>
      <c r="AJ131" s="49">
        <v>3</v>
      </c>
      <c r="AK131" s="49">
        <v>4</v>
      </c>
      <c r="AL131" s="49">
        <v>3</v>
      </c>
      <c r="AM131" s="49">
        <v>3</v>
      </c>
      <c r="AN131" s="49"/>
      <c r="AO131" s="59">
        <f t="shared" si="13"/>
        <v>3.25</v>
      </c>
      <c r="AP131" s="49">
        <v>3</v>
      </c>
      <c r="AQ131" s="49"/>
      <c r="AR131" s="49"/>
      <c r="AS131" s="49"/>
      <c r="AT131" s="49"/>
      <c r="AU131" s="59">
        <f t="shared" si="14"/>
        <v>3</v>
      </c>
      <c r="AV131" s="49"/>
      <c r="AW131" s="49"/>
      <c r="AX131" s="49"/>
      <c r="AY131" s="49">
        <v>4</v>
      </c>
      <c r="AZ131" s="49">
        <v>4</v>
      </c>
      <c r="BA131" s="59">
        <f t="shared" si="15"/>
        <v>4</v>
      </c>
    </row>
    <row r="132" spans="1:53" ht="23.1" customHeight="1" x14ac:dyDescent="0.3">
      <c r="A132" s="7">
        <v>130</v>
      </c>
      <c r="B132" s="7" t="s">
        <v>56</v>
      </c>
      <c r="C132" s="7" t="s">
        <v>57</v>
      </c>
      <c r="D132" s="7" t="s">
        <v>450</v>
      </c>
      <c r="E132" s="7" t="s">
        <v>35</v>
      </c>
      <c r="F132" s="49">
        <v>3.5</v>
      </c>
      <c r="G132" s="49">
        <v>3.5</v>
      </c>
      <c r="H132" s="49">
        <v>3</v>
      </c>
      <c r="I132" s="49">
        <v>3.5</v>
      </c>
      <c r="J132" s="7"/>
      <c r="K132" s="59">
        <f t="shared" ref="K132:K195" si="16">IFERROR(AVERAGE(F132,G132,H132,I132,J132),"0")</f>
        <v>3.375</v>
      </c>
      <c r="L132" s="49">
        <v>3.5</v>
      </c>
      <c r="M132" s="49">
        <v>3.5</v>
      </c>
      <c r="N132" s="49">
        <v>3</v>
      </c>
      <c r="O132" s="49">
        <v>3.5</v>
      </c>
      <c r="P132" s="49">
        <v>3.5</v>
      </c>
      <c r="Q132" s="59">
        <f t="shared" ref="Q132:Q195" si="17">IFERROR(AVERAGE(L132,M132,N132,O132,P132),"0")</f>
        <v>3.4</v>
      </c>
      <c r="R132" s="49"/>
      <c r="S132" s="49">
        <v>3.5</v>
      </c>
      <c r="T132" s="7"/>
      <c r="U132" s="49"/>
      <c r="V132" s="7"/>
      <c r="W132" s="59">
        <f t="shared" ref="W132:W195" si="18">IFERROR(AVERAGE(R132,S132,T132,U132,V132),"0")</f>
        <v>3.5</v>
      </c>
      <c r="X132" s="49"/>
      <c r="Y132" s="49"/>
      <c r="Z132" s="7"/>
      <c r="AA132" s="7"/>
      <c r="AB132" s="7"/>
      <c r="AC132" s="59" t="str">
        <f t="shared" ref="AC132:AC195" si="19">IFERROR(AVERAGE(X132,Y132,Z132,AA132,AB132),"0")</f>
        <v>0</v>
      </c>
      <c r="AD132" s="49"/>
      <c r="AE132" s="7"/>
      <c r="AF132" s="49"/>
      <c r="AG132" s="7"/>
      <c r="AH132" s="7"/>
      <c r="AI132" s="59" t="str">
        <f t="shared" ref="AI132:AI195" si="20">IFERROR(AVERAGE(AD132,AE132,AF132,AG132,AH132),"0")</f>
        <v>0</v>
      </c>
      <c r="AJ132" s="49">
        <v>3.5</v>
      </c>
      <c r="AK132" s="49">
        <v>3.5</v>
      </c>
      <c r="AL132" s="49">
        <v>3.5</v>
      </c>
      <c r="AM132" s="49">
        <v>3.5</v>
      </c>
      <c r="AN132" s="7"/>
      <c r="AO132" s="59">
        <f t="shared" ref="AO132:AO195" si="21">IFERROR(AVERAGE(AJ132,AK132,AL132,AM132,AN132),"0")</f>
        <v>3.5</v>
      </c>
      <c r="AP132" s="49">
        <v>3</v>
      </c>
      <c r="AQ132" s="49"/>
      <c r="AR132" s="49"/>
      <c r="AS132" s="7"/>
      <c r="AT132" s="7"/>
      <c r="AU132" s="59">
        <f t="shared" ref="AU132:AU195" si="22">IFERROR(AVERAGE(AP132,AQ132,AR132,AS132,AT132),"0")</f>
        <v>3</v>
      </c>
      <c r="AV132" s="7"/>
      <c r="AW132" s="7"/>
      <c r="AX132" s="49"/>
      <c r="AY132" s="49">
        <v>3.5</v>
      </c>
      <c r="AZ132" s="49">
        <v>3.5</v>
      </c>
      <c r="BA132" s="59">
        <f t="shared" ref="BA132:BA195" si="23">IFERROR(AVERAGE(AV132,AW132,AX132,AY132,AZ132),"0")</f>
        <v>3.5</v>
      </c>
    </row>
    <row r="133" spans="1:53" ht="23.1" customHeight="1" x14ac:dyDescent="0.3">
      <c r="A133" s="49">
        <v>131</v>
      </c>
      <c r="B133" s="49" t="s">
        <v>265</v>
      </c>
      <c r="C133" s="49" t="s">
        <v>266</v>
      </c>
      <c r="D133" s="49" t="s">
        <v>542</v>
      </c>
      <c r="E133" s="49" t="s">
        <v>161</v>
      </c>
      <c r="F133" s="49">
        <v>4</v>
      </c>
      <c r="G133" s="49">
        <v>4</v>
      </c>
      <c r="H133" s="49">
        <v>0</v>
      </c>
      <c r="I133" s="49">
        <v>4</v>
      </c>
      <c r="J133" s="49"/>
      <c r="K133" s="59">
        <f t="shared" si="16"/>
        <v>3</v>
      </c>
      <c r="L133" s="49">
        <v>4</v>
      </c>
      <c r="M133" s="49">
        <v>4</v>
      </c>
      <c r="N133" s="49">
        <v>4</v>
      </c>
      <c r="O133" s="49">
        <v>4</v>
      </c>
      <c r="P133" s="49">
        <v>4</v>
      </c>
      <c r="Q133" s="59">
        <f t="shared" si="17"/>
        <v>4</v>
      </c>
      <c r="R133" s="49"/>
      <c r="S133" s="49">
        <v>4</v>
      </c>
      <c r="T133" s="49"/>
      <c r="U133" s="49"/>
      <c r="V133" s="49"/>
      <c r="W133" s="59">
        <f t="shared" si="18"/>
        <v>4</v>
      </c>
      <c r="X133" s="49"/>
      <c r="Y133" s="49"/>
      <c r="Z133" s="49"/>
      <c r="AA133" s="49"/>
      <c r="AB133" s="49"/>
      <c r="AC133" s="59" t="str">
        <f t="shared" si="19"/>
        <v>0</v>
      </c>
      <c r="AD133" s="49"/>
      <c r="AE133" s="49"/>
      <c r="AF133" s="49"/>
      <c r="AG133" s="49"/>
      <c r="AH133" s="49"/>
      <c r="AI133" s="59" t="str">
        <f t="shared" si="20"/>
        <v>0</v>
      </c>
      <c r="AJ133" s="49">
        <v>4</v>
      </c>
      <c r="AK133" s="49">
        <v>4</v>
      </c>
      <c r="AL133" s="49">
        <v>4</v>
      </c>
      <c r="AM133" s="49">
        <v>4</v>
      </c>
      <c r="AN133" s="49"/>
      <c r="AO133" s="59">
        <f t="shared" si="21"/>
        <v>4</v>
      </c>
      <c r="AP133" s="49">
        <v>2</v>
      </c>
      <c r="AQ133" s="49"/>
      <c r="AR133" s="49"/>
      <c r="AS133" s="49"/>
      <c r="AT133" s="49"/>
      <c r="AU133" s="59">
        <f t="shared" si="22"/>
        <v>2</v>
      </c>
      <c r="AV133" s="49"/>
      <c r="AW133" s="49"/>
      <c r="AX133" s="49"/>
      <c r="AY133" s="49">
        <v>2</v>
      </c>
      <c r="AZ133" s="49">
        <v>1</v>
      </c>
      <c r="BA133" s="59">
        <f t="shared" si="23"/>
        <v>1.5</v>
      </c>
    </row>
    <row r="134" spans="1:53" ht="23.1" customHeight="1" x14ac:dyDescent="0.3">
      <c r="A134" s="7">
        <v>132</v>
      </c>
      <c r="B134" s="7" t="s">
        <v>79</v>
      </c>
      <c r="C134" s="7" t="s">
        <v>80</v>
      </c>
      <c r="D134" s="7" t="s">
        <v>542</v>
      </c>
      <c r="E134" s="7" t="s">
        <v>35</v>
      </c>
      <c r="F134" s="49">
        <v>0</v>
      </c>
      <c r="G134" s="49">
        <v>0</v>
      </c>
      <c r="H134" s="49">
        <v>0</v>
      </c>
      <c r="I134" s="49">
        <v>0</v>
      </c>
      <c r="J134" s="7"/>
      <c r="K134" s="59">
        <f t="shared" si="16"/>
        <v>0</v>
      </c>
      <c r="L134" s="49">
        <v>0</v>
      </c>
      <c r="M134" s="49">
        <v>0</v>
      </c>
      <c r="N134" s="49">
        <v>0</v>
      </c>
      <c r="O134" s="49">
        <v>0</v>
      </c>
      <c r="P134" s="49">
        <v>0</v>
      </c>
      <c r="Q134" s="59">
        <f t="shared" si="17"/>
        <v>0</v>
      </c>
      <c r="R134" s="49"/>
      <c r="S134" s="49">
        <v>0</v>
      </c>
      <c r="T134" s="7"/>
      <c r="U134" s="49"/>
      <c r="V134" s="7"/>
      <c r="W134" s="59">
        <f t="shared" si="18"/>
        <v>0</v>
      </c>
      <c r="X134" s="49"/>
      <c r="Y134" s="49"/>
      <c r="Z134" s="7"/>
      <c r="AA134" s="7"/>
      <c r="AB134" s="7"/>
      <c r="AC134" s="59" t="str">
        <f t="shared" si="19"/>
        <v>0</v>
      </c>
      <c r="AD134" s="49"/>
      <c r="AE134" s="7"/>
      <c r="AF134" s="49"/>
      <c r="AG134" s="7"/>
      <c r="AH134" s="7"/>
      <c r="AI134" s="59" t="str">
        <f t="shared" si="20"/>
        <v>0</v>
      </c>
      <c r="AJ134" s="49">
        <v>0</v>
      </c>
      <c r="AK134" s="49">
        <v>0</v>
      </c>
      <c r="AL134" s="49">
        <v>0</v>
      </c>
      <c r="AM134" s="49">
        <v>0</v>
      </c>
      <c r="AN134" s="7"/>
      <c r="AO134" s="59">
        <f t="shared" si="21"/>
        <v>0</v>
      </c>
      <c r="AP134" s="49">
        <v>0</v>
      </c>
      <c r="AQ134" s="49"/>
      <c r="AR134" s="49"/>
      <c r="AS134" s="7"/>
      <c r="AT134" s="7"/>
      <c r="AU134" s="59">
        <f t="shared" si="22"/>
        <v>0</v>
      </c>
      <c r="AV134" s="7"/>
      <c r="AW134" s="7"/>
      <c r="AX134" s="49"/>
      <c r="AY134" s="49">
        <v>0</v>
      </c>
      <c r="AZ134" s="49">
        <v>0</v>
      </c>
      <c r="BA134" s="59">
        <f t="shared" si="23"/>
        <v>0</v>
      </c>
    </row>
    <row r="135" spans="1:53" ht="23.1" customHeight="1" x14ac:dyDescent="0.3">
      <c r="A135" s="49">
        <v>133</v>
      </c>
      <c r="B135" s="49" t="s">
        <v>85</v>
      </c>
      <c r="C135" s="49" t="s">
        <v>86</v>
      </c>
      <c r="D135" s="49" t="s">
        <v>450</v>
      </c>
      <c r="E135" s="49" t="s">
        <v>35</v>
      </c>
      <c r="F135" s="49">
        <v>2.5</v>
      </c>
      <c r="G135" s="49">
        <v>2</v>
      </c>
      <c r="H135" s="49">
        <v>2</v>
      </c>
      <c r="I135" s="49">
        <v>2.5</v>
      </c>
      <c r="J135" s="49"/>
      <c r="K135" s="59">
        <f t="shared" si="16"/>
        <v>2.25</v>
      </c>
      <c r="L135" s="49">
        <v>2.5</v>
      </c>
      <c r="M135" s="49">
        <v>2</v>
      </c>
      <c r="N135" s="49">
        <v>2</v>
      </c>
      <c r="O135" s="49">
        <v>2.5</v>
      </c>
      <c r="P135" s="49">
        <v>2</v>
      </c>
      <c r="Q135" s="59">
        <f t="shared" si="17"/>
        <v>2.2000000000000002</v>
      </c>
      <c r="R135" s="49"/>
      <c r="S135" s="49">
        <v>2.5</v>
      </c>
      <c r="T135" s="49"/>
      <c r="U135" s="49"/>
      <c r="V135" s="49"/>
      <c r="W135" s="59">
        <f t="shared" si="18"/>
        <v>2.5</v>
      </c>
      <c r="X135" s="49"/>
      <c r="Y135" s="49"/>
      <c r="Z135" s="49"/>
      <c r="AA135" s="49"/>
      <c r="AB135" s="49"/>
      <c r="AC135" s="59" t="str">
        <f t="shared" si="19"/>
        <v>0</v>
      </c>
      <c r="AD135" s="49"/>
      <c r="AE135" s="49"/>
      <c r="AF135" s="49"/>
      <c r="AG135" s="49"/>
      <c r="AH135" s="49"/>
      <c r="AI135" s="59" t="str">
        <f t="shared" si="20"/>
        <v>0</v>
      </c>
      <c r="AJ135" s="49">
        <v>2</v>
      </c>
      <c r="AK135" s="49">
        <v>2.5</v>
      </c>
      <c r="AL135" s="49">
        <v>2.5</v>
      </c>
      <c r="AM135" s="49">
        <v>2</v>
      </c>
      <c r="AN135" s="49"/>
      <c r="AO135" s="59">
        <f t="shared" si="21"/>
        <v>2.25</v>
      </c>
      <c r="AP135" s="49">
        <v>2</v>
      </c>
      <c r="AQ135" s="49"/>
      <c r="AR135" s="49"/>
      <c r="AS135" s="49"/>
      <c r="AT135" s="49"/>
      <c r="AU135" s="59">
        <f t="shared" si="22"/>
        <v>2</v>
      </c>
      <c r="AV135" s="49"/>
      <c r="AW135" s="49"/>
      <c r="AX135" s="49"/>
      <c r="AY135" s="49">
        <v>2.5</v>
      </c>
      <c r="AZ135" s="49">
        <v>2</v>
      </c>
      <c r="BA135" s="59">
        <f t="shared" si="23"/>
        <v>2.25</v>
      </c>
    </row>
    <row r="136" spans="1:53" ht="23.1" customHeight="1" x14ac:dyDescent="0.3">
      <c r="A136" s="7">
        <v>134</v>
      </c>
      <c r="B136" s="7" t="s">
        <v>253</v>
      </c>
      <c r="C136" s="7" t="s">
        <v>254</v>
      </c>
      <c r="D136" s="7" t="s">
        <v>450</v>
      </c>
      <c r="E136" s="7" t="s">
        <v>161</v>
      </c>
      <c r="F136" s="49">
        <v>3</v>
      </c>
      <c r="G136" s="49">
        <v>1</v>
      </c>
      <c r="H136" s="49">
        <v>2</v>
      </c>
      <c r="I136" s="49">
        <v>2</v>
      </c>
      <c r="J136" s="7"/>
      <c r="K136" s="59">
        <f t="shared" si="16"/>
        <v>2</v>
      </c>
      <c r="L136" s="49">
        <v>2</v>
      </c>
      <c r="M136" s="49">
        <v>2</v>
      </c>
      <c r="N136" s="49">
        <v>2</v>
      </c>
      <c r="O136" s="49">
        <v>3</v>
      </c>
      <c r="P136" s="49">
        <v>3</v>
      </c>
      <c r="Q136" s="59">
        <f t="shared" si="17"/>
        <v>2.4</v>
      </c>
      <c r="R136" s="49"/>
      <c r="S136" s="49">
        <v>3</v>
      </c>
      <c r="T136" s="7"/>
      <c r="U136" s="49"/>
      <c r="V136" s="7"/>
      <c r="W136" s="59">
        <f t="shared" si="18"/>
        <v>3</v>
      </c>
      <c r="X136" s="49"/>
      <c r="Y136" s="49"/>
      <c r="Z136" s="7"/>
      <c r="AA136" s="7"/>
      <c r="AB136" s="7"/>
      <c r="AC136" s="59" t="str">
        <f t="shared" si="19"/>
        <v>0</v>
      </c>
      <c r="AD136" s="49"/>
      <c r="AE136" s="7"/>
      <c r="AF136" s="49"/>
      <c r="AG136" s="7"/>
      <c r="AH136" s="7"/>
      <c r="AI136" s="59" t="str">
        <f t="shared" si="20"/>
        <v>0</v>
      </c>
      <c r="AJ136" s="49">
        <v>3</v>
      </c>
      <c r="AK136" s="49">
        <v>2</v>
      </c>
      <c r="AL136" s="49">
        <v>3</v>
      </c>
      <c r="AM136" s="49">
        <v>3</v>
      </c>
      <c r="AN136" s="7"/>
      <c r="AO136" s="59">
        <f t="shared" si="21"/>
        <v>2.75</v>
      </c>
      <c r="AP136" s="49">
        <v>1</v>
      </c>
      <c r="AQ136" s="49"/>
      <c r="AR136" s="49"/>
      <c r="AS136" s="7"/>
      <c r="AT136" s="7"/>
      <c r="AU136" s="59">
        <f t="shared" si="22"/>
        <v>1</v>
      </c>
      <c r="AV136" s="7"/>
      <c r="AW136" s="7"/>
      <c r="AX136" s="49"/>
      <c r="AY136" s="49">
        <v>1</v>
      </c>
      <c r="AZ136" s="49">
        <v>1</v>
      </c>
      <c r="BA136" s="59">
        <f t="shared" si="23"/>
        <v>1</v>
      </c>
    </row>
    <row r="137" spans="1:53" ht="23.1" customHeight="1" x14ac:dyDescent="0.3">
      <c r="A137" s="49">
        <v>135</v>
      </c>
      <c r="B137" s="49" t="s">
        <v>370</v>
      </c>
      <c r="C137" s="49" t="s">
        <v>371</v>
      </c>
      <c r="D137" s="49" t="s">
        <v>450</v>
      </c>
      <c r="E137" s="49" t="s">
        <v>493</v>
      </c>
      <c r="F137" s="49">
        <v>2</v>
      </c>
      <c r="G137" s="49">
        <v>1</v>
      </c>
      <c r="H137" s="49">
        <v>0</v>
      </c>
      <c r="I137" s="49">
        <v>2</v>
      </c>
      <c r="J137" s="49"/>
      <c r="K137" s="59">
        <f t="shared" si="16"/>
        <v>1.25</v>
      </c>
      <c r="L137" s="49">
        <v>3</v>
      </c>
      <c r="M137" s="49">
        <v>2</v>
      </c>
      <c r="N137" s="49">
        <v>3</v>
      </c>
      <c r="O137" s="49">
        <v>3</v>
      </c>
      <c r="P137" s="49">
        <v>3</v>
      </c>
      <c r="Q137" s="59">
        <f t="shared" si="17"/>
        <v>2.8</v>
      </c>
      <c r="R137" s="49"/>
      <c r="S137" s="49">
        <v>2</v>
      </c>
      <c r="T137" s="49"/>
      <c r="U137" s="49"/>
      <c r="V137" s="49"/>
      <c r="W137" s="59">
        <f t="shared" si="18"/>
        <v>2</v>
      </c>
      <c r="X137" s="49"/>
      <c r="Y137" s="49"/>
      <c r="Z137" s="49"/>
      <c r="AA137" s="49"/>
      <c r="AB137" s="49"/>
      <c r="AC137" s="59" t="str">
        <f t="shared" si="19"/>
        <v>0</v>
      </c>
      <c r="AD137" s="49"/>
      <c r="AE137" s="49"/>
      <c r="AF137" s="49"/>
      <c r="AG137" s="49"/>
      <c r="AH137" s="49"/>
      <c r="AI137" s="59" t="str">
        <f t="shared" si="20"/>
        <v>0</v>
      </c>
      <c r="AJ137" s="49">
        <v>3</v>
      </c>
      <c r="AK137" s="49">
        <v>2</v>
      </c>
      <c r="AL137" s="49">
        <v>2</v>
      </c>
      <c r="AM137" s="49">
        <v>2</v>
      </c>
      <c r="AN137" s="49"/>
      <c r="AO137" s="59">
        <f t="shared" si="21"/>
        <v>2.25</v>
      </c>
      <c r="AP137" s="49">
        <v>3</v>
      </c>
      <c r="AQ137" s="49"/>
      <c r="AR137" s="49"/>
      <c r="AS137" s="49"/>
      <c r="AT137" s="49"/>
      <c r="AU137" s="59">
        <f t="shared" si="22"/>
        <v>3</v>
      </c>
      <c r="AV137" s="49"/>
      <c r="AW137" s="49"/>
      <c r="AX137" s="49"/>
      <c r="AY137" s="49">
        <v>2</v>
      </c>
      <c r="AZ137" s="49">
        <v>2</v>
      </c>
      <c r="BA137" s="59">
        <f t="shared" si="23"/>
        <v>2</v>
      </c>
    </row>
    <row r="138" spans="1:53" ht="23.1" customHeight="1" x14ac:dyDescent="0.3">
      <c r="A138" s="7">
        <v>136</v>
      </c>
      <c r="B138" s="7" t="s">
        <v>372</v>
      </c>
      <c r="C138" s="7" t="s">
        <v>373</v>
      </c>
      <c r="D138" s="7" t="s">
        <v>542</v>
      </c>
      <c r="E138" s="7" t="s">
        <v>493</v>
      </c>
      <c r="F138" s="49">
        <v>3</v>
      </c>
      <c r="G138" s="49">
        <v>3</v>
      </c>
      <c r="H138" s="49">
        <v>2</v>
      </c>
      <c r="I138" s="49">
        <v>2</v>
      </c>
      <c r="J138" s="7"/>
      <c r="K138" s="59">
        <f t="shared" si="16"/>
        <v>2.5</v>
      </c>
      <c r="L138" s="49">
        <v>3</v>
      </c>
      <c r="M138" s="49">
        <v>2</v>
      </c>
      <c r="N138" s="49">
        <v>3</v>
      </c>
      <c r="O138" s="49">
        <v>3</v>
      </c>
      <c r="P138" s="49">
        <v>2</v>
      </c>
      <c r="Q138" s="59">
        <f t="shared" si="17"/>
        <v>2.6</v>
      </c>
      <c r="R138" s="49"/>
      <c r="S138" s="49">
        <v>2</v>
      </c>
      <c r="T138" s="7"/>
      <c r="U138" s="49"/>
      <c r="V138" s="7"/>
      <c r="W138" s="59">
        <f t="shared" si="18"/>
        <v>2</v>
      </c>
      <c r="X138" s="49"/>
      <c r="Y138" s="49"/>
      <c r="Z138" s="7"/>
      <c r="AA138" s="7"/>
      <c r="AB138" s="7"/>
      <c r="AC138" s="59" t="str">
        <f t="shared" si="19"/>
        <v>0</v>
      </c>
      <c r="AD138" s="49"/>
      <c r="AE138" s="7"/>
      <c r="AF138" s="49"/>
      <c r="AG138" s="7"/>
      <c r="AH138" s="7"/>
      <c r="AI138" s="59" t="str">
        <f t="shared" si="20"/>
        <v>0</v>
      </c>
      <c r="AJ138" s="49">
        <v>2</v>
      </c>
      <c r="AK138" s="49">
        <v>2</v>
      </c>
      <c r="AL138" s="49">
        <v>2</v>
      </c>
      <c r="AM138" s="49">
        <v>2</v>
      </c>
      <c r="AN138" s="7"/>
      <c r="AO138" s="59">
        <f t="shared" si="21"/>
        <v>2</v>
      </c>
      <c r="AP138" s="49">
        <v>3</v>
      </c>
      <c r="AQ138" s="49"/>
      <c r="AR138" s="49"/>
      <c r="AS138" s="7"/>
      <c r="AT138" s="7"/>
      <c r="AU138" s="59">
        <f t="shared" si="22"/>
        <v>3</v>
      </c>
      <c r="AV138" s="7"/>
      <c r="AW138" s="7"/>
      <c r="AX138" s="49"/>
      <c r="AY138" s="49">
        <v>3</v>
      </c>
      <c r="AZ138" s="49">
        <v>3</v>
      </c>
      <c r="BA138" s="59">
        <f t="shared" si="23"/>
        <v>3</v>
      </c>
    </row>
    <row r="139" spans="1:53" ht="23.1" customHeight="1" x14ac:dyDescent="0.3">
      <c r="A139" s="49">
        <v>137</v>
      </c>
      <c r="B139" s="49" t="s">
        <v>267</v>
      </c>
      <c r="C139" s="49" t="s">
        <v>268</v>
      </c>
      <c r="D139" s="49" t="s">
        <v>542</v>
      </c>
      <c r="E139" s="49" t="s">
        <v>161</v>
      </c>
      <c r="F139" s="49">
        <v>0</v>
      </c>
      <c r="G139" s="49">
        <v>0</v>
      </c>
      <c r="H139" s="49">
        <v>0</v>
      </c>
      <c r="I139" s="49">
        <v>0</v>
      </c>
      <c r="J139" s="49"/>
      <c r="K139" s="59">
        <f t="shared" si="16"/>
        <v>0</v>
      </c>
      <c r="L139" s="49">
        <v>0</v>
      </c>
      <c r="M139" s="49">
        <v>0</v>
      </c>
      <c r="N139" s="49">
        <v>0</v>
      </c>
      <c r="O139" s="49">
        <v>0</v>
      </c>
      <c r="P139" s="49">
        <v>0</v>
      </c>
      <c r="Q139" s="59">
        <f t="shared" si="17"/>
        <v>0</v>
      </c>
      <c r="R139" s="49"/>
      <c r="S139" s="49">
        <v>0</v>
      </c>
      <c r="T139" s="49"/>
      <c r="U139" s="49"/>
      <c r="V139" s="49"/>
      <c r="W139" s="59">
        <f t="shared" si="18"/>
        <v>0</v>
      </c>
      <c r="X139" s="49"/>
      <c r="Y139" s="49"/>
      <c r="Z139" s="49"/>
      <c r="AA139" s="49"/>
      <c r="AB139" s="49"/>
      <c r="AC139" s="59" t="str">
        <f t="shared" si="19"/>
        <v>0</v>
      </c>
      <c r="AD139" s="49"/>
      <c r="AE139" s="49"/>
      <c r="AF139" s="49"/>
      <c r="AG139" s="49"/>
      <c r="AH139" s="49"/>
      <c r="AI139" s="59" t="str">
        <f t="shared" si="20"/>
        <v>0</v>
      </c>
      <c r="AJ139" s="49">
        <v>0</v>
      </c>
      <c r="AK139" s="49">
        <v>0</v>
      </c>
      <c r="AL139" s="49">
        <v>0</v>
      </c>
      <c r="AM139" s="49">
        <v>0</v>
      </c>
      <c r="AN139" s="49"/>
      <c r="AO139" s="59">
        <f t="shared" si="21"/>
        <v>0</v>
      </c>
      <c r="AP139" s="49">
        <v>0</v>
      </c>
      <c r="AQ139" s="49"/>
      <c r="AR139" s="49"/>
      <c r="AS139" s="49"/>
      <c r="AT139" s="49"/>
      <c r="AU139" s="59">
        <f t="shared" si="22"/>
        <v>0</v>
      </c>
      <c r="AV139" s="49"/>
      <c r="AW139" s="49"/>
      <c r="AX139" s="49"/>
      <c r="AY139" s="49">
        <v>0</v>
      </c>
      <c r="AZ139" s="49">
        <v>0</v>
      </c>
      <c r="BA139" s="59">
        <f t="shared" si="23"/>
        <v>0</v>
      </c>
    </row>
    <row r="140" spans="1:53" ht="23.1" customHeight="1" x14ac:dyDescent="0.3">
      <c r="A140" s="7">
        <v>138</v>
      </c>
      <c r="B140" s="7" t="s">
        <v>281</v>
      </c>
      <c r="C140" s="7" t="s">
        <v>282</v>
      </c>
      <c r="D140" s="7" t="s">
        <v>542</v>
      </c>
      <c r="E140" s="7" t="s">
        <v>161</v>
      </c>
      <c r="F140" s="49">
        <v>3</v>
      </c>
      <c r="G140" s="49">
        <v>3</v>
      </c>
      <c r="H140" s="49">
        <v>2</v>
      </c>
      <c r="I140" s="49">
        <v>2</v>
      </c>
      <c r="J140" s="7"/>
      <c r="K140" s="59">
        <f t="shared" si="16"/>
        <v>2.5</v>
      </c>
      <c r="L140" s="49">
        <v>2</v>
      </c>
      <c r="M140" s="49">
        <v>3</v>
      </c>
      <c r="N140" s="49">
        <v>3</v>
      </c>
      <c r="O140" s="49">
        <v>4</v>
      </c>
      <c r="P140" s="49">
        <v>3</v>
      </c>
      <c r="Q140" s="59">
        <f t="shared" si="17"/>
        <v>3</v>
      </c>
      <c r="R140" s="49"/>
      <c r="S140" s="49">
        <v>2</v>
      </c>
      <c r="T140" s="7"/>
      <c r="U140" s="49"/>
      <c r="V140" s="7"/>
      <c r="W140" s="59">
        <f t="shared" si="18"/>
        <v>2</v>
      </c>
      <c r="X140" s="49"/>
      <c r="Y140" s="49"/>
      <c r="Z140" s="7"/>
      <c r="AA140" s="7"/>
      <c r="AB140" s="7"/>
      <c r="AC140" s="59" t="str">
        <f t="shared" si="19"/>
        <v>0</v>
      </c>
      <c r="AD140" s="49"/>
      <c r="AE140" s="7"/>
      <c r="AF140" s="49"/>
      <c r="AG140" s="7"/>
      <c r="AH140" s="7"/>
      <c r="AI140" s="59" t="str">
        <f t="shared" si="20"/>
        <v>0</v>
      </c>
      <c r="AJ140" s="49">
        <v>3</v>
      </c>
      <c r="AK140" s="49">
        <v>3</v>
      </c>
      <c r="AL140" s="49">
        <v>3</v>
      </c>
      <c r="AM140" s="49">
        <v>2</v>
      </c>
      <c r="AN140" s="7"/>
      <c r="AO140" s="59">
        <f t="shared" si="21"/>
        <v>2.75</v>
      </c>
      <c r="AP140" s="49">
        <v>3</v>
      </c>
      <c r="AQ140" s="49"/>
      <c r="AR140" s="49"/>
      <c r="AS140" s="7"/>
      <c r="AT140" s="7"/>
      <c r="AU140" s="59">
        <f t="shared" si="22"/>
        <v>3</v>
      </c>
      <c r="AV140" s="7"/>
      <c r="AW140" s="7"/>
      <c r="AX140" s="49"/>
      <c r="AY140" s="49">
        <v>3</v>
      </c>
      <c r="AZ140" s="49">
        <v>4</v>
      </c>
      <c r="BA140" s="59">
        <f t="shared" si="23"/>
        <v>3.5</v>
      </c>
    </row>
    <row r="141" spans="1:53" ht="23.1" customHeight="1" x14ac:dyDescent="0.3">
      <c r="A141" s="49">
        <v>139</v>
      </c>
      <c r="B141" s="49" t="s">
        <v>152</v>
      </c>
      <c r="C141" s="49" t="s">
        <v>153</v>
      </c>
      <c r="D141" s="49" t="s">
        <v>450</v>
      </c>
      <c r="E141" s="49" t="s">
        <v>35</v>
      </c>
      <c r="F141" s="49">
        <v>3</v>
      </c>
      <c r="G141" s="49">
        <v>2</v>
      </c>
      <c r="H141" s="49">
        <v>3</v>
      </c>
      <c r="I141" s="49">
        <v>2</v>
      </c>
      <c r="J141" s="49"/>
      <c r="K141" s="59">
        <f t="shared" si="16"/>
        <v>2.5</v>
      </c>
      <c r="L141" s="49">
        <v>3</v>
      </c>
      <c r="M141" s="49">
        <v>2</v>
      </c>
      <c r="N141" s="49">
        <v>2</v>
      </c>
      <c r="O141" s="49">
        <v>3</v>
      </c>
      <c r="P141" s="49">
        <v>3</v>
      </c>
      <c r="Q141" s="59">
        <f t="shared" si="17"/>
        <v>2.6</v>
      </c>
      <c r="R141" s="49"/>
      <c r="S141" s="49">
        <v>2</v>
      </c>
      <c r="T141" s="49"/>
      <c r="U141" s="49"/>
      <c r="V141" s="49"/>
      <c r="W141" s="59">
        <f t="shared" si="18"/>
        <v>2</v>
      </c>
      <c r="X141" s="49"/>
      <c r="Y141" s="49"/>
      <c r="Z141" s="49"/>
      <c r="AA141" s="49"/>
      <c r="AB141" s="49"/>
      <c r="AC141" s="59" t="str">
        <f t="shared" si="19"/>
        <v>0</v>
      </c>
      <c r="AD141" s="49"/>
      <c r="AE141" s="49"/>
      <c r="AF141" s="49"/>
      <c r="AG141" s="49"/>
      <c r="AH141" s="49"/>
      <c r="AI141" s="59" t="str">
        <f t="shared" si="20"/>
        <v>0</v>
      </c>
      <c r="AJ141" s="49">
        <v>3</v>
      </c>
      <c r="AK141" s="49">
        <v>2</v>
      </c>
      <c r="AL141" s="49">
        <v>3</v>
      </c>
      <c r="AM141" s="49">
        <v>3</v>
      </c>
      <c r="AN141" s="49"/>
      <c r="AO141" s="59">
        <f t="shared" si="21"/>
        <v>2.75</v>
      </c>
      <c r="AP141" s="49">
        <v>3</v>
      </c>
      <c r="AQ141" s="49"/>
      <c r="AR141" s="49"/>
      <c r="AS141" s="49"/>
      <c r="AT141" s="49"/>
      <c r="AU141" s="59">
        <f t="shared" si="22"/>
        <v>3</v>
      </c>
      <c r="AV141" s="49"/>
      <c r="AW141" s="49"/>
      <c r="AX141" s="49"/>
      <c r="AY141" s="49">
        <v>4</v>
      </c>
      <c r="AZ141" s="49">
        <v>4</v>
      </c>
      <c r="BA141" s="59">
        <f t="shared" si="23"/>
        <v>4</v>
      </c>
    </row>
    <row r="142" spans="1:53" ht="23.1" customHeight="1" x14ac:dyDescent="0.3">
      <c r="A142" s="7">
        <v>140</v>
      </c>
      <c r="B142" s="7" t="s">
        <v>374</v>
      </c>
      <c r="C142" s="7" t="s">
        <v>375</v>
      </c>
      <c r="D142" s="7" t="s">
        <v>450</v>
      </c>
      <c r="E142" s="7" t="s">
        <v>493</v>
      </c>
      <c r="F142" s="49">
        <v>2</v>
      </c>
      <c r="G142" s="49">
        <v>3</v>
      </c>
      <c r="H142" s="49">
        <v>2</v>
      </c>
      <c r="I142" s="49">
        <v>2</v>
      </c>
      <c r="J142" s="7"/>
      <c r="K142" s="59">
        <f t="shared" si="16"/>
        <v>2.25</v>
      </c>
      <c r="L142" s="49">
        <v>2</v>
      </c>
      <c r="M142" s="49">
        <v>3</v>
      </c>
      <c r="N142" s="49">
        <v>3</v>
      </c>
      <c r="O142" s="49">
        <v>3</v>
      </c>
      <c r="P142" s="49">
        <v>2</v>
      </c>
      <c r="Q142" s="59">
        <f t="shared" si="17"/>
        <v>2.6</v>
      </c>
      <c r="R142" s="49"/>
      <c r="S142" s="49">
        <v>2</v>
      </c>
      <c r="T142" s="7"/>
      <c r="U142" s="49"/>
      <c r="V142" s="7"/>
      <c r="W142" s="59">
        <f t="shared" si="18"/>
        <v>2</v>
      </c>
      <c r="X142" s="49"/>
      <c r="Y142" s="49"/>
      <c r="Z142" s="7"/>
      <c r="AA142" s="7"/>
      <c r="AB142" s="7"/>
      <c r="AC142" s="59" t="str">
        <f t="shared" si="19"/>
        <v>0</v>
      </c>
      <c r="AD142" s="49"/>
      <c r="AE142" s="7"/>
      <c r="AF142" s="49"/>
      <c r="AG142" s="7"/>
      <c r="AH142" s="7"/>
      <c r="AI142" s="59" t="str">
        <f t="shared" si="20"/>
        <v>0</v>
      </c>
      <c r="AJ142" s="49">
        <v>2</v>
      </c>
      <c r="AK142" s="49">
        <v>2</v>
      </c>
      <c r="AL142" s="49">
        <v>2</v>
      </c>
      <c r="AM142" s="49">
        <v>2</v>
      </c>
      <c r="AN142" s="7"/>
      <c r="AO142" s="59">
        <f t="shared" si="21"/>
        <v>2</v>
      </c>
      <c r="AP142" s="49">
        <v>3</v>
      </c>
      <c r="AQ142" s="49"/>
      <c r="AR142" s="49"/>
      <c r="AS142" s="7"/>
      <c r="AT142" s="7"/>
      <c r="AU142" s="59">
        <f t="shared" si="22"/>
        <v>3</v>
      </c>
      <c r="AV142" s="7"/>
      <c r="AW142" s="7"/>
      <c r="AX142" s="49"/>
      <c r="AY142" s="49">
        <v>2</v>
      </c>
      <c r="AZ142" s="49">
        <v>2</v>
      </c>
      <c r="BA142" s="59">
        <f t="shared" si="23"/>
        <v>2</v>
      </c>
    </row>
    <row r="143" spans="1:53" ht="23.1" customHeight="1" x14ac:dyDescent="0.3">
      <c r="A143" s="49">
        <v>141</v>
      </c>
      <c r="B143" s="49" t="s">
        <v>269</v>
      </c>
      <c r="C143" s="49" t="s">
        <v>270</v>
      </c>
      <c r="D143" s="49" t="s">
        <v>450</v>
      </c>
      <c r="E143" s="49" t="s">
        <v>161</v>
      </c>
      <c r="F143" s="49">
        <v>3.5</v>
      </c>
      <c r="G143" s="49">
        <v>3</v>
      </c>
      <c r="H143" s="49">
        <v>3</v>
      </c>
      <c r="I143" s="49">
        <v>2.5</v>
      </c>
      <c r="J143" s="49"/>
      <c r="K143" s="59">
        <f t="shared" si="16"/>
        <v>3</v>
      </c>
      <c r="L143" s="49">
        <v>3.5</v>
      </c>
      <c r="M143" s="49">
        <v>3</v>
      </c>
      <c r="N143" s="49">
        <v>3</v>
      </c>
      <c r="O143" s="49">
        <v>2.5</v>
      </c>
      <c r="P143" s="49">
        <v>2.5</v>
      </c>
      <c r="Q143" s="59">
        <f t="shared" si="17"/>
        <v>2.9</v>
      </c>
      <c r="R143" s="49"/>
      <c r="S143" s="49">
        <v>3</v>
      </c>
      <c r="T143" s="49"/>
      <c r="U143" s="49"/>
      <c r="V143" s="49"/>
      <c r="W143" s="59">
        <f t="shared" si="18"/>
        <v>3</v>
      </c>
      <c r="X143" s="49"/>
      <c r="Y143" s="49"/>
      <c r="Z143" s="49"/>
      <c r="AA143" s="49"/>
      <c r="AB143" s="49"/>
      <c r="AC143" s="59" t="str">
        <f t="shared" si="19"/>
        <v>0</v>
      </c>
      <c r="AD143" s="49"/>
      <c r="AE143" s="49"/>
      <c r="AF143" s="49"/>
      <c r="AG143" s="49"/>
      <c r="AH143" s="49"/>
      <c r="AI143" s="59" t="str">
        <f t="shared" si="20"/>
        <v>0</v>
      </c>
      <c r="AJ143" s="49">
        <v>2.5</v>
      </c>
      <c r="AK143" s="49">
        <v>3</v>
      </c>
      <c r="AL143" s="49">
        <v>3.5</v>
      </c>
      <c r="AM143" s="49">
        <v>3</v>
      </c>
      <c r="AN143" s="49"/>
      <c r="AO143" s="59">
        <f t="shared" si="21"/>
        <v>3</v>
      </c>
      <c r="AP143" s="49">
        <v>3</v>
      </c>
      <c r="AQ143" s="49"/>
      <c r="AR143" s="49"/>
      <c r="AS143" s="49"/>
      <c r="AT143" s="49"/>
      <c r="AU143" s="59">
        <f t="shared" si="22"/>
        <v>3</v>
      </c>
      <c r="AV143" s="49"/>
      <c r="AW143" s="49"/>
      <c r="AX143" s="49"/>
      <c r="AY143" s="49">
        <v>2.5</v>
      </c>
      <c r="AZ143" s="49">
        <v>2.5</v>
      </c>
      <c r="BA143" s="59">
        <f t="shared" si="23"/>
        <v>2.5</v>
      </c>
    </row>
    <row r="144" spans="1:53" ht="23.1" customHeight="1" x14ac:dyDescent="0.3">
      <c r="A144" s="7">
        <v>142</v>
      </c>
      <c r="B144" s="7" t="s">
        <v>170</v>
      </c>
      <c r="C144" s="7" t="s">
        <v>171</v>
      </c>
      <c r="D144" s="7" t="s">
        <v>542</v>
      </c>
      <c r="E144" s="7" t="s">
        <v>161</v>
      </c>
      <c r="F144" s="49">
        <v>3</v>
      </c>
      <c r="G144" s="49">
        <v>4</v>
      </c>
      <c r="H144" s="49">
        <v>4</v>
      </c>
      <c r="I144" s="49">
        <v>3</v>
      </c>
      <c r="J144" s="7"/>
      <c r="K144" s="59">
        <f t="shared" si="16"/>
        <v>3.5</v>
      </c>
      <c r="L144" s="49">
        <v>3</v>
      </c>
      <c r="M144" s="49">
        <v>3</v>
      </c>
      <c r="N144" s="49">
        <v>3</v>
      </c>
      <c r="O144" s="49">
        <v>3</v>
      </c>
      <c r="P144" s="49">
        <v>3</v>
      </c>
      <c r="Q144" s="59">
        <f t="shared" si="17"/>
        <v>3</v>
      </c>
      <c r="R144" s="49"/>
      <c r="S144" s="49">
        <v>3</v>
      </c>
      <c r="T144" s="7"/>
      <c r="U144" s="49"/>
      <c r="V144" s="7"/>
      <c r="W144" s="59">
        <f t="shared" si="18"/>
        <v>3</v>
      </c>
      <c r="X144" s="49"/>
      <c r="Y144" s="49"/>
      <c r="Z144" s="7"/>
      <c r="AA144" s="7"/>
      <c r="AB144" s="7"/>
      <c r="AC144" s="59" t="str">
        <f t="shared" si="19"/>
        <v>0</v>
      </c>
      <c r="AD144" s="49"/>
      <c r="AE144" s="7"/>
      <c r="AF144" s="49"/>
      <c r="AG144" s="7"/>
      <c r="AH144" s="7"/>
      <c r="AI144" s="59" t="str">
        <f t="shared" si="20"/>
        <v>0</v>
      </c>
      <c r="AJ144" s="49">
        <v>3</v>
      </c>
      <c r="AK144" s="49">
        <v>3</v>
      </c>
      <c r="AL144" s="49">
        <v>3</v>
      </c>
      <c r="AM144" s="49">
        <v>3</v>
      </c>
      <c r="AN144" s="7"/>
      <c r="AO144" s="59">
        <f t="shared" si="21"/>
        <v>3</v>
      </c>
      <c r="AP144" s="49">
        <v>3</v>
      </c>
      <c r="AQ144" s="49"/>
      <c r="AR144" s="49"/>
      <c r="AS144" s="7"/>
      <c r="AT144" s="7"/>
      <c r="AU144" s="59">
        <f t="shared" si="22"/>
        <v>3</v>
      </c>
      <c r="AV144" s="7"/>
      <c r="AW144" s="7"/>
      <c r="AX144" s="49"/>
      <c r="AY144" s="49">
        <v>4</v>
      </c>
      <c r="AZ144" s="49">
        <v>3</v>
      </c>
      <c r="BA144" s="59">
        <f t="shared" si="23"/>
        <v>3.5</v>
      </c>
    </row>
    <row r="145" spans="1:53" ht="23.1" customHeight="1" x14ac:dyDescent="0.3">
      <c r="A145" s="49">
        <v>143</v>
      </c>
      <c r="B145" s="49" t="s">
        <v>283</v>
      </c>
      <c r="C145" s="49" t="s">
        <v>284</v>
      </c>
      <c r="D145" s="49" t="s">
        <v>450</v>
      </c>
      <c r="E145" s="49" t="s">
        <v>161</v>
      </c>
      <c r="F145" s="49">
        <v>3</v>
      </c>
      <c r="G145" s="49">
        <v>4</v>
      </c>
      <c r="H145" s="49">
        <v>0</v>
      </c>
      <c r="I145" s="49">
        <v>3</v>
      </c>
      <c r="J145" s="49"/>
      <c r="K145" s="59">
        <f t="shared" si="16"/>
        <v>2.5</v>
      </c>
      <c r="L145" s="49">
        <v>3</v>
      </c>
      <c r="M145" s="49">
        <v>3</v>
      </c>
      <c r="N145" s="49">
        <v>3</v>
      </c>
      <c r="O145" s="49">
        <v>3</v>
      </c>
      <c r="P145" s="49">
        <v>3</v>
      </c>
      <c r="Q145" s="59">
        <f t="shared" si="17"/>
        <v>3</v>
      </c>
      <c r="R145" s="49"/>
      <c r="S145" s="49">
        <v>3</v>
      </c>
      <c r="T145" s="49"/>
      <c r="U145" s="49"/>
      <c r="V145" s="49"/>
      <c r="W145" s="59">
        <f t="shared" si="18"/>
        <v>3</v>
      </c>
      <c r="X145" s="49"/>
      <c r="Y145" s="49"/>
      <c r="Z145" s="49"/>
      <c r="AA145" s="49"/>
      <c r="AB145" s="49"/>
      <c r="AC145" s="59" t="str">
        <f t="shared" si="19"/>
        <v>0</v>
      </c>
      <c r="AD145" s="49"/>
      <c r="AE145" s="49"/>
      <c r="AF145" s="49"/>
      <c r="AG145" s="49"/>
      <c r="AH145" s="49"/>
      <c r="AI145" s="59" t="str">
        <f t="shared" si="20"/>
        <v>0</v>
      </c>
      <c r="AJ145" s="49">
        <v>3</v>
      </c>
      <c r="AK145" s="49">
        <v>3</v>
      </c>
      <c r="AL145" s="49">
        <v>3</v>
      </c>
      <c r="AM145" s="49">
        <v>3</v>
      </c>
      <c r="AN145" s="49"/>
      <c r="AO145" s="59">
        <f t="shared" si="21"/>
        <v>3</v>
      </c>
      <c r="AP145" s="49">
        <v>3</v>
      </c>
      <c r="AQ145" s="49"/>
      <c r="AR145" s="49"/>
      <c r="AS145" s="49"/>
      <c r="AT145" s="49"/>
      <c r="AU145" s="59">
        <f t="shared" si="22"/>
        <v>3</v>
      </c>
      <c r="AV145" s="49"/>
      <c r="AW145" s="49"/>
      <c r="AX145" s="49"/>
      <c r="AY145" s="49">
        <v>3</v>
      </c>
      <c r="AZ145" s="49">
        <v>3</v>
      </c>
      <c r="BA145" s="59">
        <f t="shared" si="23"/>
        <v>3</v>
      </c>
    </row>
    <row r="146" spans="1:53" ht="23.1" customHeight="1" x14ac:dyDescent="0.3">
      <c r="A146" s="7">
        <v>144</v>
      </c>
      <c r="B146" s="7" t="s">
        <v>172</v>
      </c>
      <c r="C146" s="7" t="s">
        <v>173</v>
      </c>
      <c r="D146" s="7" t="s">
        <v>450</v>
      </c>
      <c r="E146" s="7" t="s">
        <v>161</v>
      </c>
      <c r="F146" s="49">
        <v>3</v>
      </c>
      <c r="G146" s="49">
        <v>3</v>
      </c>
      <c r="H146" s="49">
        <v>3</v>
      </c>
      <c r="I146" s="49">
        <v>3</v>
      </c>
      <c r="J146" s="7"/>
      <c r="K146" s="59">
        <f t="shared" si="16"/>
        <v>3</v>
      </c>
      <c r="L146" s="49">
        <v>4</v>
      </c>
      <c r="M146" s="49">
        <v>3</v>
      </c>
      <c r="N146" s="49">
        <v>3</v>
      </c>
      <c r="O146" s="49">
        <v>3</v>
      </c>
      <c r="P146" s="49">
        <v>4</v>
      </c>
      <c r="Q146" s="59">
        <f t="shared" si="17"/>
        <v>3.4</v>
      </c>
      <c r="R146" s="49"/>
      <c r="S146" s="49">
        <v>3</v>
      </c>
      <c r="T146" s="7"/>
      <c r="U146" s="49"/>
      <c r="V146" s="7"/>
      <c r="W146" s="59">
        <f t="shared" si="18"/>
        <v>3</v>
      </c>
      <c r="X146" s="49"/>
      <c r="Y146" s="49"/>
      <c r="Z146" s="7"/>
      <c r="AA146" s="7"/>
      <c r="AB146" s="7"/>
      <c r="AC146" s="59" t="str">
        <f t="shared" si="19"/>
        <v>0</v>
      </c>
      <c r="AD146" s="49"/>
      <c r="AE146" s="7"/>
      <c r="AF146" s="49"/>
      <c r="AG146" s="7"/>
      <c r="AH146" s="7"/>
      <c r="AI146" s="59" t="str">
        <f t="shared" si="20"/>
        <v>0</v>
      </c>
      <c r="AJ146" s="49">
        <v>3</v>
      </c>
      <c r="AK146" s="49">
        <v>3</v>
      </c>
      <c r="AL146" s="49">
        <v>3</v>
      </c>
      <c r="AM146" s="49">
        <v>3</v>
      </c>
      <c r="AN146" s="7"/>
      <c r="AO146" s="59">
        <f t="shared" si="21"/>
        <v>3</v>
      </c>
      <c r="AP146" s="49">
        <v>3</v>
      </c>
      <c r="AQ146" s="49"/>
      <c r="AR146" s="49"/>
      <c r="AS146" s="7"/>
      <c r="AT146" s="7"/>
      <c r="AU146" s="59">
        <f t="shared" si="22"/>
        <v>3</v>
      </c>
      <c r="AV146" s="7"/>
      <c r="AW146" s="7"/>
      <c r="AX146" s="49"/>
      <c r="AY146" s="49">
        <v>4</v>
      </c>
      <c r="AZ146" s="49">
        <v>4</v>
      </c>
      <c r="BA146" s="59">
        <f t="shared" si="23"/>
        <v>4</v>
      </c>
    </row>
    <row r="147" spans="1:53" ht="23.1" customHeight="1" x14ac:dyDescent="0.3">
      <c r="A147" s="49">
        <v>145</v>
      </c>
      <c r="B147" s="49" t="s">
        <v>376</v>
      </c>
      <c r="C147" s="49" t="s">
        <v>377</v>
      </c>
      <c r="D147" s="49" t="s">
        <v>542</v>
      </c>
      <c r="E147" s="49" t="s">
        <v>493</v>
      </c>
      <c r="F147" s="49">
        <v>3</v>
      </c>
      <c r="G147" s="49">
        <v>2.5</v>
      </c>
      <c r="H147" s="49">
        <v>2.5</v>
      </c>
      <c r="I147" s="49">
        <v>3</v>
      </c>
      <c r="J147" s="49"/>
      <c r="K147" s="59">
        <f t="shared" si="16"/>
        <v>2.75</v>
      </c>
      <c r="L147" s="49">
        <v>3</v>
      </c>
      <c r="M147" s="49">
        <v>2.5</v>
      </c>
      <c r="N147" s="49">
        <v>2.5</v>
      </c>
      <c r="O147" s="49">
        <v>3</v>
      </c>
      <c r="P147" s="49">
        <v>3</v>
      </c>
      <c r="Q147" s="59">
        <f t="shared" si="17"/>
        <v>2.8</v>
      </c>
      <c r="R147" s="49"/>
      <c r="S147" s="49">
        <v>3</v>
      </c>
      <c r="T147" s="49"/>
      <c r="U147" s="49"/>
      <c r="V147" s="49"/>
      <c r="W147" s="59">
        <f t="shared" si="18"/>
        <v>3</v>
      </c>
      <c r="X147" s="49"/>
      <c r="Y147" s="49"/>
      <c r="Z147" s="49"/>
      <c r="AA147" s="49"/>
      <c r="AB147" s="49"/>
      <c r="AC147" s="59" t="str">
        <f t="shared" si="19"/>
        <v>0</v>
      </c>
      <c r="AD147" s="49"/>
      <c r="AE147" s="49"/>
      <c r="AF147" s="49"/>
      <c r="AG147" s="49"/>
      <c r="AH147" s="49"/>
      <c r="AI147" s="59" t="str">
        <f t="shared" si="20"/>
        <v>0</v>
      </c>
      <c r="AJ147" s="49">
        <v>3</v>
      </c>
      <c r="AK147" s="49">
        <v>3</v>
      </c>
      <c r="AL147" s="49">
        <v>3</v>
      </c>
      <c r="AM147" s="49">
        <v>2.5</v>
      </c>
      <c r="AN147" s="49"/>
      <c r="AO147" s="59">
        <f t="shared" si="21"/>
        <v>2.875</v>
      </c>
      <c r="AP147" s="49">
        <v>2.5</v>
      </c>
      <c r="AQ147" s="49"/>
      <c r="AR147" s="49"/>
      <c r="AS147" s="49"/>
      <c r="AT147" s="49"/>
      <c r="AU147" s="59">
        <f t="shared" si="22"/>
        <v>2.5</v>
      </c>
      <c r="AV147" s="49"/>
      <c r="AW147" s="49"/>
      <c r="AX147" s="49"/>
      <c r="AY147" s="49">
        <v>3</v>
      </c>
      <c r="AZ147" s="49">
        <v>3</v>
      </c>
      <c r="BA147" s="59">
        <f t="shared" si="23"/>
        <v>3</v>
      </c>
    </row>
    <row r="148" spans="1:53" ht="23.1" customHeight="1" x14ac:dyDescent="0.3">
      <c r="A148" s="7">
        <v>146</v>
      </c>
      <c r="B148" s="7" t="s">
        <v>378</v>
      </c>
      <c r="C148" s="7" t="s">
        <v>379</v>
      </c>
      <c r="D148" s="7" t="s">
        <v>542</v>
      </c>
      <c r="E148" s="7" t="s">
        <v>493</v>
      </c>
      <c r="F148" s="49">
        <v>5</v>
      </c>
      <c r="G148" s="49">
        <v>5</v>
      </c>
      <c r="H148" s="49">
        <v>5</v>
      </c>
      <c r="I148" s="49">
        <v>5</v>
      </c>
      <c r="J148" s="7"/>
      <c r="K148" s="59">
        <f t="shared" si="16"/>
        <v>5</v>
      </c>
      <c r="L148" s="49">
        <v>4</v>
      </c>
      <c r="M148" s="49">
        <v>5</v>
      </c>
      <c r="N148" s="49">
        <v>5</v>
      </c>
      <c r="O148" s="49">
        <v>4</v>
      </c>
      <c r="P148" s="49">
        <v>4</v>
      </c>
      <c r="Q148" s="59">
        <f t="shared" si="17"/>
        <v>4.4000000000000004</v>
      </c>
      <c r="R148" s="49"/>
      <c r="S148" s="49">
        <v>4</v>
      </c>
      <c r="T148" s="7"/>
      <c r="U148" s="49"/>
      <c r="V148" s="7"/>
      <c r="W148" s="59">
        <f t="shared" si="18"/>
        <v>4</v>
      </c>
      <c r="X148" s="49"/>
      <c r="Y148" s="49"/>
      <c r="Z148" s="7"/>
      <c r="AA148" s="7"/>
      <c r="AB148" s="7"/>
      <c r="AC148" s="59" t="str">
        <f t="shared" si="19"/>
        <v>0</v>
      </c>
      <c r="AD148" s="49"/>
      <c r="AE148" s="7"/>
      <c r="AF148" s="49"/>
      <c r="AG148" s="7"/>
      <c r="AH148" s="7"/>
      <c r="AI148" s="59" t="str">
        <f t="shared" si="20"/>
        <v>0</v>
      </c>
      <c r="AJ148" s="49">
        <v>5</v>
      </c>
      <c r="AK148" s="49">
        <v>5</v>
      </c>
      <c r="AL148" s="49">
        <v>4</v>
      </c>
      <c r="AM148" s="49">
        <v>5</v>
      </c>
      <c r="AN148" s="7"/>
      <c r="AO148" s="59">
        <f t="shared" si="21"/>
        <v>4.75</v>
      </c>
      <c r="AP148" s="49">
        <v>3</v>
      </c>
      <c r="AQ148" s="49"/>
      <c r="AR148" s="49"/>
      <c r="AS148" s="7"/>
      <c r="AT148" s="7"/>
      <c r="AU148" s="59">
        <f t="shared" si="22"/>
        <v>3</v>
      </c>
      <c r="AV148" s="7"/>
      <c r="AW148" s="7"/>
      <c r="AX148" s="49"/>
      <c r="AY148" s="49">
        <v>5</v>
      </c>
      <c r="AZ148" s="49">
        <v>5</v>
      </c>
      <c r="BA148" s="59">
        <f t="shared" si="23"/>
        <v>5</v>
      </c>
    </row>
    <row r="149" spans="1:53" ht="23.1" customHeight="1" x14ac:dyDescent="0.3">
      <c r="A149" s="49">
        <v>147</v>
      </c>
      <c r="B149" s="49" t="s">
        <v>154</v>
      </c>
      <c r="C149" s="49" t="s">
        <v>155</v>
      </c>
      <c r="D149" s="49" t="s">
        <v>450</v>
      </c>
      <c r="E149" s="49" t="s">
        <v>35</v>
      </c>
      <c r="F149" s="49">
        <v>3</v>
      </c>
      <c r="G149" s="49">
        <v>3</v>
      </c>
      <c r="H149" s="49">
        <v>4</v>
      </c>
      <c r="I149" s="49">
        <v>3</v>
      </c>
      <c r="J149" s="49"/>
      <c r="K149" s="59">
        <f t="shared" si="16"/>
        <v>3.25</v>
      </c>
      <c r="L149" s="49">
        <v>4</v>
      </c>
      <c r="M149" s="49">
        <v>2</v>
      </c>
      <c r="N149" s="49">
        <v>3</v>
      </c>
      <c r="O149" s="49">
        <v>3</v>
      </c>
      <c r="P149" s="49">
        <v>2</v>
      </c>
      <c r="Q149" s="59">
        <f t="shared" si="17"/>
        <v>2.8</v>
      </c>
      <c r="R149" s="49"/>
      <c r="S149" s="49">
        <v>3</v>
      </c>
      <c r="T149" s="49"/>
      <c r="U149" s="49"/>
      <c r="V149" s="49"/>
      <c r="W149" s="59">
        <f t="shared" si="18"/>
        <v>3</v>
      </c>
      <c r="X149" s="49"/>
      <c r="Y149" s="49"/>
      <c r="Z149" s="49"/>
      <c r="AA149" s="49"/>
      <c r="AB149" s="49"/>
      <c r="AC149" s="59" t="str">
        <f t="shared" si="19"/>
        <v>0</v>
      </c>
      <c r="AD149" s="49"/>
      <c r="AE149" s="49"/>
      <c r="AF149" s="49"/>
      <c r="AG149" s="49"/>
      <c r="AH149" s="49"/>
      <c r="AI149" s="59" t="str">
        <f t="shared" si="20"/>
        <v>0</v>
      </c>
      <c r="AJ149" s="49">
        <v>3</v>
      </c>
      <c r="AK149" s="49">
        <v>4</v>
      </c>
      <c r="AL149" s="49">
        <v>3</v>
      </c>
      <c r="AM149" s="49">
        <v>3</v>
      </c>
      <c r="AN149" s="49"/>
      <c r="AO149" s="59">
        <f t="shared" si="21"/>
        <v>3.25</v>
      </c>
      <c r="AP149" s="49">
        <v>3</v>
      </c>
      <c r="AQ149" s="49"/>
      <c r="AR149" s="49"/>
      <c r="AS149" s="49"/>
      <c r="AT149" s="49"/>
      <c r="AU149" s="59">
        <f t="shared" si="22"/>
        <v>3</v>
      </c>
      <c r="AV149" s="49"/>
      <c r="AW149" s="49"/>
      <c r="AX149" s="49"/>
      <c r="AY149" s="49">
        <v>3</v>
      </c>
      <c r="AZ149" s="49">
        <v>2</v>
      </c>
      <c r="BA149" s="59">
        <f t="shared" si="23"/>
        <v>2.5</v>
      </c>
    </row>
    <row r="150" spans="1:53" ht="23.1" customHeight="1" x14ac:dyDescent="0.3">
      <c r="A150" s="7">
        <v>148</v>
      </c>
      <c r="B150" s="7" t="s">
        <v>380</v>
      </c>
      <c r="C150" s="7" t="s">
        <v>381</v>
      </c>
      <c r="D150" s="7" t="s">
        <v>450</v>
      </c>
      <c r="E150" s="7" t="s">
        <v>493</v>
      </c>
      <c r="F150" s="49">
        <v>2</v>
      </c>
      <c r="G150" s="49">
        <v>2</v>
      </c>
      <c r="H150" s="49">
        <v>1</v>
      </c>
      <c r="I150" s="49">
        <v>1</v>
      </c>
      <c r="J150" s="7"/>
      <c r="K150" s="59">
        <f t="shared" si="16"/>
        <v>1.5</v>
      </c>
      <c r="L150" s="49">
        <v>2</v>
      </c>
      <c r="M150" s="49">
        <v>2</v>
      </c>
      <c r="N150" s="49">
        <v>2</v>
      </c>
      <c r="O150" s="49">
        <v>3</v>
      </c>
      <c r="P150" s="49">
        <v>2</v>
      </c>
      <c r="Q150" s="59">
        <f t="shared" si="17"/>
        <v>2.2000000000000002</v>
      </c>
      <c r="R150" s="49"/>
      <c r="S150" s="49">
        <v>2</v>
      </c>
      <c r="T150" s="7"/>
      <c r="U150" s="49"/>
      <c r="V150" s="7"/>
      <c r="W150" s="59">
        <f t="shared" si="18"/>
        <v>2</v>
      </c>
      <c r="X150" s="49"/>
      <c r="Y150" s="49"/>
      <c r="Z150" s="7"/>
      <c r="AA150" s="7"/>
      <c r="AB150" s="7"/>
      <c r="AC150" s="59" t="str">
        <f t="shared" si="19"/>
        <v>0</v>
      </c>
      <c r="AD150" s="49"/>
      <c r="AE150" s="7"/>
      <c r="AF150" s="49"/>
      <c r="AG150" s="7"/>
      <c r="AH150" s="7"/>
      <c r="AI150" s="59" t="str">
        <f t="shared" si="20"/>
        <v>0</v>
      </c>
      <c r="AJ150" s="49">
        <v>2</v>
      </c>
      <c r="AK150" s="49">
        <v>2</v>
      </c>
      <c r="AL150" s="49">
        <v>3</v>
      </c>
      <c r="AM150" s="49">
        <v>1</v>
      </c>
      <c r="AN150" s="7"/>
      <c r="AO150" s="59">
        <f t="shared" si="21"/>
        <v>2</v>
      </c>
      <c r="AP150" s="49">
        <v>3</v>
      </c>
      <c r="AQ150" s="49"/>
      <c r="AR150" s="49"/>
      <c r="AS150" s="7"/>
      <c r="AT150" s="7"/>
      <c r="AU150" s="59">
        <f t="shared" si="22"/>
        <v>3</v>
      </c>
      <c r="AV150" s="7"/>
      <c r="AW150" s="7"/>
      <c r="AX150" s="49"/>
      <c r="AY150" s="49">
        <v>2</v>
      </c>
      <c r="AZ150" s="49">
        <v>2</v>
      </c>
      <c r="BA150" s="59">
        <f t="shared" si="23"/>
        <v>2</v>
      </c>
    </row>
    <row r="151" spans="1:53" ht="23.1" customHeight="1" x14ac:dyDescent="0.3">
      <c r="A151" s="49">
        <v>149</v>
      </c>
      <c r="B151" s="49" t="s">
        <v>156</v>
      </c>
      <c r="C151" s="49" t="s">
        <v>382</v>
      </c>
      <c r="D151" s="49" t="s">
        <v>450</v>
      </c>
      <c r="E151" s="49" t="s">
        <v>35</v>
      </c>
      <c r="F151" s="49">
        <v>3</v>
      </c>
      <c r="G151" s="49">
        <v>3</v>
      </c>
      <c r="H151" s="49">
        <v>3</v>
      </c>
      <c r="I151" s="49">
        <v>3</v>
      </c>
      <c r="J151" s="49"/>
      <c r="K151" s="59">
        <f t="shared" si="16"/>
        <v>3</v>
      </c>
      <c r="L151" s="49">
        <v>2</v>
      </c>
      <c r="M151" s="49">
        <v>3</v>
      </c>
      <c r="N151" s="49">
        <v>2</v>
      </c>
      <c r="O151" s="49">
        <v>2</v>
      </c>
      <c r="P151" s="49">
        <v>2</v>
      </c>
      <c r="Q151" s="59">
        <f t="shared" si="17"/>
        <v>2.2000000000000002</v>
      </c>
      <c r="R151" s="49"/>
      <c r="S151" s="49">
        <v>2</v>
      </c>
      <c r="T151" s="49"/>
      <c r="U151" s="49"/>
      <c r="V151" s="49"/>
      <c r="W151" s="59">
        <f t="shared" si="18"/>
        <v>2</v>
      </c>
      <c r="X151" s="49"/>
      <c r="Y151" s="49"/>
      <c r="Z151" s="49"/>
      <c r="AA151" s="49"/>
      <c r="AB151" s="49"/>
      <c r="AC151" s="59" t="str">
        <f t="shared" si="19"/>
        <v>0</v>
      </c>
      <c r="AD151" s="49"/>
      <c r="AE151" s="49"/>
      <c r="AF151" s="49"/>
      <c r="AG151" s="49"/>
      <c r="AH151" s="49"/>
      <c r="AI151" s="59" t="str">
        <f t="shared" si="20"/>
        <v>0</v>
      </c>
      <c r="AJ151" s="49">
        <v>3</v>
      </c>
      <c r="AK151" s="49">
        <v>3</v>
      </c>
      <c r="AL151" s="49">
        <v>3</v>
      </c>
      <c r="AM151" s="49">
        <v>3</v>
      </c>
      <c r="AN151" s="49"/>
      <c r="AO151" s="59">
        <f t="shared" si="21"/>
        <v>3</v>
      </c>
      <c r="AP151" s="49">
        <v>3</v>
      </c>
      <c r="AQ151" s="49"/>
      <c r="AR151" s="49"/>
      <c r="AS151" s="49"/>
      <c r="AT151" s="49"/>
      <c r="AU151" s="59">
        <f t="shared" si="22"/>
        <v>3</v>
      </c>
      <c r="AV151" s="49"/>
      <c r="AW151" s="49"/>
      <c r="AX151" s="49"/>
      <c r="AY151" s="49">
        <v>2</v>
      </c>
      <c r="AZ151" s="49">
        <v>2</v>
      </c>
      <c r="BA151" s="59">
        <f t="shared" si="23"/>
        <v>2</v>
      </c>
    </row>
    <row r="152" spans="1:53" ht="23.1" customHeight="1" x14ac:dyDescent="0.3">
      <c r="A152" s="7">
        <v>150</v>
      </c>
      <c r="B152" s="7" t="s">
        <v>383</v>
      </c>
      <c r="C152" s="7" t="s">
        <v>384</v>
      </c>
      <c r="D152" s="7" t="s">
        <v>542</v>
      </c>
      <c r="E152" s="7" t="s">
        <v>493</v>
      </c>
      <c r="F152" s="49">
        <v>3</v>
      </c>
      <c r="G152" s="49">
        <v>4</v>
      </c>
      <c r="H152" s="49">
        <v>4</v>
      </c>
      <c r="I152" s="49">
        <v>4</v>
      </c>
      <c r="J152" s="7"/>
      <c r="K152" s="59">
        <f t="shared" si="16"/>
        <v>3.75</v>
      </c>
      <c r="L152" s="49">
        <v>2</v>
      </c>
      <c r="M152" s="49">
        <v>3</v>
      </c>
      <c r="N152" s="49">
        <v>3</v>
      </c>
      <c r="O152" s="49">
        <v>3</v>
      </c>
      <c r="P152" s="49">
        <v>2</v>
      </c>
      <c r="Q152" s="59">
        <f t="shared" si="17"/>
        <v>2.6</v>
      </c>
      <c r="R152" s="49"/>
      <c r="S152" s="49">
        <v>3</v>
      </c>
      <c r="T152" s="7"/>
      <c r="U152" s="49"/>
      <c r="V152" s="7"/>
      <c r="W152" s="59">
        <f t="shared" si="18"/>
        <v>3</v>
      </c>
      <c r="X152" s="49"/>
      <c r="Y152" s="49"/>
      <c r="Z152" s="7"/>
      <c r="AA152" s="7"/>
      <c r="AB152" s="7"/>
      <c r="AC152" s="59" t="str">
        <f t="shared" si="19"/>
        <v>0</v>
      </c>
      <c r="AD152" s="49"/>
      <c r="AE152" s="7"/>
      <c r="AF152" s="49"/>
      <c r="AG152" s="7"/>
      <c r="AH152" s="7"/>
      <c r="AI152" s="59" t="str">
        <f t="shared" si="20"/>
        <v>0</v>
      </c>
      <c r="AJ152" s="49">
        <v>3</v>
      </c>
      <c r="AK152" s="49">
        <v>4</v>
      </c>
      <c r="AL152" s="49">
        <v>4</v>
      </c>
      <c r="AM152" s="49">
        <v>4</v>
      </c>
      <c r="AN152" s="7"/>
      <c r="AO152" s="59">
        <f t="shared" si="21"/>
        <v>3.75</v>
      </c>
      <c r="AP152" s="49">
        <v>3</v>
      </c>
      <c r="AQ152" s="49"/>
      <c r="AR152" s="49"/>
      <c r="AS152" s="7"/>
      <c r="AT152" s="7"/>
      <c r="AU152" s="59">
        <f t="shared" si="22"/>
        <v>3</v>
      </c>
      <c r="AV152" s="7"/>
      <c r="AW152" s="7"/>
      <c r="AX152" s="49"/>
      <c r="AY152" s="49">
        <v>5</v>
      </c>
      <c r="AZ152" s="49">
        <v>4</v>
      </c>
      <c r="BA152" s="59">
        <f t="shared" si="23"/>
        <v>4.5</v>
      </c>
    </row>
    <row r="153" spans="1:53" ht="23.1" customHeight="1" x14ac:dyDescent="0.3">
      <c r="A153" s="49">
        <v>151</v>
      </c>
      <c r="B153" s="49" t="s">
        <v>46</v>
      </c>
      <c r="C153" s="49" t="s">
        <v>47</v>
      </c>
      <c r="D153" s="49" t="s">
        <v>450</v>
      </c>
      <c r="E153" s="49" t="s">
        <v>35</v>
      </c>
      <c r="F153" s="49">
        <v>3</v>
      </c>
      <c r="G153" s="49">
        <v>3</v>
      </c>
      <c r="H153" s="49">
        <v>4</v>
      </c>
      <c r="I153" s="49">
        <v>3</v>
      </c>
      <c r="J153" s="49"/>
      <c r="K153" s="59">
        <f t="shared" si="16"/>
        <v>3.25</v>
      </c>
      <c r="L153" s="49">
        <v>4</v>
      </c>
      <c r="M153" s="49">
        <v>3</v>
      </c>
      <c r="N153" s="49">
        <v>3</v>
      </c>
      <c r="O153" s="49">
        <v>3</v>
      </c>
      <c r="P153" s="49">
        <v>3</v>
      </c>
      <c r="Q153" s="59">
        <f t="shared" si="17"/>
        <v>3.2</v>
      </c>
      <c r="R153" s="49"/>
      <c r="S153" s="49">
        <v>3</v>
      </c>
      <c r="T153" s="49"/>
      <c r="U153" s="49"/>
      <c r="V153" s="49"/>
      <c r="W153" s="59">
        <f t="shared" si="18"/>
        <v>3</v>
      </c>
      <c r="X153" s="49"/>
      <c r="Y153" s="49"/>
      <c r="Z153" s="49"/>
      <c r="AA153" s="49"/>
      <c r="AB153" s="49"/>
      <c r="AC153" s="59" t="str">
        <f t="shared" si="19"/>
        <v>0</v>
      </c>
      <c r="AD153" s="49"/>
      <c r="AE153" s="49"/>
      <c r="AF153" s="49"/>
      <c r="AG153" s="49"/>
      <c r="AH153" s="49"/>
      <c r="AI153" s="59" t="str">
        <f t="shared" si="20"/>
        <v>0</v>
      </c>
      <c r="AJ153" s="49">
        <v>3</v>
      </c>
      <c r="AK153" s="49">
        <v>3</v>
      </c>
      <c r="AL153" s="49">
        <v>3</v>
      </c>
      <c r="AM153" s="49">
        <v>3</v>
      </c>
      <c r="AN153" s="49"/>
      <c r="AO153" s="59">
        <f t="shared" si="21"/>
        <v>3</v>
      </c>
      <c r="AP153" s="49">
        <v>3</v>
      </c>
      <c r="AQ153" s="49"/>
      <c r="AR153" s="49"/>
      <c r="AS153" s="49"/>
      <c r="AT153" s="49"/>
      <c r="AU153" s="59">
        <f t="shared" si="22"/>
        <v>3</v>
      </c>
      <c r="AV153" s="49"/>
      <c r="AW153" s="49"/>
      <c r="AX153" s="49"/>
      <c r="AY153" s="49">
        <v>2</v>
      </c>
      <c r="AZ153" s="49">
        <v>2</v>
      </c>
      <c r="BA153" s="59">
        <f t="shared" si="23"/>
        <v>2</v>
      </c>
    </row>
    <row r="154" spans="1:53" ht="23.1" customHeight="1" x14ac:dyDescent="0.3">
      <c r="A154" s="7">
        <v>152</v>
      </c>
      <c r="B154" s="7" t="s">
        <v>83</v>
      </c>
      <c r="C154" s="7" t="s">
        <v>84</v>
      </c>
      <c r="D154" s="7" t="s">
        <v>450</v>
      </c>
      <c r="E154" s="7" t="s">
        <v>35</v>
      </c>
      <c r="F154" s="49">
        <v>3</v>
      </c>
      <c r="G154" s="49">
        <v>3</v>
      </c>
      <c r="H154" s="49">
        <v>4</v>
      </c>
      <c r="I154" s="49">
        <v>4</v>
      </c>
      <c r="J154" s="7"/>
      <c r="K154" s="59">
        <f t="shared" si="16"/>
        <v>3.5</v>
      </c>
      <c r="L154" s="49">
        <v>3</v>
      </c>
      <c r="M154" s="49">
        <v>4</v>
      </c>
      <c r="N154" s="49">
        <v>4</v>
      </c>
      <c r="O154" s="49">
        <v>3</v>
      </c>
      <c r="P154" s="49">
        <v>4</v>
      </c>
      <c r="Q154" s="59">
        <f t="shared" si="17"/>
        <v>3.6</v>
      </c>
      <c r="R154" s="49"/>
      <c r="S154" s="49">
        <v>4</v>
      </c>
      <c r="T154" s="7"/>
      <c r="U154" s="49"/>
      <c r="V154" s="7"/>
      <c r="W154" s="59">
        <f t="shared" si="18"/>
        <v>4</v>
      </c>
      <c r="X154" s="49"/>
      <c r="Y154" s="49"/>
      <c r="Z154" s="7"/>
      <c r="AA154" s="7"/>
      <c r="AB154" s="7"/>
      <c r="AC154" s="59" t="str">
        <f t="shared" si="19"/>
        <v>0</v>
      </c>
      <c r="AD154" s="49"/>
      <c r="AE154" s="7"/>
      <c r="AF154" s="49"/>
      <c r="AG154" s="7"/>
      <c r="AH154" s="7"/>
      <c r="AI154" s="59" t="str">
        <f t="shared" si="20"/>
        <v>0</v>
      </c>
      <c r="AJ154" s="49">
        <v>3</v>
      </c>
      <c r="AK154" s="49">
        <v>4</v>
      </c>
      <c r="AL154" s="49">
        <v>3</v>
      </c>
      <c r="AM154" s="49">
        <v>3</v>
      </c>
      <c r="AN154" s="7"/>
      <c r="AO154" s="59">
        <f t="shared" si="21"/>
        <v>3.25</v>
      </c>
      <c r="AP154" s="49">
        <v>3</v>
      </c>
      <c r="AQ154" s="49"/>
      <c r="AR154" s="49"/>
      <c r="AS154" s="7"/>
      <c r="AT154" s="7"/>
      <c r="AU154" s="59">
        <f t="shared" si="22"/>
        <v>3</v>
      </c>
      <c r="AV154" s="7"/>
      <c r="AW154" s="7"/>
      <c r="AX154" s="49"/>
      <c r="AY154" s="49">
        <v>3</v>
      </c>
      <c r="AZ154" s="49">
        <v>3</v>
      </c>
      <c r="BA154" s="59">
        <f t="shared" si="23"/>
        <v>3</v>
      </c>
    </row>
    <row r="155" spans="1:53" ht="23.1" customHeight="1" x14ac:dyDescent="0.3">
      <c r="A155" s="49">
        <v>153</v>
      </c>
      <c r="B155" s="49" t="s">
        <v>385</v>
      </c>
      <c r="C155" s="49" t="s">
        <v>386</v>
      </c>
      <c r="D155" s="49" t="s">
        <v>450</v>
      </c>
      <c r="E155" s="49" t="s">
        <v>493</v>
      </c>
      <c r="F155" s="49">
        <v>2</v>
      </c>
      <c r="G155" s="49">
        <v>2</v>
      </c>
      <c r="H155" s="49">
        <v>3</v>
      </c>
      <c r="I155" s="49">
        <v>2</v>
      </c>
      <c r="J155" s="49"/>
      <c r="K155" s="59">
        <f t="shared" si="16"/>
        <v>2.25</v>
      </c>
      <c r="L155" s="49">
        <v>3</v>
      </c>
      <c r="M155" s="49">
        <v>3</v>
      </c>
      <c r="N155" s="49">
        <v>2</v>
      </c>
      <c r="O155" s="49">
        <v>3</v>
      </c>
      <c r="P155" s="49">
        <v>2</v>
      </c>
      <c r="Q155" s="59">
        <f t="shared" si="17"/>
        <v>2.6</v>
      </c>
      <c r="R155" s="49"/>
      <c r="S155" s="49">
        <v>2</v>
      </c>
      <c r="T155" s="49"/>
      <c r="U155" s="49"/>
      <c r="V155" s="49"/>
      <c r="W155" s="59">
        <f t="shared" si="18"/>
        <v>2</v>
      </c>
      <c r="X155" s="49"/>
      <c r="Y155" s="49"/>
      <c r="Z155" s="49"/>
      <c r="AA155" s="49"/>
      <c r="AB155" s="49"/>
      <c r="AC155" s="59" t="str">
        <f t="shared" si="19"/>
        <v>0</v>
      </c>
      <c r="AD155" s="49"/>
      <c r="AE155" s="49"/>
      <c r="AF155" s="49"/>
      <c r="AG155" s="49"/>
      <c r="AH155" s="49"/>
      <c r="AI155" s="59" t="str">
        <f t="shared" si="20"/>
        <v>0</v>
      </c>
      <c r="AJ155" s="49">
        <v>2</v>
      </c>
      <c r="AK155" s="49">
        <v>2</v>
      </c>
      <c r="AL155" s="49">
        <v>3</v>
      </c>
      <c r="AM155" s="49">
        <v>3</v>
      </c>
      <c r="AN155" s="49"/>
      <c r="AO155" s="59">
        <f t="shared" si="21"/>
        <v>2.5</v>
      </c>
      <c r="AP155" s="49">
        <v>3</v>
      </c>
      <c r="AQ155" s="49"/>
      <c r="AR155" s="49"/>
      <c r="AS155" s="49"/>
      <c r="AT155" s="49"/>
      <c r="AU155" s="59">
        <f t="shared" si="22"/>
        <v>3</v>
      </c>
      <c r="AV155" s="49"/>
      <c r="AW155" s="49"/>
      <c r="AX155" s="49"/>
      <c r="AY155" s="49">
        <v>2</v>
      </c>
      <c r="AZ155" s="49">
        <v>2</v>
      </c>
      <c r="BA155" s="59">
        <f t="shared" si="23"/>
        <v>2</v>
      </c>
    </row>
    <row r="156" spans="1:53" ht="23.1" customHeight="1" x14ac:dyDescent="0.3">
      <c r="A156" s="7">
        <v>154</v>
      </c>
      <c r="B156" s="7" t="s">
        <v>93</v>
      </c>
      <c r="C156" s="7" t="s">
        <v>94</v>
      </c>
      <c r="D156" s="7" t="s">
        <v>542</v>
      </c>
      <c r="E156" s="7" t="s">
        <v>35</v>
      </c>
      <c r="F156" s="49">
        <v>2</v>
      </c>
      <c r="G156" s="49">
        <v>1</v>
      </c>
      <c r="H156" s="49">
        <v>2</v>
      </c>
      <c r="I156" s="49">
        <v>3</v>
      </c>
      <c r="J156" s="7"/>
      <c r="K156" s="59">
        <f t="shared" si="16"/>
        <v>2</v>
      </c>
      <c r="L156" s="49">
        <v>3</v>
      </c>
      <c r="M156" s="49">
        <v>2</v>
      </c>
      <c r="N156" s="49">
        <v>3</v>
      </c>
      <c r="O156" s="49">
        <v>3</v>
      </c>
      <c r="P156" s="49">
        <v>2</v>
      </c>
      <c r="Q156" s="59">
        <f t="shared" si="17"/>
        <v>2.6</v>
      </c>
      <c r="R156" s="49"/>
      <c r="S156" s="49">
        <v>4</v>
      </c>
      <c r="T156" s="7"/>
      <c r="U156" s="49"/>
      <c r="V156" s="7"/>
      <c r="W156" s="59">
        <f t="shared" si="18"/>
        <v>4</v>
      </c>
      <c r="X156" s="49"/>
      <c r="Y156" s="49"/>
      <c r="Z156" s="7"/>
      <c r="AA156" s="7"/>
      <c r="AB156" s="7"/>
      <c r="AC156" s="59" t="str">
        <f t="shared" si="19"/>
        <v>0</v>
      </c>
      <c r="AD156" s="49"/>
      <c r="AE156" s="7"/>
      <c r="AF156" s="49"/>
      <c r="AG156" s="7"/>
      <c r="AH156" s="7"/>
      <c r="AI156" s="59" t="str">
        <f t="shared" si="20"/>
        <v>0</v>
      </c>
      <c r="AJ156" s="49">
        <v>3</v>
      </c>
      <c r="AK156" s="49">
        <v>3</v>
      </c>
      <c r="AL156" s="49">
        <v>3</v>
      </c>
      <c r="AM156" s="49">
        <v>3</v>
      </c>
      <c r="AN156" s="7"/>
      <c r="AO156" s="59">
        <f t="shared" si="21"/>
        <v>3</v>
      </c>
      <c r="AP156" s="49">
        <v>3</v>
      </c>
      <c r="AQ156" s="49"/>
      <c r="AR156" s="49"/>
      <c r="AS156" s="7"/>
      <c r="AT156" s="7"/>
      <c r="AU156" s="59">
        <f t="shared" si="22"/>
        <v>3</v>
      </c>
      <c r="AV156" s="7"/>
      <c r="AW156" s="7"/>
      <c r="AX156" s="49"/>
      <c r="AY156" s="49">
        <v>3</v>
      </c>
      <c r="AZ156" s="49">
        <v>3</v>
      </c>
      <c r="BA156" s="59">
        <f t="shared" si="23"/>
        <v>3</v>
      </c>
    </row>
    <row r="157" spans="1:53" ht="23.1" customHeight="1" x14ac:dyDescent="0.3">
      <c r="A157" s="49">
        <v>155</v>
      </c>
      <c r="B157" s="49" t="s">
        <v>188</v>
      </c>
      <c r="C157" s="49" t="s">
        <v>189</v>
      </c>
      <c r="D157" s="49" t="s">
        <v>542</v>
      </c>
      <c r="E157" s="49" t="s">
        <v>161</v>
      </c>
      <c r="F157" s="49">
        <v>3</v>
      </c>
      <c r="G157" s="49">
        <v>3</v>
      </c>
      <c r="H157" s="49">
        <v>2</v>
      </c>
      <c r="I157" s="49">
        <v>3</v>
      </c>
      <c r="J157" s="49"/>
      <c r="K157" s="59">
        <f t="shared" si="16"/>
        <v>2.75</v>
      </c>
      <c r="L157" s="49">
        <v>2</v>
      </c>
      <c r="M157" s="49">
        <v>3</v>
      </c>
      <c r="N157" s="49">
        <v>2</v>
      </c>
      <c r="O157" s="49">
        <v>2</v>
      </c>
      <c r="P157" s="49">
        <v>3</v>
      </c>
      <c r="Q157" s="59">
        <f t="shared" si="17"/>
        <v>2.4</v>
      </c>
      <c r="R157" s="49"/>
      <c r="S157" s="49">
        <v>3</v>
      </c>
      <c r="T157" s="49"/>
      <c r="U157" s="49"/>
      <c r="V157" s="49"/>
      <c r="W157" s="59">
        <f t="shared" si="18"/>
        <v>3</v>
      </c>
      <c r="X157" s="49"/>
      <c r="Y157" s="49"/>
      <c r="Z157" s="49"/>
      <c r="AA157" s="49"/>
      <c r="AB157" s="49"/>
      <c r="AC157" s="59" t="str">
        <f t="shared" si="19"/>
        <v>0</v>
      </c>
      <c r="AD157" s="49"/>
      <c r="AE157" s="49"/>
      <c r="AF157" s="49"/>
      <c r="AG157" s="49"/>
      <c r="AH157" s="49"/>
      <c r="AI157" s="59" t="str">
        <f t="shared" si="20"/>
        <v>0</v>
      </c>
      <c r="AJ157" s="49">
        <v>3</v>
      </c>
      <c r="AK157" s="49">
        <v>3</v>
      </c>
      <c r="AL157" s="49">
        <v>3</v>
      </c>
      <c r="AM157" s="49">
        <v>3</v>
      </c>
      <c r="AN157" s="49"/>
      <c r="AO157" s="59">
        <f t="shared" si="21"/>
        <v>3</v>
      </c>
      <c r="AP157" s="49">
        <v>1</v>
      </c>
      <c r="AQ157" s="49"/>
      <c r="AR157" s="49"/>
      <c r="AS157" s="49"/>
      <c r="AT157" s="49"/>
      <c r="AU157" s="59">
        <f t="shared" si="22"/>
        <v>1</v>
      </c>
      <c r="AV157" s="49"/>
      <c r="AW157" s="49"/>
      <c r="AX157" s="49"/>
      <c r="AY157" s="49">
        <v>1</v>
      </c>
      <c r="AZ157" s="49">
        <v>1</v>
      </c>
      <c r="BA157" s="59">
        <f t="shared" si="23"/>
        <v>1</v>
      </c>
    </row>
    <row r="158" spans="1:53" ht="23.1" customHeight="1" x14ac:dyDescent="0.3">
      <c r="A158" s="7">
        <v>156</v>
      </c>
      <c r="B158" s="7" t="s">
        <v>174</v>
      </c>
      <c r="C158" s="7" t="s">
        <v>175</v>
      </c>
      <c r="D158" s="7" t="s">
        <v>450</v>
      </c>
      <c r="E158" s="7" t="s">
        <v>161</v>
      </c>
      <c r="F158" s="49">
        <v>4</v>
      </c>
      <c r="G158" s="49">
        <v>3</v>
      </c>
      <c r="H158" s="49">
        <v>3</v>
      </c>
      <c r="I158" s="49">
        <v>4</v>
      </c>
      <c r="J158" s="7"/>
      <c r="K158" s="59">
        <f t="shared" si="16"/>
        <v>3.5</v>
      </c>
      <c r="L158" s="49">
        <v>4</v>
      </c>
      <c r="M158" s="49">
        <v>4</v>
      </c>
      <c r="N158" s="49">
        <v>4</v>
      </c>
      <c r="O158" s="49">
        <v>4</v>
      </c>
      <c r="P158" s="49">
        <v>4</v>
      </c>
      <c r="Q158" s="59">
        <f t="shared" si="17"/>
        <v>4</v>
      </c>
      <c r="R158" s="49"/>
      <c r="S158" s="49">
        <v>4</v>
      </c>
      <c r="T158" s="7"/>
      <c r="U158" s="49"/>
      <c r="V158" s="7"/>
      <c r="W158" s="59">
        <f t="shared" si="18"/>
        <v>4</v>
      </c>
      <c r="X158" s="49"/>
      <c r="Y158" s="49"/>
      <c r="Z158" s="7"/>
      <c r="AA158" s="7"/>
      <c r="AB158" s="7"/>
      <c r="AC158" s="59" t="str">
        <f t="shared" si="19"/>
        <v>0</v>
      </c>
      <c r="AD158" s="49"/>
      <c r="AE158" s="7"/>
      <c r="AF158" s="49"/>
      <c r="AG158" s="7"/>
      <c r="AH158" s="7"/>
      <c r="AI158" s="59" t="str">
        <f t="shared" si="20"/>
        <v>0</v>
      </c>
      <c r="AJ158" s="49">
        <v>3</v>
      </c>
      <c r="AK158" s="49">
        <v>4</v>
      </c>
      <c r="AL158" s="49">
        <v>4</v>
      </c>
      <c r="AM158" s="49">
        <v>4</v>
      </c>
      <c r="AN158" s="7"/>
      <c r="AO158" s="59">
        <f t="shared" si="21"/>
        <v>3.75</v>
      </c>
      <c r="AP158" s="49">
        <v>3</v>
      </c>
      <c r="AQ158" s="49"/>
      <c r="AR158" s="49"/>
      <c r="AS158" s="7"/>
      <c r="AT158" s="7"/>
      <c r="AU158" s="59">
        <f t="shared" si="22"/>
        <v>3</v>
      </c>
      <c r="AV158" s="7"/>
      <c r="AW158" s="7"/>
      <c r="AX158" s="49"/>
      <c r="AY158" s="49">
        <v>4</v>
      </c>
      <c r="AZ158" s="49">
        <v>4</v>
      </c>
      <c r="BA158" s="59">
        <f t="shared" si="23"/>
        <v>4</v>
      </c>
    </row>
    <row r="159" spans="1:53" ht="23.1" customHeight="1" x14ac:dyDescent="0.3">
      <c r="A159" s="49">
        <v>157</v>
      </c>
      <c r="B159" s="49" t="s">
        <v>205</v>
      </c>
      <c r="C159" s="49" t="s">
        <v>206</v>
      </c>
      <c r="D159" s="49" t="s">
        <v>450</v>
      </c>
      <c r="E159" s="49" t="s">
        <v>161</v>
      </c>
      <c r="F159" s="49">
        <v>1</v>
      </c>
      <c r="G159" s="49">
        <v>1</v>
      </c>
      <c r="H159" s="49">
        <v>1</v>
      </c>
      <c r="I159" s="49">
        <v>1</v>
      </c>
      <c r="J159" s="49"/>
      <c r="K159" s="59">
        <f t="shared" si="16"/>
        <v>1</v>
      </c>
      <c r="L159" s="49">
        <v>1</v>
      </c>
      <c r="M159" s="49">
        <v>1</v>
      </c>
      <c r="N159" s="49">
        <v>1</v>
      </c>
      <c r="O159" s="49">
        <v>4</v>
      </c>
      <c r="P159" s="49">
        <v>1</v>
      </c>
      <c r="Q159" s="59">
        <f t="shared" si="17"/>
        <v>1.6</v>
      </c>
      <c r="R159" s="49"/>
      <c r="S159" s="49">
        <v>1</v>
      </c>
      <c r="T159" s="49"/>
      <c r="U159" s="49"/>
      <c r="V159" s="49"/>
      <c r="W159" s="59">
        <f t="shared" si="18"/>
        <v>1</v>
      </c>
      <c r="X159" s="49"/>
      <c r="Y159" s="49"/>
      <c r="Z159" s="49"/>
      <c r="AA159" s="49"/>
      <c r="AB159" s="49"/>
      <c r="AC159" s="59" t="str">
        <f t="shared" si="19"/>
        <v>0</v>
      </c>
      <c r="AD159" s="49"/>
      <c r="AE159" s="49"/>
      <c r="AF159" s="49"/>
      <c r="AG159" s="49"/>
      <c r="AH159" s="49"/>
      <c r="AI159" s="59" t="str">
        <f t="shared" si="20"/>
        <v>0</v>
      </c>
      <c r="AJ159" s="49">
        <v>1</v>
      </c>
      <c r="AK159" s="49">
        <v>1</v>
      </c>
      <c r="AL159" s="49">
        <v>1</v>
      </c>
      <c r="AM159" s="49">
        <v>1</v>
      </c>
      <c r="AN159" s="49"/>
      <c r="AO159" s="59">
        <f t="shared" si="21"/>
        <v>1</v>
      </c>
      <c r="AP159" s="49">
        <v>2</v>
      </c>
      <c r="AQ159" s="49"/>
      <c r="AR159" s="49"/>
      <c r="AS159" s="49"/>
      <c r="AT159" s="49"/>
      <c r="AU159" s="59">
        <f t="shared" si="22"/>
        <v>2</v>
      </c>
      <c r="AV159" s="49"/>
      <c r="AW159" s="49"/>
      <c r="AX159" s="49"/>
      <c r="AY159" s="49">
        <v>2</v>
      </c>
      <c r="AZ159" s="49">
        <v>2</v>
      </c>
      <c r="BA159" s="59">
        <f t="shared" si="23"/>
        <v>2</v>
      </c>
    </row>
    <row r="160" spans="1:53" ht="23.1" customHeight="1" x14ac:dyDescent="0.3">
      <c r="A160" s="7">
        <v>158</v>
      </c>
      <c r="B160" s="7" t="s">
        <v>387</v>
      </c>
      <c r="C160" s="7" t="s">
        <v>388</v>
      </c>
      <c r="D160" s="7" t="s">
        <v>450</v>
      </c>
      <c r="E160" s="7" t="s">
        <v>493</v>
      </c>
      <c r="F160" s="49">
        <v>1</v>
      </c>
      <c r="G160" s="49">
        <v>1</v>
      </c>
      <c r="H160" s="49">
        <v>1</v>
      </c>
      <c r="I160" s="49">
        <v>1</v>
      </c>
      <c r="J160" s="7"/>
      <c r="K160" s="59">
        <f t="shared" si="16"/>
        <v>1</v>
      </c>
      <c r="L160" s="49">
        <v>1</v>
      </c>
      <c r="M160" s="49">
        <v>1</v>
      </c>
      <c r="N160" s="49">
        <v>1</v>
      </c>
      <c r="O160" s="49">
        <v>4</v>
      </c>
      <c r="P160" s="49">
        <v>1</v>
      </c>
      <c r="Q160" s="59">
        <f t="shared" si="17"/>
        <v>1.6</v>
      </c>
      <c r="R160" s="49"/>
      <c r="S160" s="49">
        <v>1</v>
      </c>
      <c r="T160" s="7"/>
      <c r="U160" s="49"/>
      <c r="V160" s="7"/>
      <c r="W160" s="59">
        <f t="shared" si="18"/>
        <v>1</v>
      </c>
      <c r="X160" s="49"/>
      <c r="Y160" s="49"/>
      <c r="Z160" s="7"/>
      <c r="AA160" s="7"/>
      <c r="AB160" s="7"/>
      <c r="AC160" s="59" t="str">
        <f t="shared" si="19"/>
        <v>0</v>
      </c>
      <c r="AD160" s="49"/>
      <c r="AE160" s="7"/>
      <c r="AF160" s="49"/>
      <c r="AG160" s="7"/>
      <c r="AH160" s="7"/>
      <c r="AI160" s="59" t="str">
        <f t="shared" si="20"/>
        <v>0</v>
      </c>
      <c r="AJ160" s="49">
        <v>1</v>
      </c>
      <c r="AK160" s="49">
        <v>1</v>
      </c>
      <c r="AL160" s="49">
        <v>1</v>
      </c>
      <c r="AM160" s="49">
        <v>1</v>
      </c>
      <c r="AN160" s="7"/>
      <c r="AO160" s="59">
        <f t="shared" si="21"/>
        <v>1</v>
      </c>
      <c r="AP160" s="49">
        <v>1</v>
      </c>
      <c r="AQ160" s="49"/>
      <c r="AR160" s="49"/>
      <c r="AS160" s="7"/>
      <c r="AT160" s="7"/>
      <c r="AU160" s="59">
        <f t="shared" si="22"/>
        <v>1</v>
      </c>
      <c r="AV160" s="7"/>
      <c r="AW160" s="7"/>
      <c r="AX160" s="49"/>
      <c r="AY160" s="49">
        <v>1</v>
      </c>
      <c r="AZ160" s="49">
        <v>1</v>
      </c>
      <c r="BA160" s="59">
        <f t="shared" si="23"/>
        <v>1</v>
      </c>
    </row>
    <row r="161" spans="1:53" ht="23.1" customHeight="1" x14ac:dyDescent="0.3">
      <c r="A161" s="49">
        <v>159</v>
      </c>
      <c r="B161" s="49" t="s">
        <v>190</v>
      </c>
      <c r="C161" s="49" t="s">
        <v>191</v>
      </c>
      <c r="D161" s="49" t="s">
        <v>450</v>
      </c>
      <c r="E161" s="49" t="s">
        <v>161</v>
      </c>
      <c r="F161" s="49">
        <v>3</v>
      </c>
      <c r="G161" s="49">
        <v>3</v>
      </c>
      <c r="H161" s="49">
        <v>3</v>
      </c>
      <c r="I161" s="49">
        <v>3</v>
      </c>
      <c r="J161" s="49"/>
      <c r="K161" s="59">
        <f t="shared" si="16"/>
        <v>3</v>
      </c>
      <c r="L161" s="49">
        <v>3</v>
      </c>
      <c r="M161" s="49">
        <v>3</v>
      </c>
      <c r="N161" s="49">
        <v>3</v>
      </c>
      <c r="O161" s="49">
        <v>3</v>
      </c>
      <c r="P161" s="49">
        <v>3</v>
      </c>
      <c r="Q161" s="59">
        <f t="shared" si="17"/>
        <v>3</v>
      </c>
      <c r="R161" s="49"/>
      <c r="S161" s="49">
        <v>3</v>
      </c>
      <c r="T161" s="49"/>
      <c r="U161" s="49"/>
      <c r="V161" s="49"/>
      <c r="W161" s="59">
        <f t="shared" si="18"/>
        <v>3</v>
      </c>
      <c r="X161" s="49"/>
      <c r="Y161" s="49"/>
      <c r="Z161" s="49"/>
      <c r="AA161" s="49"/>
      <c r="AB161" s="49"/>
      <c r="AC161" s="59" t="str">
        <f t="shared" si="19"/>
        <v>0</v>
      </c>
      <c r="AD161" s="49"/>
      <c r="AE161" s="49"/>
      <c r="AF161" s="49"/>
      <c r="AG161" s="49"/>
      <c r="AH161" s="49"/>
      <c r="AI161" s="59" t="str">
        <f t="shared" si="20"/>
        <v>0</v>
      </c>
      <c r="AJ161" s="49">
        <v>3</v>
      </c>
      <c r="AK161" s="49">
        <v>3</v>
      </c>
      <c r="AL161" s="49">
        <v>3</v>
      </c>
      <c r="AM161" s="49">
        <v>3</v>
      </c>
      <c r="AN161" s="49"/>
      <c r="AO161" s="59">
        <f t="shared" si="21"/>
        <v>3</v>
      </c>
      <c r="AP161" s="49">
        <v>1</v>
      </c>
      <c r="AQ161" s="49"/>
      <c r="AR161" s="49"/>
      <c r="AS161" s="49"/>
      <c r="AT161" s="49"/>
      <c r="AU161" s="59">
        <f t="shared" si="22"/>
        <v>1</v>
      </c>
      <c r="AV161" s="49"/>
      <c r="AW161" s="49"/>
      <c r="AX161" s="49"/>
      <c r="AY161" s="49">
        <v>1</v>
      </c>
      <c r="AZ161" s="49">
        <v>1</v>
      </c>
      <c r="BA161" s="59">
        <f t="shared" si="23"/>
        <v>1</v>
      </c>
    </row>
    <row r="162" spans="1:53" ht="23.1" customHeight="1" x14ac:dyDescent="0.3">
      <c r="A162" s="7">
        <v>160</v>
      </c>
      <c r="B162" s="7" t="s">
        <v>157</v>
      </c>
      <c r="C162" s="7" t="s">
        <v>158</v>
      </c>
      <c r="D162" s="7" t="s">
        <v>542</v>
      </c>
      <c r="E162" s="7" t="s">
        <v>35</v>
      </c>
      <c r="F162" s="49">
        <v>2.5</v>
      </c>
      <c r="G162" s="49">
        <v>2.5</v>
      </c>
      <c r="H162" s="49">
        <v>3</v>
      </c>
      <c r="I162" s="49">
        <v>2.5</v>
      </c>
      <c r="J162" s="7"/>
      <c r="K162" s="59">
        <f t="shared" si="16"/>
        <v>2.625</v>
      </c>
      <c r="L162" s="49">
        <v>2.5</v>
      </c>
      <c r="M162" s="49">
        <v>2.5</v>
      </c>
      <c r="N162" s="49">
        <v>3</v>
      </c>
      <c r="O162" s="49">
        <v>2.5</v>
      </c>
      <c r="P162" s="49">
        <v>3</v>
      </c>
      <c r="Q162" s="59">
        <f t="shared" si="17"/>
        <v>2.7</v>
      </c>
      <c r="R162" s="49"/>
      <c r="S162" s="49">
        <v>3</v>
      </c>
      <c r="T162" s="7"/>
      <c r="U162" s="49"/>
      <c r="V162" s="7"/>
      <c r="W162" s="59">
        <f t="shared" si="18"/>
        <v>3</v>
      </c>
      <c r="X162" s="49"/>
      <c r="Y162" s="49"/>
      <c r="Z162" s="7"/>
      <c r="AA162" s="7"/>
      <c r="AB162" s="7"/>
      <c r="AC162" s="59" t="str">
        <f t="shared" si="19"/>
        <v>0</v>
      </c>
      <c r="AD162" s="49"/>
      <c r="AE162" s="7"/>
      <c r="AF162" s="49"/>
      <c r="AG162" s="7"/>
      <c r="AH162" s="7"/>
      <c r="AI162" s="59" t="str">
        <f t="shared" si="20"/>
        <v>0</v>
      </c>
      <c r="AJ162" s="49">
        <v>3</v>
      </c>
      <c r="AK162" s="49">
        <v>3</v>
      </c>
      <c r="AL162" s="49">
        <v>2.5</v>
      </c>
      <c r="AM162" s="49">
        <v>2.5</v>
      </c>
      <c r="AN162" s="7"/>
      <c r="AO162" s="59">
        <f t="shared" si="21"/>
        <v>2.75</v>
      </c>
      <c r="AP162" s="49">
        <v>3</v>
      </c>
      <c r="AQ162" s="49"/>
      <c r="AR162" s="49"/>
      <c r="AS162" s="7"/>
      <c r="AT162" s="7"/>
      <c r="AU162" s="59">
        <f t="shared" si="22"/>
        <v>3</v>
      </c>
      <c r="AV162" s="7"/>
      <c r="AW162" s="7"/>
      <c r="AX162" s="49"/>
      <c r="AY162" s="49">
        <v>2.5</v>
      </c>
      <c r="AZ162" s="49">
        <v>3</v>
      </c>
      <c r="BA162" s="59">
        <f t="shared" si="23"/>
        <v>2.75</v>
      </c>
    </row>
    <row r="163" spans="1:53" ht="23.1" customHeight="1" x14ac:dyDescent="0.3">
      <c r="A163" s="49">
        <v>161</v>
      </c>
      <c r="B163" s="49" t="s">
        <v>389</v>
      </c>
      <c r="C163" s="49" t="s">
        <v>390</v>
      </c>
      <c r="D163" s="49" t="s">
        <v>450</v>
      </c>
      <c r="E163" s="49" t="s">
        <v>493</v>
      </c>
      <c r="F163" s="49">
        <v>2</v>
      </c>
      <c r="G163" s="49">
        <v>3</v>
      </c>
      <c r="H163" s="49">
        <v>4</v>
      </c>
      <c r="I163" s="49">
        <v>3</v>
      </c>
      <c r="J163" s="49"/>
      <c r="K163" s="59">
        <f t="shared" si="16"/>
        <v>3</v>
      </c>
      <c r="L163" s="49">
        <v>4</v>
      </c>
      <c r="M163" s="49">
        <v>3</v>
      </c>
      <c r="N163" s="49">
        <v>4</v>
      </c>
      <c r="O163" s="49">
        <v>4</v>
      </c>
      <c r="P163" s="49">
        <v>3</v>
      </c>
      <c r="Q163" s="59">
        <f t="shared" si="17"/>
        <v>3.6</v>
      </c>
      <c r="R163" s="49"/>
      <c r="S163" s="49">
        <v>3</v>
      </c>
      <c r="T163" s="49"/>
      <c r="U163" s="49"/>
      <c r="V163" s="49"/>
      <c r="W163" s="59">
        <f t="shared" si="18"/>
        <v>3</v>
      </c>
      <c r="X163" s="49"/>
      <c r="Y163" s="49"/>
      <c r="Z163" s="49"/>
      <c r="AA163" s="49"/>
      <c r="AB163" s="49"/>
      <c r="AC163" s="59" t="str">
        <f t="shared" si="19"/>
        <v>0</v>
      </c>
      <c r="AD163" s="49"/>
      <c r="AE163" s="49"/>
      <c r="AF163" s="49"/>
      <c r="AG163" s="49"/>
      <c r="AH163" s="49"/>
      <c r="AI163" s="59" t="str">
        <f t="shared" si="20"/>
        <v>0</v>
      </c>
      <c r="AJ163" s="49">
        <v>3</v>
      </c>
      <c r="AK163" s="49">
        <v>3</v>
      </c>
      <c r="AL163" s="49">
        <v>4</v>
      </c>
      <c r="AM163" s="49">
        <v>3</v>
      </c>
      <c r="AN163" s="49"/>
      <c r="AO163" s="59">
        <f t="shared" si="21"/>
        <v>3.25</v>
      </c>
      <c r="AP163" s="49">
        <v>3</v>
      </c>
      <c r="AQ163" s="49"/>
      <c r="AR163" s="49"/>
      <c r="AS163" s="49"/>
      <c r="AT163" s="49"/>
      <c r="AU163" s="59">
        <f t="shared" si="22"/>
        <v>3</v>
      </c>
      <c r="AV163" s="49"/>
      <c r="AW163" s="49"/>
      <c r="AX163" s="49"/>
      <c r="AY163" s="49">
        <v>4</v>
      </c>
      <c r="AZ163" s="49">
        <v>3</v>
      </c>
      <c r="BA163" s="59">
        <f t="shared" si="23"/>
        <v>3.5</v>
      </c>
    </row>
    <row r="164" spans="1:53" ht="23.1" customHeight="1" x14ac:dyDescent="0.3">
      <c r="A164" s="7">
        <v>162</v>
      </c>
      <c r="B164" s="7" t="s">
        <v>391</v>
      </c>
      <c r="C164" s="7" t="s">
        <v>392</v>
      </c>
      <c r="D164" s="7" t="s">
        <v>450</v>
      </c>
      <c r="E164" s="7" t="s">
        <v>493</v>
      </c>
      <c r="F164" s="49">
        <v>3</v>
      </c>
      <c r="G164" s="49">
        <v>2</v>
      </c>
      <c r="H164" s="49">
        <v>2</v>
      </c>
      <c r="I164" s="49">
        <v>2</v>
      </c>
      <c r="J164" s="7"/>
      <c r="K164" s="59">
        <f t="shared" si="16"/>
        <v>2.25</v>
      </c>
      <c r="L164" s="49">
        <v>2</v>
      </c>
      <c r="M164" s="49">
        <v>2</v>
      </c>
      <c r="N164" s="49">
        <v>2</v>
      </c>
      <c r="O164" s="49">
        <v>4</v>
      </c>
      <c r="P164" s="49">
        <v>2</v>
      </c>
      <c r="Q164" s="59">
        <f t="shared" si="17"/>
        <v>2.4</v>
      </c>
      <c r="R164" s="49"/>
      <c r="S164" s="49">
        <v>2</v>
      </c>
      <c r="T164" s="7"/>
      <c r="U164" s="49"/>
      <c r="V164" s="7"/>
      <c r="W164" s="59">
        <f t="shared" si="18"/>
        <v>2</v>
      </c>
      <c r="X164" s="49"/>
      <c r="Y164" s="49"/>
      <c r="Z164" s="7"/>
      <c r="AA164" s="7"/>
      <c r="AB164" s="7"/>
      <c r="AC164" s="59" t="str">
        <f t="shared" si="19"/>
        <v>0</v>
      </c>
      <c r="AD164" s="49"/>
      <c r="AE164" s="7"/>
      <c r="AF164" s="49"/>
      <c r="AG164" s="7"/>
      <c r="AH164" s="7"/>
      <c r="AI164" s="59" t="str">
        <f t="shared" si="20"/>
        <v>0</v>
      </c>
      <c r="AJ164" s="49">
        <v>2</v>
      </c>
      <c r="AK164" s="49">
        <v>3</v>
      </c>
      <c r="AL164" s="49">
        <v>2</v>
      </c>
      <c r="AM164" s="49">
        <v>2</v>
      </c>
      <c r="AN164" s="7"/>
      <c r="AO164" s="59">
        <f t="shared" si="21"/>
        <v>2.25</v>
      </c>
      <c r="AP164" s="49">
        <v>3</v>
      </c>
      <c r="AQ164" s="49"/>
      <c r="AR164" s="49"/>
      <c r="AS164" s="7"/>
      <c r="AT164" s="7"/>
      <c r="AU164" s="59">
        <f t="shared" si="22"/>
        <v>3</v>
      </c>
      <c r="AV164" s="7"/>
      <c r="AW164" s="7"/>
      <c r="AX164" s="49"/>
      <c r="AY164" s="49">
        <v>2</v>
      </c>
      <c r="AZ164" s="49">
        <v>2</v>
      </c>
      <c r="BA164" s="59">
        <f t="shared" si="23"/>
        <v>2</v>
      </c>
    </row>
    <row r="165" spans="1:53" ht="23.1" customHeight="1" x14ac:dyDescent="0.3">
      <c r="A165" s="49">
        <v>163</v>
      </c>
      <c r="B165" s="49" t="s">
        <v>221</v>
      </c>
      <c r="C165" s="49" t="s">
        <v>222</v>
      </c>
      <c r="D165" s="49" t="s">
        <v>450</v>
      </c>
      <c r="E165" s="49" t="s">
        <v>161</v>
      </c>
      <c r="F165" s="49">
        <v>3</v>
      </c>
      <c r="G165" s="49">
        <v>3</v>
      </c>
      <c r="H165" s="49">
        <v>3</v>
      </c>
      <c r="I165" s="49">
        <v>3</v>
      </c>
      <c r="J165" s="49"/>
      <c r="K165" s="59">
        <f t="shared" si="16"/>
        <v>3</v>
      </c>
      <c r="L165" s="49">
        <v>3</v>
      </c>
      <c r="M165" s="49">
        <v>3</v>
      </c>
      <c r="N165" s="49">
        <v>3</v>
      </c>
      <c r="O165" s="49">
        <v>3</v>
      </c>
      <c r="P165" s="49">
        <v>3</v>
      </c>
      <c r="Q165" s="59">
        <f t="shared" si="17"/>
        <v>3</v>
      </c>
      <c r="R165" s="49"/>
      <c r="S165" s="49">
        <v>3</v>
      </c>
      <c r="T165" s="49"/>
      <c r="U165" s="49"/>
      <c r="V165" s="49"/>
      <c r="W165" s="59">
        <f t="shared" si="18"/>
        <v>3</v>
      </c>
      <c r="X165" s="49"/>
      <c r="Y165" s="49"/>
      <c r="Z165" s="49"/>
      <c r="AA165" s="49"/>
      <c r="AB165" s="49"/>
      <c r="AC165" s="59" t="str">
        <f t="shared" si="19"/>
        <v>0</v>
      </c>
      <c r="AD165" s="49"/>
      <c r="AE165" s="49"/>
      <c r="AF165" s="49"/>
      <c r="AG165" s="49"/>
      <c r="AH165" s="49"/>
      <c r="AI165" s="59" t="str">
        <f t="shared" si="20"/>
        <v>0</v>
      </c>
      <c r="AJ165" s="49">
        <v>3</v>
      </c>
      <c r="AK165" s="49">
        <v>3</v>
      </c>
      <c r="AL165" s="49">
        <v>3</v>
      </c>
      <c r="AM165" s="49">
        <v>3</v>
      </c>
      <c r="AN165" s="49"/>
      <c r="AO165" s="59">
        <f t="shared" si="21"/>
        <v>3</v>
      </c>
      <c r="AP165" s="49">
        <v>3</v>
      </c>
      <c r="AQ165" s="49"/>
      <c r="AR165" s="49"/>
      <c r="AS165" s="49"/>
      <c r="AT165" s="49"/>
      <c r="AU165" s="59">
        <f t="shared" si="22"/>
        <v>3</v>
      </c>
      <c r="AV165" s="49"/>
      <c r="AW165" s="49"/>
      <c r="AX165" s="49"/>
      <c r="AY165" s="49">
        <v>2</v>
      </c>
      <c r="AZ165" s="49">
        <v>2</v>
      </c>
      <c r="BA165" s="59">
        <f t="shared" si="23"/>
        <v>2</v>
      </c>
    </row>
    <row r="166" spans="1:53" ht="23.1" customHeight="1" x14ac:dyDescent="0.3">
      <c r="A166" s="7">
        <v>164</v>
      </c>
      <c r="B166" s="7" t="s">
        <v>207</v>
      </c>
      <c r="C166" s="7" t="s">
        <v>208</v>
      </c>
      <c r="D166" s="7" t="s">
        <v>542</v>
      </c>
      <c r="E166" s="7" t="s">
        <v>161</v>
      </c>
      <c r="F166" s="49">
        <v>3</v>
      </c>
      <c r="G166" s="49">
        <v>4</v>
      </c>
      <c r="H166" s="49">
        <v>3</v>
      </c>
      <c r="I166" s="49">
        <v>3</v>
      </c>
      <c r="J166" s="7"/>
      <c r="K166" s="59">
        <f t="shared" si="16"/>
        <v>3.25</v>
      </c>
      <c r="L166" s="49">
        <v>3</v>
      </c>
      <c r="M166" s="49">
        <v>3</v>
      </c>
      <c r="N166" s="49">
        <v>3</v>
      </c>
      <c r="O166" s="49">
        <v>3</v>
      </c>
      <c r="P166" s="49">
        <v>4</v>
      </c>
      <c r="Q166" s="59">
        <f t="shared" si="17"/>
        <v>3.2</v>
      </c>
      <c r="R166" s="49"/>
      <c r="S166" s="49">
        <v>3</v>
      </c>
      <c r="T166" s="7"/>
      <c r="U166" s="49"/>
      <c r="V166" s="7"/>
      <c r="W166" s="59">
        <f t="shared" si="18"/>
        <v>3</v>
      </c>
      <c r="X166" s="49"/>
      <c r="Y166" s="49"/>
      <c r="Z166" s="7"/>
      <c r="AA166" s="7"/>
      <c r="AB166" s="7"/>
      <c r="AC166" s="59" t="str">
        <f t="shared" si="19"/>
        <v>0</v>
      </c>
      <c r="AD166" s="49"/>
      <c r="AE166" s="7"/>
      <c r="AF166" s="49"/>
      <c r="AG166" s="7"/>
      <c r="AH166" s="7"/>
      <c r="AI166" s="59" t="str">
        <f t="shared" si="20"/>
        <v>0</v>
      </c>
      <c r="AJ166" s="49">
        <v>3</v>
      </c>
      <c r="AK166" s="49">
        <v>3</v>
      </c>
      <c r="AL166" s="49">
        <v>3</v>
      </c>
      <c r="AM166" s="49">
        <v>3</v>
      </c>
      <c r="AN166" s="7"/>
      <c r="AO166" s="59">
        <f t="shared" si="21"/>
        <v>3</v>
      </c>
      <c r="AP166" s="49">
        <v>3</v>
      </c>
      <c r="AQ166" s="49"/>
      <c r="AR166" s="49"/>
      <c r="AS166" s="7"/>
      <c r="AT166" s="7"/>
      <c r="AU166" s="59">
        <f t="shared" si="22"/>
        <v>3</v>
      </c>
      <c r="AV166" s="7"/>
      <c r="AW166" s="7"/>
      <c r="AX166" s="49"/>
      <c r="AY166" s="49">
        <v>2</v>
      </c>
      <c r="AZ166" s="49">
        <v>2</v>
      </c>
      <c r="BA166" s="59">
        <f t="shared" si="23"/>
        <v>2</v>
      </c>
    </row>
    <row r="167" spans="1:53" ht="23.1" customHeight="1" x14ac:dyDescent="0.3">
      <c r="A167" s="49">
        <v>165</v>
      </c>
      <c r="B167" s="49" t="s">
        <v>48</v>
      </c>
      <c r="C167" s="49" t="s">
        <v>49</v>
      </c>
      <c r="D167" s="49" t="s">
        <v>450</v>
      </c>
      <c r="E167" s="49" t="s">
        <v>35</v>
      </c>
      <c r="F167" s="49">
        <v>2.5</v>
      </c>
      <c r="G167" s="49">
        <v>2.5</v>
      </c>
      <c r="H167" s="49">
        <v>2.5</v>
      </c>
      <c r="I167" s="49">
        <v>3</v>
      </c>
      <c r="J167" s="49"/>
      <c r="K167" s="59">
        <f t="shared" si="16"/>
        <v>2.625</v>
      </c>
      <c r="L167" s="49">
        <v>2.5</v>
      </c>
      <c r="M167" s="49">
        <v>2.5</v>
      </c>
      <c r="N167" s="49">
        <v>2.5</v>
      </c>
      <c r="O167" s="49">
        <v>3</v>
      </c>
      <c r="P167" s="49">
        <v>2.5</v>
      </c>
      <c r="Q167" s="59">
        <f t="shared" si="17"/>
        <v>2.6</v>
      </c>
      <c r="R167" s="49"/>
      <c r="S167" s="49">
        <v>3</v>
      </c>
      <c r="T167" s="49"/>
      <c r="U167" s="49"/>
      <c r="V167" s="49"/>
      <c r="W167" s="59">
        <f t="shared" si="18"/>
        <v>3</v>
      </c>
      <c r="X167" s="49"/>
      <c r="Y167" s="49"/>
      <c r="Z167" s="49"/>
      <c r="AA167" s="49"/>
      <c r="AB167" s="49"/>
      <c r="AC167" s="59" t="str">
        <f t="shared" si="19"/>
        <v>0</v>
      </c>
      <c r="AD167" s="49"/>
      <c r="AE167" s="49"/>
      <c r="AF167" s="49"/>
      <c r="AG167" s="49"/>
      <c r="AH167" s="49"/>
      <c r="AI167" s="59" t="str">
        <f t="shared" si="20"/>
        <v>0</v>
      </c>
      <c r="AJ167" s="49">
        <v>2.5</v>
      </c>
      <c r="AK167" s="49">
        <v>3</v>
      </c>
      <c r="AL167" s="49">
        <v>2.5</v>
      </c>
      <c r="AM167" s="49">
        <v>2.5</v>
      </c>
      <c r="AN167" s="49"/>
      <c r="AO167" s="59">
        <f t="shared" si="21"/>
        <v>2.625</v>
      </c>
      <c r="AP167" s="49">
        <v>2.5</v>
      </c>
      <c r="AQ167" s="49"/>
      <c r="AR167" s="49"/>
      <c r="AS167" s="49"/>
      <c r="AT167" s="49"/>
      <c r="AU167" s="59">
        <f t="shared" si="22"/>
        <v>2.5</v>
      </c>
      <c r="AV167" s="49"/>
      <c r="AW167" s="49"/>
      <c r="AX167" s="49"/>
      <c r="AY167" s="49">
        <v>3</v>
      </c>
      <c r="AZ167" s="49">
        <v>2.5</v>
      </c>
      <c r="BA167" s="59">
        <f t="shared" si="23"/>
        <v>2.75</v>
      </c>
    </row>
    <row r="168" spans="1:53" ht="23.1" customHeight="1" x14ac:dyDescent="0.3">
      <c r="A168" s="7">
        <v>166</v>
      </c>
      <c r="B168" s="7" t="s">
        <v>159</v>
      </c>
      <c r="C168" s="7" t="s">
        <v>160</v>
      </c>
      <c r="D168" s="7" t="s">
        <v>450</v>
      </c>
      <c r="E168" s="7" t="s">
        <v>35</v>
      </c>
      <c r="F168" s="49">
        <v>3</v>
      </c>
      <c r="G168" s="49">
        <v>2</v>
      </c>
      <c r="H168" s="49">
        <v>2</v>
      </c>
      <c r="I168" s="49">
        <v>2</v>
      </c>
      <c r="J168" s="7"/>
      <c r="K168" s="59">
        <f t="shared" si="16"/>
        <v>2.25</v>
      </c>
      <c r="L168" s="49">
        <v>2</v>
      </c>
      <c r="M168" s="49">
        <v>3</v>
      </c>
      <c r="N168" s="49">
        <v>2</v>
      </c>
      <c r="O168" s="49">
        <v>3</v>
      </c>
      <c r="P168" s="49">
        <v>3</v>
      </c>
      <c r="Q168" s="59">
        <f t="shared" si="17"/>
        <v>2.6</v>
      </c>
      <c r="R168" s="49"/>
      <c r="S168" s="49">
        <v>3</v>
      </c>
      <c r="T168" s="7"/>
      <c r="U168" s="49"/>
      <c r="V168" s="7"/>
      <c r="W168" s="59">
        <f t="shared" si="18"/>
        <v>3</v>
      </c>
      <c r="X168" s="49"/>
      <c r="Y168" s="49"/>
      <c r="Z168" s="7"/>
      <c r="AA168" s="7"/>
      <c r="AB168" s="7"/>
      <c r="AC168" s="59" t="str">
        <f t="shared" si="19"/>
        <v>0</v>
      </c>
      <c r="AD168" s="49"/>
      <c r="AE168" s="7"/>
      <c r="AF168" s="49"/>
      <c r="AG168" s="7"/>
      <c r="AH168" s="7"/>
      <c r="AI168" s="59" t="str">
        <f t="shared" si="20"/>
        <v>0</v>
      </c>
      <c r="AJ168" s="49">
        <v>2</v>
      </c>
      <c r="AK168" s="49">
        <v>2</v>
      </c>
      <c r="AL168" s="49">
        <v>2</v>
      </c>
      <c r="AM168" s="49">
        <v>2</v>
      </c>
      <c r="AN168" s="7"/>
      <c r="AO168" s="59">
        <f t="shared" si="21"/>
        <v>2</v>
      </c>
      <c r="AP168" s="49">
        <v>3</v>
      </c>
      <c r="AQ168" s="49"/>
      <c r="AR168" s="49"/>
      <c r="AS168" s="7"/>
      <c r="AT168" s="7"/>
      <c r="AU168" s="59">
        <f t="shared" si="22"/>
        <v>3</v>
      </c>
      <c r="AV168" s="7"/>
      <c r="AW168" s="7"/>
      <c r="AX168" s="49"/>
      <c r="AY168" s="49">
        <v>5</v>
      </c>
      <c r="AZ168" s="49">
        <v>5</v>
      </c>
      <c r="BA168" s="59">
        <f t="shared" si="23"/>
        <v>5</v>
      </c>
    </row>
    <row r="169" spans="1:53" ht="23.1" customHeight="1" x14ac:dyDescent="0.3">
      <c r="A169" s="49">
        <v>167</v>
      </c>
      <c r="B169" s="49" t="s">
        <v>192</v>
      </c>
      <c r="C169" s="49" t="s">
        <v>193</v>
      </c>
      <c r="D169" s="49" t="s">
        <v>450</v>
      </c>
      <c r="E169" s="49" t="s">
        <v>161</v>
      </c>
      <c r="F169" s="49">
        <v>3</v>
      </c>
      <c r="G169" s="49">
        <v>3</v>
      </c>
      <c r="H169" s="49">
        <v>3</v>
      </c>
      <c r="I169" s="49">
        <v>2</v>
      </c>
      <c r="J169" s="49"/>
      <c r="K169" s="59">
        <f t="shared" si="16"/>
        <v>2.75</v>
      </c>
      <c r="L169" s="49">
        <v>3</v>
      </c>
      <c r="M169" s="49">
        <v>3</v>
      </c>
      <c r="N169" s="49">
        <v>4</v>
      </c>
      <c r="O169" s="49">
        <v>4</v>
      </c>
      <c r="P169" s="49">
        <v>3</v>
      </c>
      <c r="Q169" s="59">
        <f t="shared" si="17"/>
        <v>3.4</v>
      </c>
      <c r="R169" s="49"/>
      <c r="S169" s="49">
        <v>2</v>
      </c>
      <c r="T169" s="49"/>
      <c r="U169" s="49"/>
      <c r="V169" s="49"/>
      <c r="W169" s="59">
        <f t="shared" si="18"/>
        <v>2</v>
      </c>
      <c r="X169" s="49"/>
      <c r="Y169" s="49"/>
      <c r="Z169" s="49"/>
      <c r="AA169" s="49"/>
      <c r="AB169" s="49"/>
      <c r="AC169" s="59" t="str">
        <f t="shared" si="19"/>
        <v>0</v>
      </c>
      <c r="AD169" s="49"/>
      <c r="AE169" s="49"/>
      <c r="AF169" s="49"/>
      <c r="AG169" s="49"/>
      <c r="AH169" s="49"/>
      <c r="AI169" s="59" t="str">
        <f t="shared" si="20"/>
        <v>0</v>
      </c>
      <c r="AJ169" s="49">
        <v>2</v>
      </c>
      <c r="AK169" s="49">
        <v>3</v>
      </c>
      <c r="AL169" s="49">
        <v>2</v>
      </c>
      <c r="AM169" s="49">
        <v>2</v>
      </c>
      <c r="AN169" s="49"/>
      <c r="AO169" s="59">
        <f t="shared" si="21"/>
        <v>2.25</v>
      </c>
      <c r="AP169" s="49">
        <v>3</v>
      </c>
      <c r="AQ169" s="49"/>
      <c r="AR169" s="49"/>
      <c r="AS169" s="49"/>
      <c r="AT169" s="49"/>
      <c r="AU169" s="59">
        <f t="shared" si="22"/>
        <v>3</v>
      </c>
      <c r="AV169" s="49"/>
      <c r="AW169" s="49"/>
      <c r="AX169" s="49"/>
      <c r="AY169" s="49">
        <v>3</v>
      </c>
      <c r="AZ169" s="49">
        <v>3</v>
      </c>
      <c r="BA169" s="59">
        <f t="shared" si="23"/>
        <v>3</v>
      </c>
    </row>
    <row r="170" spans="1:53" ht="23.1" customHeight="1" x14ac:dyDescent="0.3">
      <c r="A170" s="7">
        <v>168</v>
      </c>
      <c r="B170" s="7" t="s">
        <v>223</v>
      </c>
      <c r="C170" s="7" t="s">
        <v>224</v>
      </c>
      <c r="D170" s="7" t="s">
        <v>542</v>
      </c>
      <c r="E170" s="7" t="s">
        <v>161</v>
      </c>
      <c r="F170" s="49">
        <v>3</v>
      </c>
      <c r="G170" s="49">
        <v>3</v>
      </c>
      <c r="H170" s="49">
        <v>3</v>
      </c>
      <c r="I170" s="49">
        <v>3</v>
      </c>
      <c r="J170" s="7"/>
      <c r="K170" s="59">
        <f t="shared" si="16"/>
        <v>3</v>
      </c>
      <c r="L170" s="49">
        <v>3</v>
      </c>
      <c r="M170" s="49">
        <v>3</v>
      </c>
      <c r="N170" s="49">
        <v>3</v>
      </c>
      <c r="O170" s="49">
        <v>3</v>
      </c>
      <c r="P170" s="49">
        <v>3</v>
      </c>
      <c r="Q170" s="59">
        <f t="shared" si="17"/>
        <v>3</v>
      </c>
      <c r="R170" s="49"/>
      <c r="S170" s="49">
        <v>3</v>
      </c>
      <c r="T170" s="7"/>
      <c r="U170" s="49"/>
      <c r="V170" s="7"/>
      <c r="W170" s="59">
        <f t="shared" si="18"/>
        <v>3</v>
      </c>
      <c r="X170" s="49"/>
      <c r="Y170" s="49"/>
      <c r="Z170" s="7"/>
      <c r="AA170" s="7"/>
      <c r="AB170" s="7"/>
      <c r="AC170" s="59" t="str">
        <f t="shared" si="19"/>
        <v>0</v>
      </c>
      <c r="AD170" s="49"/>
      <c r="AE170" s="7"/>
      <c r="AF170" s="49"/>
      <c r="AG170" s="7"/>
      <c r="AH170" s="7"/>
      <c r="AI170" s="59" t="str">
        <f t="shared" si="20"/>
        <v>0</v>
      </c>
      <c r="AJ170" s="49">
        <v>3</v>
      </c>
      <c r="AK170" s="49">
        <v>3</v>
      </c>
      <c r="AL170" s="49">
        <v>3</v>
      </c>
      <c r="AM170" s="49">
        <v>3</v>
      </c>
      <c r="AN170" s="7"/>
      <c r="AO170" s="59">
        <f t="shared" si="21"/>
        <v>3</v>
      </c>
      <c r="AP170" s="49">
        <v>3</v>
      </c>
      <c r="AQ170" s="49"/>
      <c r="AR170" s="49"/>
      <c r="AS170" s="7"/>
      <c r="AT170" s="7"/>
      <c r="AU170" s="59">
        <f t="shared" si="22"/>
        <v>3</v>
      </c>
      <c r="AV170" s="7"/>
      <c r="AW170" s="7"/>
      <c r="AX170" s="49"/>
      <c r="AY170" s="49">
        <v>3</v>
      </c>
      <c r="AZ170" s="49">
        <v>3</v>
      </c>
      <c r="BA170" s="59">
        <f t="shared" si="23"/>
        <v>3</v>
      </c>
    </row>
    <row r="171" spans="1:53" ht="23.1" customHeight="1" x14ac:dyDescent="0.3">
      <c r="A171" s="49">
        <v>169</v>
      </c>
      <c r="B171" s="49" t="s">
        <v>393</v>
      </c>
      <c r="C171" s="49" t="s">
        <v>394</v>
      </c>
      <c r="D171" s="49" t="s">
        <v>450</v>
      </c>
      <c r="E171" s="49" t="s">
        <v>493</v>
      </c>
      <c r="F171" s="49">
        <v>2</v>
      </c>
      <c r="G171" s="49">
        <v>3</v>
      </c>
      <c r="H171" s="49">
        <v>2</v>
      </c>
      <c r="I171" s="49">
        <v>2</v>
      </c>
      <c r="J171" s="49"/>
      <c r="K171" s="59">
        <f t="shared" si="16"/>
        <v>2.25</v>
      </c>
      <c r="L171" s="49">
        <v>1</v>
      </c>
      <c r="M171" s="49">
        <v>2</v>
      </c>
      <c r="N171" s="49">
        <v>2</v>
      </c>
      <c r="O171" s="49">
        <v>4</v>
      </c>
      <c r="P171" s="49">
        <v>1</v>
      </c>
      <c r="Q171" s="59">
        <f t="shared" si="17"/>
        <v>2</v>
      </c>
      <c r="R171" s="49"/>
      <c r="S171" s="49">
        <v>2</v>
      </c>
      <c r="T171" s="49"/>
      <c r="U171" s="49"/>
      <c r="V171" s="49"/>
      <c r="W171" s="59">
        <f t="shared" si="18"/>
        <v>2</v>
      </c>
      <c r="X171" s="49"/>
      <c r="Y171" s="49"/>
      <c r="Z171" s="49"/>
      <c r="AA171" s="49"/>
      <c r="AB171" s="49"/>
      <c r="AC171" s="59" t="str">
        <f t="shared" si="19"/>
        <v>0</v>
      </c>
      <c r="AD171" s="49"/>
      <c r="AE171" s="49"/>
      <c r="AF171" s="49"/>
      <c r="AG171" s="49"/>
      <c r="AH171" s="49"/>
      <c r="AI171" s="59" t="str">
        <f t="shared" si="20"/>
        <v>0</v>
      </c>
      <c r="AJ171" s="49">
        <v>2</v>
      </c>
      <c r="AK171" s="49">
        <v>2</v>
      </c>
      <c r="AL171" s="49">
        <v>2</v>
      </c>
      <c r="AM171" s="49">
        <v>2</v>
      </c>
      <c r="AN171" s="49"/>
      <c r="AO171" s="59">
        <f t="shared" si="21"/>
        <v>2</v>
      </c>
      <c r="AP171" s="49">
        <v>3</v>
      </c>
      <c r="AQ171" s="49"/>
      <c r="AR171" s="49"/>
      <c r="AS171" s="49"/>
      <c r="AT171" s="49"/>
      <c r="AU171" s="59">
        <f t="shared" si="22"/>
        <v>3</v>
      </c>
      <c r="AV171" s="49"/>
      <c r="AW171" s="49"/>
      <c r="AX171" s="49"/>
      <c r="AY171" s="49">
        <v>3</v>
      </c>
      <c r="AZ171" s="49">
        <v>3</v>
      </c>
      <c r="BA171" s="59">
        <f t="shared" si="23"/>
        <v>3</v>
      </c>
    </row>
    <row r="172" spans="1:53" ht="23.1" customHeight="1" x14ac:dyDescent="0.3">
      <c r="A172" s="7">
        <v>170</v>
      </c>
      <c r="B172" s="7" t="s">
        <v>395</v>
      </c>
      <c r="C172" s="7" t="s">
        <v>396</v>
      </c>
      <c r="D172" s="7" t="s">
        <v>542</v>
      </c>
      <c r="E172" s="7" t="s">
        <v>493</v>
      </c>
      <c r="F172" s="49">
        <v>3</v>
      </c>
      <c r="G172" s="49">
        <v>3</v>
      </c>
      <c r="H172" s="49">
        <v>3</v>
      </c>
      <c r="I172" s="49">
        <v>2</v>
      </c>
      <c r="J172" s="7"/>
      <c r="K172" s="59">
        <f t="shared" si="16"/>
        <v>2.75</v>
      </c>
      <c r="L172" s="49">
        <v>3</v>
      </c>
      <c r="M172" s="49">
        <v>3</v>
      </c>
      <c r="N172" s="49">
        <v>3</v>
      </c>
      <c r="O172" s="49">
        <v>3</v>
      </c>
      <c r="P172" s="49">
        <v>3</v>
      </c>
      <c r="Q172" s="59">
        <f t="shared" si="17"/>
        <v>3</v>
      </c>
      <c r="R172" s="49"/>
      <c r="S172" s="49">
        <v>3</v>
      </c>
      <c r="T172" s="7"/>
      <c r="U172" s="49"/>
      <c r="V172" s="7"/>
      <c r="W172" s="59">
        <f t="shared" si="18"/>
        <v>3</v>
      </c>
      <c r="X172" s="49"/>
      <c r="Y172" s="49"/>
      <c r="Z172" s="7"/>
      <c r="AA172" s="7"/>
      <c r="AB172" s="7"/>
      <c r="AC172" s="59" t="str">
        <f t="shared" si="19"/>
        <v>0</v>
      </c>
      <c r="AD172" s="49"/>
      <c r="AE172" s="7"/>
      <c r="AF172" s="49"/>
      <c r="AG172" s="7"/>
      <c r="AH172" s="7"/>
      <c r="AI172" s="59" t="str">
        <f t="shared" si="20"/>
        <v>0</v>
      </c>
      <c r="AJ172" s="49">
        <v>3</v>
      </c>
      <c r="AK172" s="49">
        <v>3</v>
      </c>
      <c r="AL172" s="49">
        <v>3</v>
      </c>
      <c r="AM172" s="49">
        <v>3</v>
      </c>
      <c r="AN172" s="7"/>
      <c r="AO172" s="59">
        <f t="shared" si="21"/>
        <v>3</v>
      </c>
      <c r="AP172" s="49">
        <v>3</v>
      </c>
      <c r="AQ172" s="49"/>
      <c r="AR172" s="49"/>
      <c r="AS172" s="7"/>
      <c r="AT172" s="7"/>
      <c r="AU172" s="59">
        <f t="shared" si="22"/>
        <v>3</v>
      </c>
      <c r="AV172" s="7"/>
      <c r="AW172" s="7"/>
      <c r="AX172" s="49"/>
      <c r="AY172" s="49">
        <v>2</v>
      </c>
      <c r="AZ172" s="49">
        <v>2</v>
      </c>
      <c r="BA172" s="59">
        <f t="shared" si="23"/>
        <v>2</v>
      </c>
    </row>
    <row r="173" spans="1:53" ht="23.1" customHeight="1" x14ac:dyDescent="0.3">
      <c r="A173" s="49">
        <v>171</v>
      </c>
      <c r="B173" s="49" t="s">
        <v>285</v>
      </c>
      <c r="C173" s="49" t="s">
        <v>286</v>
      </c>
      <c r="D173" s="49" t="s">
        <v>542</v>
      </c>
      <c r="E173" s="49" t="s">
        <v>161</v>
      </c>
      <c r="F173" s="49">
        <v>2</v>
      </c>
      <c r="G173" s="49">
        <v>1</v>
      </c>
      <c r="H173" s="49">
        <v>1</v>
      </c>
      <c r="I173" s="49">
        <v>2</v>
      </c>
      <c r="J173" s="49"/>
      <c r="K173" s="59">
        <f t="shared" si="16"/>
        <v>1.5</v>
      </c>
      <c r="L173" s="49">
        <v>2</v>
      </c>
      <c r="M173" s="49">
        <v>2</v>
      </c>
      <c r="N173" s="49">
        <v>2</v>
      </c>
      <c r="O173" s="49">
        <v>3</v>
      </c>
      <c r="P173" s="49">
        <v>1</v>
      </c>
      <c r="Q173" s="59">
        <f t="shared" si="17"/>
        <v>2</v>
      </c>
      <c r="R173" s="49"/>
      <c r="S173" s="49">
        <v>2</v>
      </c>
      <c r="T173" s="49"/>
      <c r="U173" s="49"/>
      <c r="V173" s="49"/>
      <c r="W173" s="59">
        <f t="shared" si="18"/>
        <v>2</v>
      </c>
      <c r="X173" s="49"/>
      <c r="Y173" s="49"/>
      <c r="Z173" s="49"/>
      <c r="AA173" s="49"/>
      <c r="AB173" s="49"/>
      <c r="AC173" s="59" t="str">
        <f t="shared" si="19"/>
        <v>0</v>
      </c>
      <c r="AD173" s="49"/>
      <c r="AE173" s="49"/>
      <c r="AF173" s="49"/>
      <c r="AG173" s="49"/>
      <c r="AH173" s="49"/>
      <c r="AI173" s="59" t="str">
        <f t="shared" si="20"/>
        <v>0</v>
      </c>
      <c r="AJ173" s="49">
        <v>2</v>
      </c>
      <c r="AK173" s="49">
        <v>1</v>
      </c>
      <c r="AL173" s="49">
        <v>2</v>
      </c>
      <c r="AM173" s="49">
        <v>2</v>
      </c>
      <c r="AN173" s="49"/>
      <c r="AO173" s="59">
        <f t="shared" si="21"/>
        <v>1.75</v>
      </c>
      <c r="AP173" s="49">
        <v>2</v>
      </c>
      <c r="AQ173" s="49"/>
      <c r="AR173" s="49"/>
      <c r="AS173" s="49"/>
      <c r="AT173" s="49"/>
      <c r="AU173" s="59">
        <f t="shared" si="22"/>
        <v>2</v>
      </c>
      <c r="AV173" s="49"/>
      <c r="AW173" s="49"/>
      <c r="AX173" s="49"/>
      <c r="AY173" s="49">
        <v>2</v>
      </c>
      <c r="AZ173" s="49">
        <v>1</v>
      </c>
      <c r="BA173" s="59">
        <f t="shared" si="23"/>
        <v>1.5</v>
      </c>
    </row>
    <row r="174" spans="1:53" ht="23.1" customHeight="1" x14ac:dyDescent="0.3">
      <c r="A174" s="7">
        <v>172</v>
      </c>
      <c r="B174" s="7" t="s">
        <v>397</v>
      </c>
      <c r="C174" s="7" t="s">
        <v>539</v>
      </c>
      <c r="D174" s="7" t="s">
        <v>542</v>
      </c>
      <c r="E174" s="7" t="s">
        <v>289</v>
      </c>
      <c r="F174" s="49">
        <v>2</v>
      </c>
      <c r="G174" s="49">
        <v>2</v>
      </c>
      <c r="H174" s="49">
        <v>2</v>
      </c>
      <c r="I174" s="49">
        <v>2</v>
      </c>
      <c r="J174" s="7"/>
      <c r="K174" s="59">
        <f t="shared" si="16"/>
        <v>2</v>
      </c>
      <c r="L174" s="49">
        <v>2</v>
      </c>
      <c r="M174" s="49">
        <v>2</v>
      </c>
      <c r="N174" s="49">
        <v>2</v>
      </c>
      <c r="O174" s="49">
        <v>2</v>
      </c>
      <c r="P174" s="49">
        <v>2</v>
      </c>
      <c r="Q174" s="59">
        <f t="shared" si="17"/>
        <v>2</v>
      </c>
      <c r="R174" s="49"/>
      <c r="S174" s="49">
        <v>2</v>
      </c>
      <c r="T174" s="7"/>
      <c r="U174" s="49"/>
      <c r="V174" s="7"/>
      <c r="W174" s="59">
        <f t="shared" si="18"/>
        <v>2</v>
      </c>
      <c r="X174" s="49"/>
      <c r="Y174" s="49"/>
      <c r="Z174" s="7"/>
      <c r="AA174" s="7"/>
      <c r="AB174" s="7"/>
      <c r="AC174" s="59" t="str">
        <f t="shared" si="19"/>
        <v>0</v>
      </c>
      <c r="AD174" s="49"/>
      <c r="AE174" s="7"/>
      <c r="AF174" s="49"/>
      <c r="AG174" s="7"/>
      <c r="AH174" s="7"/>
      <c r="AI174" s="59" t="str">
        <f t="shared" si="20"/>
        <v>0</v>
      </c>
      <c r="AJ174" s="49">
        <v>2</v>
      </c>
      <c r="AK174" s="49">
        <v>2</v>
      </c>
      <c r="AL174" s="49">
        <v>2</v>
      </c>
      <c r="AM174" s="49">
        <v>2</v>
      </c>
      <c r="AN174" s="7"/>
      <c r="AO174" s="59">
        <f t="shared" si="21"/>
        <v>2</v>
      </c>
      <c r="AP174" s="49">
        <v>3</v>
      </c>
      <c r="AQ174" s="49"/>
      <c r="AR174" s="49"/>
      <c r="AS174" s="7"/>
      <c r="AT174" s="7"/>
      <c r="AU174" s="59">
        <f t="shared" si="22"/>
        <v>3</v>
      </c>
      <c r="AV174" s="7"/>
      <c r="AW174" s="7"/>
      <c r="AX174" s="49"/>
      <c r="AY174" s="49">
        <v>3</v>
      </c>
      <c r="AZ174" s="49">
        <v>3</v>
      </c>
      <c r="BA174" s="59">
        <f t="shared" si="23"/>
        <v>3</v>
      </c>
    </row>
    <row r="175" spans="1:53" ht="23.1" customHeight="1" x14ac:dyDescent="0.3">
      <c r="A175" s="49">
        <v>173</v>
      </c>
      <c r="B175" s="49" t="s">
        <v>398</v>
      </c>
      <c r="C175" s="49" t="s">
        <v>399</v>
      </c>
      <c r="D175" s="49" t="s">
        <v>542</v>
      </c>
      <c r="E175" s="49" t="s">
        <v>493</v>
      </c>
      <c r="F175" s="49">
        <v>1</v>
      </c>
      <c r="G175" s="49">
        <v>1</v>
      </c>
      <c r="H175" s="49">
        <v>1</v>
      </c>
      <c r="I175" s="49">
        <v>1</v>
      </c>
      <c r="J175" s="49"/>
      <c r="K175" s="59">
        <f t="shared" si="16"/>
        <v>1</v>
      </c>
      <c r="L175" s="49">
        <v>2</v>
      </c>
      <c r="M175" s="49">
        <v>2</v>
      </c>
      <c r="N175" s="49">
        <v>2</v>
      </c>
      <c r="O175" s="49">
        <v>4</v>
      </c>
      <c r="P175" s="49">
        <v>1</v>
      </c>
      <c r="Q175" s="59">
        <f t="shared" si="17"/>
        <v>2.2000000000000002</v>
      </c>
      <c r="R175" s="49"/>
      <c r="S175" s="49">
        <v>1</v>
      </c>
      <c r="T175" s="49"/>
      <c r="U175" s="49"/>
      <c r="V175" s="49"/>
      <c r="W175" s="59">
        <f t="shared" si="18"/>
        <v>1</v>
      </c>
      <c r="X175" s="49"/>
      <c r="Y175" s="49"/>
      <c r="Z175" s="49"/>
      <c r="AA175" s="49"/>
      <c r="AB175" s="49"/>
      <c r="AC175" s="59" t="str">
        <f t="shared" si="19"/>
        <v>0</v>
      </c>
      <c r="AD175" s="49"/>
      <c r="AE175" s="49"/>
      <c r="AF175" s="49"/>
      <c r="AG175" s="49"/>
      <c r="AH175" s="49"/>
      <c r="AI175" s="59" t="str">
        <f t="shared" si="20"/>
        <v>0</v>
      </c>
      <c r="AJ175" s="49">
        <v>1</v>
      </c>
      <c r="AK175" s="49">
        <v>1</v>
      </c>
      <c r="AL175" s="49">
        <v>1</v>
      </c>
      <c r="AM175" s="49">
        <v>1</v>
      </c>
      <c r="AN175" s="49"/>
      <c r="AO175" s="59">
        <f t="shared" si="21"/>
        <v>1</v>
      </c>
      <c r="AP175" s="49">
        <v>1</v>
      </c>
      <c r="AQ175" s="49"/>
      <c r="AR175" s="49"/>
      <c r="AS175" s="49"/>
      <c r="AT175" s="49"/>
      <c r="AU175" s="59">
        <f t="shared" si="22"/>
        <v>1</v>
      </c>
      <c r="AV175" s="49"/>
      <c r="AW175" s="49"/>
      <c r="AX175" s="49"/>
      <c r="AY175" s="49">
        <v>1</v>
      </c>
      <c r="AZ175" s="49">
        <v>1</v>
      </c>
      <c r="BA175" s="59">
        <f t="shared" si="23"/>
        <v>1</v>
      </c>
    </row>
    <row r="176" spans="1:53" ht="23.1" customHeight="1" x14ac:dyDescent="0.3">
      <c r="A176" s="7">
        <v>174</v>
      </c>
      <c r="B176" s="7" t="s">
        <v>400</v>
      </c>
      <c r="C176" s="7" t="s">
        <v>401</v>
      </c>
      <c r="D176" s="7" t="s">
        <v>542</v>
      </c>
      <c r="E176" s="7" t="s">
        <v>493</v>
      </c>
      <c r="F176" s="49">
        <v>2</v>
      </c>
      <c r="G176" s="49">
        <v>3</v>
      </c>
      <c r="H176" s="49">
        <v>2</v>
      </c>
      <c r="I176" s="49">
        <v>3</v>
      </c>
      <c r="J176" s="7"/>
      <c r="K176" s="59">
        <f t="shared" si="16"/>
        <v>2.5</v>
      </c>
      <c r="L176" s="49">
        <v>2</v>
      </c>
      <c r="M176" s="49">
        <v>2</v>
      </c>
      <c r="N176" s="49">
        <v>2</v>
      </c>
      <c r="O176" s="49">
        <v>2</v>
      </c>
      <c r="P176" s="49">
        <v>3</v>
      </c>
      <c r="Q176" s="59">
        <f t="shared" si="17"/>
        <v>2.2000000000000002</v>
      </c>
      <c r="R176" s="49"/>
      <c r="S176" s="49">
        <v>3</v>
      </c>
      <c r="T176" s="7"/>
      <c r="U176" s="49"/>
      <c r="V176" s="7"/>
      <c r="W176" s="59">
        <f t="shared" si="18"/>
        <v>3</v>
      </c>
      <c r="X176" s="49"/>
      <c r="Y176" s="49"/>
      <c r="Z176" s="7"/>
      <c r="AA176" s="7"/>
      <c r="AB176" s="7"/>
      <c r="AC176" s="59" t="str">
        <f t="shared" si="19"/>
        <v>0</v>
      </c>
      <c r="AD176" s="49"/>
      <c r="AE176" s="7"/>
      <c r="AF176" s="49"/>
      <c r="AG176" s="7"/>
      <c r="AH176" s="7"/>
      <c r="AI176" s="59" t="str">
        <f t="shared" si="20"/>
        <v>0</v>
      </c>
      <c r="AJ176" s="49">
        <v>3</v>
      </c>
      <c r="AK176" s="49">
        <v>3</v>
      </c>
      <c r="AL176" s="49">
        <v>3</v>
      </c>
      <c r="AM176" s="49">
        <v>3</v>
      </c>
      <c r="AN176" s="7"/>
      <c r="AO176" s="59">
        <f t="shared" si="21"/>
        <v>3</v>
      </c>
      <c r="AP176" s="49">
        <v>3</v>
      </c>
      <c r="AQ176" s="49"/>
      <c r="AR176" s="49"/>
      <c r="AS176" s="7"/>
      <c r="AT176" s="7"/>
      <c r="AU176" s="59">
        <f t="shared" si="22"/>
        <v>3</v>
      </c>
      <c r="AV176" s="7"/>
      <c r="AW176" s="7"/>
      <c r="AX176" s="49"/>
      <c r="AY176" s="49">
        <v>3</v>
      </c>
      <c r="AZ176" s="49">
        <v>3</v>
      </c>
      <c r="BA176" s="59">
        <f t="shared" si="23"/>
        <v>3</v>
      </c>
    </row>
    <row r="177" spans="1:53" ht="23.1" customHeight="1" x14ac:dyDescent="0.3">
      <c r="A177" s="49">
        <v>175</v>
      </c>
      <c r="B177" s="49" t="s">
        <v>120</v>
      </c>
      <c r="C177" s="49" t="s">
        <v>121</v>
      </c>
      <c r="D177" s="49" t="s">
        <v>450</v>
      </c>
      <c r="E177" s="49" t="s">
        <v>35</v>
      </c>
      <c r="F177" s="49">
        <v>2</v>
      </c>
      <c r="G177" s="49">
        <v>1</v>
      </c>
      <c r="H177" s="49">
        <v>1</v>
      </c>
      <c r="I177" s="49">
        <v>2</v>
      </c>
      <c r="J177" s="49"/>
      <c r="K177" s="59">
        <f t="shared" si="16"/>
        <v>1.5</v>
      </c>
      <c r="L177" s="49">
        <v>1</v>
      </c>
      <c r="M177" s="49">
        <v>2</v>
      </c>
      <c r="N177" s="49">
        <v>1</v>
      </c>
      <c r="O177" s="49">
        <v>3</v>
      </c>
      <c r="P177" s="49">
        <v>1</v>
      </c>
      <c r="Q177" s="59">
        <f t="shared" si="17"/>
        <v>1.6</v>
      </c>
      <c r="R177" s="49"/>
      <c r="S177" s="49">
        <v>2</v>
      </c>
      <c r="T177" s="49"/>
      <c r="U177" s="49"/>
      <c r="V177" s="49"/>
      <c r="W177" s="59">
        <f t="shared" si="18"/>
        <v>2</v>
      </c>
      <c r="X177" s="49"/>
      <c r="Y177" s="49"/>
      <c r="Z177" s="49"/>
      <c r="AA177" s="49"/>
      <c r="AB177" s="49"/>
      <c r="AC177" s="59" t="str">
        <f t="shared" si="19"/>
        <v>0</v>
      </c>
      <c r="AD177" s="49"/>
      <c r="AE177" s="49"/>
      <c r="AF177" s="49"/>
      <c r="AG177" s="49"/>
      <c r="AH177" s="49"/>
      <c r="AI177" s="59" t="str">
        <f t="shared" si="20"/>
        <v>0</v>
      </c>
      <c r="AJ177" s="49">
        <v>2</v>
      </c>
      <c r="AK177" s="49">
        <v>2</v>
      </c>
      <c r="AL177" s="49">
        <v>2</v>
      </c>
      <c r="AM177" s="49">
        <v>1</v>
      </c>
      <c r="AN177" s="49"/>
      <c r="AO177" s="59">
        <f t="shared" si="21"/>
        <v>1.75</v>
      </c>
      <c r="AP177" s="49">
        <v>3</v>
      </c>
      <c r="AQ177" s="49"/>
      <c r="AR177" s="49"/>
      <c r="AS177" s="49"/>
      <c r="AT177" s="49"/>
      <c r="AU177" s="59">
        <f t="shared" si="22"/>
        <v>3</v>
      </c>
      <c r="AV177" s="49"/>
      <c r="AW177" s="49"/>
      <c r="AX177" s="49"/>
      <c r="AY177" s="49">
        <v>3</v>
      </c>
      <c r="AZ177" s="49">
        <v>3</v>
      </c>
      <c r="BA177" s="59">
        <f t="shared" si="23"/>
        <v>3</v>
      </c>
    </row>
    <row r="178" spans="1:53" ht="23.1" customHeight="1" x14ac:dyDescent="0.3">
      <c r="A178" s="7">
        <v>176</v>
      </c>
      <c r="B178" s="7" t="s">
        <v>402</v>
      </c>
      <c r="C178" s="7" t="s">
        <v>403</v>
      </c>
      <c r="D178" s="7" t="s">
        <v>450</v>
      </c>
      <c r="E178" s="7" t="s">
        <v>493</v>
      </c>
      <c r="F178" s="49">
        <v>2</v>
      </c>
      <c r="G178" s="49">
        <v>2.5</v>
      </c>
      <c r="H178" s="49">
        <v>2</v>
      </c>
      <c r="I178" s="49">
        <v>2</v>
      </c>
      <c r="J178" s="7"/>
      <c r="K178" s="59">
        <f t="shared" si="16"/>
        <v>2.125</v>
      </c>
      <c r="L178" s="49">
        <v>2</v>
      </c>
      <c r="M178" s="49">
        <v>2.5</v>
      </c>
      <c r="N178" s="49">
        <v>2</v>
      </c>
      <c r="O178" s="49">
        <v>2</v>
      </c>
      <c r="P178" s="49">
        <v>2</v>
      </c>
      <c r="Q178" s="59">
        <f t="shared" si="17"/>
        <v>2.1</v>
      </c>
      <c r="R178" s="49"/>
      <c r="S178" s="49">
        <v>2.5</v>
      </c>
      <c r="T178" s="7"/>
      <c r="U178" s="49"/>
      <c r="V178" s="7"/>
      <c r="W178" s="59">
        <f t="shared" si="18"/>
        <v>2.5</v>
      </c>
      <c r="X178" s="49"/>
      <c r="Y178" s="49"/>
      <c r="Z178" s="7"/>
      <c r="AA178" s="7"/>
      <c r="AB178" s="7"/>
      <c r="AC178" s="59" t="str">
        <f t="shared" si="19"/>
        <v>0</v>
      </c>
      <c r="AD178" s="49"/>
      <c r="AE178" s="7"/>
      <c r="AF178" s="49"/>
      <c r="AG178" s="7"/>
      <c r="AH178" s="7"/>
      <c r="AI178" s="59" t="str">
        <f t="shared" si="20"/>
        <v>0</v>
      </c>
      <c r="AJ178" s="49">
        <v>2</v>
      </c>
      <c r="AK178" s="49">
        <v>2.5</v>
      </c>
      <c r="AL178" s="49">
        <v>2</v>
      </c>
      <c r="AM178" s="49">
        <v>2.5</v>
      </c>
      <c r="AN178" s="7"/>
      <c r="AO178" s="59">
        <f t="shared" si="21"/>
        <v>2.25</v>
      </c>
      <c r="AP178" s="49">
        <v>2</v>
      </c>
      <c r="AQ178" s="49"/>
      <c r="AR178" s="49"/>
      <c r="AS178" s="7"/>
      <c r="AT178" s="7"/>
      <c r="AU178" s="59">
        <f t="shared" si="22"/>
        <v>2</v>
      </c>
      <c r="AV178" s="7"/>
      <c r="AW178" s="7"/>
      <c r="AX178" s="49"/>
      <c r="AY178" s="49">
        <v>2</v>
      </c>
      <c r="AZ178" s="49">
        <v>2</v>
      </c>
      <c r="BA178" s="59">
        <f t="shared" si="23"/>
        <v>2</v>
      </c>
    </row>
    <row r="179" spans="1:53" ht="23.1" customHeight="1" x14ac:dyDescent="0.3">
      <c r="A179" s="49">
        <v>177</v>
      </c>
      <c r="B179" s="49" t="s">
        <v>271</v>
      </c>
      <c r="C179" s="49" t="s">
        <v>272</v>
      </c>
      <c r="D179" s="49" t="s">
        <v>450</v>
      </c>
      <c r="E179" s="49" t="s">
        <v>161</v>
      </c>
      <c r="F179" s="49">
        <v>3</v>
      </c>
      <c r="G179" s="49">
        <v>3</v>
      </c>
      <c r="H179" s="49">
        <v>0</v>
      </c>
      <c r="I179" s="49">
        <v>3</v>
      </c>
      <c r="J179" s="49"/>
      <c r="K179" s="59">
        <f t="shared" si="16"/>
        <v>2.25</v>
      </c>
      <c r="L179" s="49">
        <v>3</v>
      </c>
      <c r="M179" s="49">
        <v>3</v>
      </c>
      <c r="N179" s="49">
        <v>3</v>
      </c>
      <c r="O179" s="49">
        <v>3</v>
      </c>
      <c r="P179" s="49">
        <v>3</v>
      </c>
      <c r="Q179" s="59">
        <f t="shared" si="17"/>
        <v>3</v>
      </c>
      <c r="R179" s="49"/>
      <c r="S179" s="49">
        <v>3</v>
      </c>
      <c r="T179" s="49"/>
      <c r="U179" s="49"/>
      <c r="V179" s="49"/>
      <c r="W179" s="59">
        <f t="shared" si="18"/>
        <v>3</v>
      </c>
      <c r="X179" s="49"/>
      <c r="Y179" s="49"/>
      <c r="Z179" s="49"/>
      <c r="AA179" s="49"/>
      <c r="AB179" s="49"/>
      <c r="AC179" s="59" t="str">
        <f t="shared" si="19"/>
        <v>0</v>
      </c>
      <c r="AD179" s="49"/>
      <c r="AE179" s="49"/>
      <c r="AF179" s="49"/>
      <c r="AG179" s="49"/>
      <c r="AH179" s="49"/>
      <c r="AI179" s="59" t="str">
        <f t="shared" si="20"/>
        <v>0</v>
      </c>
      <c r="AJ179" s="49">
        <v>3</v>
      </c>
      <c r="AK179" s="49">
        <v>3</v>
      </c>
      <c r="AL179" s="49">
        <v>3</v>
      </c>
      <c r="AM179" s="49">
        <v>3</v>
      </c>
      <c r="AN179" s="49"/>
      <c r="AO179" s="59">
        <f t="shared" si="21"/>
        <v>3</v>
      </c>
      <c r="AP179" s="49">
        <v>3</v>
      </c>
      <c r="AQ179" s="49"/>
      <c r="AR179" s="49"/>
      <c r="AS179" s="49"/>
      <c r="AT179" s="49"/>
      <c r="AU179" s="59">
        <f t="shared" si="22"/>
        <v>3</v>
      </c>
      <c r="AV179" s="49"/>
      <c r="AW179" s="49"/>
      <c r="AX179" s="49"/>
      <c r="AY179" s="49">
        <v>2</v>
      </c>
      <c r="AZ179" s="49">
        <v>3</v>
      </c>
      <c r="BA179" s="59">
        <f t="shared" si="23"/>
        <v>2.5</v>
      </c>
    </row>
    <row r="180" spans="1:53" ht="23.1" customHeight="1" x14ac:dyDescent="0.3">
      <c r="A180" s="7">
        <v>178</v>
      </c>
      <c r="B180" s="7" t="s">
        <v>52</v>
      </c>
      <c r="C180" s="7" t="s">
        <v>53</v>
      </c>
      <c r="D180" s="7" t="s">
        <v>542</v>
      </c>
      <c r="E180" s="7" t="s">
        <v>35</v>
      </c>
      <c r="F180" s="49">
        <v>4</v>
      </c>
      <c r="G180" s="49">
        <v>0</v>
      </c>
      <c r="H180" s="49">
        <v>4</v>
      </c>
      <c r="I180" s="49">
        <v>3</v>
      </c>
      <c r="J180" s="7"/>
      <c r="K180" s="59">
        <f t="shared" si="16"/>
        <v>2.75</v>
      </c>
      <c r="L180" s="49">
        <v>3</v>
      </c>
      <c r="M180" s="49">
        <v>4</v>
      </c>
      <c r="N180" s="49">
        <v>2</v>
      </c>
      <c r="O180" s="49">
        <v>4</v>
      </c>
      <c r="P180" s="49">
        <v>4</v>
      </c>
      <c r="Q180" s="59">
        <f t="shared" si="17"/>
        <v>3.4</v>
      </c>
      <c r="R180" s="49"/>
      <c r="S180" s="49">
        <v>3</v>
      </c>
      <c r="T180" s="7"/>
      <c r="U180" s="49"/>
      <c r="V180" s="7"/>
      <c r="W180" s="59">
        <f t="shared" si="18"/>
        <v>3</v>
      </c>
      <c r="X180" s="49"/>
      <c r="Y180" s="49"/>
      <c r="Z180" s="7"/>
      <c r="AA180" s="7"/>
      <c r="AB180" s="7"/>
      <c r="AC180" s="59" t="str">
        <f t="shared" si="19"/>
        <v>0</v>
      </c>
      <c r="AD180" s="49"/>
      <c r="AE180" s="7"/>
      <c r="AF180" s="49"/>
      <c r="AG180" s="7"/>
      <c r="AH180" s="7"/>
      <c r="AI180" s="59" t="str">
        <f t="shared" si="20"/>
        <v>0</v>
      </c>
      <c r="AJ180" s="49">
        <v>3</v>
      </c>
      <c r="AK180" s="49">
        <v>3</v>
      </c>
      <c r="AL180" s="49">
        <v>3</v>
      </c>
      <c r="AM180" s="49">
        <v>2</v>
      </c>
      <c r="AN180" s="7"/>
      <c r="AO180" s="59">
        <f t="shared" si="21"/>
        <v>2.75</v>
      </c>
      <c r="AP180" s="49">
        <v>3</v>
      </c>
      <c r="AQ180" s="49"/>
      <c r="AR180" s="49"/>
      <c r="AS180" s="7"/>
      <c r="AT180" s="7"/>
      <c r="AU180" s="59">
        <f t="shared" si="22"/>
        <v>3</v>
      </c>
      <c r="AV180" s="7"/>
      <c r="AW180" s="7"/>
      <c r="AX180" s="49"/>
      <c r="AY180" s="49">
        <v>3</v>
      </c>
      <c r="AZ180" s="49">
        <v>3</v>
      </c>
      <c r="BA180" s="59">
        <f t="shared" si="23"/>
        <v>3</v>
      </c>
    </row>
    <row r="181" spans="1:53" ht="23.1" customHeight="1" x14ac:dyDescent="0.3">
      <c r="A181" s="49">
        <v>179</v>
      </c>
      <c r="B181" s="49" t="s">
        <v>239</v>
      </c>
      <c r="C181" s="49" t="s">
        <v>240</v>
      </c>
      <c r="D181" s="49" t="s">
        <v>542</v>
      </c>
      <c r="E181" s="49" t="s">
        <v>161</v>
      </c>
      <c r="F181" s="49">
        <v>3</v>
      </c>
      <c r="G181" s="49">
        <v>3</v>
      </c>
      <c r="H181" s="49">
        <v>3</v>
      </c>
      <c r="I181" s="49">
        <v>3</v>
      </c>
      <c r="J181" s="49"/>
      <c r="K181" s="59">
        <f t="shared" si="16"/>
        <v>3</v>
      </c>
      <c r="L181" s="49">
        <v>3</v>
      </c>
      <c r="M181" s="49">
        <v>3</v>
      </c>
      <c r="N181" s="49">
        <v>3</v>
      </c>
      <c r="O181" s="49">
        <v>3</v>
      </c>
      <c r="P181" s="49">
        <v>3</v>
      </c>
      <c r="Q181" s="59">
        <f t="shared" si="17"/>
        <v>3</v>
      </c>
      <c r="R181" s="49"/>
      <c r="S181" s="49">
        <v>3</v>
      </c>
      <c r="T181" s="49"/>
      <c r="U181" s="49"/>
      <c r="V181" s="49"/>
      <c r="W181" s="59">
        <f t="shared" si="18"/>
        <v>3</v>
      </c>
      <c r="X181" s="49"/>
      <c r="Y181" s="49"/>
      <c r="Z181" s="49"/>
      <c r="AA181" s="49"/>
      <c r="AB181" s="49"/>
      <c r="AC181" s="59" t="str">
        <f t="shared" si="19"/>
        <v>0</v>
      </c>
      <c r="AD181" s="49"/>
      <c r="AE181" s="49"/>
      <c r="AF181" s="49"/>
      <c r="AG181" s="49"/>
      <c r="AH181" s="49"/>
      <c r="AI181" s="59" t="str">
        <f t="shared" si="20"/>
        <v>0</v>
      </c>
      <c r="AJ181" s="49">
        <v>3</v>
      </c>
      <c r="AK181" s="49">
        <v>3</v>
      </c>
      <c r="AL181" s="49">
        <v>3</v>
      </c>
      <c r="AM181" s="49">
        <v>3</v>
      </c>
      <c r="AN181" s="49"/>
      <c r="AO181" s="59">
        <f t="shared" si="21"/>
        <v>3</v>
      </c>
      <c r="AP181" s="49">
        <v>3</v>
      </c>
      <c r="AQ181" s="49"/>
      <c r="AR181" s="49"/>
      <c r="AS181" s="49"/>
      <c r="AT181" s="49"/>
      <c r="AU181" s="59">
        <f t="shared" si="22"/>
        <v>3</v>
      </c>
      <c r="AV181" s="49"/>
      <c r="AW181" s="49"/>
      <c r="AX181" s="49"/>
      <c r="AY181" s="49">
        <v>3</v>
      </c>
      <c r="AZ181" s="49">
        <v>2</v>
      </c>
      <c r="BA181" s="59">
        <f t="shared" si="23"/>
        <v>2.5</v>
      </c>
    </row>
    <row r="182" spans="1:53" ht="23.1" customHeight="1" x14ac:dyDescent="0.3">
      <c r="A182" s="7">
        <v>180</v>
      </c>
      <c r="B182" s="7" t="s">
        <v>255</v>
      </c>
      <c r="C182" s="7" t="s">
        <v>256</v>
      </c>
      <c r="D182" s="7" t="s">
        <v>450</v>
      </c>
      <c r="E182" s="7" t="s">
        <v>161</v>
      </c>
      <c r="F182" s="49">
        <v>2</v>
      </c>
      <c r="G182" s="49">
        <v>2</v>
      </c>
      <c r="H182" s="49">
        <v>2</v>
      </c>
      <c r="I182" s="49">
        <v>2</v>
      </c>
      <c r="J182" s="7"/>
      <c r="K182" s="59">
        <f t="shared" si="16"/>
        <v>2</v>
      </c>
      <c r="L182" s="49">
        <v>3</v>
      </c>
      <c r="M182" s="49">
        <v>2</v>
      </c>
      <c r="N182" s="49">
        <v>2</v>
      </c>
      <c r="O182" s="49">
        <v>3</v>
      </c>
      <c r="P182" s="49">
        <v>2</v>
      </c>
      <c r="Q182" s="59">
        <f t="shared" si="17"/>
        <v>2.4</v>
      </c>
      <c r="R182" s="49"/>
      <c r="S182" s="49">
        <v>2</v>
      </c>
      <c r="T182" s="7"/>
      <c r="U182" s="49"/>
      <c r="V182" s="7"/>
      <c r="W182" s="59">
        <f t="shared" si="18"/>
        <v>2</v>
      </c>
      <c r="X182" s="49"/>
      <c r="Y182" s="49"/>
      <c r="Z182" s="7"/>
      <c r="AA182" s="7"/>
      <c r="AB182" s="7"/>
      <c r="AC182" s="59" t="str">
        <f t="shared" si="19"/>
        <v>0</v>
      </c>
      <c r="AD182" s="49"/>
      <c r="AE182" s="7"/>
      <c r="AF182" s="49"/>
      <c r="AG182" s="7"/>
      <c r="AH182" s="7"/>
      <c r="AI182" s="59" t="str">
        <f t="shared" si="20"/>
        <v>0</v>
      </c>
      <c r="AJ182" s="49">
        <v>2</v>
      </c>
      <c r="AK182" s="49">
        <v>2</v>
      </c>
      <c r="AL182" s="49">
        <v>2</v>
      </c>
      <c r="AM182" s="49">
        <v>2</v>
      </c>
      <c r="AN182" s="7"/>
      <c r="AO182" s="59">
        <f t="shared" si="21"/>
        <v>2</v>
      </c>
      <c r="AP182" s="49">
        <v>3</v>
      </c>
      <c r="AQ182" s="49"/>
      <c r="AR182" s="49"/>
      <c r="AS182" s="7"/>
      <c r="AT182" s="7"/>
      <c r="AU182" s="59">
        <f t="shared" si="22"/>
        <v>3</v>
      </c>
      <c r="AV182" s="7"/>
      <c r="AW182" s="7"/>
      <c r="AX182" s="49"/>
      <c r="AY182" s="49">
        <v>2</v>
      </c>
      <c r="AZ182" s="49">
        <v>2</v>
      </c>
      <c r="BA182" s="59">
        <f t="shared" si="23"/>
        <v>2</v>
      </c>
    </row>
    <row r="183" spans="1:53" ht="23.1" customHeight="1" x14ac:dyDescent="0.3">
      <c r="A183" s="49">
        <v>181</v>
      </c>
      <c r="B183" s="49" t="s">
        <v>404</v>
      </c>
      <c r="C183" s="49" t="s">
        <v>405</v>
      </c>
      <c r="D183" s="49" t="s">
        <v>450</v>
      </c>
      <c r="E183" s="49" t="s">
        <v>493</v>
      </c>
      <c r="F183" s="49">
        <v>2</v>
      </c>
      <c r="G183" s="49">
        <v>3</v>
      </c>
      <c r="H183" s="49">
        <v>2</v>
      </c>
      <c r="I183" s="49">
        <v>2</v>
      </c>
      <c r="J183" s="49"/>
      <c r="K183" s="59">
        <f t="shared" si="16"/>
        <v>2.25</v>
      </c>
      <c r="L183" s="49">
        <v>2</v>
      </c>
      <c r="M183" s="49">
        <v>3</v>
      </c>
      <c r="N183" s="49">
        <v>1</v>
      </c>
      <c r="O183" s="49">
        <v>3</v>
      </c>
      <c r="P183" s="49">
        <v>3</v>
      </c>
      <c r="Q183" s="59">
        <f t="shared" si="17"/>
        <v>2.4</v>
      </c>
      <c r="R183" s="49"/>
      <c r="S183" s="49">
        <v>3</v>
      </c>
      <c r="T183" s="49"/>
      <c r="U183" s="49"/>
      <c r="V183" s="49"/>
      <c r="W183" s="59">
        <f t="shared" si="18"/>
        <v>3</v>
      </c>
      <c r="X183" s="49"/>
      <c r="Y183" s="49"/>
      <c r="Z183" s="49"/>
      <c r="AA183" s="49"/>
      <c r="AB183" s="49"/>
      <c r="AC183" s="59" t="str">
        <f t="shared" si="19"/>
        <v>0</v>
      </c>
      <c r="AD183" s="49"/>
      <c r="AE183" s="49"/>
      <c r="AF183" s="49"/>
      <c r="AG183" s="49"/>
      <c r="AH183" s="49"/>
      <c r="AI183" s="59" t="str">
        <f t="shared" si="20"/>
        <v>0</v>
      </c>
      <c r="AJ183" s="49">
        <v>3</v>
      </c>
      <c r="AK183" s="49">
        <v>2</v>
      </c>
      <c r="AL183" s="49">
        <v>3</v>
      </c>
      <c r="AM183" s="49">
        <v>3</v>
      </c>
      <c r="AN183" s="49"/>
      <c r="AO183" s="59">
        <f t="shared" si="21"/>
        <v>2.75</v>
      </c>
      <c r="AP183" s="49">
        <v>3</v>
      </c>
      <c r="AQ183" s="49"/>
      <c r="AR183" s="49"/>
      <c r="AS183" s="49"/>
      <c r="AT183" s="49"/>
      <c r="AU183" s="59">
        <f t="shared" si="22"/>
        <v>3</v>
      </c>
      <c r="AV183" s="49"/>
      <c r="AW183" s="49"/>
      <c r="AX183" s="49"/>
      <c r="AY183" s="49">
        <v>4</v>
      </c>
      <c r="AZ183" s="49">
        <v>4</v>
      </c>
      <c r="BA183" s="59">
        <f t="shared" si="23"/>
        <v>4</v>
      </c>
    </row>
    <row r="184" spans="1:53" ht="23.1" customHeight="1" x14ac:dyDescent="0.3">
      <c r="A184" s="7">
        <v>182</v>
      </c>
      <c r="B184" s="7" t="s">
        <v>44</v>
      </c>
      <c r="C184" s="7" t="s">
        <v>45</v>
      </c>
      <c r="D184" s="7" t="s">
        <v>450</v>
      </c>
      <c r="E184" s="7" t="s">
        <v>35</v>
      </c>
      <c r="F184" s="49">
        <v>4</v>
      </c>
      <c r="G184" s="49">
        <v>4</v>
      </c>
      <c r="H184" s="49">
        <v>4</v>
      </c>
      <c r="I184" s="49">
        <v>4</v>
      </c>
      <c r="J184" s="7"/>
      <c r="K184" s="59">
        <f t="shared" si="16"/>
        <v>4</v>
      </c>
      <c r="L184" s="49">
        <v>4</v>
      </c>
      <c r="M184" s="49">
        <v>4</v>
      </c>
      <c r="N184" s="49">
        <v>4</v>
      </c>
      <c r="O184" s="49">
        <v>4</v>
      </c>
      <c r="P184" s="49">
        <v>4</v>
      </c>
      <c r="Q184" s="59">
        <f t="shared" si="17"/>
        <v>4</v>
      </c>
      <c r="R184" s="49"/>
      <c r="S184" s="49">
        <v>4</v>
      </c>
      <c r="T184" s="7"/>
      <c r="U184" s="49"/>
      <c r="V184" s="7"/>
      <c r="W184" s="59">
        <f t="shared" si="18"/>
        <v>4</v>
      </c>
      <c r="X184" s="49"/>
      <c r="Y184" s="49"/>
      <c r="Z184" s="7"/>
      <c r="AA184" s="7"/>
      <c r="AB184" s="7"/>
      <c r="AC184" s="59" t="str">
        <f t="shared" si="19"/>
        <v>0</v>
      </c>
      <c r="AD184" s="49"/>
      <c r="AE184" s="7"/>
      <c r="AF184" s="49"/>
      <c r="AG184" s="7"/>
      <c r="AH184" s="7"/>
      <c r="AI184" s="59" t="str">
        <f t="shared" si="20"/>
        <v>0</v>
      </c>
      <c r="AJ184" s="49">
        <v>3</v>
      </c>
      <c r="AK184" s="49">
        <v>4</v>
      </c>
      <c r="AL184" s="49">
        <v>4</v>
      </c>
      <c r="AM184" s="49">
        <v>2</v>
      </c>
      <c r="AN184" s="7"/>
      <c r="AO184" s="59">
        <f t="shared" si="21"/>
        <v>3.25</v>
      </c>
      <c r="AP184" s="49">
        <v>3</v>
      </c>
      <c r="AQ184" s="49"/>
      <c r="AR184" s="49"/>
      <c r="AS184" s="7"/>
      <c r="AT184" s="7"/>
      <c r="AU184" s="59">
        <f t="shared" si="22"/>
        <v>3</v>
      </c>
      <c r="AV184" s="7"/>
      <c r="AW184" s="7"/>
      <c r="AX184" s="49"/>
      <c r="AY184" s="49">
        <v>4</v>
      </c>
      <c r="AZ184" s="49">
        <v>4</v>
      </c>
      <c r="BA184" s="59">
        <f t="shared" si="23"/>
        <v>4</v>
      </c>
    </row>
    <row r="185" spans="1:53" ht="23.1" customHeight="1" x14ac:dyDescent="0.3">
      <c r="A185" s="49">
        <v>183</v>
      </c>
      <c r="B185" s="49" t="s">
        <v>406</v>
      </c>
      <c r="C185" s="49" t="s">
        <v>407</v>
      </c>
      <c r="D185" s="49" t="s">
        <v>450</v>
      </c>
      <c r="E185" s="49" t="s">
        <v>493</v>
      </c>
      <c r="F185" s="49">
        <v>2</v>
      </c>
      <c r="G185" s="49">
        <v>2</v>
      </c>
      <c r="H185" s="49">
        <v>2</v>
      </c>
      <c r="I185" s="49">
        <v>2</v>
      </c>
      <c r="J185" s="49"/>
      <c r="K185" s="59">
        <f t="shared" si="16"/>
        <v>2</v>
      </c>
      <c r="L185" s="49">
        <v>1</v>
      </c>
      <c r="M185" s="49">
        <v>3</v>
      </c>
      <c r="N185" s="49">
        <v>2</v>
      </c>
      <c r="O185" s="49">
        <v>3</v>
      </c>
      <c r="P185" s="49">
        <v>2</v>
      </c>
      <c r="Q185" s="59">
        <f t="shared" si="17"/>
        <v>2.2000000000000002</v>
      </c>
      <c r="R185" s="49"/>
      <c r="S185" s="49">
        <v>2</v>
      </c>
      <c r="T185" s="49"/>
      <c r="U185" s="49"/>
      <c r="V185" s="49"/>
      <c r="W185" s="59">
        <f t="shared" si="18"/>
        <v>2</v>
      </c>
      <c r="X185" s="49"/>
      <c r="Y185" s="49"/>
      <c r="Z185" s="49"/>
      <c r="AA185" s="49"/>
      <c r="AB185" s="49"/>
      <c r="AC185" s="59" t="str">
        <f t="shared" si="19"/>
        <v>0</v>
      </c>
      <c r="AD185" s="49"/>
      <c r="AE185" s="49"/>
      <c r="AF185" s="49"/>
      <c r="AG185" s="49"/>
      <c r="AH185" s="49"/>
      <c r="AI185" s="59" t="str">
        <f t="shared" si="20"/>
        <v>0</v>
      </c>
      <c r="AJ185" s="49">
        <v>2</v>
      </c>
      <c r="AK185" s="49">
        <v>2</v>
      </c>
      <c r="AL185" s="49">
        <v>2</v>
      </c>
      <c r="AM185" s="49">
        <v>2</v>
      </c>
      <c r="AN185" s="49"/>
      <c r="AO185" s="59">
        <f t="shared" si="21"/>
        <v>2</v>
      </c>
      <c r="AP185" s="49">
        <v>3</v>
      </c>
      <c r="AQ185" s="49"/>
      <c r="AR185" s="49"/>
      <c r="AS185" s="49"/>
      <c r="AT185" s="49"/>
      <c r="AU185" s="59">
        <f t="shared" si="22"/>
        <v>3</v>
      </c>
      <c r="AV185" s="49"/>
      <c r="AW185" s="49"/>
      <c r="AX185" s="49"/>
      <c r="AY185" s="49">
        <v>2</v>
      </c>
      <c r="AZ185" s="49">
        <v>2</v>
      </c>
      <c r="BA185" s="59">
        <f t="shared" si="23"/>
        <v>2</v>
      </c>
    </row>
    <row r="186" spans="1:53" ht="23.1" customHeight="1" x14ac:dyDescent="0.3">
      <c r="A186" s="7">
        <v>184</v>
      </c>
      <c r="B186" s="7" t="s">
        <v>287</v>
      </c>
      <c r="C186" s="7" t="s">
        <v>288</v>
      </c>
      <c r="D186" s="7" t="s">
        <v>450</v>
      </c>
      <c r="E186" s="7" t="s">
        <v>161</v>
      </c>
      <c r="F186" s="49">
        <v>3</v>
      </c>
      <c r="G186" s="49">
        <v>4</v>
      </c>
      <c r="H186" s="49">
        <v>4</v>
      </c>
      <c r="I186" s="49">
        <v>3</v>
      </c>
      <c r="J186" s="7"/>
      <c r="K186" s="59">
        <f t="shared" si="16"/>
        <v>3.5</v>
      </c>
      <c r="L186" s="49">
        <v>3</v>
      </c>
      <c r="M186" s="49">
        <v>3</v>
      </c>
      <c r="N186" s="49">
        <v>2</v>
      </c>
      <c r="O186" s="49">
        <v>3</v>
      </c>
      <c r="P186" s="49">
        <v>3</v>
      </c>
      <c r="Q186" s="59">
        <f t="shared" si="17"/>
        <v>2.8</v>
      </c>
      <c r="R186" s="49"/>
      <c r="S186" s="49">
        <v>4</v>
      </c>
      <c r="T186" s="7"/>
      <c r="U186" s="49"/>
      <c r="V186" s="7"/>
      <c r="W186" s="59">
        <f t="shared" si="18"/>
        <v>4</v>
      </c>
      <c r="X186" s="49"/>
      <c r="Y186" s="49"/>
      <c r="Z186" s="7"/>
      <c r="AA186" s="7"/>
      <c r="AB186" s="7"/>
      <c r="AC186" s="59" t="str">
        <f t="shared" si="19"/>
        <v>0</v>
      </c>
      <c r="AD186" s="49"/>
      <c r="AE186" s="7"/>
      <c r="AF186" s="49"/>
      <c r="AG186" s="7"/>
      <c r="AH186" s="7"/>
      <c r="AI186" s="59" t="str">
        <f t="shared" si="20"/>
        <v>0</v>
      </c>
      <c r="AJ186" s="49">
        <v>3</v>
      </c>
      <c r="AK186" s="49">
        <v>2</v>
      </c>
      <c r="AL186" s="49">
        <v>3</v>
      </c>
      <c r="AM186" s="49">
        <v>3</v>
      </c>
      <c r="AN186" s="7"/>
      <c r="AO186" s="59">
        <f t="shared" si="21"/>
        <v>2.75</v>
      </c>
      <c r="AP186" s="49">
        <v>3</v>
      </c>
      <c r="AQ186" s="49"/>
      <c r="AR186" s="49"/>
      <c r="AS186" s="7"/>
      <c r="AT186" s="7"/>
      <c r="AU186" s="59">
        <f t="shared" si="22"/>
        <v>3</v>
      </c>
      <c r="AV186" s="7"/>
      <c r="AW186" s="7"/>
      <c r="AX186" s="49"/>
      <c r="AY186" s="49">
        <v>3</v>
      </c>
      <c r="AZ186" s="49">
        <v>3</v>
      </c>
      <c r="BA186" s="59">
        <f t="shared" si="23"/>
        <v>3</v>
      </c>
    </row>
    <row r="187" spans="1:53" ht="23.1" customHeight="1" x14ac:dyDescent="0.3">
      <c r="A187" s="49">
        <v>185</v>
      </c>
      <c r="B187" s="49" t="s">
        <v>408</v>
      </c>
      <c r="C187" s="49" t="s">
        <v>409</v>
      </c>
      <c r="D187" s="49" t="s">
        <v>450</v>
      </c>
      <c r="E187" s="49" t="s">
        <v>493</v>
      </c>
      <c r="F187" s="49">
        <v>3</v>
      </c>
      <c r="G187" s="49">
        <v>1</v>
      </c>
      <c r="H187" s="49">
        <v>2</v>
      </c>
      <c r="I187" s="49">
        <v>3</v>
      </c>
      <c r="J187" s="49"/>
      <c r="K187" s="59">
        <f t="shared" si="16"/>
        <v>2.25</v>
      </c>
      <c r="L187" s="49">
        <v>3</v>
      </c>
      <c r="M187" s="49">
        <v>3</v>
      </c>
      <c r="N187" s="49">
        <v>3</v>
      </c>
      <c r="O187" s="49">
        <v>2</v>
      </c>
      <c r="P187" s="49">
        <v>3</v>
      </c>
      <c r="Q187" s="59">
        <f t="shared" si="17"/>
        <v>2.8</v>
      </c>
      <c r="R187" s="49"/>
      <c r="S187" s="49">
        <v>2</v>
      </c>
      <c r="T187" s="49"/>
      <c r="U187" s="49"/>
      <c r="V187" s="49"/>
      <c r="W187" s="59">
        <f t="shared" si="18"/>
        <v>2</v>
      </c>
      <c r="X187" s="49"/>
      <c r="Y187" s="49"/>
      <c r="Z187" s="49"/>
      <c r="AA187" s="49"/>
      <c r="AB187" s="49"/>
      <c r="AC187" s="59" t="str">
        <f t="shared" si="19"/>
        <v>0</v>
      </c>
      <c r="AD187" s="49"/>
      <c r="AE187" s="49"/>
      <c r="AF187" s="49"/>
      <c r="AG187" s="49"/>
      <c r="AH187" s="49"/>
      <c r="AI187" s="59" t="str">
        <f t="shared" si="20"/>
        <v>0</v>
      </c>
      <c r="AJ187" s="49">
        <v>3</v>
      </c>
      <c r="AK187" s="49">
        <v>3</v>
      </c>
      <c r="AL187" s="49">
        <v>3</v>
      </c>
      <c r="AM187" s="49">
        <v>3</v>
      </c>
      <c r="AN187" s="49"/>
      <c r="AO187" s="59">
        <f t="shared" si="21"/>
        <v>3</v>
      </c>
      <c r="AP187" s="49">
        <v>3</v>
      </c>
      <c r="AQ187" s="49"/>
      <c r="AR187" s="49"/>
      <c r="AS187" s="49"/>
      <c r="AT187" s="49"/>
      <c r="AU187" s="59">
        <f t="shared" si="22"/>
        <v>3</v>
      </c>
      <c r="AV187" s="49"/>
      <c r="AW187" s="49"/>
      <c r="AX187" s="49"/>
      <c r="AY187" s="49">
        <v>2</v>
      </c>
      <c r="AZ187" s="49">
        <v>3</v>
      </c>
      <c r="BA187" s="59">
        <f t="shared" si="23"/>
        <v>2.5</v>
      </c>
    </row>
    <row r="188" spans="1:53" ht="23.1" customHeight="1" x14ac:dyDescent="0.3">
      <c r="A188" s="7">
        <v>186</v>
      </c>
      <c r="B188" s="7" t="s">
        <v>410</v>
      </c>
      <c r="C188" s="7" t="s">
        <v>411</v>
      </c>
      <c r="D188" s="7" t="s">
        <v>450</v>
      </c>
      <c r="E188" s="7" t="s">
        <v>493</v>
      </c>
      <c r="F188" s="49">
        <v>2</v>
      </c>
      <c r="G188" s="49">
        <v>2</v>
      </c>
      <c r="H188" s="49">
        <v>2</v>
      </c>
      <c r="I188" s="49">
        <v>2</v>
      </c>
      <c r="J188" s="7"/>
      <c r="K188" s="59">
        <f t="shared" si="16"/>
        <v>2</v>
      </c>
      <c r="L188" s="49">
        <v>3</v>
      </c>
      <c r="M188" s="49">
        <v>2</v>
      </c>
      <c r="N188" s="49">
        <v>3</v>
      </c>
      <c r="O188" s="49">
        <v>3</v>
      </c>
      <c r="P188" s="49">
        <v>2</v>
      </c>
      <c r="Q188" s="59">
        <f t="shared" si="17"/>
        <v>2.6</v>
      </c>
      <c r="R188" s="49"/>
      <c r="S188" s="49">
        <v>2</v>
      </c>
      <c r="T188" s="7"/>
      <c r="U188" s="49"/>
      <c r="V188" s="7"/>
      <c r="W188" s="59">
        <f t="shared" si="18"/>
        <v>2</v>
      </c>
      <c r="X188" s="49"/>
      <c r="Y188" s="49"/>
      <c r="Z188" s="7"/>
      <c r="AA188" s="7"/>
      <c r="AB188" s="7"/>
      <c r="AC188" s="59" t="str">
        <f t="shared" si="19"/>
        <v>0</v>
      </c>
      <c r="AD188" s="49"/>
      <c r="AE188" s="7"/>
      <c r="AF188" s="49"/>
      <c r="AG188" s="7"/>
      <c r="AH188" s="7"/>
      <c r="AI188" s="59" t="str">
        <f t="shared" si="20"/>
        <v>0</v>
      </c>
      <c r="AJ188" s="49">
        <v>2</v>
      </c>
      <c r="AK188" s="49">
        <v>2</v>
      </c>
      <c r="AL188" s="49">
        <v>2</v>
      </c>
      <c r="AM188" s="49">
        <v>2</v>
      </c>
      <c r="AN188" s="7"/>
      <c r="AO188" s="59">
        <f t="shared" si="21"/>
        <v>2</v>
      </c>
      <c r="AP188" s="49">
        <v>3</v>
      </c>
      <c r="AQ188" s="49"/>
      <c r="AR188" s="49"/>
      <c r="AS188" s="7"/>
      <c r="AT188" s="7"/>
      <c r="AU188" s="59">
        <f t="shared" si="22"/>
        <v>3</v>
      </c>
      <c r="AV188" s="7"/>
      <c r="AW188" s="7"/>
      <c r="AX188" s="49"/>
      <c r="AY188" s="49">
        <v>2</v>
      </c>
      <c r="AZ188" s="49">
        <v>2</v>
      </c>
      <c r="BA188" s="59">
        <f t="shared" si="23"/>
        <v>2</v>
      </c>
    </row>
    <row r="189" spans="1:53" ht="23.1" customHeight="1" x14ac:dyDescent="0.3">
      <c r="A189" s="49">
        <v>187</v>
      </c>
      <c r="B189" s="49" t="s">
        <v>412</v>
      </c>
      <c r="C189" s="49" t="s">
        <v>413</v>
      </c>
      <c r="D189" s="49" t="s">
        <v>542</v>
      </c>
      <c r="E189" s="49" t="s">
        <v>493</v>
      </c>
      <c r="F189" s="49">
        <v>3</v>
      </c>
      <c r="G189" s="49">
        <v>3</v>
      </c>
      <c r="H189" s="49">
        <v>3</v>
      </c>
      <c r="I189" s="49">
        <v>3</v>
      </c>
      <c r="J189" s="49"/>
      <c r="K189" s="59">
        <f t="shared" si="16"/>
        <v>3</v>
      </c>
      <c r="L189" s="49">
        <v>3</v>
      </c>
      <c r="M189" s="49">
        <v>3</v>
      </c>
      <c r="N189" s="49">
        <v>3</v>
      </c>
      <c r="O189" s="49">
        <v>3</v>
      </c>
      <c r="P189" s="49">
        <v>4</v>
      </c>
      <c r="Q189" s="59">
        <f t="shared" si="17"/>
        <v>3.2</v>
      </c>
      <c r="R189" s="49"/>
      <c r="S189" s="49">
        <v>3</v>
      </c>
      <c r="T189" s="49"/>
      <c r="U189" s="49"/>
      <c r="V189" s="49"/>
      <c r="W189" s="59">
        <f t="shared" si="18"/>
        <v>3</v>
      </c>
      <c r="X189" s="49"/>
      <c r="Y189" s="49"/>
      <c r="Z189" s="49"/>
      <c r="AA189" s="49"/>
      <c r="AB189" s="49"/>
      <c r="AC189" s="59" t="str">
        <f t="shared" si="19"/>
        <v>0</v>
      </c>
      <c r="AD189" s="49"/>
      <c r="AE189" s="49"/>
      <c r="AF189" s="49"/>
      <c r="AG189" s="49"/>
      <c r="AH189" s="49"/>
      <c r="AI189" s="59" t="str">
        <f t="shared" si="20"/>
        <v>0</v>
      </c>
      <c r="AJ189" s="49">
        <v>3</v>
      </c>
      <c r="AK189" s="49">
        <v>3</v>
      </c>
      <c r="AL189" s="49">
        <v>3</v>
      </c>
      <c r="AM189" s="49">
        <v>3</v>
      </c>
      <c r="AN189" s="49"/>
      <c r="AO189" s="59">
        <f t="shared" si="21"/>
        <v>3</v>
      </c>
      <c r="AP189" s="49">
        <v>3</v>
      </c>
      <c r="AQ189" s="49"/>
      <c r="AR189" s="49"/>
      <c r="AS189" s="49"/>
      <c r="AT189" s="49"/>
      <c r="AU189" s="59">
        <f t="shared" si="22"/>
        <v>3</v>
      </c>
      <c r="AV189" s="49"/>
      <c r="AW189" s="49"/>
      <c r="AX189" s="49"/>
      <c r="AY189" s="49">
        <v>1</v>
      </c>
      <c r="AZ189" s="49">
        <v>2</v>
      </c>
      <c r="BA189" s="59">
        <f t="shared" si="23"/>
        <v>1.5</v>
      </c>
    </row>
    <row r="190" spans="1:53" ht="23.1" customHeight="1" x14ac:dyDescent="0.3">
      <c r="A190" s="7">
        <v>188</v>
      </c>
      <c r="B190" s="7" t="s">
        <v>148</v>
      </c>
      <c r="C190" s="7" t="s">
        <v>149</v>
      </c>
      <c r="D190" s="7" t="s">
        <v>542</v>
      </c>
      <c r="E190" s="7" t="s">
        <v>35</v>
      </c>
      <c r="F190" s="49">
        <v>2</v>
      </c>
      <c r="G190" s="49">
        <v>2</v>
      </c>
      <c r="H190" s="49">
        <v>2</v>
      </c>
      <c r="I190" s="49">
        <v>2</v>
      </c>
      <c r="J190" s="7"/>
      <c r="K190" s="59">
        <f t="shared" si="16"/>
        <v>2</v>
      </c>
      <c r="L190" s="49">
        <v>3</v>
      </c>
      <c r="M190" s="49">
        <v>2</v>
      </c>
      <c r="N190" s="49">
        <v>3</v>
      </c>
      <c r="O190" s="49">
        <v>4</v>
      </c>
      <c r="P190" s="49">
        <v>2</v>
      </c>
      <c r="Q190" s="59">
        <f t="shared" si="17"/>
        <v>2.8</v>
      </c>
      <c r="R190" s="49"/>
      <c r="S190" s="49">
        <v>2</v>
      </c>
      <c r="T190" s="7"/>
      <c r="U190" s="49"/>
      <c r="V190" s="7"/>
      <c r="W190" s="59">
        <f t="shared" si="18"/>
        <v>2</v>
      </c>
      <c r="X190" s="49"/>
      <c r="Y190" s="49"/>
      <c r="Z190" s="7"/>
      <c r="AA190" s="7"/>
      <c r="AB190" s="7"/>
      <c r="AC190" s="59" t="str">
        <f t="shared" si="19"/>
        <v>0</v>
      </c>
      <c r="AD190" s="49"/>
      <c r="AE190" s="7"/>
      <c r="AF190" s="49"/>
      <c r="AG190" s="7"/>
      <c r="AH190" s="7"/>
      <c r="AI190" s="59" t="str">
        <f t="shared" si="20"/>
        <v>0</v>
      </c>
      <c r="AJ190" s="49">
        <v>2</v>
      </c>
      <c r="AK190" s="49">
        <v>2</v>
      </c>
      <c r="AL190" s="49">
        <v>2</v>
      </c>
      <c r="AM190" s="49">
        <v>2</v>
      </c>
      <c r="AN190" s="7"/>
      <c r="AO190" s="59">
        <f t="shared" si="21"/>
        <v>2</v>
      </c>
      <c r="AP190" s="49">
        <v>3</v>
      </c>
      <c r="AQ190" s="49"/>
      <c r="AR190" s="49"/>
      <c r="AS190" s="7"/>
      <c r="AT190" s="7"/>
      <c r="AU190" s="59">
        <f t="shared" si="22"/>
        <v>3</v>
      </c>
      <c r="AV190" s="7"/>
      <c r="AW190" s="7"/>
      <c r="AX190" s="49"/>
      <c r="AY190" s="49">
        <v>3</v>
      </c>
      <c r="AZ190" s="49">
        <v>2</v>
      </c>
      <c r="BA190" s="59">
        <f t="shared" si="23"/>
        <v>2.5</v>
      </c>
    </row>
    <row r="191" spans="1:53" ht="23.1" customHeight="1" x14ac:dyDescent="0.3">
      <c r="A191" s="49">
        <v>189</v>
      </c>
      <c r="B191" s="49" t="s">
        <v>414</v>
      </c>
      <c r="C191" s="49" t="s">
        <v>415</v>
      </c>
      <c r="D191" s="49" t="s">
        <v>450</v>
      </c>
      <c r="E191" s="49" t="s">
        <v>493</v>
      </c>
      <c r="F191" s="49">
        <v>3</v>
      </c>
      <c r="G191" s="49">
        <v>3</v>
      </c>
      <c r="H191" s="49">
        <v>3</v>
      </c>
      <c r="I191" s="49">
        <v>3</v>
      </c>
      <c r="J191" s="49"/>
      <c r="K191" s="59">
        <f t="shared" si="16"/>
        <v>3</v>
      </c>
      <c r="L191" s="49">
        <v>3</v>
      </c>
      <c r="M191" s="49">
        <v>3</v>
      </c>
      <c r="N191" s="49">
        <v>3</v>
      </c>
      <c r="O191" s="49">
        <v>4</v>
      </c>
      <c r="P191" s="49">
        <v>3</v>
      </c>
      <c r="Q191" s="59">
        <f t="shared" si="17"/>
        <v>3.2</v>
      </c>
      <c r="R191" s="49"/>
      <c r="S191" s="49">
        <v>3</v>
      </c>
      <c r="T191" s="49"/>
      <c r="U191" s="49"/>
      <c r="V191" s="49"/>
      <c r="W191" s="59">
        <f t="shared" si="18"/>
        <v>3</v>
      </c>
      <c r="X191" s="49"/>
      <c r="Y191" s="49"/>
      <c r="Z191" s="49"/>
      <c r="AA191" s="49"/>
      <c r="AB191" s="49"/>
      <c r="AC191" s="59" t="str">
        <f t="shared" si="19"/>
        <v>0</v>
      </c>
      <c r="AD191" s="49"/>
      <c r="AE191" s="49"/>
      <c r="AF191" s="49"/>
      <c r="AG191" s="49"/>
      <c r="AH191" s="49"/>
      <c r="AI191" s="59" t="str">
        <f t="shared" si="20"/>
        <v>0</v>
      </c>
      <c r="AJ191" s="49">
        <v>3</v>
      </c>
      <c r="AK191" s="49">
        <v>3</v>
      </c>
      <c r="AL191" s="49">
        <v>3</v>
      </c>
      <c r="AM191" s="49">
        <v>3</v>
      </c>
      <c r="AN191" s="49"/>
      <c r="AO191" s="59">
        <f t="shared" si="21"/>
        <v>3</v>
      </c>
      <c r="AP191" s="49">
        <v>3</v>
      </c>
      <c r="AQ191" s="49"/>
      <c r="AR191" s="49"/>
      <c r="AS191" s="49"/>
      <c r="AT191" s="49"/>
      <c r="AU191" s="59">
        <f t="shared" si="22"/>
        <v>3</v>
      </c>
      <c r="AV191" s="49"/>
      <c r="AW191" s="49"/>
      <c r="AX191" s="49"/>
      <c r="AY191" s="49">
        <v>4</v>
      </c>
      <c r="AZ191" s="49">
        <v>4</v>
      </c>
      <c r="BA191" s="59">
        <f t="shared" si="23"/>
        <v>4</v>
      </c>
    </row>
    <row r="192" spans="1:53" ht="23.1" customHeight="1" x14ac:dyDescent="0.3">
      <c r="A192" s="7">
        <v>190</v>
      </c>
      <c r="B192" s="7" t="s">
        <v>416</v>
      </c>
      <c r="C192" s="7" t="s">
        <v>417</v>
      </c>
      <c r="D192" s="7" t="s">
        <v>542</v>
      </c>
      <c r="E192" s="7" t="s">
        <v>289</v>
      </c>
      <c r="F192" s="49">
        <v>2.5</v>
      </c>
      <c r="G192" s="49">
        <v>2</v>
      </c>
      <c r="H192" s="49">
        <v>2</v>
      </c>
      <c r="I192" s="49">
        <v>2</v>
      </c>
      <c r="J192" s="7"/>
      <c r="K192" s="59">
        <f t="shared" si="16"/>
        <v>2.125</v>
      </c>
      <c r="L192" s="49">
        <v>2.5</v>
      </c>
      <c r="M192" s="49">
        <v>2</v>
      </c>
      <c r="N192" s="49">
        <v>2</v>
      </c>
      <c r="O192" s="49">
        <v>2</v>
      </c>
      <c r="P192" s="49">
        <v>2.5</v>
      </c>
      <c r="Q192" s="59">
        <f t="shared" si="17"/>
        <v>2.2000000000000002</v>
      </c>
      <c r="R192" s="49"/>
      <c r="S192" s="49">
        <v>2.5</v>
      </c>
      <c r="T192" s="7"/>
      <c r="U192" s="49"/>
      <c r="V192" s="7"/>
      <c r="W192" s="59">
        <f t="shared" si="18"/>
        <v>2.5</v>
      </c>
      <c r="X192" s="49"/>
      <c r="Y192" s="49"/>
      <c r="Z192" s="7"/>
      <c r="AA192" s="7"/>
      <c r="AB192" s="7"/>
      <c r="AC192" s="59" t="str">
        <f t="shared" si="19"/>
        <v>0</v>
      </c>
      <c r="AD192" s="49"/>
      <c r="AE192" s="7"/>
      <c r="AF192" s="49"/>
      <c r="AG192" s="7"/>
      <c r="AH192" s="7"/>
      <c r="AI192" s="59" t="str">
        <f t="shared" si="20"/>
        <v>0</v>
      </c>
      <c r="AJ192" s="49">
        <v>2.5</v>
      </c>
      <c r="AK192" s="49">
        <v>2.5</v>
      </c>
      <c r="AL192" s="49">
        <v>2.5</v>
      </c>
      <c r="AM192" s="49">
        <v>2</v>
      </c>
      <c r="AN192" s="7"/>
      <c r="AO192" s="59">
        <f t="shared" si="21"/>
        <v>2.375</v>
      </c>
      <c r="AP192" s="49">
        <v>2</v>
      </c>
      <c r="AQ192" s="49"/>
      <c r="AR192" s="49"/>
      <c r="AS192" s="7"/>
      <c r="AT192" s="7"/>
      <c r="AU192" s="59">
        <f t="shared" si="22"/>
        <v>2</v>
      </c>
      <c r="AV192" s="7"/>
      <c r="AW192" s="7"/>
      <c r="AX192" s="49"/>
      <c r="AY192" s="49">
        <v>2</v>
      </c>
      <c r="AZ192" s="49">
        <v>2.5</v>
      </c>
      <c r="BA192" s="59">
        <f t="shared" si="23"/>
        <v>2.25</v>
      </c>
    </row>
    <row r="193" spans="1:53" ht="23.1" customHeight="1" x14ac:dyDescent="0.3">
      <c r="A193" s="49">
        <v>191</v>
      </c>
      <c r="B193" s="49" t="s">
        <v>418</v>
      </c>
      <c r="C193" s="49" t="s">
        <v>419</v>
      </c>
      <c r="D193" s="49" t="s">
        <v>450</v>
      </c>
      <c r="E193" s="49" t="s">
        <v>493</v>
      </c>
      <c r="F193" s="49">
        <v>1</v>
      </c>
      <c r="G193" s="49">
        <v>2</v>
      </c>
      <c r="H193" s="49">
        <v>2</v>
      </c>
      <c r="I193" s="49">
        <v>2</v>
      </c>
      <c r="J193" s="49"/>
      <c r="K193" s="59">
        <f t="shared" si="16"/>
        <v>1.75</v>
      </c>
      <c r="L193" s="49">
        <v>2</v>
      </c>
      <c r="M193" s="49">
        <v>2</v>
      </c>
      <c r="N193" s="49">
        <v>3</v>
      </c>
      <c r="O193" s="49">
        <v>3</v>
      </c>
      <c r="P193" s="49">
        <v>2</v>
      </c>
      <c r="Q193" s="59">
        <f t="shared" si="17"/>
        <v>2.4</v>
      </c>
      <c r="R193" s="49"/>
      <c r="S193" s="49">
        <v>2</v>
      </c>
      <c r="T193" s="49"/>
      <c r="U193" s="49"/>
      <c r="V193" s="49"/>
      <c r="W193" s="59">
        <f t="shared" si="18"/>
        <v>2</v>
      </c>
      <c r="X193" s="49"/>
      <c r="Y193" s="49"/>
      <c r="Z193" s="49"/>
      <c r="AA193" s="49"/>
      <c r="AB193" s="49"/>
      <c r="AC193" s="59" t="str">
        <f t="shared" si="19"/>
        <v>0</v>
      </c>
      <c r="AD193" s="49"/>
      <c r="AE193" s="49"/>
      <c r="AF193" s="49"/>
      <c r="AG193" s="49"/>
      <c r="AH193" s="49"/>
      <c r="AI193" s="59" t="str">
        <f t="shared" si="20"/>
        <v>0</v>
      </c>
      <c r="AJ193" s="49">
        <v>2</v>
      </c>
      <c r="AK193" s="49">
        <v>1</v>
      </c>
      <c r="AL193" s="49">
        <v>2</v>
      </c>
      <c r="AM193" s="49">
        <v>2</v>
      </c>
      <c r="AN193" s="49"/>
      <c r="AO193" s="59">
        <f t="shared" si="21"/>
        <v>1.75</v>
      </c>
      <c r="AP193" s="49">
        <v>3</v>
      </c>
      <c r="AQ193" s="49"/>
      <c r="AR193" s="49"/>
      <c r="AS193" s="49"/>
      <c r="AT193" s="49"/>
      <c r="AU193" s="59">
        <f t="shared" si="22"/>
        <v>3</v>
      </c>
      <c r="AV193" s="49"/>
      <c r="AW193" s="49"/>
      <c r="AX193" s="49"/>
      <c r="AY193" s="49">
        <v>3</v>
      </c>
      <c r="AZ193" s="49">
        <v>3</v>
      </c>
      <c r="BA193" s="59">
        <f t="shared" si="23"/>
        <v>3</v>
      </c>
    </row>
    <row r="194" spans="1:53" ht="23.1" customHeight="1" x14ac:dyDescent="0.3">
      <c r="A194" s="7">
        <v>192</v>
      </c>
      <c r="B194" s="7" t="s">
        <v>420</v>
      </c>
      <c r="C194" s="7" t="s">
        <v>421</v>
      </c>
      <c r="D194" s="7" t="s">
        <v>450</v>
      </c>
      <c r="E194" s="7" t="s">
        <v>493</v>
      </c>
      <c r="F194" s="49">
        <v>2.5</v>
      </c>
      <c r="G194" s="49">
        <v>2</v>
      </c>
      <c r="H194" s="49">
        <v>2</v>
      </c>
      <c r="I194" s="49">
        <v>2</v>
      </c>
      <c r="J194" s="7"/>
      <c r="K194" s="59">
        <f t="shared" si="16"/>
        <v>2.125</v>
      </c>
      <c r="L194" s="49">
        <v>2.5</v>
      </c>
      <c r="M194" s="49">
        <v>2</v>
      </c>
      <c r="N194" s="49">
        <v>2</v>
      </c>
      <c r="O194" s="49">
        <v>2</v>
      </c>
      <c r="P194" s="49">
        <v>2.5</v>
      </c>
      <c r="Q194" s="59">
        <f t="shared" si="17"/>
        <v>2.2000000000000002</v>
      </c>
      <c r="R194" s="49"/>
      <c r="S194" s="49">
        <v>2</v>
      </c>
      <c r="T194" s="7"/>
      <c r="U194" s="49"/>
      <c r="V194" s="7"/>
      <c r="W194" s="59">
        <f t="shared" si="18"/>
        <v>2</v>
      </c>
      <c r="X194" s="49"/>
      <c r="Y194" s="49"/>
      <c r="Z194" s="7"/>
      <c r="AA194" s="7"/>
      <c r="AB194" s="7"/>
      <c r="AC194" s="59" t="str">
        <f t="shared" si="19"/>
        <v>0</v>
      </c>
      <c r="AD194" s="49"/>
      <c r="AE194" s="7"/>
      <c r="AF194" s="49"/>
      <c r="AG194" s="7"/>
      <c r="AH194" s="7"/>
      <c r="AI194" s="59" t="str">
        <f t="shared" si="20"/>
        <v>0</v>
      </c>
      <c r="AJ194" s="49">
        <v>2.5</v>
      </c>
      <c r="AK194" s="49">
        <v>2</v>
      </c>
      <c r="AL194" s="49">
        <v>2.5</v>
      </c>
      <c r="AM194" s="49">
        <v>2</v>
      </c>
      <c r="AN194" s="7"/>
      <c r="AO194" s="59">
        <f t="shared" si="21"/>
        <v>2.25</v>
      </c>
      <c r="AP194" s="49">
        <v>2</v>
      </c>
      <c r="AQ194" s="49"/>
      <c r="AR194" s="49"/>
      <c r="AS194" s="7"/>
      <c r="AT194" s="7"/>
      <c r="AU194" s="59">
        <f t="shared" si="22"/>
        <v>2</v>
      </c>
      <c r="AV194" s="7"/>
      <c r="AW194" s="7"/>
      <c r="AX194" s="49"/>
      <c r="AY194" s="49">
        <v>2</v>
      </c>
      <c r="AZ194" s="49">
        <v>2.5</v>
      </c>
      <c r="BA194" s="59">
        <f t="shared" si="23"/>
        <v>2.25</v>
      </c>
    </row>
    <row r="195" spans="1:53" ht="23.1" customHeight="1" x14ac:dyDescent="0.3">
      <c r="A195" s="49">
        <v>193</v>
      </c>
      <c r="B195" s="49" t="s">
        <v>422</v>
      </c>
      <c r="C195" s="49" t="s">
        <v>423</v>
      </c>
      <c r="D195" s="49" t="s">
        <v>450</v>
      </c>
      <c r="E195" s="49" t="s">
        <v>493</v>
      </c>
      <c r="F195" s="49">
        <v>3</v>
      </c>
      <c r="G195" s="49">
        <v>3</v>
      </c>
      <c r="H195" s="49">
        <v>3</v>
      </c>
      <c r="I195" s="49">
        <v>3</v>
      </c>
      <c r="J195" s="49"/>
      <c r="K195" s="59">
        <f t="shared" si="16"/>
        <v>3</v>
      </c>
      <c r="L195" s="49">
        <v>3</v>
      </c>
      <c r="M195" s="49">
        <v>2</v>
      </c>
      <c r="N195" s="49">
        <v>3</v>
      </c>
      <c r="O195" s="49">
        <v>3</v>
      </c>
      <c r="P195" s="49">
        <v>3</v>
      </c>
      <c r="Q195" s="59">
        <f t="shared" si="17"/>
        <v>2.8</v>
      </c>
      <c r="R195" s="49"/>
      <c r="S195" s="49">
        <v>3</v>
      </c>
      <c r="T195" s="49"/>
      <c r="U195" s="49"/>
      <c r="V195" s="49"/>
      <c r="W195" s="59">
        <f t="shared" si="18"/>
        <v>3</v>
      </c>
      <c r="X195" s="49"/>
      <c r="Y195" s="49"/>
      <c r="Z195" s="49"/>
      <c r="AA195" s="49"/>
      <c r="AB195" s="49"/>
      <c r="AC195" s="59" t="str">
        <f t="shared" si="19"/>
        <v>0</v>
      </c>
      <c r="AD195" s="49"/>
      <c r="AE195" s="49"/>
      <c r="AF195" s="49"/>
      <c r="AG195" s="49"/>
      <c r="AH195" s="49"/>
      <c r="AI195" s="59" t="str">
        <f t="shared" si="20"/>
        <v>0</v>
      </c>
      <c r="AJ195" s="49">
        <v>3</v>
      </c>
      <c r="AK195" s="49">
        <v>3</v>
      </c>
      <c r="AL195" s="49">
        <v>3</v>
      </c>
      <c r="AM195" s="49">
        <v>3</v>
      </c>
      <c r="AN195" s="49"/>
      <c r="AO195" s="59">
        <f t="shared" si="21"/>
        <v>3</v>
      </c>
      <c r="AP195" s="49">
        <v>3</v>
      </c>
      <c r="AQ195" s="49"/>
      <c r="AR195" s="49"/>
      <c r="AS195" s="49"/>
      <c r="AT195" s="49"/>
      <c r="AU195" s="59">
        <f t="shared" si="22"/>
        <v>3</v>
      </c>
      <c r="AV195" s="49"/>
      <c r="AW195" s="49"/>
      <c r="AX195" s="49"/>
      <c r="AY195" s="49">
        <v>3</v>
      </c>
      <c r="AZ195" s="49">
        <v>2</v>
      </c>
      <c r="BA195" s="59">
        <f t="shared" si="23"/>
        <v>2.5</v>
      </c>
    </row>
    <row r="196" spans="1:53" ht="23.1" customHeight="1" x14ac:dyDescent="0.3">
      <c r="A196" s="7">
        <v>194</v>
      </c>
      <c r="B196" s="7" t="s">
        <v>424</v>
      </c>
      <c r="C196" s="7" t="s">
        <v>425</v>
      </c>
      <c r="D196" s="7" t="s">
        <v>450</v>
      </c>
      <c r="E196" s="7" t="s">
        <v>493</v>
      </c>
      <c r="F196" s="49">
        <v>3</v>
      </c>
      <c r="G196" s="49">
        <v>4</v>
      </c>
      <c r="H196" s="49">
        <v>4</v>
      </c>
      <c r="I196" s="49">
        <v>4</v>
      </c>
      <c r="J196" s="7"/>
      <c r="K196" s="59">
        <f t="shared" ref="K196:K230" si="24">IFERROR(AVERAGE(F196,G196,H196,I196,J196),"0")</f>
        <v>3.75</v>
      </c>
      <c r="L196" s="49">
        <v>2</v>
      </c>
      <c r="M196" s="49">
        <v>4</v>
      </c>
      <c r="N196" s="49">
        <v>4</v>
      </c>
      <c r="O196" s="49">
        <v>4</v>
      </c>
      <c r="P196" s="49">
        <v>4</v>
      </c>
      <c r="Q196" s="59">
        <f t="shared" ref="Q196:Q230" si="25">IFERROR(AVERAGE(L196,M196,N196,O196,P196),"0")</f>
        <v>3.6</v>
      </c>
      <c r="R196" s="49"/>
      <c r="S196" s="49">
        <v>3</v>
      </c>
      <c r="T196" s="7"/>
      <c r="U196" s="49"/>
      <c r="V196" s="7"/>
      <c r="W196" s="59">
        <f t="shared" ref="W196:W230" si="26">IFERROR(AVERAGE(R196,S196,T196,U196,V196),"0")</f>
        <v>3</v>
      </c>
      <c r="X196" s="49"/>
      <c r="Y196" s="49"/>
      <c r="Z196" s="7"/>
      <c r="AA196" s="7"/>
      <c r="AB196" s="7"/>
      <c r="AC196" s="59" t="str">
        <f t="shared" ref="AC196:AC230" si="27">IFERROR(AVERAGE(X196,Y196,Z196,AA196,AB196),"0")</f>
        <v>0</v>
      </c>
      <c r="AD196" s="49"/>
      <c r="AE196" s="7"/>
      <c r="AF196" s="49"/>
      <c r="AG196" s="7"/>
      <c r="AH196" s="7"/>
      <c r="AI196" s="59" t="str">
        <f t="shared" ref="AI196:AI230" si="28">IFERROR(AVERAGE(AD196,AE196,AF196,AG196,AH196),"0")</f>
        <v>0</v>
      </c>
      <c r="AJ196" s="49">
        <v>3</v>
      </c>
      <c r="AK196" s="49">
        <v>4</v>
      </c>
      <c r="AL196" s="49">
        <v>3</v>
      </c>
      <c r="AM196" s="49">
        <v>3</v>
      </c>
      <c r="AN196" s="7"/>
      <c r="AO196" s="59">
        <f t="shared" ref="AO196:AO230" si="29">IFERROR(AVERAGE(AJ196,AK196,AL196,AM196,AN196),"0")</f>
        <v>3.25</v>
      </c>
      <c r="AP196" s="49">
        <v>3</v>
      </c>
      <c r="AQ196" s="49"/>
      <c r="AR196" s="49"/>
      <c r="AS196" s="7"/>
      <c r="AT196" s="7"/>
      <c r="AU196" s="59">
        <f t="shared" ref="AU196:AU230" si="30">IFERROR(AVERAGE(AP196,AQ196,AR196,AS196,AT196),"0")</f>
        <v>3</v>
      </c>
      <c r="AV196" s="7"/>
      <c r="AW196" s="7"/>
      <c r="AX196" s="49"/>
      <c r="AY196" s="49">
        <v>4</v>
      </c>
      <c r="AZ196" s="49">
        <v>3</v>
      </c>
      <c r="BA196" s="59">
        <f t="shared" ref="BA196:BA230" si="31">IFERROR(AVERAGE(AV196,AW196,AX196,AY196,AZ196),"0")</f>
        <v>3.5</v>
      </c>
    </row>
    <row r="197" spans="1:53" ht="23.1" customHeight="1" x14ac:dyDescent="0.3">
      <c r="A197" s="49">
        <v>195</v>
      </c>
      <c r="B197" s="49" t="s">
        <v>426</v>
      </c>
      <c r="C197" s="49" t="s">
        <v>427</v>
      </c>
      <c r="D197" s="49" t="s">
        <v>450</v>
      </c>
      <c r="E197" s="49" t="s">
        <v>289</v>
      </c>
      <c r="F197" s="49">
        <v>2</v>
      </c>
      <c r="G197" s="49">
        <v>2</v>
      </c>
      <c r="H197" s="49">
        <v>2</v>
      </c>
      <c r="I197" s="49">
        <v>2</v>
      </c>
      <c r="J197" s="49"/>
      <c r="K197" s="59">
        <f t="shared" si="24"/>
        <v>2</v>
      </c>
      <c r="L197" s="49">
        <v>2</v>
      </c>
      <c r="M197" s="49">
        <v>2</v>
      </c>
      <c r="N197" s="49">
        <v>3</v>
      </c>
      <c r="O197" s="49">
        <v>4</v>
      </c>
      <c r="P197" s="49">
        <v>2</v>
      </c>
      <c r="Q197" s="59">
        <f t="shared" si="25"/>
        <v>2.6</v>
      </c>
      <c r="R197" s="49"/>
      <c r="S197" s="49">
        <v>2</v>
      </c>
      <c r="T197" s="49"/>
      <c r="U197" s="49"/>
      <c r="V197" s="49"/>
      <c r="W197" s="59">
        <f t="shared" si="26"/>
        <v>2</v>
      </c>
      <c r="X197" s="49"/>
      <c r="Y197" s="49"/>
      <c r="Z197" s="49"/>
      <c r="AA197" s="49"/>
      <c r="AB197" s="49"/>
      <c r="AC197" s="59" t="str">
        <f t="shared" si="27"/>
        <v>0</v>
      </c>
      <c r="AD197" s="49"/>
      <c r="AE197" s="49"/>
      <c r="AF197" s="49"/>
      <c r="AG197" s="49"/>
      <c r="AH197" s="49"/>
      <c r="AI197" s="59" t="str">
        <f t="shared" si="28"/>
        <v>0</v>
      </c>
      <c r="AJ197" s="49">
        <v>2</v>
      </c>
      <c r="AK197" s="49">
        <v>2</v>
      </c>
      <c r="AL197" s="49">
        <v>2</v>
      </c>
      <c r="AM197" s="49">
        <v>2</v>
      </c>
      <c r="AN197" s="49"/>
      <c r="AO197" s="59">
        <f t="shared" si="29"/>
        <v>2</v>
      </c>
      <c r="AP197" s="49">
        <v>3</v>
      </c>
      <c r="AQ197" s="49"/>
      <c r="AR197" s="49"/>
      <c r="AS197" s="49"/>
      <c r="AT197" s="49"/>
      <c r="AU197" s="59">
        <f t="shared" si="30"/>
        <v>3</v>
      </c>
      <c r="AV197" s="49"/>
      <c r="AW197" s="49"/>
      <c r="AX197" s="49"/>
      <c r="AY197" s="49">
        <v>2</v>
      </c>
      <c r="AZ197" s="49">
        <v>2</v>
      </c>
      <c r="BA197" s="59">
        <f t="shared" si="31"/>
        <v>2</v>
      </c>
    </row>
    <row r="198" spans="1:53" ht="23.1" customHeight="1" x14ac:dyDescent="0.3">
      <c r="A198" s="7">
        <v>196</v>
      </c>
      <c r="B198" s="7" t="s">
        <v>428</v>
      </c>
      <c r="C198" s="7" t="s">
        <v>429</v>
      </c>
      <c r="D198" s="7" t="s">
        <v>450</v>
      </c>
      <c r="E198" s="7" t="s">
        <v>493</v>
      </c>
      <c r="F198" s="49">
        <v>3</v>
      </c>
      <c r="G198" s="49">
        <v>2</v>
      </c>
      <c r="H198" s="49">
        <v>2</v>
      </c>
      <c r="I198" s="49">
        <v>3</v>
      </c>
      <c r="J198" s="7"/>
      <c r="K198" s="59">
        <f t="shared" si="24"/>
        <v>2.5</v>
      </c>
      <c r="L198" s="49">
        <v>3</v>
      </c>
      <c r="M198" s="49">
        <v>3</v>
      </c>
      <c r="N198" s="49">
        <v>3</v>
      </c>
      <c r="O198" s="49">
        <v>4</v>
      </c>
      <c r="P198" s="49">
        <v>4</v>
      </c>
      <c r="Q198" s="59">
        <f t="shared" si="25"/>
        <v>3.4</v>
      </c>
      <c r="R198" s="49"/>
      <c r="S198" s="49">
        <v>3</v>
      </c>
      <c r="T198" s="7"/>
      <c r="U198" s="49"/>
      <c r="V198" s="7"/>
      <c r="W198" s="59">
        <f t="shared" si="26"/>
        <v>3</v>
      </c>
      <c r="X198" s="49"/>
      <c r="Y198" s="49"/>
      <c r="Z198" s="7"/>
      <c r="AA198" s="7"/>
      <c r="AB198" s="7"/>
      <c r="AC198" s="59" t="str">
        <f t="shared" si="27"/>
        <v>0</v>
      </c>
      <c r="AD198" s="49"/>
      <c r="AE198" s="7"/>
      <c r="AF198" s="49"/>
      <c r="AG198" s="7"/>
      <c r="AH198" s="7"/>
      <c r="AI198" s="59" t="str">
        <f t="shared" si="28"/>
        <v>0</v>
      </c>
      <c r="AJ198" s="49">
        <v>3</v>
      </c>
      <c r="AK198" s="49">
        <v>2</v>
      </c>
      <c r="AL198" s="49">
        <v>2</v>
      </c>
      <c r="AM198" s="49">
        <v>3</v>
      </c>
      <c r="AN198" s="7"/>
      <c r="AO198" s="59">
        <f t="shared" si="29"/>
        <v>2.5</v>
      </c>
      <c r="AP198" s="49">
        <v>3</v>
      </c>
      <c r="AQ198" s="49"/>
      <c r="AR198" s="49"/>
      <c r="AS198" s="7"/>
      <c r="AT198" s="7"/>
      <c r="AU198" s="59">
        <f t="shared" si="30"/>
        <v>3</v>
      </c>
      <c r="AV198" s="7"/>
      <c r="AW198" s="7"/>
      <c r="AX198" s="49"/>
      <c r="AY198" s="49">
        <v>3</v>
      </c>
      <c r="AZ198" s="49">
        <v>3</v>
      </c>
      <c r="BA198" s="59">
        <f t="shared" si="31"/>
        <v>3</v>
      </c>
    </row>
    <row r="199" spans="1:53" ht="23.1" customHeight="1" x14ac:dyDescent="0.3">
      <c r="A199" s="49">
        <v>197</v>
      </c>
      <c r="B199" s="49" t="s">
        <v>430</v>
      </c>
      <c r="C199" s="49" t="s">
        <v>431</v>
      </c>
      <c r="D199" s="49" t="s">
        <v>542</v>
      </c>
      <c r="E199" s="49" t="s">
        <v>493</v>
      </c>
      <c r="F199" s="49">
        <v>3</v>
      </c>
      <c r="G199" s="49">
        <v>3</v>
      </c>
      <c r="H199" s="49">
        <v>2</v>
      </c>
      <c r="I199" s="49">
        <v>2</v>
      </c>
      <c r="J199" s="49"/>
      <c r="K199" s="59">
        <f t="shared" si="24"/>
        <v>2.5</v>
      </c>
      <c r="L199" s="49">
        <v>3</v>
      </c>
      <c r="M199" s="49">
        <v>4</v>
      </c>
      <c r="N199" s="49">
        <v>4</v>
      </c>
      <c r="O199" s="49">
        <v>3</v>
      </c>
      <c r="P199" s="49">
        <v>3</v>
      </c>
      <c r="Q199" s="59">
        <f t="shared" si="25"/>
        <v>3.4</v>
      </c>
      <c r="R199" s="49"/>
      <c r="S199" s="49">
        <v>2</v>
      </c>
      <c r="T199" s="49"/>
      <c r="U199" s="49"/>
      <c r="V199" s="49"/>
      <c r="W199" s="59">
        <f t="shared" si="26"/>
        <v>2</v>
      </c>
      <c r="X199" s="49"/>
      <c r="Y199" s="49"/>
      <c r="Z199" s="49"/>
      <c r="AA199" s="49"/>
      <c r="AB199" s="49"/>
      <c r="AC199" s="59" t="str">
        <f t="shared" si="27"/>
        <v>0</v>
      </c>
      <c r="AD199" s="49"/>
      <c r="AE199" s="49"/>
      <c r="AF199" s="49"/>
      <c r="AG199" s="49"/>
      <c r="AH199" s="49"/>
      <c r="AI199" s="59" t="str">
        <f t="shared" si="28"/>
        <v>0</v>
      </c>
      <c r="AJ199" s="49">
        <v>3</v>
      </c>
      <c r="AK199" s="49">
        <v>3</v>
      </c>
      <c r="AL199" s="49">
        <v>2</v>
      </c>
      <c r="AM199" s="49">
        <v>2</v>
      </c>
      <c r="AN199" s="49"/>
      <c r="AO199" s="59">
        <f t="shared" si="29"/>
        <v>2.5</v>
      </c>
      <c r="AP199" s="49">
        <v>3</v>
      </c>
      <c r="AQ199" s="49"/>
      <c r="AR199" s="49"/>
      <c r="AS199" s="49"/>
      <c r="AT199" s="49"/>
      <c r="AU199" s="59">
        <f t="shared" si="30"/>
        <v>3</v>
      </c>
      <c r="AV199" s="49"/>
      <c r="AW199" s="49"/>
      <c r="AX199" s="49"/>
      <c r="AY199" s="49">
        <v>3</v>
      </c>
      <c r="AZ199" s="49">
        <v>3</v>
      </c>
      <c r="BA199" s="59">
        <f t="shared" si="31"/>
        <v>3</v>
      </c>
    </row>
    <row r="200" spans="1:53" ht="23.1" customHeight="1" x14ac:dyDescent="0.3">
      <c r="A200" s="7">
        <v>198</v>
      </c>
      <c r="B200" s="7" t="s">
        <v>176</v>
      </c>
      <c r="C200" s="7" t="s">
        <v>177</v>
      </c>
      <c r="D200" s="7" t="s">
        <v>542</v>
      </c>
      <c r="E200" s="7" t="s">
        <v>161</v>
      </c>
      <c r="F200" s="49">
        <v>3</v>
      </c>
      <c r="G200" s="49">
        <v>3</v>
      </c>
      <c r="H200" s="49">
        <v>3</v>
      </c>
      <c r="I200" s="49">
        <v>3</v>
      </c>
      <c r="J200" s="7"/>
      <c r="K200" s="59">
        <f t="shared" si="24"/>
        <v>3</v>
      </c>
      <c r="L200" s="49">
        <v>3</v>
      </c>
      <c r="M200" s="49">
        <v>3</v>
      </c>
      <c r="N200" s="49">
        <v>3</v>
      </c>
      <c r="O200" s="49">
        <v>3</v>
      </c>
      <c r="P200" s="49">
        <v>3</v>
      </c>
      <c r="Q200" s="59">
        <f t="shared" si="25"/>
        <v>3</v>
      </c>
      <c r="R200" s="49"/>
      <c r="S200" s="49">
        <v>3</v>
      </c>
      <c r="T200" s="7"/>
      <c r="U200" s="49"/>
      <c r="V200" s="7"/>
      <c r="W200" s="59">
        <f t="shared" si="26"/>
        <v>3</v>
      </c>
      <c r="X200" s="49"/>
      <c r="Y200" s="49"/>
      <c r="Z200" s="7"/>
      <c r="AA200" s="7"/>
      <c r="AB200" s="7"/>
      <c r="AC200" s="59" t="str">
        <f t="shared" si="27"/>
        <v>0</v>
      </c>
      <c r="AD200" s="49"/>
      <c r="AE200" s="7"/>
      <c r="AF200" s="49"/>
      <c r="AG200" s="7"/>
      <c r="AH200" s="7"/>
      <c r="AI200" s="59" t="str">
        <f t="shared" si="28"/>
        <v>0</v>
      </c>
      <c r="AJ200" s="49">
        <v>3</v>
      </c>
      <c r="AK200" s="49">
        <v>3</v>
      </c>
      <c r="AL200" s="49">
        <v>3</v>
      </c>
      <c r="AM200" s="49">
        <v>3</v>
      </c>
      <c r="AN200" s="7"/>
      <c r="AO200" s="59">
        <f t="shared" si="29"/>
        <v>3</v>
      </c>
      <c r="AP200" s="49">
        <v>3</v>
      </c>
      <c r="AQ200" s="49"/>
      <c r="AR200" s="49"/>
      <c r="AS200" s="7"/>
      <c r="AT200" s="7"/>
      <c r="AU200" s="59">
        <f t="shared" si="30"/>
        <v>3</v>
      </c>
      <c r="AV200" s="7"/>
      <c r="AW200" s="7"/>
      <c r="AX200" s="49"/>
      <c r="AY200" s="49">
        <v>2</v>
      </c>
      <c r="AZ200" s="49">
        <v>2</v>
      </c>
      <c r="BA200" s="59">
        <f t="shared" si="31"/>
        <v>2</v>
      </c>
    </row>
    <row r="201" spans="1:53" ht="23.1" customHeight="1" x14ac:dyDescent="0.3">
      <c r="A201" s="49">
        <v>199</v>
      </c>
      <c r="B201" s="49" t="s">
        <v>432</v>
      </c>
      <c r="C201" s="49" t="s">
        <v>433</v>
      </c>
      <c r="D201" s="49" t="s">
        <v>542</v>
      </c>
      <c r="E201" s="49" t="s">
        <v>289</v>
      </c>
      <c r="F201" s="49">
        <v>1</v>
      </c>
      <c r="G201" s="49">
        <v>2</v>
      </c>
      <c r="H201" s="49">
        <v>1</v>
      </c>
      <c r="I201" s="49">
        <v>1</v>
      </c>
      <c r="J201" s="49"/>
      <c r="K201" s="59">
        <f t="shared" si="24"/>
        <v>1.25</v>
      </c>
      <c r="L201" s="49">
        <v>3</v>
      </c>
      <c r="M201" s="49">
        <v>3</v>
      </c>
      <c r="N201" s="49">
        <v>2</v>
      </c>
      <c r="O201" s="49">
        <v>3</v>
      </c>
      <c r="P201" s="49">
        <v>2</v>
      </c>
      <c r="Q201" s="59">
        <f t="shared" si="25"/>
        <v>2.6</v>
      </c>
      <c r="R201" s="49"/>
      <c r="S201" s="49">
        <v>2</v>
      </c>
      <c r="T201" s="49"/>
      <c r="U201" s="49"/>
      <c r="V201" s="49"/>
      <c r="W201" s="59">
        <f t="shared" si="26"/>
        <v>2</v>
      </c>
      <c r="X201" s="49"/>
      <c r="Y201" s="49"/>
      <c r="Z201" s="49"/>
      <c r="AA201" s="49"/>
      <c r="AB201" s="49"/>
      <c r="AC201" s="59" t="str">
        <f t="shared" si="27"/>
        <v>0</v>
      </c>
      <c r="AD201" s="49"/>
      <c r="AE201" s="49"/>
      <c r="AF201" s="49"/>
      <c r="AG201" s="49"/>
      <c r="AH201" s="49"/>
      <c r="AI201" s="59" t="str">
        <f t="shared" si="28"/>
        <v>0</v>
      </c>
      <c r="AJ201" s="49">
        <v>2</v>
      </c>
      <c r="AK201" s="49">
        <v>1</v>
      </c>
      <c r="AL201" s="49">
        <v>1</v>
      </c>
      <c r="AM201" s="49">
        <v>1</v>
      </c>
      <c r="AN201" s="49"/>
      <c r="AO201" s="59">
        <f t="shared" si="29"/>
        <v>1.25</v>
      </c>
      <c r="AP201" s="49">
        <v>3</v>
      </c>
      <c r="AQ201" s="49"/>
      <c r="AR201" s="49"/>
      <c r="AS201" s="49"/>
      <c r="AT201" s="49"/>
      <c r="AU201" s="59">
        <f t="shared" si="30"/>
        <v>3</v>
      </c>
      <c r="AV201" s="49"/>
      <c r="AW201" s="49"/>
      <c r="AX201" s="49"/>
      <c r="AY201" s="49">
        <v>1</v>
      </c>
      <c r="AZ201" s="49">
        <v>2</v>
      </c>
      <c r="BA201" s="59">
        <f t="shared" si="31"/>
        <v>1.5</v>
      </c>
    </row>
    <row r="202" spans="1:53" ht="23.1" customHeight="1" x14ac:dyDescent="0.3">
      <c r="A202" s="7">
        <v>200</v>
      </c>
      <c r="B202" s="7" t="s">
        <v>434</v>
      </c>
      <c r="C202" s="7" t="s">
        <v>435</v>
      </c>
      <c r="D202" s="7" t="s">
        <v>450</v>
      </c>
      <c r="E202" s="7" t="s">
        <v>493</v>
      </c>
      <c r="F202" s="49">
        <v>3</v>
      </c>
      <c r="G202" s="49">
        <v>3</v>
      </c>
      <c r="H202" s="49">
        <v>2</v>
      </c>
      <c r="I202" s="49">
        <v>2</v>
      </c>
      <c r="J202" s="7"/>
      <c r="K202" s="59">
        <f t="shared" si="24"/>
        <v>2.5</v>
      </c>
      <c r="L202" s="49">
        <v>3</v>
      </c>
      <c r="M202" s="49">
        <v>2</v>
      </c>
      <c r="N202" s="49">
        <v>3</v>
      </c>
      <c r="O202" s="49">
        <v>3</v>
      </c>
      <c r="P202" s="49">
        <v>3</v>
      </c>
      <c r="Q202" s="59">
        <f t="shared" si="25"/>
        <v>2.8</v>
      </c>
      <c r="R202" s="49"/>
      <c r="S202" s="49">
        <v>2</v>
      </c>
      <c r="T202" s="7"/>
      <c r="U202" s="49"/>
      <c r="V202" s="7"/>
      <c r="W202" s="59">
        <f t="shared" si="26"/>
        <v>2</v>
      </c>
      <c r="X202" s="49"/>
      <c r="Y202" s="49"/>
      <c r="Z202" s="7"/>
      <c r="AA202" s="7"/>
      <c r="AB202" s="7"/>
      <c r="AC202" s="59" t="str">
        <f t="shared" si="27"/>
        <v>0</v>
      </c>
      <c r="AD202" s="49"/>
      <c r="AE202" s="7"/>
      <c r="AF202" s="49"/>
      <c r="AG202" s="7"/>
      <c r="AH202" s="7"/>
      <c r="AI202" s="59" t="str">
        <f t="shared" si="28"/>
        <v>0</v>
      </c>
      <c r="AJ202" s="49">
        <v>2</v>
      </c>
      <c r="AK202" s="49">
        <v>2</v>
      </c>
      <c r="AL202" s="49">
        <v>2</v>
      </c>
      <c r="AM202" s="49">
        <v>2</v>
      </c>
      <c r="AN202" s="7"/>
      <c r="AO202" s="59">
        <f t="shared" si="29"/>
        <v>2</v>
      </c>
      <c r="AP202" s="49">
        <v>3</v>
      </c>
      <c r="AQ202" s="49"/>
      <c r="AR202" s="49"/>
      <c r="AS202" s="7"/>
      <c r="AT202" s="7"/>
      <c r="AU202" s="59">
        <f t="shared" si="30"/>
        <v>3</v>
      </c>
      <c r="AV202" s="7"/>
      <c r="AW202" s="7"/>
      <c r="AX202" s="49"/>
      <c r="AY202" s="49">
        <v>3</v>
      </c>
      <c r="AZ202" s="49">
        <v>3</v>
      </c>
      <c r="BA202" s="59">
        <f t="shared" si="31"/>
        <v>3</v>
      </c>
    </row>
    <row r="203" spans="1:53" ht="23.1" customHeight="1" x14ac:dyDescent="0.3">
      <c r="A203" s="49">
        <v>201</v>
      </c>
      <c r="B203" s="49" t="s">
        <v>436</v>
      </c>
      <c r="C203" s="49" t="s">
        <v>437</v>
      </c>
      <c r="D203" s="49" t="s">
        <v>450</v>
      </c>
      <c r="E203" s="49" t="s">
        <v>493</v>
      </c>
      <c r="F203" s="49">
        <v>2</v>
      </c>
      <c r="G203" s="49">
        <v>2.5</v>
      </c>
      <c r="H203" s="49">
        <v>2.5</v>
      </c>
      <c r="I203" s="49">
        <v>2</v>
      </c>
      <c r="J203" s="49"/>
      <c r="K203" s="59">
        <f t="shared" si="24"/>
        <v>2.25</v>
      </c>
      <c r="L203" s="49">
        <v>2</v>
      </c>
      <c r="M203" s="49">
        <v>2.5</v>
      </c>
      <c r="N203" s="49">
        <v>2.5</v>
      </c>
      <c r="O203" s="49">
        <v>2</v>
      </c>
      <c r="P203" s="49">
        <v>2</v>
      </c>
      <c r="Q203" s="59">
        <f t="shared" si="25"/>
        <v>2.2000000000000002</v>
      </c>
      <c r="R203" s="49"/>
      <c r="S203" s="49">
        <v>2.5</v>
      </c>
      <c r="T203" s="49"/>
      <c r="U203" s="49"/>
      <c r="V203" s="49"/>
      <c r="W203" s="59">
        <f t="shared" si="26"/>
        <v>2.5</v>
      </c>
      <c r="X203" s="49"/>
      <c r="Y203" s="49"/>
      <c r="Z203" s="49"/>
      <c r="AA203" s="49"/>
      <c r="AB203" s="49"/>
      <c r="AC203" s="59" t="str">
        <f t="shared" si="27"/>
        <v>0</v>
      </c>
      <c r="AD203" s="49"/>
      <c r="AE203" s="49"/>
      <c r="AF203" s="49"/>
      <c r="AG203" s="49"/>
      <c r="AH203" s="49"/>
      <c r="AI203" s="59" t="str">
        <f t="shared" si="28"/>
        <v>0</v>
      </c>
      <c r="AJ203" s="49">
        <v>2</v>
      </c>
      <c r="AK203" s="49">
        <v>2.5</v>
      </c>
      <c r="AL203" s="49">
        <v>2</v>
      </c>
      <c r="AM203" s="49">
        <v>2.5</v>
      </c>
      <c r="AN203" s="49"/>
      <c r="AO203" s="59">
        <f t="shared" si="29"/>
        <v>2.25</v>
      </c>
      <c r="AP203" s="49">
        <v>2.5</v>
      </c>
      <c r="AQ203" s="49"/>
      <c r="AR203" s="49"/>
      <c r="AS203" s="49"/>
      <c r="AT203" s="49"/>
      <c r="AU203" s="59">
        <f t="shared" si="30"/>
        <v>2.5</v>
      </c>
      <c r="AV203" s="49"/>
      <c r="AW203" s="49"/>
      <c r="AX203" s="49"/>
      <c r="AY203" s="49">
        <v>2</v>
      </c>
      <c r="AZ203" s="49">
        <v>2</v>
      </c>
      <c r="BA203" s="59">
        <f t="shared" si="31"/>
        <v>2</v>
      </c>
    </row>
    <row r="204" spans="1:53" ht="23.1" customHeight="1" x14ac:dyDescent="0.3">
      <c r="A204" s="7">
        <v>202</v>
      </c>
      <c r="B204" s="7" t="s">
        <v>438</v>
      </c>
      <c r="C204" s="7" t="s">
        <v>439</v>
      </c>
      <c r="D204" s="7" t="s">
        <v>450</v>
      </c>
      <c r="E204" s="7" t="s">
        <v>289</v>
      </c>
      <c r="F204" s="49">
        <v>2</v>
      </c>
      <c r="G204" s="49">
        <v>2</v>
      </c>
      <c r="H204" s="49">
        <v>2</v>
      </c>
      <c r="I204" s="49">
        <v>2</v>
      </c>
      <c r="J204" s="7"/>
      <c r="K204" s="59">
        <f t="shared" si="24"/>
        <v>2</v>
      </c>
      <c r="L204" s="49">
        <v>1</v>
      </c>
      <c r="M204" s="49">
        <v>1</v>
      </c>
      <c r="N204" s="49">
        <v>1</v>
      </c>
      <c r="O204" s="49">
        <v>1</v>
      </c>
      <c r="P204" s="49">
        <v>1</v>
      </c>
      <c r="Q204" s="59">
        <f t="shared" si="25"/>
        <v>1</v>
      </c>
      <c r="R204" s="49"/>
      <c r="S204" s="49">
        <v>1</v>
      </c>
      <c r="T204" s="7"/>
      <c r="U204" s="49"/>
      <c r="V204" s="7"/>
      <c r="W204" s="59">
        <f t="shared" si="26"/>
        <v>1</v>
      </c>
      <c r="X204" s="49"/>
      <c r="Y204" s="49"/>
      <c r="Z204" s="7"/>
      <c r="AA204" s="7"/>
      <c r="AB204" s="7"/>
      <c r="AC204" s="59" t="str">
        <f t="shared" si="27"/>
        <v>0</v>
      </c>
      <c r="AD204" s="49"/>
      <c r="AE204" s="7"/>
      <c r="AF204" s="49"/>
      <c r="AG204" s="7"/>
      <c r="AH204" s="7"/>
      <c r="AI204" s="59" t="str">
        <f t="shared" si="28"/>
        <v>0</v>
      </c>
      <c r="AJ204" s="49">
        <v>2</v>
      </c>
      <c r="AK204" s="49">
        <v>1</v>
      </c>
      <c r="AL204" s="49">
        <v>1</v>
      </c>
      <c r="AM204" s="49">
        <v>1</v>
      </c>
      <c r="AN204" s="7"/>
      <c r="AO204" s="59">
        <f t="shared" si="29"/>
        <v>1.25</v>
      </c>
      <c r="AP204" s="49">
        <v>3</v>
      </c>
      <c r="AQ204" s="49"/>
      <c r="AR204" s="49"/>
      <c r="AS204" s="7"/>
      <c r="AT204" s="7"/>
      <c r="AU204" s="59">
        <f t="shared" si="30"/>
        <v>3</v>
      </c>
      <c r="AV204" s="7"/>
      <c r="AW204" s="7"/>
      <c r="AX204" s="49"/>
      <c r="AY204" s="49">
        <v>3</v>
      </c>
      <c r="AZ204" s="49">
        <v>3</v>
      </c>
      <c r="BA204" s="59">
        <f t="shared" si="31"/>
        <v>3</v>
      </c>
    </row>
    <row r="205" spans="1:53" ht="23.1" customHeight="1" x14ac:dyDescent="0.3">
      <c r="A205" s="49">
        <v>203</v>
      </c>
      <c r="B205" s="49" t="s">
        <v>440</v>
      </c>
      <c r="C205" s="49" t="s">
        <v>441</v>
      </c>
      <c r="D205" s="49" t="s">
        <v>450</v>
      </c>
      <c r="E205" s="49" t="s">
        <v>289</v>
      </c>
      <c r="F205" s="49">
        <v>4</v>
      </c>
      <c r="G205" s="49">
        <v>4</v>
      </c>
      <c r="H205" s="49">
        <v>4</v>
      </c>
      <c r="I205" s="49">
        <v>4</v>
      </c>
      <c r="J205" s="49"/>
      <c r="K205" s="59">
        <f t="shared" si="24"/>
        <v>4</v>
      </c>
      <c r="L205" s="49">
        <v>3</v>
      </c>
      <c r="M205" s="49">
        <v>4</v>
      </c>
      <c r="N205" s="49">
        <v>4</v>
      </c>
      <c r="O205" s="49">
        <v>3</v>
      </c>
      <c r="P205" s="49">
        <v>3</v>
      </c>
      <c r="Q205" s="59">
        <f t="shared" si="25"/>
        <v>3.4</v>
      </c>
      <c r="R205" s="49"/>
      <c r="S205" s="49">
        <v>3</v>
      </c>
      <c r="T205" s="49"/>
      <c r="U205" s="49"/>
      <c r="V205" s="49"/>
      <c r="W205" s="59">
        <f t="shared" si="26"/>
        <v>3</v>
      </c>
      <c r="X205" s="49"/>
      <c r="Y205" s="49"/>
      <c r="Z205" s="49"/>
      <c r="AA205" s="49"/>
      <c r="AB205" s="49"/>
      <c r="AC205" s="59" t="str">
        <f t="shared" si="27"/>
        <v>0</v>
      </c>
      <c r="AD205" s="49"/>
      <c r="AE205" s="49"/>
      <c r="AF205" s="49"/>
      <c r="AG205" s="49"/>
      <c r="AH205" s="49"/>
      <c r="AI205" s="59" t="str">
        <f t="shared" si="28"/>
        <v>0</v>
      </c>
      <c r="AJ205" s="49">
        <v>4</v>
      </c>
      <c r="AK205" s="49">
        <v>4</v>
      </c>
      <c r="AL205" s="49">
        <v>4</v>
      </c>
      <c r="AM205" s="49">
        <v>4</v>
      </c>
      <c r="AN205" s="49"/>
      <c r="AO205" s="59">
        <f t="shared" si="29"/>
        <v>4</v>
      </c>
      <c r="AP205" s="49">
        <v>3</v>
      </c>
      <c r="AQ205" s="49"/>
      <c r="AR205" s="49"/>
      <c r="AS205" s="49"/>
      <c r="AT205" s="49"/>
      <c r="AU205" s="59">
        <f t="shared" si="30"/>
        <v>3</v>
      </c>
      <c r="AV205" s="49"/>
      <c r="AW205" s="49"/>
      <c r="AX205" s="49"/>
      <c r="AY205" s="49">
        <v>4</v>
      </c>
      <c r="AZ205" s="49">
        <v>4</v>
      </c>
      <c r="BA205" s="59">
        <f t="shared" si="31"/>
        <v>4</v>
      </c>
    </row>
    <row r="206" spans="1:53" ht="23.1" customHeight="1" x14ac:dyDescent="0.3">
      <c r="A206" s="7">
        <v>204</v>
      </c>
      <c r="B206" s="7" t="s">
        <v>442</v>
      </c>
      <c r="C206" s="7" t="s">
        <v>443</v>
      </c>
      <c r="D206" s="7" t="s">
        <v>450</v>
      </c>
      <c r="E206" s="7" t="s">
        <v>289</v>
      </c>
      <c r="F206" s="49">
        <v>2</v>
      </c>
      <c r="G206" s="49">
        <v>2</v>
      </c>
      <c r="H206" s="49">
        <v>2</v>
      </c>
      <c r="I206" s="49">
        <v>1</v>
      </c>
      <c r="J206" s="7"/>
      <c r="K206" s="59">
        <f t="shared" si="24"/>
        <v>1.75</v>
      </c>
      <c r="L206" s="49">
        <v>3</v>
      </c>
      <c r="M206" s="49">
        <v>3</v>
      </c>
      <c r="N206" s="49">
        <v>3</v>
      </c>
      <c r="O206" s="49">
        <v>4</v>
      </c>
      <c r="P206" s="49">
        <v>2</v>
      </c>
      <c r="Q206" s="59">
        <f t="shared" si="25"/>
        <v>3</v>
      </c>
      <c r="R206" s="49"/>
      <c r="S206" s="49">
        <v>2</v>
      </c>
      <c r="T206" s="7"/>
      <c r="U206" s="49"/>
      <c r="V206" s="7"/>
      <c r="W206" s="59">
        <f t="shared" si="26"/>
        <v>2</v>
      </c>
      <c r="X206" s="49"/>
      <c r="Y206" s="49"/>
      <c r="Z206" s="7"/>
      <c r="AA206" s="7"/>
      <c r="AB206" s="7"/>
      <c r="AC206" s="59" t="str">
        <f t="shared" si="27"/>
        <v>0</v>
      </c>
      <c r="AD206" s="49"/>
      <c r="AE206" s="7"/>
      <c r="AF206" s="49"/>
      <c r="AG206" s="7"/>
      <c r="AH206" s="7"/>
      <c r="AI206" s="59" t="str">
        <f t="shared" si="28"/>
        <v>0</v>
      </c>
      <c r="AJ206" s="49">
        <v>2</v>
      </c>
      <c r="AK206" s="49">
        <v>2</v>
      </c>
      <c r="AL206" s="49">
        <v>2</v>
      </c>
      <c r="AM206" s="49">
        <v>1</v>
      </c>
      <c r="AN206" s="7"/>
      <c r="AO206" s="59">
        <f t="shared" si="29"/>
        <v>1.75</v>
      </c>
      <c r="AP206" s="49">
        <v>3</v>
      </c>
      <c r="AQ206" s="49"/>
      <c r="AR206" s="49"/>
      <c r="AS206" s="7"/>
      <c r="AT206" s="7"/>
      <c r="AU206" s="59">
        <f t="shared" si="30"/>
        <v>3</v>
      </c>
      <c r="AV206" s="7"/>
      <c r="AW206" s="7"/>
      <c r="AX206" s="49"/>
      <c r="AY206" s="49">
        <v>2</v>
      </c>
      <c r="AZ206" s="49">
        <v>2</v>
      </c>
      <c r="BA206" s="59">
        <f t="shared" si="31"/>
        <v>2</v>
      </c>
    </row>
    <row r="207" spans="1:53" ht="23.1" customHeight="1" x14ac:dyDescent="0.3">
      <c r="A207" s="49">
        <v>205</v>
      </c>
      <c r="B207" s="49" t="s">
        <v>444</v>
      </c>
      <c r="C207" s="49" t="s">
        <v>445</v>
      </c>
      <c r="D207" s="49" t="s">
        <v>450</v>
      </c>
      <c r="E207" s="49" t="s">
        <v>289</v>
      </c>
      <c r="F207" s="49">
        <v>3</v>
      </c>
      <c r="G207" s="49">
        <v>4</v>
      </c>
      <c r="H207" s="49">
        <v>4</v>
      </c>
      <c r="I207" s="49">
        <v>3</v>
      </c>
      <c r="J207" s="49"/>
      <c r="K207" s="59">
        <f t="shared" si="24"/>
        <v>3.5</v>
      </c>
      <c r="L207" s="49">
        <v>3</v>
      </c>
      <c r="M207" s="49">
        <v>4</v>
      </c>
      <c r="N207" s="49">
        <v>3</v>
      </c>
      <c r="O207" s="49">
        <v>3</v>
      </c>
      <c r="P207" s="49">
        <v>3</v>
      </c>
      <c r="Q207" s="59">
        <f t="shared" si="25"/>
        <v>3.2</v>
      </c>
      <c r="R207" s="49"/>
      <c r="S207" s="49">
        <v>3</v>
      </c>
      <c r="T207" s="49"/>
      <c r="U207" s="49"/>
      <c r="V207" s="49"/>
      <c r="W207" s="59">
        <f t="shared" si="26"/>
        <v>3</v>
      </c>
      <c r="X207" s="49"/>
      <c r="Y207" s="49"/>
      <c r="Z207" s="49"/>
      <c r="AA207" s="49"/>
      <c r="AB207" s="49"/>
      <c r="AC207" s="59" t="str">
        <f t="shared" si="27"/>
        <v>0</v>
      </c>
      <c r="AD207" s="49"/>
      <c r="AE207" s="49"/>
      <c r="AF207" s="49"/>
      <c r="AG207" s="49"/>
      <c r="AH207" s="49"/>
      <c r="AI207" s="59" t="str">
        <f t="shared" si="28"/>
        <v>0</v>
      </c>
      <c r="AJ207" s="49">
        <v>3</v>
      </c>
      <c r="AK207" s="49">
        <v>3</v>
      </c>
      <c r="AL207" s="49">
        <v>3</v>
      </c>
      <c r="AM207" s="49">
        <v>3</v>
      </c>
      <c r="AN207" s="49"/>
      <c r="AO207" s="59">
        <f t="shared" si="29"/>
        <v>3</v>
      </c>
      <c r="AP207" s="49">
        <v>3</v>
      </c>
      <c r="AQ207" s="49"/>
      <c r="AR207" s="49"/>
      <c r="AS207" s="49"/>
      <c r="AT207" s="49"/>
      <c r="AU207" s="59">
        <f t="shared" si="30"/>
        <v>3</v>
      </c>
      <c r="AV207" s="49"/>
      <c r="AW207" s="49"/>
      <c r="AX207" s="49"/>
      <c r="AY207" s="49">
        <v>4</v>
      </c>
      <c r="AZ207" s="49">
        <v>4</v>
      </c>
      <c r="BA207" s="59">
        <f t="shared" si="31"/>
        <v>4</v>
      </c>
    </row>
    <row r="208" spans="1:53" ht="23.1" customHeight="1" x14ac:dyDescent="0.3">
      <c r="A208" s="7">
        <v>206</v>
      </c>
      <c r="B208" s="7" t="s">
        <v>446</v>
      </c>
      <c r="C208" s="7" t="s">
        <v>447</v>
      </c>
      <c r="D208" s="7" t="s">
        <v>450</v>
      </c>
      <c r="E208" s="7" t="s">
        <v>289</v>
      </c>
      <c r="F208" s="49">
        <v>1</v>
      </c>
      <c r="G208" s="49">
        <v>1</v>
      </c>
      <c r="H208" s="49">
        <v>1</v>
      </c>
      <c r="I208" s="49">
        <v>1</v>
      </c>
      <c r="J208" s="7"/>
      <c r="K208" s="59">
        <f t="shared" si="24"/>
        <v>1</v>
      </c>
      <c r="L208" s="49">
        <v>3</v>
      </c>
      <c r="M208" s="49">
        <v>3</v>
      </c>
      <c r="N208" s="49">
        <v>3</v>
      </c>
      <c r="O208" s="49">
        <v>3</v>
      </c>
      <c r="P208" s="49">
        <v>2</v>
      </c>
      <c r="Q208" s="59">
        <f t="shared" si="25"/>
        <v>2.8</v>
      </c>
      <c r="R208" s="49"/>
      <c r="S208" s="49">
        <v>1</v>
      </c>
      <c r="T208" s="7"/>
      <c r="U208" s="49"/>
      <c r="V208" s="7"/>
      <c r="W208" s="59">
        <f t="shared" si="26"/>
        <v>1</v>
      </c>
      <c r="X208" s="49"/>
      <c r="Y208" s="49"/>
      <c r="Z208" s="7"/>
      <c r="AA208" s="7"/>
      <c r="AB208" s="7"/>
      <c r="AC208" s="59" t="str">
        <f t="shared" si="27"/>
        <v>0</v>
      </c>
      <c r="AD208" s="49"/>
      <c r="AE208" s="7"/>
      <c r="AF208" s="49"/>
      <c r="AG208" s="7"/>
      <c r="AH208" s="7"/>
      <c r="AI208" s="59" t="str">
        <f t="shared" si="28"/>
        <v>0</v>
      </c>
      <c r="AJ208" s="49">
        <v>1</v>
      </c>
      <c r="AK208" s="49">
        <v>1</v>
      </c>
      <c r="AL208" s="49">
        <v>1</v>
      </c>
      <c r="AM208" s="49">
        <v>1</v>
      </c>
      <c r="AN208" s="7"/>
      <c r="AO208" s="59">
        <f t="shared" si="29"/>
        <v>1</v>
      </c>
      <c r="AP208" s="49">
        <v>2</v>
      </c>
      <c r="AQ208" s="49"/>
      <c r="AR208" s="49"/>
      <c r="AS208" s="7"/>
      <c r="AT208" s="7"/>
      <c r="AU208" s="59">
        <f t="shared" si="30"/>
        <v>2</v>
      </c>
      <c r="AV208" s="7"/>
      <c r="AW208" s="7"/>
      <c r="AX208" s="49"/>
      <c r="AY208" s="49">
        <v>1</v>
      </c>
      <c r="AZ208" s="49">
        <v>2</v>
      </c>
      <c r="BA208" s="59">
        <f t="shared" si="31"/>
        <v>1.5</v>
      </c>
    </row>
    <row r="209" spans="1:53" ht="23.1" customHeight="1" x14ac:dyDescent="0.3">
      <c r="A209" s="49">
        <v>207</v>
      </c>
      <c r="B209" s="49" t="s">
        <v>448</v>
      </c>
      <c r="C209" s="49" t="s">
        <v>449</v>
      </c>
      <c r="D209" s="49" t="s">
        <v>450</v>
      </c>
      <c r="E209" s="49" t="s">
        <v>289</v>
      </c>
      <c r="F209" s="49">
        <v>2</v>
      </c>
      <c r="G209" s="49">
        <v>2</v>
      </c>
      <c r="H209" s="49">
        <v>3</v>
      </c>
      <c r="I209" s="49">
        <v>3</v>
      </c>
      <c r="J209" s="49"/>
      <c r="K209" s="59">
        <f t="shared" si="24"/>
        <v>2.5</v>
      </c>
      <c r="L209" s="49">
        <v>3</v>
      </c>
      <c r="M209" s="49">
        <v>2</v>
      </c>
      <c r="N209" s="49">
        <v>2</v>
      </c>
      <c r="O209" s="49">
        <v>3</v>
      </c>
      <c r="P209" s="49">
        <v>3</v>
      </c>
      <c r="Q209" s="59">
        <f t="shared" si="25"/>
        <v>2.6</v>
      </c>
      <c r="R209" s="49"/>
      <c r="S209" s="49">
        <v>3</v>
      </c>
      <c r="T209" s="49"/>
      <c r="U209" s="49"/>
      <c r="V209" s="49"/>
      <c r="W209" s="59">
        <f t="shared" si="26"/>
        <v>3</v>
      </c>
      <c r="X209" s="49"/>
      <c r="Y209" s="49"/>
      <c r="Z209" s="49"/>
      <c r="AA209" s="49"/>
      <c r="AB209" s="49"/>
      <c r="AC209" s="59" t="str">
        <f t="shared" si="27"/>
        <v>0</v>
      </c>
      <c r="AD209" s="49"/>
      <c r="AE209" s="49"/>
      <c r="AF209" s="49"/>
      <c r="AG209" s="49"/>
      <c r="AH209" s="49"/>
      <c r="AI209" s="59" t="str">
        <f t="shared" si="28"/>
        <v>0</v>
      </c>
      <c r="AJ209" s="49">
        <v>3</v>
      </c>
      <c r="AK209" s="49">
        <v>2</v>
      </c>
      <c r="AL209" s="49">
        <v>4</v>
      </c>
      <c r="AM209" s="49">
        <v>3</v>
      </c>
      <c r="AN209" s="49"/>
      <c r="AO209" s="59">
        <f t="shared" si="29"/>
        <v>3</v>
      </c>
      <c r="AP209" s="49">
        <v>3</v>
      </c>
      <c r="AQ209" s="49"/>
      <c r="AR209" s="49"/>
      <c r="AS209" s="49"/>
      <c r="AT209" s="49"/>
      <c r="AU209" s="59">
        <f t="shared" si="30"/>
        <v>3</v>
      </c>
      <c r="AV209" s="49"/>
      <c r="AW209" s="49"/>
      <c r="AX209" s="49"/>
      <c r="AY209" s="49">
        <v>2</v>
      </c>
      <c r="AZ209" s="49">
        <v>2</v>
      </c>
      <c r="BA209" s="59">
        <f t="shared" si="31"/>
        <v>2</v>
      </c>
    </row>
    <row r="210" spans="1:53" ht="23.1" customHeight="1" x14ac:dyDescent="0.3">
      <c r="A210" s="7">
        <v>208</v>
      </c>
      <c r="B210" s="7" t="s">
        <v>74</v>
      </c>
      <c r="C210" s="7" t="s">
        <v>494</v>
      </c>
      <c r="D210" s="7" t="s">
        <v>450</v>
      </c>
      <c r="E210" s="7" t="s">
        <v>289</v>
      </c>
      <c r="F210" s="49">
        <v>4</v>
      </c>
      <c r="G210" s="49">
        <v>4</v>
      </c>
      <c r="H210" s="49">
        <v>2</v>
      </c>
      <c r="I210" s="49">
        <v>3</v>
      </c>
      <c r="J210" s="7"/>
      <c r="K210" s="59">
        <f t="shared" si="24"/>
        <v>3.25</v>
      </c>
      <c r="L210" s="49">
        <v>4</v>
      </c>
      <c r="M210" s="49">
        <v>4</v>
      </c>
      <c r="N210" s="49">
        <v>3</v>
      </c>
      <c r="O210" s="49">
        <v>5</v>
      </c>
      <c r="P210" s="49">
        <v>4</v>
      </c>
      <c r="Q210" s="59">
        <f t="shared" si="25"/>
        <v>4</v>
      </c>
      <c r="R210" s="49"/>
      <c r="S210" s="49">
        <v>4</v>
      </c>
      <c r="T210" s="7"/>
      <c r="U210" s="49"/>
      <c r="V210" s="7"/>
      <c r="W210" s="59">
        <f t="shared" si="26"/>
        <v>4</v>
      </c>
      <c r="X210" s="49"/>
      <c r="Y210" s="49"/>
      <c r="Z210" s="7"/>
      <c r="AA210" s="7"/>
      <c r="AB210" s="7"/>
      <c r="AC210" s="59" t="str">
        <f t="shared" si="27"/>
        <v>0</v>
      </c>
      <c r="AD210" s="49"/>
      <c r="AE210" s="7"/>
      <c r="AF210" s="49"/>
      <c r="AG210" s="7"/>
      <c r="AH210" s="7"/>
      <c r="AI210" s="59" t="str">
        <f t="shared" si="28"/>
        <v>0</v>
      </c>
      <c r="AJ210" s="49">
        <v>3</v>
      </c>
      <c r="AK210" s="49">
        <v>3</v>
      </c>
      <c r="AL210" s="49">
        <v>3</v>
      </c>
      <c r="AM210" s="49">
        <v>3</v>
      </c>
      <c r="AN210" s="7"/>
      <c r="AO210" s="59">
        <f t="shared" si="29"/>
        <v>3</v>
      </c>
      <c r="AP210" s="49">
        <v>3</v>
      </c>
      <c r="AQ210" s="49"/>
      <c r="AR210" s="49"/>
      <c r="AS210" s="7"/>
      <c r="AT210" s="7"/>
      <c r="AU210" s="59">
        <f t="shared" si="30"/>
        <v>3</v>
      </c>
      <c r="AV210" s="7"/>
      <c r="AW210" s="7"/>
      <c r="AX210" s="49"/>
      <c r="AY210" s="49">
        <v>3</v>
      </c>
      <c r="AZ210" s="49">
        <v>3</v>
      </c>
      <c r="BA210" s="59">
        <f t="shared" si="31"/>
        <v>3</v>
      </c>
    </row>
    <row r="211" spans="1:53" ht="23.1" customHeight="1" x14ac:dyDescent="0.3">
      <c r="A211" s="49">
        <v>209</v>
      </c>
      <c r="B211" s="49" t="s">
        <v>451</v>
      </c>
      <c r="C211" s="49" t="s">
        <v>452</v>
      </c>
      <c r="D211" s="49" t="s">
        <v>450</v>
      </c>
      <c r="E211" s="49" t="s">
        <v>289</v>
      </c>
      <c r="F211" s="49">
        <v>2</v>
      </c>
      <c r="G211" s="49">
        <v>2</v>
      </c>
      <c r="H211" s="49">
        <v>2</v>
      </c>
      <c r="I211" s="49">
        <v>2</v>
      </c>
      <c r="J211" s="49"/>
      <c r="K211" s="59">
        <f t="shared" si="24"/>
        <v>2</v>
      </c>
      <c r="L211" s="49">
        <v>2</v>
      </c>
      <c r="M211" s="49">
        <v>2</v>
      </c>
      <c r="N211" s="49">
        <v>2</v>
      </c>
      <c r="O211" s="49">
        <v>2</v>
      </c>
      <c r="P211" s="49">
        <v>2</v>
      </c>
      <c r="Q211" s="59">
        <f t="shared" si="25"/>
        <v>2</v>
      </c>
      <c r="R211" s="49"/>
      <c r="S211" s="49">
        <v>2</v>
      </c>
      <c r="T211" s="49"/>
      <c r="U211" s="49"/>
      <c r="V211" s="49"/>
      <c r="W211" s="59">
        <f t="shared" si="26"/>
        <v>2</v>
      </c>
      <c r="X211" s="49"/>
      <c r="Y211" s="49"/>
      <c r="Z211" s="49"/>
      <c r="AA211" s="49"/>
      <c r="AB211" s="49"/>
      <c r="AC211" s="59" t="str">
        <f t="shared" si="27"/>
        <v>0</v>
      </c>
      <c r="AD211" s="49"/>
      <c r="AE211" s="49"/>
      <c r="AF211" s="49"/>
      <c r="AG211" s="49"/>
      <c r="AH211" s="49"/>
      <c r="AI211" s="59" t="str">
        <f t="shared" si="28"/>
        <v>0</v>
      </c>
      <c r="AJ211" s="49">
        <v>2</v>
      </c>
      <c r="AK211" s="49">
        <v>2</v>
      </c>
      <c r="AL211" s="49">
        <v>2</v>
      </c>
      <c r="AM211" s="49">
        <v>2</v>
      </c>
      <c r="AN211" s="49"/>
      <c r="AO211" s="59">
        <f t="shared" si="29"/>
        <v>2</v>
      </c>
      <c r="AP211" s="49">
        <v>3</v>
      </c>
      <c r="AQ211" s="49"/>
      <c r="AR211" s="49"/>
      <c r="AS211" s="49"/>
      <c r="AT211" s="49"/>
      <c r="AU211" s="59">
        <f t="shared" si="30"/>
        <v>3</v>
      </c>
      <c r="AV211" s="49"/>
      <c r="AW211" s="49"/>
      <c r="AX211" s="49"/>
      <c r="AY211" s="49">
        <v>2</v>
      </c>
      <c r="AZ211" s="49">
        <v>3</v>
      </c>
      <c r="BA211" s="59">
        <f t="shared" si="31"/>
        <v>2.5</v>
      </c>
    </row>
    <row r="212" spans="1:53" ht="23.1" customHeight="1" x14ac:dyDescent="0.3">
      <c r="A212" s="7">
        <v>210</v>
      </c>
      <c r="B212" s="7" t="s">
        <v>453</v>
      </c>
      <c r="C212" s="7" t="s">
        <v>454</v>
      </c>
      <c r="D212" s="7" t="s">
        <v>450</v>
      </c>
      <c r="E212" s="7" t="s">
        <v>289</v>
      </c>
      <c r="F212" s="49">
        <v>3</v>
      </c>
      <c r="G212" s="49">
        <v>4</v>
      </c>
      <c r="H212" s="49">
        <v>3</v>
      </c>
      <c r="I212" s="49">
        <v>3</v>
      </c>
      <c r="J212" s="7"/>
      <c r="K212" s="59">
        <f t="shared" si="24"/>
        <v>3.25</v>
      </c>
      <c r="L212" s="49">
        <v>3</v>
      </c>
      <c r="M212" s="49">
        <v>3</v>
      </c>
      <c r="N212" s="49">
        <v>3</v>
      </c>
      <c r="O212" s="49">
        <v>3</v>
      </c>
      <c r="P212" s="49">
        <v>3</v>
      </c>
      <c r="Q212" s="59">
        <f t="shared" si="25"/>
        <v>3</v>
      </c>
      <c r="R212" s="49"/>
      <c r="S212" s="49">
        <v>3</v>
      </c>
      <c r="T212" s="7"/>
      <c r="U212" s="49"/>
      <c r="V212" s="7"/>
      <c r="W212" s="59">
        <f t="shared" si="26"/>
        <v>3</v>
      </c>
      <c r="X212" s="49"/>
      <c r="Y212" s="49"/>
      <c r="Z212" s="7"/>
      <c r="AA212" s="7"/>
      <c r="AB212" s="7"/>
      <c r="AC212" s="59" t="str">
        <f t="shared" si="27"/>
        <v>0</v>
      </c>
      <c r="AD212" s="49"/>
      <c r="AE212" s="7"/>
      <c r="AF212" s="49"/>
      <c r="AG212" s="7"/>
      <c r="AH212" s="7"/>
      <c r="AI212" s="59" t="str">
        <f t="shared" si="28"/>
        <v>0</v>
      </c>
      <c r="AJ212" s="49">
        <v>3</v>
      </c>
      <c r="AK212" s="49">
        <v>2</v>
      </c>
      <c r="AL212" s="49">
        <v>3</v>
      </c>
      <c r="AM212" s="49">
        <v>3</v>
      </c>
      <c r="AN212" s="7"/>
      <c r="AO212" s="59">
        <f t="shared" si="29"/>
        <v>2.75</v>
      </c>
      <c r="AP212" s="49">
        <v>3</v>
      </c>
      <c r="AQ212" s="49"/>
      <c r="AR212" s="49"/>
      <c r="AS212" s="7"/>
      <c r="AT212" s="7"/>
      <c r="AU212" s="59">
        <f t="shared" si="30"/>
        <v>3</v>
      </c>
      <c r="AV212" s="7"/>
      <c r="AW212" s="7"/>
      <c r="AX212" s="49"/>
      <c r="AY212" s="49">
        <v>4</v>
      </c>
      <c r="AZ212" s="49">
        <v>4</v>
      </c>
      <c r="BA212" s="59">
        <f t="shared" si="31"/>
        <v>4</v>
      </c>
    </row>
    <row r="213" spans="1:53" ht="23.1" customHeight="1" x14ac:dyDescent="0.3">
      <c r="A213" s="49">
        <v>211</v>
      </c>
      <c r="B213" s="49" t="s">
        <v>455</v>
      </c>
      <c r="C213" s="49" t="s">
        <v>456</v>
      </c>
      <c r="D213" s="49" t="s">
        <v>542</v>
      </c>
      <c r="E213" s="49" t="s">
        <v>289</v>
      </c>
      <c r="F213" s="49">
        <v>4</v>
      </c>
      <c r="G213" s="49">
        <v>4</v>
      </c>
      <c r="H213" s="49">
        <v>4</v>
      </c>
      <c r="I213" s="49">
        <v>4</v>
      </c>
      <c r="J213" s="49"/>
      <c r="K213" s="59">
        <f t="shared" si="24"/>
        <v>4</v>
      </c>
      <c r="L213" s="49">
        <v>3</v>
      </c>
      <c r="M213" s="49">
        <v>4</v>
      </c>
      <c r="N213" s="49">
        <v>4</v>
      </c>
      <c r="O213" s="49">
        <v>4</v>
      </c>
      <c r="P213" s="49">
        <v>3</v>
      </c>
      <c r="Q213" s="59">
        <f t="shared" si="25"/>
        <v>3.6</v>
      </c>
      <c r="R213" s="49"/>
      <c r="S213" s="49">
        <v>3</v>
      </c>
      <c r="T213" s="49"/>
      <c r="U213" s="49"/>
      <c r="V213" s="49"/>
      <c r="W213" s="59">
        <f t="shared" si="26"/>
        <v>3</v>
      </c>
      <c r="X213" s="49"/>
      <c r="Y213" s="49"/>
      <c r="Z213" s="49"/>
      <c r="AA213" s="49"/>
      <c r="AB213" s="49"/>
      <c r="AC213" s="59" t="str">
        <f t="shared" si="27"/>
        <v>0</v>
      </c>
      <c r="AD213" s="49"/>
      <c r="AE213" s="49"/>
      <c r="AF213" s="49"/>
      <c r="AG213" s="49"/>
      <c r="AH213" s="49"/>
      <c r="AI213" s="59" t="str">
        <f t="shared" si="28"/>
        <v>0</v>
      </c>
      <c r="AJ213" s="49">
        <v>4</v>
      </c>
      <c r="AK213" s="49">
        <v>4</v>
      </c>
      <c r="AL213" s="49">
        <v>4</v>
      </c>
      <c r="AM213" s="49">
        <v>4</v>
      </c>
      <c r="AN213" s="49"/>
      <c r="AO213" s="59">
        <f t="shared" si="29"/>
        <v>4</v>
      </c>
      <c r="AP213" s="49">
        <v>3</v>
      </c>
      <c r="AQ213" s="49"/>
      <c r="AR213" s="49"/>
      <c r="AS213" s="49"/>
      <c r="AT213" s="49"/>
      <c r="AU213" s="59">
        <f t="shared" si="30"/>
        <v>3</v>
      </c>
      <c r="AV213" s="49"/>
      <c r="AW213" s="49"/>
      <c r="AX213" s="49"/>
      <c r="AY213" s="49">
        <v>4</v>
      </c>
      <c r="AZ213" s="49">
        <v>3</v>
      </c>
      <c r="BA213" s="59">
        <f t="shared" si="31"/>
        <v>3.5</v>
      </c>
    </row>
    <row r="214" spans="1:53" ht="23.1" customHeight="1" x14ac:dyDescent="0.3">
      <c r="A214" s="7">
        <v>212</v>
      </c>
      <c r="B214" s="7" t="s">
        <v>457</v>
      </c>
      <c r="C214" s="7" t="s">
        <v>458</v>
      </c>
      <c r="D214" s="7" t="s">
        <v>542</v>
      </c>
      <c r="E214" s="7" t="s">
        <v>289</v>
      </c>
      <c r="F214" s="49">
        <v>3</v>
      </c>
      <c r="G214" s="49">
        <v>3</v>
      </c>
      <c r="H214" s="49">
        <v>4</v>
      </c>
      <c r="I214" s="49">
        <v>3</v>
      </c>
      <c r="J214" s="7"/>
      <c r="K214" s="59">
        <f t="shared" si="24"/>
        <v>3.25</v>
      </c>
      <c r="L214" s="49">
        <v>4</v>
      </c>
      <c r="M214" s="49">
        <v>4</v>
      </c>
      <c r="N214" s="49">
        <v>4</v>
      </c>
      <c r="O214" s="49">
        <v>3</v>
      </c>
      <c r="P214" s="49">
        <v>5</v>
      </c>
      <c r="Q214" s="59">
        <f t="shared" si="25"/>
        <v>4</v>
      </c>
      <c r="R214" s="49"/>
      <c r="S214" s="49">
        <v>3</v>
      </c>
      <c r="T214" s="7"/>
      <c r="U214" s="49"/>
      <c r="V214" s="7"/>
      <c r="W214" s="59">
        <f t="shared" si="26"/>
        <v>3</v>
      </c>
      <c r="X214" s="49"/>
      <c r="Y214" s="49"/>
      <c r="Z214" s="7"/>
      <c r="AA214" s="7"/>
      <c r="AB214" s="7"/>
      <c r="AC214" s="59" t="str">
        <f t="shared" si="27"/>
        <v>0</v>
      </c>
      <c r="AD214" s="49"/>
      <c r="AE214" s="7"/>
      <c r="AF214" s="49"/>
      <c r="AG214" s="7"/>
      <c r="AH214" s="7"/>
      <c r="AI214" s="59" t="str">
        <f t="shared" si="28"/>
        <v>0</v>
      </c>
      <c r="AJ214" s="49">
        <v>3</v>
      </c>
      <c r="AK214" s="49">
        <v>3</v>
      </c>
      <c r="AL214" s="49">
        <v>3</v>
      </c>
      <c r="AM214" s="49">
        <v>2</v>
      </c>
      <c r="AN214" s="7"/>
      <c r="AO214" s="59">
        <f t="shared" si="29"/>
        <v>2.75</v>
      </c>
      <c r="AP214" s="49">
        <v>3</v>
      </c>
      <c r="AQ214" s="49"/>
      <c r="AR214" s="49"/>
      <c r="AS214" s="7"/>
      <c r="AT214" s="7"/>
      <c r="AU214" s="59">
        <f t="shared" si="30"/>
        <v>3</v>
      </c>
      <c r="AV214" s="7"/>
      <c r="AW214" s="7"/>
      <c r="AX214" s="49"/>
      <c r="AY214" s="49">
        <v>4</v>
      </c>
      <c r="AZ214" s="49">
        <v>4</v>
      </c>
      <c r="BA214" s="59">
        <f t="shared" si="31"/>
        <v>4</v>
      </c>
    </row>
    <row r="215" spans="1:53" ht="23.1" customHeight="1" x14ac:dyDescent="0.3">
      <c r="A215" s="49">
        <v>213</v>
      </c>
      <c r="B215" s="49" t="s">
        <v>459</v>
      </c>
      <c r="C215" s="49" t="s">
        <v>460</v>
      </c>
      <c r="D215" s="49" t="s">
        <v>542</v>
      </c>
      <c r="E215" s="49" t="s">
        <v>289</v>
      </c>
      <c r="F215" s="49">
        <v>4</v>
      </c>
      <c r="G215" s="49">
        <v>3.5</v>
      </c>
      <c r="H215" s="49">
        <v>3.5</v>
      </c>
      <c r="I215" s="49">
        <v>3.5</v>
      </c>
      <c r="J215" s="49"/>
      <c r="K215" s="59">
        <f t="shared" si="24"/>
        <v>3.625</v>
      </c>
      <c r="L215" s="49">
        <v>4</v>
      </c>
      <c r="M215" s="49">
        <v>3.5</v>
      </c>
      <c r="N215" s="49">
        <v>3.5</v>
      </c>
      <c r="O215" s="49">
        <v>3.5</v>
      </c>
      <c r="P215" s="49">
        <v>3.5</v>
      </c>
      <c r="Q215" s="59">
        <f t="shared" si="25"/>
        <v>3.6</v>
      </c>
      <c r="R215" s="49"/>
      <c r="S215" s="49">
        <v>3.5</v>
      </c>
      <c r="T215" s="49"/>
      <c r="U215" s="49"/>
      <c r="V215" s="49"/>
      <c r="W215" s="59">
        <f t="shared" si="26"/>
        <v>3.5</v>
      </c>
      <c r="X215" s="49"/>
      <c r="Y215" s="49"/>
      <c r="Z215" s="49"/>
      <c r="AA215" s="49"/>
      <c r="AB215" s="49"/>
      <c r="AC215" s="59" t="str">
        <f t="shared" si="27"/>
        <v>0</v>
      </c>
      <c r="AD215" s="49"/>
      <c r="AE215" s="49"/>
      <c r="AF215" s="49"/>
      <c r="AG215" s="49"/>
      <c r="AH215" s="49"/>
      <c r="AI215" s="59" t="str">
        <f t="shared" si="28"/>
        <v>0</v>
      </c>
      <c r="AJ215" s="49">
        <v>3.5</v>
      </c>
      <c r="AK215" s="49">
        <v>3.5</v>
      </c>
      <c r="AL215" s="49">
        <v>4</v>
      </c>
      <c r="AM215" s="49">
        <v>3.5</v>
      </c>
      <c r="AN215" s="49"/>
      <c r="AO215" s="59">
        <f t="shared" si="29"/>
        <v>3.625</v>
      </c>
      <c r="AP215" s="49">
        <v>3.5</v>
      </c>
      <c r="AQ215" s="49"/>
      <c r="AR215" s="49"/>
      <c r="AS215" s="49"/>
      <c r="AT215" s="49"/>
      <c r="AU215" s="59">
        <f t="shared" si="30"/>
        <v>3.5</v>
      </c>
      <c r="AV215" s="49"/>
      <c r="AW215" s="49"/>
      <c r="AX215" s="49"/>
      <c r="AY215" s="49">
        <v>3.5</v>
      </c>
      <c r="AZ215" s="49">
        <v>3.5</v>
      </c>
      <c r="BA215" s="59">
        <f t="shared" si="31"/>
        <v>3.5</v>
      </c>
    </row>
    <row r="216" spans="1:53" ht="23.1" customHeight="1" x14ac:dyDescent="0.3">
      <c r="A216" s="7">
        <v>214</v>
      </c>
      <c r="B216" s="7" t="s">
        <v>461</v>
      </c>
      <c r="C216" s="7" t="s">
        <v>462</v>
      </c>
      <c r="D216" s="7" t="s">
        <v>450</v>
      </c>
      <c r="E216" s="7" t="s">
        <v>289</v>
      </c>
      <c r="F216" s="49">
        <v>3</v>
      </c>
      <c r="G216" s="49">
        <v>2.5</v>
      </c>
      <c r="H216" s="49">
        <v>2.5</v>
      </c>
      <c r="I216" s="49">
        <v>2.5</v>
      </c>
      <c r="J216" s="7"/>
      <c r="K216" s="59">
        <f t="shared" si="24"/>
        <v>2.625</v>
      </c>
      <c r="L216" s="49">
        <v>3</v>
      </c>
      <c r="M216" s="49">
        <v>2.5</v>
      </c>
      <c r="N216" s="49">
        <v>2.5</v>
      </c>
      <c r="O216" s="49">
        <v>2.5</v>
      </c>
      <c r="P216" s="49">
        <v>3</v>
      </c>
      <c r="Q216" s="59">
        <f t="shared" si="25"/>
        <v>2.7</v>
      </c>
      <c r="R216" s="49"/>
      <c r="S216" s="49">
        <v>2.5</v>
      </c>
      <c r="T216" s="7"/>
      <c r="U216" s="49"/>
      <c r="V216" s="7"/>
      <c r="W216" s="59">
        <f t="shared" si="26"/>
        <v>2.5</v>
      </c>
      <c r="X216" s="49"/>
      <c r="Y216" s="49"/>
      <c r="Z216" s="7"/>
      <c r="AA216" s="7"/>
      <c r="AB216" s="7"/>
      <c r="AC216" s="59" t="str">
        <f t="shared" si="27"/>
        <v>0</v>
      </c>
      <c r="AD216" s="49"/>
      <c r="AE216" s="7"/>
      <c r="AF216" s="49"/>
      <c r="AG216" s="7"/>
      <c r="AH216" s="7"/>
      <c r="AI216" s="59" t="str">
        <f t="shared" si="28"/>
        <v>0</v>
      </c>
      <c r="AJ216" s="49">
        <v>3</v>
      </c>
      <c r="AK216" s="49">
        <v>2.5</v>
      </c>
      <c r="AL216" s="49">
        <v>3</v>
      </c>
      <c r="AM216" s="49">
        <v>2.5</v>
      </c>
      <c r="AN216" s="7"/>
      <c r="AO216" s="59">
        <f t="shared" si="29"/>
        <v>2.75</v>
      </c>
      <c r="AP216" s="49">
        <v>2.5</v>
      </c>
      <c r="AQ216" s="49"/>
      <c r="AR216" s="49"/>
      <c r="AS216" s="7"/>
      <c r="AT216" s="7"/>
      <c r="AU216" s="59">
        <f t="shared" si="30"/>
        <v>2.5</v>
      </c>
      <c r="AV216" s="7"/>
      <c r="AW216" s="7"/>
      <c r="AX216" s="49"/>
      <c r="AY216" s="49">
        <v>2.5</v>
      </c>
      <c r="AZ216" s="49">
        <v>3</v>
      </c>
      <c r="BA216" s="59">
        <f t="shared" si="31"/>
        <v>2.75</v>
      </c>
    </row>
    <row r="217" spans="1:53" ht="23.1" customHeight="1" x14ac:dyDescent="0.3">
      <c r="A217" s="49">
        <v>215</v>
      </c>
      <c r="B217" s="49" t="s">
        <v>463</v>
      </c>
      <c r="C217" s="49" t="s">
        <v>464</v>
      </c>
      <c r="D217" s="49" t="s">
        <v>450</v>
      </c>
      <c r="E217" s="49" t="s">
        <v>289</v>
      </c>
      <c r="F217" s="49">
        <v>3</v>
      </c>
      <c r="G217" s="49">
        <v>3</v>
      </c>
      <c r="H217" s="49">
        <v>3</v>
      </c>
      <c r="I217" s="49">
        <v>3</v>
      </c>
      <c r="J217" s="49"/>
      <c r="K217" s="59">
        <f t="shared" si="24"/>
        <v>3</v>
      </c>
      <c r="L217" s="49">
        <v>3</v>
      </c>
      <c r="M217" s="49">
        <v>3</v>
      </c>
      <c r="N217" s="49">
        <v>3</v>
      </c>
      <c r="O217" s="49">
        <v>4</v>
      </c>
      <c r="P217" s="49">
        <v>2</v>
      </c>
      <c r="Q217" s="59">
        <f t="shared" si="25"/>
        <v>3</v>
      </c>
      <c r="R217" s="49"/>
      <c r="S217" s="49">
        <v>2</v>
      </c>
      <c r="T217" s="49"/>
      <c r="U217" s="49"/>
      <c r="V217" s="49"/>
      <c r="W217" s="59">
        <f t="shared" si="26"/>
        <v>2</v>
      </c>
      <c r="X217" s="49"/>
      <c r="Y217" s="49"/>
      <c r="Z217" s="49"/>
      <c r="AA217" s="49"/>
      <c r="AB217" s="49"/>
      <c r="AC217" s="59" t="str">
        <f t="shared" si="27"/>
        <v>0</v>
      </c>
      <c r="AD217" s="49"/>
      <c r="AE217" s="49"/>
      <c r="AF217" s="49"/>
      <c r="AG217" s="49"/>
      <c r="AH217" s="49"/>
      <c r="AI217" s="59" t="str">
        <f t="shared" si="28"/>
        <v>0</v>
      </c>
      <c r="AJ217" s="49">
        <v>3</v>
      </c>
      <c r="AK217" s="49">
        <v>3</v>
      </c>
      <c r="AL217" s="49">
        <v>3</v>
      </c>
      <c r="AM217" s="49">
        <v>3</v>
      </c>
      <c r="AN217" s="49"/>
      <c r="AO217" s="59">
        <f t="shared" si="29"/>
        <v>3</v>
      </c>
      <c r="AP217" s="49">
        <v>3</v>
      </c>
      <c r="AQ217" s="49"/>
      <c r="AR217" s="49"/>
      <c r="AS217" s="49"/>
      <c r="AT217" s="49"/>
      <c r="AU217" s="59">
        <f t="shared" si="30"/>
        <v>3</v>
      </c>
      <c r="AV217" s="49"/>
      <c r="AW217" s="49"/>
      <c r="AX217" s="49"/>
      <c r="AY217" s="49">
        <v>4</v>
      </c>
      <c r="AZ217" s="49">
        <v>4</v>
      </c>
      <c r="BA217" s="59">
        <f t="shared" si="31"/>
        <v>4</v>
      </c>
    </row>
    <row r="218" spans="1:53" ht="23.1" customHeight="1" x14ac:dyDescent="0.3">
      <c r="A218" s="7">
        <v>216</v>
      </c>
      <c r="B218" s="7" t="s">
        <v>465</v>
      </c>
      <c r="C218" s="7" t="s">
        <v>466</v>
      </c>
      <c r="D218" s="7" t="s">
        <v>450</v>
      </c>
      <c r="E218" s="7" t="s">
        <v>289</v>
      </c>
      <c r="F218" s="49">
        <v>1</v>
      </c>
      <c r="G218" s="49">
        <v>3</v>
      </c>
      <c r="H218" s="49">
        <v>0</v>
      </c>
      <c r="I218" s="49">
        <v>1</v>
      </c>
      <c r="J218" s="7"/>
      <c r="K218" s="59">
        <f t="shared" si="24"/>
        <v>1.25</v>
      </c>
      <c r="L218" s="49">
        <v>1</v>
      </c>
      <c r="M218" s="49">
        <v>1</v>
      </c>
      <c r="N218" s="49">
        <v>1</v>
      </c>
      <c r="O218" s="49">
        <v>1</v>
      </c>
      <c r="P218" s="49">
        <v>1</v>
      </c>
      <c r="Q218" s="59">
        <f t="shared" si="25"/>
        <v>1</v>
      </c>
      <c r="R218" s="49"/>
      <c r="S218" s="49">
        <v>1</v>
      </c>
      <c r="T218" s="7"/>
      <c r="U218" s="49"/>
      <c r="V218" s="7"/>
      <c r="W218" s="59">
        <f t="shared" si="26"/>
        <v>1</v>
      </c>
      <c r="X218" s="49"/>
      <c r="Y218" s="49"/>
      <c r="Z218" s="7"/>
      <c r="AA218" s="7"/>
      <c r="AB218" s="7"/>
      <c r="AC218" s="59" t="str">
        <f t="shared" si="27"/>
        <v>0</v>
      </c>
      <c r="AD218" s="49"/>
      <c r="AE218" s="7"/>
      <c r="AF218" s="49"/>
      <c r="AG218" s="7"/>
      <c r="AH218" s="7"/>
      <c r="AI218" s="59" t="str">
        <f t="shared" si="28"/>
        <v>0</v>
      </c>
      <c r="AJ218" s="49">
        <v>3</v>
      </c>
      <c r="AK218" s="49">
        <v>1</v>
      </c>
      <c r="AL218" s="49">
        <v>1</v>
      </c>
      <c r="AM218" s="49">
        <v>1</v>
      </c>
      <c r="AN218" s="7"/>
      <c r="AO218" s="59">
        <f t="shared" si="29"/>
        <v>1.5</v>
      </c>
      <c r="AP218" s="49">
        <v>2</v>
      </c>
      <c r="AQ218" s="49"/>
      <c r="AR218" s="49"/>
      <c r="AS218" s="7"/>
      <c r="AT218" s="7"/>
      <c r="AU218" s="59">
        <f t="shared" si="30"/>
        <v>2</v>
      </c>
      <c r="AV218" s="7"/>
      <c r="AW218" s="7"/>
      <c r="AX218" s="49"/>
      <c r="AY218" s="49">
        <v>2</v>
      </c>
      <c r="AZ218" s="49">
        <v>23</v>
      </c>
      <c r="BA218" s="59">
        <f t="shared" si="31"/>
        <v>12.5</v>
      </c>
    </row>
    <row r="219" spans="1:53" ht="23.1" customHeight="1" x14ac:dyDescent="0.3">
      <c r="A219" s="49">
        <v>217</v>
      </c>
      <c r="B219" s="49" t="s">
        <v>467</v>
      </c>
      <c r="C219" s="49" t="s">
        <v>468</v>
      </c>
      <c r="D219" s="49" t="s">
        <v>542</v>
      </c>
      <c r="E219" s="49" t="s">
        <v>289</v>
      </c>
      <c r="F219" s="49">
        <v>4</v>
      </c>
      <c r="G219" s="49">
        <v>4</v>
      </c>
      <c r="H219" s="49">
        <v>4</v>
      </c>
      <c r="I219" s="49">
        <v>4</v>
      </c>
      <c r="J219" s="49"/>
      <c r="K219" s="59">
        <f t="shared" si="24"/>
        <v>4</v>
      </c>
      <c r="L219" s="49">
        <v>5</v>
      </c>
      <c r="M219" s="49">
        <v>5</v>
      </c>
      <c r="N219" s="49">
        <v>5</v>
      </c>
      <c r="O219" s="49">
        <v>3</v>
      </c>
      <c r="P219" s="49">
        <v>4</v>
      </c>
      <c r="Q219" s="59">
        <f t="shared" si="25"/>
        <v>4.4000000000000004</v>
      </c>
      <c r="R219" s="49"/>
      <c r="S219" s="49">
        <v>4</v>
      </c>
      <c r="T219" s="49"/>
      <c r="U219" s="49"/>
      <c r="V219" s="49"/>
      <c r="W219" s="59">
        <f t="shared" si="26"/>
        <v>4</v>
      </c>
      <c r="X219" s="49"/>
      <c r="Y219" s="49"/>
      <c r="Z219" s="49"/>
      <c r="AA219" s="49"/>
      <c r="AB219" s="49"/>
      <c r="AC219" s="59" t="str">
        <f t="shared" si="27"/>
        <v>0</v>
      </c>
      <c r="AD219" s="49"/>
      <c r="AE219" s="49"/>
      <c r="AF219" s="49"/>
      <c r="AG219" s="49"/>
      <c r="AH219" s="49"/>
      <c r="AI219" s="59" t="str">
        <f t="shared" si="28"/>
        <v>0</v>
      </c>
      <c r="AJ219" s="49">
        <v>4</v>
      </c>
      <c r="AK219" s="49">
        <v>4</v>
      </c>
      <c r="AL219" s="49">
        <v>4</v>
      </c>
      <c r="AM219" s="49">
        <v>4</v>
      </c>
      <c r="AN219" s="49"/>
      <c r="AO219" s="59">
        <f t="shared" si="29"/>
        <v>4</v>
      </c>
      <c r="AP219" s="49">
        <v>3</v>
      </c>
      <c r="AQ219" s="49"/>
      <c r="AR219" s="49"/>
      <c r="AS219" s="49"/>
      <c r="AT219" s="49"/>
      <c r="AU219" s="59">
        <f t="shared" si="30"/>
        <v>3</v>
      </c>
      <c r="AV219" s="49"/>
      <c r="AW219" s="49"/>
      <c r="AX219" s="49"/>
      <c r="AY219" s="49">
        <v>4</v>
      </c>
      <c r="AZ219" s="49">
        <v>4</v>
      </c>
      <c r="BA219" s="59">
        <f t="shared" si="31"/>
        <v>4</v>
      </c>
    </row>
    <row r="220" spans="1:53" ht="23.1" customHeight="1" x14ac:dyDescent="0.3">
      <c r="A220" s="7">
        <v>218</v>
      </c>
      <c r="B220" s="7" t="s">
        <v>469</v>
      </c>
      <c r="C220" s="7" t="s">
        <v>470</v>
      </c>
      <c r="D220" s="7" t="s">
        <v>450</v>
      </c>
      <c r="E220" s="7" t="s">
        <v>289</v>
      </c>
      <c r="F220" s="49">
        <v>2</v>
      </c>
      <c r="G220" s="49">
        <v>2</v>
      </c>
      <c r="H220" s="49">
        <v>2</v>
      </c>
      <c r="I220" s="49">
        <v>3</v>
      </c>
      <c r="J220" s="7"/>
      <c r="K220" s="59">
        <f t="shared" si="24"/>
        <v>2.25</v>
      </c>
      <c r="L220" s="49">
        <v>3</v>
      </c>
      <c r="M220" s="49">
        <v>2</v>
      </c>
      <c r="N220" s="49">
        <v>2</v>
      </c>
      <c r="O220" s="49">
        <v>2</v>
      </c>
      <c r="P220" s="49">
        <v>2</v>
      </c>
      <c r="Q220" s="59">
        <f t="shared" si="25"/>
        <v>2.2000000000000002</v>
      </c>
      <c r="R220" s="49"/>
      <c r="S220" s="49">
        <v>3</v>
      </c>
      <c r="T220" s="7"/>
      <c r="U220" s="49"/>
      <c r="V220" s="7"/>
      <c r="W220" s="59">
        <f t="shared" si="26"/>
        <v>3</v>
      </c>
      <c r="X220" s="49"/>
      <c r="Y220" s="49"/>
      <c r="Z220" s="7"/>
      <c r="AA220" s="7"/>
      <c r="AB220" s="7"/>
      <c r="AC220" s="59" t="str">
        <f t="shared" si="27"/>
        <v>0</v>
      </c>
      <c r="AD220" s="49"/>
      <c r="AE220" s="7"/>
      <c r="AF220" s="49"/>
      <c r="AG220" s="7"/>
      <c r="AH220" s="7"/>
      <c r="AI220" s="59" t="str">
        <f t="shared" si="28"/>
        <v>0</v>
      </c>
      <c r="AJ220" s="49">
        <v>3</v>
      </c>
      <c r="AK220" s="49">
        <v>3</v>
      </c>
      <c r="AL220" s="49">
        <v>2</v>
      </c>
      <c r="AM220" s="49">
        <v>3</v>
      </c>
      <c r="AN220" s="7"/>
      <c r="AO220" s="59">
        <f t="shared" si="29"/>
        <v>2.75</v>
      </c>
      <c r="AP220" s="49">
        <v>3</v>
      </c>
      <c r="AQ220" s="49"/>
      <c r="AR220" s="49"/>
      <c r="AS220" s="7"/>
      <c r="AT220" s="7"/>
      <c r="AU220" s="59">
        <f t="shared" si="30"/>
        <v>3</v>
      </c>
      <c r="AV220" s="7"/>
      <c r="AW220" s="7"/>
      <c r="AX220" s="49"/>
      <c r="AY220" s="49">
        <v>2</v>
      </c>
      <c r="AZ220" s="49">
        <v>2</v>
      </c>
      <c r="BA220" s="59">
        <f t="shared" si="31"/>
        <v>2</v>
      </c>
    </row>
    <row r="221" spans="1:53" ht="23.1" customHeight="1" x14ac:dyDescent="0.3">
      <c r="A221" s="49">
        <v>219</v>
      </c>
      <c r="B221" s="49" t="s">
        <v>471</v>
      </c>
      <c r="C221" s="49" t="s">
        <v>472</v>
      </c>
      <c r="D221" s="49" t="s">
        <v>450</v>
      </c>
      <c r="E221" s="49" t="s">
        <v>289</v>
      </c>
      <c r="F221" s="49">
        <v>3.5</v>
      </c>
      <c r="G221" s="49">
        <v>3</v>
      </c>
      <c r="H221" s="49">
        <v>3</v>
      </c>
      <c r="I221" s="49">
        <v>2.5</v>
      </c>
      <c r="J221" s="49"/>
      <c r="K221" s="59">
        <f t="shared" si="24"/>
        <v>3</v>
      </c>
      <c r="L221" s="49">
        <v>3.5</v>
      </c>
      <c r="M221" s="49">
        <v>3</v>
      </c>
      <c r="N221" s="49">
        <v>3</v>
      </c>
      <c r="O221" s="49">
        <v>2.5</v>
      </c>
      <c r="P221" s="49">
        <v>2.5</v>
      </c>
      <c r="Q221" s="59">
        <f t="shared" si="25"/>
        <v>2.9</v>
      </c>
      <c r="R221" s="49"/>
      <c r="S221" s="49">
        <v>3</v>
      </c>
      <c r="T221" s="49"/>
      <c r="U221" s="49"/>
      <c r="V221" s="49"/>
      <c r="W221" s="59">
        <f t="shared" si="26"/>
        <v>3</v>
      </c>
      <c r="X221" s="49"/>
      <c r="Y221" s="49"/>
      <c r="Z221" s="49"/>
      <c r="AA221" s="49"/>
      <c r="AB221" s="49"/>
      <c r="AC221" s="59" t="str">
        <f t="shared" si="27"/>
        <v>0</v>
      </c>
      <c r="AD221" s="49"/>
      <c r="AE221" s="49"/>
      <c r="AF221" s="49"/>
      <c r="AG221" s="49"/>
      <c r="AH221" s="49"/>
      <c r="AI221" s="59" t="str">
        <f t="shared" si="28"/>
        <v>0</v>
      </c>
      <c r="AJ221" s="49">
        <v>2.5</v>
      </c>
      <c r="AK221" s="49">
        <v>3</v>
      </c>
      <c r="AL221" s="49">
        <v>3.5</v>
      </c>
      <c r="AM221" s="49">
        <v>3</v>
      </c>
      <c r="AN221" s="49"/>
      <c r="AO221" s="59">
        <f t="shared" si="29"/>
        <v>3</v>
      </c>
      <c r="AP221" s="49">
        <v>3</v>
      </c>
      <c r="AQ221" s="49"/>
      <c r="AR221" s="49"/>
      <c r="AS221" s="49"/>
      <c r="AT221" s="49"/>
      <c r="AU221" s="59">
        <f t="shared" si="30"/>
        <v>3</v>
      </c>
      <c r="AV221" s="49"/>
      <c r="AW221" s="49"/>
      <c r="AX221" s="49"/>
      <c r="AY221" s="49">
        <v>2.5</v>
      </c>
      <c r="AZ221" s="49">
        <v>2.5</v>
      </c>
      <c r="BA221" s="59">
        <f t="shared" si="31"/>
        <v>2.5</v>
      </c>
    </row>
    <row r="222" spans="1:53" ht="23.1" customHeight="1" x14ac:dyDescent="0.3">
      <c r="A222" s="7">
        <v>220</v>
      </c>
      <c r="B222" s="7" t="s">
        <v>473</v>
      </c>
      <c r="C222" s="7" t="s">
        <v>474</v>
      </c>
      <c r="D222" s="7" t="s">
        <v>542</v>
      </c>
      <c r="E222" s="7" t="s">
        <v>289</v>
      </c>
      <c r="F222" s="49">
        <v>2</v>
      </c>
      <c r="G222" s="49">
        <v>3</v>
      </c>
      <c r="H222" s="49">
        <v>2</v>
      </c>
      <c r="I222" s="49">
        <v>3</v>
      </c>
      <c r="J222" s="7"/>
      <c r="K222" s="59">
        <f t="shared" si="24"/>
        <v>2.5</v>
      </c>
      <c r="L222" s="49">
        <v>2</v>
      </c>
      <c r="M222" s="49">
        <v>3</v>
      </c>
      <c r="N222" s="49">
        <v>2</v>
      </c>
      <c r="O222" s="49">
        <v>2</v>
      </c>
      <c r="P222" s="49">
        <v>2</v>
      </c>
      <c r="Q222" s="59">
        <f t="shared" si="25"/>
        <v>2.2000000000000002</v>
      </c>
      <c r="R222" s="49"/>
      <c r="S222" s="49">
        <v>2</v>
      </c>
      <c r="T222" s="7"/>
      <c r="U222" s="49"/>
      <c r="V222" s="7"/>
      <c r="W222" s="59">
        <f t="shared" si="26"/>
        <v>2</v>
      </c>
      <c r="X222" s="49"/>
      <c r="Y222" s="49"/>
      <c r="Z222" s="7"/>
      <c r="AA222" s="7"/>
      <c r="AB222" s="7"/>
      <c r="AC222" s="59" t="str">
        <f t="shared" si="27"/>
        <v>0</v>
      </c>
      <c r="AD222" s="49"/>
      <c r="AE222" s="7"/>
      <c r="AF222" s="49"/>
      <c r="AG222" s="7"/>
      <c r="AH222" s="7"/>
      <c r="AI222" s="59" t="str">
        <f t="shared" si="28"/>
        <v>0</v>
      </c>
      <c r="AJ222" s="49">
        <v>2</v>
      </c>
      <c r="AK222" s="49">
        <v>2</v>
      </c>
      <c r="AL222" s="49">
        <v>2</v>
      </c>
      <c r="AM222" s="49">
        <v>3</v>
      </c>
      <c r="AN222" s="7"/>
      <c r="AO222" s="59">
        <f t="shared" si="29"/>
        <v>2.25</v>
      </c>
      <c r="AP222" s="49">
        <v>3</v>
      </c>
      <c r="AQ222" s="49"/>
      <c r="AR222" s="49"/>
      <c r="AS222" s="7"/>
      <c r="AT222" s="7"/>
      <c r="AU222" s="59">
        <f t="shared" si="30"/>
        <v>3</v>
      </c>
      <c r="AV222" s="7"/>
      <c r="AW222" s="7"/>
      <c r="AX222" s="49"/>
      <c r="AY222" s="49">
        <v>3</v>
      </c>
      <c r="AZ222" s="49">
        <v>3</v>
      </c>
      <c r="BA222" s="59">
        <f t="shared" si="31"/>
        <v>3</v>
      </c>
    </row>
    <row r="223" spans="1:53" ht="23.1" customHeight="1" x14ac:dyDescent="0.3">
      <c r="A223" s="49">
        <v>221</v>
      </c>
      <c r="B223" s="49" t="s">
        <v>475</v>
      </c>
      <c r="C223" s="49" t="s">
        <v>476</v>
      </c>
      <c r="D223" s="49" t="s">
        <v>450</v>
      </c>
      <c r="E223" s="49" t="s">
        <v>289</v>
      </c>
      <c r="F223" s="49">
        <v>2</v>
      </c>
      <c r="G223" s="49">
        <v>2</v>
      </c>
      <c r="H223" s="49">
        <v>3</v>
      </c>
      <c r="I223" s="49">
        <v>3</v>
      </c>
      <c r="J223" s="49"/>
      <c r="K223" s="59">
        <f t="shared" si="24"/>
        <v>2.5</v>
      </c>
      <c r="L223" s="49">
        <v>2</v>
      </c>
      <c r="M223" s="49">
        <v>2</v>
      </c>
      <c r="N223" s="49">
        <v>4</v>
      </c>
      <c r="O223" s="49">
        <v>3</v>
      </c>
      <c r="P223" s="49">
        <v>2</v>
      </c>
      <c r="Q223" s="59">
        <f t="shared" si="25"/>
        <v>2.6</v>
      </c>
      <c r="R223" s="49"/>
      <c r="S223" s="49">
        <v>2</v>
      </c>
      <c r="T223" s="49"/>
      <c r="U223" s="49"/>
      <c r="V223" s="49"/>
      <c r="W223" s="59">
        <f t="shared" si="26"/>
        <v>2</v>
      </c>
      <c r="X223" s="49"/>
      <c r="Y223" s="49"/>
      <c r="Z223" s="49"/>
      <c r="AA223" s="49"/>
      <c r="AB223" s="49"/>
      <c r="AC223" s="59" t="str">
        <f t="shared" si="27"/>
        <v>0</v>
      </c>
      <c r="AD223" s="49"/>
      <c r="AE223" s="49"/>
      <c r="AF223" s="49"/>
      <c r="AG223" s="49"/>
      <c r="AH223" s="49"/>
      <c r="AI223" s="59" t="str">
        <f t="shared" si="28"/>
        <v>0</v>
      </c>
      <c r="AJ223" s="49">
        <v>3</v>
      </c>
      <c r="AK223" s="49">
        <v>3</v>
      </c>
      <c r="AL223" s="49">
        <v>2</v>
      </c>
      <c r="AM223" s="49">
        <v>2</v>
      </c>
      <c r="AN223" s="49"/>
      <c r="AO223" s="59">
        <f t="shared" si="29"/>
        <v>2.5</v>
      </c>
      <c r="AP223" s="49">
        <v>2</v>
      </c>
      <c r="AQ223" s="49"/>
      <c r="AR223" s="49"/>
      <c r="AS223" s="49"/>
      <c r="AT223" s="49"/>
      <c r="AU223" s="59">
        <f t="shared" si="30"/>
        <v>2</v>
      </c>
      <c r="AV223" s="49"/>
      <c r="AW223" s="49"/>
      <c r="AX223" s="49"/>
      <c r="AY223" s="49">
        <v>2</v>
      </c>
      <c r="AZ223" s="49">
        <v>2</v>
      </c>
      <c r="BA223" s="59">
        <f t="shared" si="31"/>
        <v>2</v>
      </c>
    </row>
    <row r="224" spans="1:53" ht="23.1" customHeight="1" x14ac:dyDescent="0.3">
      <c r="A224" s="7">
        <v>222</v>
      </c>
      <c r="B224" s="7" t="s">
        <v>477</v>
      </c>
      <c r="C224" s="7" t="s">
        <v>478</v>
      </c>
      <c r="D224" s="7" t="s">
        <v>450</v>
      </c>
      <c r="E224" s="7" t="s">
        <v>289</v>
      </c>
      <c r="F224" s="49">
        <v>2</v>
      </c>
      <c r="G224" s="49">
        <v>3</v>
      </c>
      <c r="H224" s="49">
        <v>3</v>
      </c>
      <c r="I224" s="49">
        <v>2</v>
      </c>
      <c r="J224" s="7"/>
      <c r="K224" s="59">
        <f t="shared" si="24"/>
        <v>2.5</v>
      </c>
      <c r="L224" s="49">
        <v>1</v>
      </c>
      <c r="M224" s="49">
        <v>2</v>
      </c>
      <c r="N224" s="49">
        <v>2</v>
      </c>
      <c r="O224" s="49">
        <v>4</v>
      </c>
      <c r="P224" s="49">
        <v>2</v>
      </c>
      <c r="Q224" s="59">
        <f t="shared" si="25"/>
        <v>2.2000000000000002</v>
      </c>
      <c r="R224" s="49"/>
      <c r="S224" s="49">
        <v>2</v>
      </c>
      <c r="T224" s="7"/>
      <c r="U224" s="49"/>
      <c r="V224" s="7"/>
      <c r="W224" s="59">
        <f t="shared" si="26"/>
        <v>2</v>
      </c>
      <c r="X224" s="49"/>
      <c r="Y224" s="49"/>
      <c r="Z224" s="7"/>
      <c r="AA224" s="7"/>
      <c r="AB224" s="7"/>
      <c r="AC224" s="59" t="str">
        <f t="shared" si="27"/>
        <v>0</v>
      </c>
      <c r="AD224" s="49"/>
      <c r="AE224" s="7"/>
      <c r="AF224" s="49"/>
      <c r="AG224" s="7"/>
      <c r="AH224" s="7"/>
      <c r="AI224" s="59" t="str">
        <f t="shared" si="28"/>
        <v>0</v>
      </c>
      <c r="AJ224" s="49">
        <v>2</v>
      </c>
      <c r="AK224" s="49">
        <v>3</v>
      </c>
      <c r="AL224" s="49">
        <v>2</v>
      </c>
      <c r="AM224" s="49">
        <v>2</v>
      </c>
      <c r="AN224" s="7"/>
      <c r="AO224" s="59">
        <f t="shared" si="29"/>
        <v>2.25</v>
      </c>
      <c r="AP224" s="49">
        <v>3</v>
      </c>
      <c r="AQ224" s="49"/>
      <c r="AR224" s="49"/>
      <c r="AS224" s="7"/>
      <c r="AT224" s="7"/>
      <c r="AU224" s="59">
        <f t="shared" si="30"/>
        <v>3</v>
      </c>
      <c r="AV224" s="7"/>
      <c r="AW224" s="7"/>
      <c r="AX224" s="49"/>
      <c r="AY224" s="49">
        <v>3</v>
      </c>
      <c r="AZ224" s="49">
        <v>2</v>
      </c>
      <c r="BA224" s="59">
        <f t="shared" si="31"/>
        <v>2.5</v>
      </c>
    </row>
    <row r="225" spans="1:53" ht="23.1" customHeight="1" x14ac:dyDescent="0.3">
      <c r="A225" s="49">
        <v>223</v>
      </c>
      <c r="B225" s="49" t="s">
        <v>479</v>
      </c>
      <c r="C225" s="49" t="s">
        <v>480</v>
      </c>
      <c r="D225" s="49" t="s">
        <v>450</v>
      </c>
      <c r="E225" s="49" t="s">
        <v>289</v>
      </c>
      <c r="F225" s="49">
        <v>1</v>
      </c>
      <c r="G225" s="49">
        <v>1</v>
      </c>
      <c r="H225" s="49">
        <v>1</v>
      </c>
      <c r="I225" s="49">
        <v>1</v>
      </c>
      <c r="J225" s="49"/>
      <c r="K225" s="59">
        <f t="shared" si="24"/>
        <v>1</v>
      </c>
      <c r="L225" s="49">
        <v>1</v>
      </c>
      <c r="M225" s="49">
        <v>1</v>
      </c>
      <c r="N225" s="49">
        <v>1</v>
      </c>
      <c r="O225" s="49">
        <v>4</v>
      </c>
      <c r="P225" s="49">
        <v>1</v>
      </c>
      <c r="Q225" s="59">
        <f t="shared" si="25"/>
        <v>1.6</v>
      </c>
      <c r="R225" s="49"/>
      <c r="S225" s="49">
        <v>1</v>
      </c>
      <c r="T225" s="49"/>
      <c r="U225" s="49"/>
      <c r="V225" s="49"/>
      <c r="W225" s="59">
        <f t="shared" si="26"/>
        <v>1</v>
      </c>
      <c r="X225" s="49"/>
      <c r="Y225" s="49"/>
      <c r="Z225" s="49"/>
      <c r="AA225" s="49"/>
      <c r="AB225" s="49"/>
      <c r="AC225" s="59" t="str">
        <f t="shared" si="27"/>
        <v>0</v>
      </c>
      <c r="AD225" s="49"/>
      <c r="AE225" s="49"/>
      <c r="AF225" s="49"/>
      <c r="AG225" s="49"/>
      <c r="AH225" s="49"/>
      <c r="AI225" s="59" t="str">
        <f t="shared" si="28"/>
        <v>0</v>
      </c>
      <c r="AJ225" s="49">
        <v>1</v>
      </c>
      <c r="AK225" s="49">
        <v>1</v>
      </c>
      <c r="AL225" s="49">
        <v>1</v>
      </c>
      <c r="AM225" s="49">
        <v>1</v>
      </c>
      <c r="AN225" s="49"/>
      <c r="AO225" s="59">
        <f t="shared" si="29"/>
        <v>1</v>
      </c>
      <c r="AP225" s="49">
        <v>1</v>
      </c>
      <c r="AQ225" s="49"/>
      <c r="AR225" s="49"/>
      <c r="AS225" s="49"/>
      <c r="AT225" s="49"/>
      <c r="AU225" s="59">
        <f t="shared" si="30"/>
        <v>1</v>
      </c>
      <c r="AV225" s="49"/>
      <c r="AW225" s="49"/>
      <c r="AX225" s="49"/>
      <c r="AY225" s="49">
        <v>1</v>
      </c>
      <c r="AZ225" s="49">
        <v>1</v>
      </c>
      <c r="BA225" s="59">
        <f t="shared" si="31"/>
        <v>1</v>
      </c>
    </row>
    <row r="226" spans="1:53" ht="23.1" customHeight="1" x14ac:dyDescent="0.3">
      <c r="A226" s="7">
        <v>224</v>
      </c>
      <c r="B226" s="7" t="s">
        <v>481</v>
      </c>
      <c r="C226" s="7" t="s">
        <v>482</v>
      </c>
      <c r="D226" s="7" t="s">
        <v>450</v>
      </c>
      <c r="E226" s="7" t="s">
        <v>289</v>
      </c>
      <c r="F226" s="49">
        <v>2</v>
      </c>
      <c r="G226" s="49">
        <v>3</v>
      </c>
      <c r="H226" s="49">
        <v>0</v>
      </c>
      <c r="I226" s="49">
        <v>3</v>
      </c>
      <c r="J226" s="7"/>
      <c r="K226" s="59">
        <f t="shared" si="24"/>
        <v>2</v>
      </c>
      <c r="L226" s="49">
        <v>4</v>
      </c>
      <c r="M226" s="49">
        <v>2</v>
      </c>
      <c r="N226" s="49">
        <v>3</v>
      </c>
      <c r="O226" s="49">
        <v>2</v>
      </c>
      <c r="P226" s="49">
        <v>2</v>
      </c>
      <c r="Q226" s="59">
        <f t="shared" si="25"/>
        <v>2.6</v>
      </c>
      <c r="R226" s="49"/>
      <c r="S226" s="49">
        <v>2</v>
      </c>
      <c r="T226" s="7"/>
      <c r="U226" s="49"/>
      <c r="V226" s="7"/>
      <c r="W226" s="59">
        <f t="shared" si="26"/>
        <v>2</v>
      </c>
      <c r="X226" s="49"/>
      <c r="Y226" s="49"/>
      <c r="Z226" s="7"/>
      <c r="AA226" s="7"/>
      <c r="AB226" s="7"/>
      <c r="AC226" s="59" t="str">
        <f t="shared" si="27"/>
        <v>0</v>
      </c>
      <c r="AD226" s="49"/>
      <c r="AE226" s="7"/>
      <c r="AF226" s="49"/>
      <c r="AG226" s="7"/>
      <c r="AH226" s="7"/>
      <c r="AI226" s="59" t="str">
        <f t="shared" si="28"/>
        <v>0</v>
      </c>
      <c r="AJ226" s="49">
        <v>3</v>
      </c>
      <c r="AK226" s="49">
        <v>2</v>
      </c>
      <c r="AL226" s="49">
        <v>2</v>
      </c>
      <c r="AM226" s="49">
        <v>2</v>
      </c>
      <c r="AN226" s="7"/>
      <c r="AO226" s="59">
        <f t="shared" si="29"/>
        <v>2.25</v>
      </c>
      <c r="AP226" s="49">
        <v>3</v>
      </c>
      <c r="AQ226" s="49"/>
      <c r="AR226" s="49"/>
      <c r="AS226" s="7"/>
      <c r="AT226" s="7"/>
      <c r="AU226" s="59">
        <f t="shared" si="30"/>
        <v>3</v>
      </c>
      <c r="AV226" s="7"/>
      <c r="AW226" s="7"/>
      <c r="AX226" s="49"/>
      <c r="AY226" s="49">
        <v>3</v>
      </c>
      <c r="AZ226" s="49">
        <v>2</v>
      </c>
      <c r="BA226" s="59">
        <f t="shared" si="31"/>
        <v>2.5</v>
      </c>
    </row>
    <row r="227" spans="1:53" ht="23.1" customHeight="1" x14ac:dyDescent="0.3">
      <c r="A227" s="49">
        <v>225</v>
      </c>
      <c r="B227" s="49" t="s">
        <v>483</v>
      </c>
      <c r="C227" s="49" t="s">
        <v>540</v>
      </c>
      <c r="D227" s="49" t="s">
        <v>450</v>
      </c>
      <c r="E227" s="49" t="s">
        <v>289</v>
      </c>
      <c r="F227" s="49">
        <v>3</v>
      </c>
      <c r="G227" s="49">
        <v>4</v>
      </c>
      <c r="H227" s="49">
        <v>4</v>
      </c>
      <c r="I227" s="49">
        <v>4</v>
      </c>
      <c r="J227" s="49"/>
      <c r="K227" s="59">
        <f t="shared" si="24"/>
        <v>3.75</v>
      </c>
      <c r="L227" s="49">
        <v>2</v>
      </c>
      <c r="M227" s="49">
        <v>4</v>
      </c>
      <c r="N227" s="49">
        <v>3</v>
      </c>
      <c r="O227" s="49">
        <v>3</v>
      </c>
      <c r="P227" s="49">
        <v>3</v>
      </c>
      <c r="Q227" s="59">
        <f t="shared" si="25"/>
        <v>3</v>
      </c>
      <c r="R227" s="49"/>
      <c r="S227" s="49">
        <v>3</v>
      </c>
      <c r="T227" s="49"/>
      <c r="U227" s="49"/>
      <c r="V227" s="49"/>
      <c r="W227" s="59">
        <f t="shared" si="26"/>
        <v>3</v>
      </c>
      <c r="X227" s="49"/>
      <c r="Y227" s="49"/>
      <c r="Z227" s="49"/>
      <c r="AA227" s="49"/>
      <c r="AB227" s="49"/>
      <c r="AC227" s="59" t="str">
        <f t="shared" si="27"/>
        <v>0</v>
      </c>
      <c r="AD227" s="49"/>
      <c r="AE227" s="49"/>
      <c r="AF227" s="49"/>
      <c r="AG227" s="49"/>
      <c r="AH227" s="49"/>
      <c r="AI227" s="59" t="str">
        <f t="shared" si="28"/>
        <v>0</v>
      </c>
      <c r="AJ227" s="49">
        <v>3</v>
      </c>
      <c r="AK227" s="49">
        <v>3</v>
      </c>
      <c r="AL227" s="49">
        <v>3</v>
      </c>
      <c r="AM227" s="49">
        <v>3</v>
      </c>
      <c r="AN227" s="49"/>
      <c r="AO227" s="59">
        <f t="shared" si="29"/>
        <v>3</v>
      </c>
      <c r="AP227" s="49">
        <v>3</v>
      </c>
      <c r="AQ227" s="49"/>
      <c r="AR227" s="49"/>
      <c r="AS227" s="49"/>
      <c r="AT227" s="49"/>
      <c r="AU227" s="59">
        <f t="shared" si="30"/>
        <v>3</v>
      </c>
      <c r="AV227" s="49"/>
      <c r="AW227" s="49"/>
      <c r="AX227" s="49"/>
      <c r="AY227" s="49">
        <v>3</v>
      </c>
      <c r="AZ227" s="49">
        <v>4</v>
      </c>
      <c r="BA227" s="59">
        <f t="shared" si="31"/>
        <v>3.5</v>
      </c>
    </row>
    <row r="228" spans="1:53" ht="23.1" customHeight="1" x14ac:dyDescent="0.3">
      <c r="A228" s="7">
        <v>226</v>
      </c>
      <c r="B228" s="7" t="s">
        <v>484</v>
      </c>
      <c r="C228" s="7" t="s">
        <v>485</v>
      </c>
      <c r="D228" s="7" t="s">
        <v>450</v>
      </c>
      <c r="E228" s="7" t="s">
        <v>289</v>
      </c>
      <c r="F228" s="49">
        <v>1</v>
      </c>
      <c r="G228" s="49">
        <v>1</v>
      </c>
      <c r="H228" s="49">
        <v>1</v>
      </c>
      <c r="I228" s="49">
        <v>1</v>
      </c>
      <c r="J228" s="7"/>
      <c r="K228" s="59">
        <f t="shared" si="24"/>
        <v>1</v>
      </c>
      <c r="L228" s="49">
        <v>2</v>
      </c>
      <c r="M228" s="49">
        <v>2</v>
      </c>
      <c r="N228" s="49">
        <v>2</v>
      </c>
      <c r="O228" s="49">
        <v>3</v>
      </c>
      <c r="P228" s="49">
        <v>2</v>
      </c>
      <c r="Q228" s="59">
        <f t="shared" si="25"/>
        <v>2.2000000000000002</v>
      </c>
      <c r="R228" s="49"/>
      <c r="S228" s="49">
        <v>2</v>
      </c>
      <c r="T228" s="7"/>
      <c r="U228" s="49"/>
      <c r="V228" s="7"/>
      <c r="W228" s="59">
        <f t="shared" si="26"/>
        <v>2</v>
      </c>
      <c r="X228" s="49"/>
      <c r="Y228" s="49"/>
      <c r="Z228" s="7"/>
      <c r="AA228" s="7"/>
      <c r="AB228" s="7"/>
      <c r="AC228" s="59" t="str">
        <f t="shared" si="27"/>
        <v>0</v>
      </c>
      <c r="AD228" s="49"/>
      <c r="AE228" s="7"/>
      <c r="AF228" s="49"/>
      <c r="AG228" s="7"/>
      <c r="AH228" s="7"/>
      <c r="AI228" s="59" t="str">
        <f t="shared" si="28"/>
        <v>0</v>
      </c>
      <c r="AJ228" s="49">
        <v>1</v>
      </c>
      <c r="AK228" s="49">
        <v>1</v>
      </c>
      <c r="AL228" s="49">
        <v>1</v>
      </c>
      <c r="AM228" s="49">
        <v>1</v>
      </c>
      <c r="AN228" s="7"/>
      <c r="AO228" s="59">
        <f t="shared" si="29"/>
        <v>1</v>
      </c>
      <c r="AP228" s="49">
        <v>3</v>
      </c>
      <c r="AQ228" s="49"/>
      <c r="AR228" s="49"/>
      <c r="AS228" s="7"/>
      <c r="AT228" s="7"/>
      <c r="AU228" s="59">
        <f t="shared" si="30"/>
        <v>3</v>
      </c>
      <c r="AV228" s="7"/>
      <c r="AW228" s="7"/>
      <c r="AX228" s="49"/>
      <c r="AY228" s="49">
        <v>2</v>
      </c>
      <c r="AZ228" s="49">
        <v>2</v>
      </c>
      <c r="BA228" s="59">
        <f t="shared" si="31"/>
        <v>2</v>
      </c>
    </row>
    <row r="229" spans="1:53" ht="23.1" customHeight="1" x14ac:dyDescent="0.3">
      <c r="A229" s="49">
        <v>227</v>
      </c>
      <c r="B229" s="49" t="s">
        <v>486</v>
      </c>
      <c r="C229" s="49" t="s">
        <v>487</v>
      </c>
      <c r="D229" s="49" t="s">
        <v>450</v>
      </c>
      <c r="E229" s="49" t="s">
        <v>289</v>
      </c>
      <c r="F229" s="49">
        <v>0</v>
      </c>
      <c r="G229" s="49">
        <v>0</v>
      </c>
      <c r="H229" s="49">
        <v>0</v>
      </c>
      <c r="I229" s="49">
        <v>0</v>
      </c>
      <c r="J229" s="49"/>
      <c r="K229" s="59">
        <f t="shared" si="24"/>
        <v>0</v>
      </c>
      <c r="L229" s="49">
        <v>0</v>
      </c>
      <c r="M229" s="49">
        <v>0</v>
      </c>
      <c r="N229" s="49">
        <v>0</v>
      </c>
      <c r="O229" s="49">
        <v>0</v>
      </c>
      <c r="P229" s="49">
        <v>0</v>
      </c>
      <c r="Q229" s="59">
        <f t="shared" si="25"/>
        <v>0</v>
      </c>
      <c r="R229" s="49"/>
      <c r="S229" s="49">
        <v>0</v>
      </c>
      <c r="T229" s="49"/>
      <c r="U229" s="49"/>
      <c r="V229" s="49"/>
      <c r="W229" s="59">
        <f t="shared" si="26"/>
        <v>0</v>
      </c>
      <c r="X229" s="49"/>
      <c r="Y229" s="49"/>
      <c r="Z229" s="49"/>
      <c r="AA229" s="49"/>
      <c r="AB229" s="49"/>
      <c r="AC229" s="59" t="str">
        <f t="shared" si="27"/>
        <v>0</v>
      </c>
      <c r="AD229" s="49"/>
      <c r="AE229" s="49"/>
      <c r="AF229" s="49"/>
      <c r="AG229" s="49"/>
      <c r="AH229" s="49"/>
      <c r="AI229" s="59" t="str">
        <f t="shared" si="28"/>
        <v>0</v>
      </c>
      <c r="AJ229" s="49">
        <v>0</v>
      </c>
      <c r="AK229" s="49">
        <v>0</v>
      </c>
      <c r="AL229" s="49">
        <v>0</v>
      </c>
      <c r="AM229" s="49">
        <v>0</v>
      </c>
      <c r="AN229" s="49"/>
      <c r="AO229" s="59">
        <f t="shared" si="29"/>
        <v>0</v>
      </c>
      <c r="AP229" s="49">
        <v>0</v>
      </c>
      <c r="AQ229" s="49"/>
      <c r="AR229" s="49"/>
      <c r="AS229" s="49"/>
      <c r="AT229" s="49"/>
      <c r="AU229" s="59">
        <f t="shared" si="30"/>
        <v>0</v>
      </c>
      <c r="AV229" s="49"/>
      <c r="AW229" s="49"/>
      <c r="AX229" s="49"/>
      <c r="AY229" s="49">
        <v>0</v>
      </c>
      <c r="AZ229" s="49">
        <v>0</v>
      </c>
      <c r="BA229" s="59">
        <f t="shared" si="31"/>
        <v>0</v>
      </c>
    </row>
    <row r="230" spans="1:53" ht="23.1" customHeight="1" x14ac:dyDescent="0.3">
      <c r="A230" s="7">
        <v>228</v>
      </c>
      <c r="B230" s="7" t="s">
        <v>541</v>
      </c>
      <c r="C230" s="7" t="s">
        <v>488</v>
      </c>
      <c r="D230" s="7" t="s">
        <v>545</v>
      </c>
      <c r="E230" s="7" t="s">
        <v>289</v>
      </c>
      <c r="F230" s="49">
        <v>1</v>
      </c>
      <c r="G230" s="49">
        <v>1</v>
      </c>
      <c r="H230" s="49">
        <v>1</v>
      </c>
      <c r="I230" s="49">
        <v>1</v>
      </c>
      <c r="J230" s="7"/>
      <c r="K230" s="59">
        <f t="shared" si="24"/>
        <v>1</v>
      </c>
      <c r="L230" s="49">
        <v>1</v>
      </c>
      <c r="M230" s="49">
        <v>1</v>
      </c>
      <c r="N230" s="49">
        <v>1</v>
      </c>
      <c r="O230" s="49">
        <v>1</v>
      </c>
      <c r="P230" s="49">
        <v>1</v>
      </c>
      <c r="Q230" s="59">
        <f t="shared" si="25"/>
        <v>1</v>
      </c>
      <c r="R230" s="49"/>
      <c r="S230" s="49">
        <v>3</v>
      </c>
      <c r="T230" s="7"/>
      <c r="U230" s="49">
        <v>3</v>
      </c>
      <c r="V230" s="7"/>
      <c r="W230" s="59">
        <f t="shared" si="26"/>
        <v>3</v>
      </c>
      <c r="X230" s="49"/>
      <c r="Y230" s="49"/>
      <c r="Z230" s="7"/>
      <c r="AA230" s="7"/>
      <c r="AB230" s="7"/>
      <c r="AC230" s="59" t="str">
        <f t="shared" si="27"/>
        <v>0</v>
      </c>
      <c r="AD230" s="49"/>
      <c r="AE230" s="7"/>
      <c r="AF230" s="49"/>
      <c r="AG230" s="7"/>
      <c r="AH230" s="7"/>
      <c r="AI230" s="59" t="str">
        <f t="shared" si="28"/>
        <v>0</v>
      </c>
      <c r="AJ230" s="49">
        <v>1</v>
      </c>
      <c r="AK230" s="49">
        <v>1</v>
      </c>
      <c r="AL230" s="49">
        <v>1</v>
      </c>
      <c r="AM230" s="49">
        <v>1</v>
      </c>
      <c r="AN230" s="7"/>
      <c r="AO230" s="59">
        <f t="shared" si="29"/>
        <v>1</v>
      </c>
      <c r="AP230" s="49">
        <v>3</v>
      </c>
      <c r="AQ230" s="49"/>
      <c r="AR230" s="49"/>
      <c r="AS230" s="7"/>
      <c r="AT230" s="7"/>
      <c r="AU230" s="59">
        <f t="shared" si="30"/>
        <v>3</v>
      </c>
      <c r="AV230" s="7"/>
      <c r="AW230" s="7"/>
      <c r="AX230" s="49"/>
      <c r="AY230" s="49">
        <v>3</v>
      </c>
      <c r="AZ230" s="49">
        <v>4</v>
      </c>
      <c r="BA230" s="59">
        <f t="shared" si="31"/>
        <v>3.5</v>
      </c>
    </row>
    <row r="231" spans="1:53" x14ac:dyDescent="0.3">
      <c r="AJ231" s="113"/>
      <c r="AR231" s="114"/>
    </row>
    <row r="232" spans="1:53" x14ac:dyDescent="0.3">
      <c r="AR232" s="112"/>
    </row>
  </sheetData>
  <mergeCells count="21">
    <mergeCell ref="AU1:AU2"/>
    <mergeCell ref="AV1:AZ1"/>
    <mergeCell ref="BA1:BA2"/>
    <mergeCell ref="AD1:AH1"/>
    <mergeCell ref="AI1:AI2"/>
    <mergeCell ref="AJ1:AN1"/>
    <mergeCell ref="AO1:AO2"/>
    <mergeCell ref="AP1:AT1"/>
    <mergeCell ref="Q1:Q2"/>
    <mergeCell ref="R1:V1"/>
    <mergeCell ref="W1:W2"/>
    <mergeCell ref="X1:AB1"/>
    <mergeCell ref="AC1:AC2"/>
    <mergeCell ref="L1:P1"/>
    <mergeCell ref="K1:K2"/>
    <mergeCell ref="A1:A2"/>
    <mergeCell ref="B1:B2"/>
    <mergeCell ref="C1:C2"/>
    <mergeCell ref="D1:D2"/>
    <mergeCell ref="E1:E2"/>
    <mergeCell ref="F1:J1"/>
  </mergeCells>
  <phoneticPr fontId="8" type="noConversion"/>
  <conditionalFormatting sqref="K3:K230">
    <cfRule type="containsText" dxfId="36" priority="8" operator="containsText" text="A">
      <formula>NOT(ISERROR(SEARCH("A",K3)))</formula>
    </cfRule>
  </conditionalFormatting>
  <conditionalFormatting sqref="Q3:Q230">
    <cfRule type="containsText" dxfId="35" priority="7" operator="containsText" text="A">
      <formula>NOT(ISERROR(SEARCH("A",Q3)))</formula>
    </cfRule>
  </conditionalFormatting>
  <conditionalFormatting sqref="W3:W230">
    <cfRule type="containsText" dxfId="34" priority="6" operator="containsText" text="A">
      <formula>NOT(ISERROR(SEARCH("A",W3)))</formula>
    </cfRule>
  </conditionalFormatting>
  <conditionalFormatting sqref="AC3:AC230">
    <cfRule type="containsText" dxfId="33" priority="5" operator="containsText" text="A">
      <formula>NOT(ISERROR(SEARCH("A",AC3)))</formula>
    </cfRule>
  </conditionalFormatting>
  <conditionalFormatting sqref="AI3:AI230">
    <cfRule type="containsText" dxfId="32" priority="4" operator="containsText" text="A">
      <formula>NOT(ISERROR(SEARCH("A",AI3)))</formula>
    </cfRule>
  </conditionalFormatting>
  <conditionalFormatting sqref="AO3:AO230">
    <cfRule type="containsText" dxfId="31" priority="3" operator="containsText" text="A">
      <formula>NOT(ISERROR(SEARCH("A",AO3)))</formula>
    </cfRule>
  </conditionalFormatting>
  <conditionalFormatting sqref="AU3:AU230">
    <cfRule type="containsText" dxfId="30" priority="2" operator="containsText" text="A">
      <formula>NOT(ISERROR(SEARCH("A",AU3)))</formula>
    </cfRule>
  </conditionalFormatting>
  <conditionalFormatting sqref="BA3:BA230">
    <cfRule type="containsText" dxfId="29" priority="1" operator="containsText" text="A">
      <formula>NOT(ISERROR(SEARCH("A",BA3)))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32138-EFD3-4686-B37C-EF9990757725}">
  <dimension ref="A1:BC232"/>
  <sheetViews>
    <sheetView topLeftCell="AN1" workbookViewId="0">
      <selection activeCell="J10" sqref="J10"/>
    </sheetView>
  </sheetViews>
  <sheetFormatPr defaultRowHeight="14.4" x14ac:dyDescent="0.3"/>
  <cols>
    <col min="1" max="1" width="11.109375" style="110" customWidth="1"/>
    <col min="2" max="2" width="21.6640625" style="110" customWidth="1"/>
    <col min="3" max="3" width="22.77734375" style="108" customWidth="1"/>
    <col min="4" max="5" width="12.44140625" style="110" customWidth="1"/>
    <col min="6" max="8" width="11.109375" style="110" customWidth="1"/>
    <col min="9" max="10" width="12.21875" style="109" customWidth="1"/>
    <col min="11" max="11" width="12.77734375" style="111" customWidth="1"/>
    <col min="12" max="12" width="13" style="109" customWidth="1"/>
    <col min="13" max="16" width="12.21875" style="109" customWidth="1"/>
    <col min="17" max="17" width="12.77734375" style="111" customWidth="1"/>
    <col min="18" max="22" width="12.21875" style="109" customWidth="1"/>
    <col min="23" max="23" width="12.77734375" style="111" customWidth="1"/>
    <col min="24" max="28" width="12.21875" style="109" customWidth="1"/>
    <col min="29" max="29" width="12.77734375" style="111" customWidth="1"/>
    <col min="30" max="34" width="12.21875" style="109" customWidth="1"/>
    <col min="35" max="35" width="12.77734375" style="111" customWidth="1"/>
    <col min="36" max="40" width="12.21875" style="109" customWidth="1"/>
    <col min="41" max="41" width="12.77734375" style="111" customWidth="1"/>
    <col min="42" max="46" width="12.21875" style="109" customWidth="1"/>
    <col min="47" max="47" width="12.77734375" style="111" customWidth="1"/>
    <col min="48" max="52" width="12.21875" style="109" customWidth="1"/>
    <col min="53" max="53" width="12.77734375" style="111" customWidth="1"/>
    <col min="54" max="16384" width="8.88671875" style="109"/>
  </cols>
  <sheetData>
    <row r="1" spans="1:55" s="3" customFormat="1" ht="21.6" customHeight="1" x14ac:dyDescent="0.3">
      <c r="A1" s="127" t="s">
        <v>0</v>
      </c>
      <c r="B1" s="127" t="s">
        <v>26</v>
      </c>
      <c r="C1" s="129" t="s">
        <v>27</v>
      </c>
      <c r="D1" s="127" t="s">
        <v>489</v>
      </c>
      <c r="E1" s="127" t="s">
        <v>25</v>
      </c>
      <c r="F1" s="121" t="s">
        <v>495</v>
      </c>
      <c r="G1" s="121"/>
      <c r="H1" s="121"/>
      <c r="I1" s="121"/>
      <c r="J1" s="121"/>
      <c r="K1" s="123" t="s">
        <v>28</v>
      </c>
      <c r="L1" s="121" t="s">
        <v>496</v>
      </c>
      <c r="M1" s="121"/>
      <c r="N1" s="121"/>
      <c r="O1" s="121"/>
      <c r="P1" s="121"/>
      <c r="Q1" s="123" t="s">
        <v>28</v>
      </c>
      <c r="R1" s="121" t="s">
        <v>497</v>
      </c>
      <c r="S1" s="121"/>
      <c r="T1" s="121"/>
      <c r="U1" s="121"/>
      <c r="V1" s="121"/>
      <c r="W1" s="123" t="s">
        <v>28</v>
      </c>
      <c r="X1" s="121" t="s">
        <v>498</v>
      </c>
      <c r="Y1" s="121"/>
      <c r="Z1" s="121"/>
      <c r="AA1" s="121"/>
      <c r="AB1" s="121"/>
      <c r="AC1" s="123" t="s">
        <v>28</v>
      </c>
      <c r="AD1" s="121" t="s">
        <v>499</v>
      </c>
      <c r="AE1" s="121"/>
      <c r="AF1" s="121"/>
      <c r="AG1" s="121"/>
      <c r="AH1" s="121"/>
      <c r="AI1" s="123" t="s">
        <v>28</v>
      </c>
      <c r="AJ1" s="121" t="s">
        <v>500</v>
      </c>
      <c r="AK1" s="121"/>
      <c r="AL1" s="121"/>
      <c r="AM1" s="121"/>
      <c r="AN1" s="121"/>
      <c r="AO1" s="123" t="s">
        <v>28</v>
      </c>
      <c r="AP1" s="121" t="s">
        <v>501</v>
      </c>
      <c r="AQ1" s="121"/>
      <c r="AR1" s="121"/>
      <c r="AS1" s="121"/>
      <c r="AT1" s="121"/>
      <c r="AU1" s="123" t="s">
        <v>28</v>
      </c>
      <c r="AV1" s="121" t="s">
        <v>29</v>
      </c>
      <c r="AW1" s="121"/>
      <c r="AX1" s="121"/>
      <c r="AY1" s="121"/>
      <c r="AZ1" s="121"/>
      <c r="BA1" s="123" t="s">
        <v>28</v>
      </c>
    </row>
    <row r="2" spans="1:55" s="3" customFormat="1" ht="20.100000000000001" customHeight="1" x14ac:dyDescent="0.3">
      <c r="A2" s="128"/>
      <c r="B2" s="128"/>
      <c r="C2" s="130"/>
      <c r="D2" s="128"/>
      <c r="E2" s="128"/>
      <c r="F2" s="100" t="s">
        <v>502</v>
      </c>
      <c r="G2" s="100" t="s">
        <v>503</v>
      </c>
      <c r="H2" s="100" t="s">
        <v>504</v>
      </c>
      <c r="I2" s="100" t="s">
        <v>505</v>
      </c>
      <c r="J2" s="100" t="s">
        <v>506</v>
      </c>
      <c r="K2" s="133"/>
      <c r="L2" s="100" t="s">
        <v>507</v>
      </c>
      <c r="M2" s="100" t="s">
        <v>508</v>
      </c>
      <c r="N2" s="100" t="s">
        <v>509</v>
      </c>
      <c r="O2" s="100" t="s">
        <v>510</v>
      </c>
      <c r="P2" s="100" t="s">
        <v>511</v>
      </c>
      <c r="Q2" s="133"/>
      <c r="R2" s="100" t="s">
        <v>512</v>
      </c>
      <c r="S2" s="100" t="s">
        <v>513</v>
      </c>
      <c r="T2" s="100" t="s">
        <v>514</v>
      </c>
      <c r="U2" s="100" t="s">
        <v>515</v>
      </c>
      <c r="V2" s="100" t="s">
        <v>516</v>
      </c>
      <c r="W2" s="133"/>
      <c r="X2" s="100" t="s">
        <v>517</v>
      </c>
      <c r="Y2" s="100" t="s">
        <v>518</v>
      </c>
      <c r="Z2" s="100" t="s">
        <v>519</v>
      </c>
      <c r="AA2" s="100" t="s">
        <v>520</v>
      </c>
      <c r="AB2" s="100" t="s">
        <v>521</v>
      </c>
      <c r="AC2" s="133"/>
      <c r="AD2" s="100" t="s">
        <v>522</v>
      </c>
      <c r="AE2" s="100" t="s">
        <v>523</v>
      </c>
      <c r="AF2" s="100" t="s">
        <v>524</v>
      </c>
      <c r="AG2" s="100" t="s">
        <v>525</v>
      </c>
      <c r="AH2" s="100" t="s">
        <v>526</v>
      </c>
      <c r="AI2" s="133"/>
      <c r="AJ2" s="100" t="s">
        <v>527</v>
      </c>
      <c r="AK2" s="100" t="s">
        <v>528</v>
      </c>
      <c r="AL2" s="100" t="s">
        <v>529</v>
      </c>
      <c r="AM2" s="100" t="s">
        <v>530</v>
      </c>
      <c r="AN2" s="100" t="s">
        <v>531</v>
      </c>
      <c r="AO2" s="133"/>
      <c r="AP2" s="100" t="s">
        <v>532</v>
      </c>
      <c r="AQ2" s="100" t="s">
        <v>533</v>
      </c>
      <c r="AR2" s="100" t="s">
        <v>534</v>
      </c>
      <c r="AS2" s="100" t="s">
        <v>535</v>
      </c>
      <c r="AT2" s="100" t="s">
        <v>536</v>
      </c>
      <c r="AU2" s="133"/>
      <c r="AV2" s="100" t="s">
        <v>30</v>
      </c>
      <c r="AW2" s="100" t="s">
        <v>31</v>
      </c>
      <c r="AX2" s="100" t="s">
        <v>32</v>
      </c>
      <c r="AY2" s="100" t="s">
        <v>33</v>
      </c>
      <c r="AZ2" s="100" t="s">
        <v>34</v>
      </c>
      <c r="BA2" s="133"/>
      <c r="BC2" s="109"/>
    </row>
    <row r="3" spans="1:55" ht="23.1" customHeight="1" x14ac:dyDescent="0.3">
      <c r="A3" s="49">
        <v>1</v>
      </c>
      <c r="B3" s="49" t="s">
        <v>36</v>
      </c>
      <c r="C3" s="49" t="s">
        <v>37</v>
      </c>
      <c r="D3" s="49" t="s">
        <v>542</v>
      </c>
      <c r="E3" s="49" t="s">
        <v>35</v>
      </c>
      <c r="F3" s="49">
        <v>4</v>
      </c>
      <c r="G3" s="49">
        <v>4</v>
      </c>
      <c r="H3" s="49">
        <v>4</v>
      </c>
      <c r="I3" s="49"/>
      <c r="J3" s="49"/>
      <c r="K3" s="59">
        <f>IFERROR(AVERAGE(F3,G3,H3,I3,J3),"0")</f>
        <v>4</v>
      </c>
      <c r="L3" s="49"/>
      <c r="M3" s="49">
        <v>5</v>
      </c>
      <c r="N3" s="49">
        <v>5</v>
      </c>
      <c r="O3" s="49"/>
      <c r="P3" s="49"/>
      <c r="Q3" s="59">
        <f>IFERROR(AVERAGE(L3,M3,N3,O3,P3),"0")</f>
        <v>5</v>
      </c>
      <c r="R3" s="49"/>
      <c r="S3" s="49">
        <v>2</v>
      </c>
      <c r="T3" s="49"/>
      <c r="U3" s="49"/>
      <c r="V3" s="49"/>
      <c r="W3" s="59">
        <f>IFERROR(AVERAGE(R3,S3,T3,U3,V3),"0")</f>
        <v>2</v>
      </c>
      <c r="X3" s="49"/>
      <c r="Y3" s="49"/>
      <c r="Z3" s="49"/>
      <c r="AA3" s="49"/>
      <c r="AB3" s="49"/>
      <c r="AC3" s="59" t="str">
        <f>IFERROR(AVERAGE(X3,Y3,Z3,AA3,AB3),"0")</f>
        <v>0</v>
      </c>
      <c r="AD3" s="49"/>
      <c r="AE3" s="49"/>
      <c r="AF3" s="49"/>
      <c r="AG3" s="49"/>
      <c r="AH3" s="49"/>
      <c r="AI3" s="59" t="str">
        <f>IFERROR(AVERAGE(AD3,AE3,AF3,AG3,AH3),"0")</f>
        <v>0</v>
      </c>
      <c r="AJ3" s="49">
        <v>4</v>
      </c>
      <c r="AK3" s="49">
        <v>4</v>
      </c>
      <c r="AL3" s="49">
        <v>4</v>
      </c>
      <c r="AM3" s="49">
        <v>4</v>
      </c>
      <c r="AN3" s="49"/>
      <c r="AO3" s="59">
        <f>IFERROR(AVERAGE(AJ3,AK3,AL3,AM3,AN3),"0")</f>
        <v>4</v>
      </c>
      <c r="AP3" s="49"/>
      <c r="AQ3" s="49"/>
      <c r="AR3" s="49"/>
      <c r="AS3" s="49"/>
      <c r="AT3" s="49"/>
      <c r="AU3" s="59" t="str">
        <f>IFERROR(AVERAGE(AP3,AQ3,AR3,AS3,AT3),"0")</f>
        <v>0</v>
      </c>
      <c r="AV3" s="49"/>
      <c r="AW3" s="49"/>
      <c r="AX3" s="49"/>
      <c r="AY3" s="49">
        <v>5</v>
      </c>
      <c r="AZ3" s="49"/>
      <c r="BA3" s="59">
        <f>IFERROR(AVERAGE(AV3,AW3,AX3,AY3,AZ3),"0")</f>
        <v>5</v>
      </c>
    </row>
    <row r="4" spans="1:55" ht="23.1" customHeight="1" x14ac:dyDescent="0.3">
      <c r="A4" s="7">
        <v>2</v>
      </c>
      <c r="B4" s="7" t="s">
        <v>75</v>
      </c>
      <c r="C4" s="7" t="s">
        <v>76</v>
      </c>
      <c r="D4" s="7" t="s">
        <v>450</v>
      </c>
      <c r="E4" s="7" t="s">
        <v>35</v>
      </c>
      <c r="F4" s="49">
        <v>3</v>
      </c>
      <c r="G4" s="49">
        <v>3</v>
      </c>
      <c r="H4" s="49">
        <v>3</v>
      </c>
      <c r="I4" s="49"/>
      <c r="J4" s="7"/>
      <c r="K4" s="59">
        <f t="shared" ref="K4:K67" si="0">IFERROR(AVERAGE(F4,G4,H4,I4,J4),"0")</f>
        <v>3</v>
      </c>
      <c r="L4" s="49"/>
      <c r="M4" s="49">
        <v>4</v>
      </c>
      <c r="N4" s="49">
        <v>4</v>
      </c>
      <c r="O4" s="49"/>
      <c r="P4" s="49"/>
      <c r="Q4" s="59">
        <f t="shared" ref="Q4:Q67" si="1">IFERROR(AVERAGE(L4,M4,N4,O4,P4),"0")</f>
        <v>4</v>
      </c>
      <c r="R4" s="49"/>
      <c r="S4" s="49">
        <v>4</v>
      </c>
      <c r="T4" s="7"/>
      <c r="U4" s="49"/>
      <c r="V4" s="7"/>
      <c r="W4" s="59">
        <f t="shared" ref="W4:W67" si="2">IFERROR(AVERAGE(R4,S4,T4,U4,V4),"0")</f>
        <v>4</v>
      </c>
      <c r="X4" s="49"/>
      <c r="Y4" s="49"/>
      <c r="Z4" s="7"/>
      <c r="AA4" s="7"/>
      <c r="AB4" s="7"/>
      <c r="AC4" s="59" t="str">
        <f t="shared" ref="AC4:AC67" si="3">IFERROR(AVERAGE(X4,Y4,Z4,AA4,AB4),"0")</f>
        <v>0</v>
      </c>
      <c r="AD4" s="49"/>
      <c r="AE4" s="7"/>
      <c r="AF4" s="49"/>
      <c r="AG4" s="7"/>
      <c r="AH4" s="7"/>
      <c r="AI4" s="59" t="str">
        <f t="shared" ref="AI4:AI67" si="4">IFERROR(AVERAGE(AD4,AE4,AF4,AG4,AH4),"0")</f>
        <v>0</v>
      </c>
      <c r="AJ4" s="49">
        <v>3</v>
      </c>
      <c r="AK4" s="49">
        <v>3</v>
      </c>
      <c r="AL4" s="49">
        <v>3</v>
      </c>
      <c r="AM4" s="49">
        <v>3</v>
      </c>
      <c r="AN4" s="7"/>
      <c r="AO4" s="59">
        <f t="shared" ref="AO4:AO67" si="5">IFERROR(AVERAGE(AJ4,AK4,AL4,AM4,AN4),"0")</f>
        <v>3</v>
      </c>
      <c r="AP4" s="49"/>
      <c r="AQ4" s="49"/>
      <c r="AR4" s="49"/>
      <c r="AS4" s="7"/>
      <c r="AT4" s="7"/>
      <c r="AU4" s="59" t="str">
        <f t="shared" ref="AU4:AU67" si="6">IFERROR(AVERAGE(AP4,AQ4,AR4,AS4,AT4),"0")</f>
        <v>0</v>
      </c>
      <c r="AV4" s="7"/>
      <c r="AW4" s="7"/>
      <c r="AX4" s="49"/>
      <c r="AY4" s="49">
        <v>4</v>
      </c>
      <c r="AZ4" s="49"/>
      <c r="BA4" s="59">
        <f t="shared" ref="BA4:BA67" si="7">IFERROR(AVERAGE(AV4,AW4,AX4,AY4,AZ4),"0")</f>
        <v>4</v>
      </c>
    </row>
    <row r="5" spans="1:55" ht="23.1" customHeight="1" x14ac:dyDescent="0.3">
      <c r="A5" s="49">
        <v>3</v>
      </c>
      <c r="B5" s="49" t="s">
        <v>64</v>
      </c>
      <c r="C5" s="49" t="s">
        <v>65</v>
      </c>
      <c r="D5" s="49" t="s">
        <v>542</v>
      </c>
      <c r="E5" s="49" t="s">
        <v>35</v>
      </c>
      <c r="F5" s="49">
        <v>2</v>
      </c>
      <c r="G5" s="49">
        <v>2</v>
      </c>
      <c r="H5" s="49">
        <v>2</v>
      </c>
      <c r="I5" s="49"/>
      <c r="J5" s="49"/>
      <c r="K5" s="59">
        <f t="shared" si="0"/>
        <v>2</v>
      </c>
      <c r="L5" s="49"/>
      <c r="M5" s="49">
        <v>3</v>
      </c>
      <c r="N5" s="49">
        <v>3</v>
      </c>
      <c r="O5" s="49"/>
      <c r="P5" s="49"/>
      <c r="Q5" s="59">
        <f t="shared" si="1"/>
        <v>3</v>
      </c>
      <c r="R5" s="49"/>
      <c r="S5" s="49">
        <v>3</v>
      </c>
      <c r="T5" s="49"/>
      <c r="U5" s="49"/>
      <c r="V5" s="49"/>
      <c r="W5" s="59">
        <f t="shared" si="2"/>
        <v>3</v>
      </c>
      <c r="X5" s="49"/>
      <c r="Y5" s="49"/>
      <c r="Z5" s="49"/>
      <c r="AA5" s="49"/>
      <c r="AB5" s="49"/>
      <c r="AC5" s="59" t="str">
        <f t="shared" si="3"/>
        <v>0</v>
      </c>
      <c r="AD5" s="49"/>
      <c r="AE5" s="49"/>
      <c r="AF5" s="49"/>
      <c r="AG5" s="49"/>
      <c r="AH5" s="49"/>
      <c r="AI5" s="59" t="str">
        <f t="shared" si="4"/>
        <v>0</v>
      </c>
      <c r="AJ5" s="49">
        <v>3</v>
      </c>
      <c r="AK5" s="49">
        <v>3</v>
      </c>
      <c r="AL5" s="49">
        <v>3</v>
      </c>
      <c r="AM5" s="49">
        <v>3</v>
      </c>
      <c r="AN5" s="49"/>
      <c r="AO5" s="59">
        <f t="shared" si="5"/>
        <v>3</v>
      </c>
      <c r="AP5" s="49"/>
      <c r="AQ5" s="49"/>
      <c r="AR5" s="49"/>
      <c r="AS5" s="49"/>
      <c r="AT5" s="49"/>
      <c r="AU5" s="59" t="str">
        <f t="shared" si="6"/>
        <v>0</v>
      </c>
      <c r="AV5" s="49"/>
      <c r="AW5" s="49"/>
      <c r="AX5" s="49"/>
      <c r="AY5" s="49">
        <v>3</v>
      </c>
      <c r="AZ5" s="49"/>
      <c r="BA5" s="59">
        <f t="shared" si="7"/>
        <v>3</v>
      </c>
    </row>
    <row r="6" spans="1:55" ht="23.1" customHeight="1" x14ac:dyDescent="0.3">
      <c r="A6" s="7">
        <v>4</v>
      </c>
      <c r="B6" s="7" t="s">
        <v>99</v>
      </c>
      <c r="C6" s="7" t="s">
        <v>100</v>
      </c>
      <c r="D6" s="7" t="s">
        <v>450</v>
      </c>
      <c r="E6" s="7" t="s">
        <v>35</v>
      </c>
      <c r="F6" s="49">
        <v>3</v>
      </c>
      <c r="G6" s="49">
        <v>2</v>
      </c>
      <c r="H6" s="49">
        <v>3</v>
      </c>
      <c r="I6" s="49"/>
      <c r="J6" s="7"/>
      <c r="K6" s="59">
        <f t="shared" si="0"/>
        <v>2.6666666666666665</v>
      </c>
      <c r="L6" s="49"/>
      <c r="M6" s="49">
        <v>4</v>
      </c>
      <c r="N6" s="49">
        <v>3</v>
      </c>
      <c r="O6" s="49"/>
      <c r="P6" s="49"/>
      <c r="Q6" s="59">
        <f t="shared" si="1"/>
        <v>3.5</v>
      </c>
      <c r="R6" s="49"/>
      <c r="S6" s="49">
        <v>4</v>
      </c>
      <c r="T6" s="7"/>
      <c r="U6" s="49"/>
      <c r="V6" s="7"/>
      <c r="W6" s="59">
        <f t="shared" si="2"/>
        <v>4</v>
      </c>
      <c r="X6" s="49"/>
      <c r="Y6" s="49"/>
      <c r="Z6" s="7"/>
      <c r="AA6" s="7"/>
      <c r="AB6" s="7"/>
      <c r="AC6" s="59" t="str">
        <f t="shared" si="3"/>
        <v>0</v>
      </c>
      <c r="AD6" s="49"/>
      <c r="AE6" s="7"/>
      <c r="AF6" s="49"/>
      <c r="AG6" s="7"/>
      <c r="AH6" s="7"/>
      <c r="AI6" s="59" t="str">
        <f t="shared" si="4"/>
        <v>0</v>
      </c>
      <c r="AJ6" s="49">
        <v>2</v>
      </c>
      <c r="AK6" s="49">
        <v>2</v>
      </c>
      <c r="AL6" s="49">
        <v>2</v>
      </c>
      <c r="AM6" s="49">
        <v>2</v>
      </c>
      <c r="AN6" s="7"/>
      <c r="AO6" s="59">
        <f t="shared" si="5"/>
        <v>2</v>
      </c>
      <c r="AP6" s="49"/>
      <c r="AQ6" s="49"/>
      <c r="AR6" s="49"/>
      <c r="AS6" s="7"/>
      <c r="AT6" s="7"/>
      <c r="AU6" s="59" t="str">
        <f t="shared" si="6"/>
        <v>0</v>
      </c>
      <c r="AV6" s="7"/>
      <c r="AW6" s="7"/>
      <c r="AX6" s="49"/>
      <c r="AY6" s="49">
        <v>3</v>
      </c>
      <c r="AZ6" s="49"/>
      <c r="BA6" s="59">
        <f t="shared" si="7"/>
        <v>3</v>
      </c>
    </row>
    <row r="7" spans="1:55" ht="23.1" customHeight="1" x14ac:dyDescent="0.3">
      <c r="A7" s="49">
        <v>5</v>
      </c>
      <c r="B7" s="49" t="s">
        <v>290</v>
      </c>
      <c r="C7" s="49" t="s">
        <v>538</v>
      </c>
      <c r="D7" s="49" t="s">
        <v>450</v>
      </c>
      <c r="E7" s="49" t="s">
        <v>289</v>
      </c>
      <c r="F7" s="49" t="s">
        <v>581</v>
      </c>
      <c r="G7" s="49" t="s">
        <v>581</v>
      </c>
      <c r="H7" s="49" t="s">
        <v>581</v>
      </c>
      <c r="I7" s="49"/>
      <c r="J7" s="49"/>
      <c r="K7" s="59" t="str">
        <f t="shared" si="0"/>
        <v>0</v>
      </c>
      <c r="L7" s="49"/>
      <c r="M7" s="49" t="s">
        <v>581</v>
      </c>
      <c r="N7" s="49" t="s">
        <v>581</v>
      </c>
      <c r="O7" s="49"/>
      <c r="P7" s="49"/>
      <c r="Q7" s="59" t="str">
        <f t="shared" si="1"/>
        <v>0</v>
      </c>
      <c r="R7" s="49"/>
      <c r="S7" s="49">
        <v>1</v>
      </c>
      <c r="T7" s="49"/>
      <c r="U7" s="49"/>
      <c r="V7" s="49"/>
      <c r="W7" s="59">
        <f t="shared" si="2"/>
        <v>1</v>
      </c>
      <c r="X7" s="49"/>
      <c r="Y7" s="49"/>
      <c r="Z7" s="49"/>
      <c r="AA7" s="49"/>
      <c r="AB7" s="49"/>
      <c r="AC7" s="59" t="str">
        <f t="shared" si="3"/>
        <v>0</v>
      </c>
      <c r="AD7" s="49"/>
      <c r="AE7" s="49"/>
      <c r="AF7" s="49"/>
      <c r="AG7" s="49"/>
      <c r="AH7" s="49"/>
      <c r="AI7" s="59" t="str">
        <f t="shared" si="4"/>
        <v>0</v>
      </c>
      <c r="AJ7" s="49" t="s">
        <v>581</v>
      </c>
      <c r="AK7" s="49" t="s">
        <v>581</v>
      </c>
      <c r="AL7" s="49" t="s">
        <v>581</v>
      </c>
      <c r="AM7" s="49" t="s">
        <v>581</v>
      </c>
      <c r="AN7" s="49"/>
      <c r="AO7" s="59" t="str">
        <f t="shared" si="5"/>
        <v>0</v>
      </c>
      <c r="AP7" s="49"/>
      <c r="AQ7" s="49"/>
      <c r="AR7" s="49"/>
      <c r="AS7" s="49"/>
      <c r="AT7" s="49"/>
      <c r="AU7" s="59" t="str">
        <f t="shared" si="6"/>
        <v>0</v>
      </c>
      <c r="AV7" s="49"/>
      <c r="AW7" s="49"/>
      <c r="AX7" s="49"/>
      <c r="AY7" s="49" t="s">
        <v>581</v>
      </c>
      <c r="AZ7" s="49"/>
      <c r="BA7" s="59" t="str">
        <f t="shared" si="7"/>
        <v>0</v>
      </c>
    </row>
    <row r="8" spans="1:55" ht="23.1" customHeight="1" x14ac:dyDescent="0.3">
      <c r="A8" s="7">
        <v>6</v>
      </c>
      <c r="B8" s="7" t="s">
        <v>101</v>
      </c>
      <c r="C8" s="7" t="s">
        <v>102</v>
      </c>
      <c r="D8" s="7" t="s">
        <v>450</v>
      </c>
      <c r="E8" s="7" t="s">
        <v>35</v>
      </c>
      <c r="F8" s="49">
        <v>3</v>
      </c>
      <c r="G8" s="49">
        <v>4</v>
      </c>
      <c r="H8" s="49">
        <v>4</v>
      </c>
      <c r="I8" s="49"/>
      <c r="J8" s="7"/>
      <c r="K8" s="59">
        <f t="shared" si="0"/>
        <v>3.6666666666666665</v>
      </c>
      <c r="L8" s="49"/>
      <c r="M8" s="49">
        <v>5</v>
      </c>
      <c r="N8" s="49">
        <v>4</v>
      </c>
      <c r="O8" s="49"/>
      <c r="P8" s="49"/>
      <c r="Q8" s="59">
        <f t="shared" si="1"/>
        <v>4.5</v>
      </c>
      <c r="R8" s="49"/>
      <c r="S8" s="49">
        <v>2</v>
      </c>
      <c r="T8" s="7"/>
      <c r="U8" s="49"/>
      <c r="V8" s="7"/>
      <c r="W8" s="59">
        <f t="shared" si="2"/>
        <v>2</v>
      </c>
      <c r="X8" s="49"/>
      <c r="Y8" s="49"/>
      <c r="Z8" s="7"/>
      <c r="AA8" s="7"/>
      <c r="AB8" s="7"/>
      <c r="AC8" s="59" t="str">
        <f t="shared" si="3"/>
        <v>0</v>
      </c>
      <c r="AD8" s="49"/>
      <c r="AE8" s="7"/>
      <c r="AF8" s="49"/>
      <c r="AG8" s="7"/>
      <c r="AH8" s="7"/>
      <c r="AI8" s="59" t="str">
        <f t="shared" si="4"/>
        <v>0</v>
      </c>
      <c r="AJ8" s="49">
        <v>3</v>
      </c>
      <c r="AK8" s="49">
        <v>5</v>
      </c>
      <c r="AL8" s="49">
        <v>5</v>
      </c>
      <c r="AM8" s="49">
        <v>4</v>
      </c>
      <c r="AN8" s="7"/>
      <c r="AO8" s="59">
        <f t="shared" si="5"/>
        <v>4.25</v>
      </c>
      <c r="AP8" s="49"/>
      <c r="AQ8" s="49"/>
      <c r="AR8" s="49"/>
      <c r="AS8" s="7"/>
      <c r="AT8" s="7"/>
      <c r="AU8" s="59" t="str">
        <f t="shared" si="6"/>
        <v>0</v>
      </c>
      <c r="AV8" s="7"/>
      <c r="AW8" s="7"/>
      <c r="AX8" s="49"/>
      <c r="AY8" s="49">
        <v>5</v>
      </c>
      <c r="AZ8" s="49"/>
      <c r="BA8" s="59">
        <f t="shared" si="7"/>
        <v>5</v>
      </c>
    </row>
    <row r="9" spans="1:55" ht="23.1" customHeight="1" x14ac:dyDescent="0.3">
      <c r="A9" s="49">
        <v>7</v>
      </c>
      <c r="B9" s="49" t="s">
        <v>72</v>
      </c>
      <c r="C9" s="49" t="s">
        <v>73</v>
      </c>
      <c r="D9" s="49" t="s">
        <v>450</v>
      </c>
      <c r="E9" s="49" t="s">
        <v>35</v>
      </c>
      <c r="F9" s="49">
        <v>3</v>
      </c>
      <c r="G9" s="49">
        <v>3</v>
      </c>
      <c r="H9" s="49">
        <v>3</v>
      </c>
      <c r="I9" s="49"/>
      <c r="J9" s="49"/>
      <c r="K9" s="59">
        <f t="shared" si="0"/>
        <v>3</v>
      </c>
      <c r="L9" s="49"/>
      <c r="M9" s="49">
        <v>3</v>
      </c>
      <c r="N9" s="49">
        <v>3</v>
      </c>
      <c r="O9" s="49"/>
      <c r="P9" s="49"/>
      <c r="Q9" s="59">
        <f t="shared" si="1"/>
        <v>3</v>
      </c>
      <c r="R9" s="49"/>
      <c r="S9" s="49">
        <v>3</v>
      </c>
      <c r="T9" s="49"/>
      <c r="U9" s="49"/>
      <c r="V9" s="49"/>
      <c r="W9" s="59">
        <f t="shared" si="2"/>
        <v>3</v>
      </c>
      <c r="X9" s="49"/>
      <c r="Y9" s="49"/>
      <c r="Z9" s="49"/>
      <c r="AA9" s="49"/>
      <c r="AB9" s="49"/>
      <c r="AC9" s="59" t="str">
        <f t="shared" si="3"/>
        <v>0</v>
      </c>
      <c r="AD9" s="49"/>
      <c r="AE9" s="49"/>
      <c r="AF9" s="49"/>
      <c r="AG9" s="49"/>
      <c r="AH9" s="49"/>
      <c r="AI9" s="59" t="str">
        <f t="shared" si="4"/>
        <v>0</v>
      </c>
      <c r="AJ9" s="49">
        <v>3</v>
      </c>
      <c r="AK9" s="49">
        <v>3</v>
      </c>
      <c r="AL9" s="49">
        <v>3</v>
      </c>
      <c r="AM9" s="49">
        <v>3</v>
      </c>
      <c r="AN9" s="49"/>
      <c r="AO9" s="59">
        <f t="shared" si="5"/>
        <v>3</v>
      </c>
      <c r="AP9" s="49"/>
      <c r="AQ9" s="49"/>
      <c r="AR9" s="49"/>
      <c r="AS9" s="49"/>
      <c r="AT9" s="49"/>
      <c r="AU9" s="59" t="str">
        <f t="shared" si="6"/>
        <v>0</v>
      </c>
      <c r="AV9" s="49"/>
      <c r="AW9" s="49"/>
      <c r="AX9" s="49"/>
      <c r="AY9" s="49">
        <v>2.5</v>
      </c>
      <c r="AZ9" s="49"/>
      <c r="BA9" s="59">
        <f t="shared" si="7"/>
        <v>2.5</v>
      </c>
    </row>
    <row r="10" spans="1:55" ht="23.1" customHeight="1" x14ac:dyDescent="0.3">
      <c r="A10" s="7">
        <v>8</v>
      </c>
      <c r="B10" s="7" t="s">
        <v>291</v>
      </c>
      <c r="C10" s="7" t="s">
        <v>292</v>
      </c>
      <c r="D10" s="7" t="s">
        <v>450</v>
      </c>
      <c r="E10" s="7" t="s">
        <v>493</v>
      </c>
      <c r="F10" s="49">
        <v>3.5</v>
      </c>
      <c r="G10" s="49">
        <v>4</v>
      </c>
      <c r="H10" s="49">
        <v>4.5</v>
      </c>
      <c r="I10" s="49"/>
      <c r="J10" s="7"/>
      <c r="K10" s="59">
        <f t="shared" si="0"/>
        <v>4</v>
      </c>
      <c r="L10" s="49"/>
      <c r="M10" s="49">
        <v>4</v>
      </c>
      <c r="N10" s="49">
        <v>4</v>
      </c>
      <c r="O10" s="49"/>
      <c r="P10" s="49"/>
      <c r="Q10" s="59">
        <f t="shared" si="1"/>
        <v>4</v>
      </c>
      <c r="R10" s="49"/>
      <c r="S10" s="49">
        <v>3</v>
      </c>
      <c r="T10" s="7"/>
      <c r="U10" s="49"/>
      <c r="V10" s="7"/>
      <c r="W10" s="59">
        <f t="shared" si="2"/>
        <v>3</v>
      </c>
      <c r="X10" s="49"/>
      <c r="Y10" s="49"/>
      <c r="Z10" s="7"/>
      <c r="AA10" s="7"/>
      <c r="AB10" s="7"/>
      <c r="AC10" s="59" t="str">
        <f t="shared" si="3"/>
        <v>0</v>
      </c>
      <c r="AD10" s="49"/>
      <c r="AE10" s="7"/>
      <c r="AF10" s="49"/>
      <c r="AG10" s="7"/>
      <c r="AH10" s="7"/>
      <c r="AI10" s="59" t="str">
        <f t="shared" si="4"/>
        <v>0</v>
      </c>
      <c r="AJ10" s="49">
        <v>4.5</v>
      </c>
      <c r="AK10" s="49">
        <v>4</v>
      </c>
      <c r="AL10" s="49">
        <v>4</v>
      </c>
      <c r="AM10" s="49">
        <v>4</v>
      </c>
      <c r="AN10" s="7"/>
      <c r="AO10" s="59">
        <f t="shared" si="5"/>
        <v>4.125</v>
      </c>
      <c r="AP10" s="49"/>
      <c r="AQ10" s="49"/>
      <c r="AR10" s="49"/>
      <c r="AS10" s="7"/>
      <c r="AT10" s="7"/>
      <c r="AU10" s="59" t="str">
        <f t="shared" si="6"/>
        <v>0</v>
      </c>
      <c r="AV10" s="7"/>
      <c r="AW10" s="7"/>
      <c r="AX10" s="49"/>
      <c r="AY10" s="49">
        <v>4.5</v>
      </c>
      <c r="AZ10" s="49"/>
      <c r="BA10" s="59">
        <f t="shared" si="7"/>
        <v>4.5</v>
      </c>
    </row>
    <row r="11" spans="1:55" ht="23.1" customHeight="1" x14ac:dyDescent="0.3">
      <c r="A11" s="49">
        <v>9</v>
      </c>
      <c r="B11" s="49" t="s">
        <v>103</v>
      </c>
      <c r="C11" s="49" t="s">
        <v>104</v>
      </c>
      <c r="D11" s="49" t="s">
        <v>542</v>
      </c>
      <c r="E11" s="49" t="s">
        <v>35</v>
      </c>
      <c r="F11" s="49">
        <v>3.5</v>
      </c>
      <c r="G11" s="49">
        <v>3</v>
      </c>
      <c r="H11" s="49">
        <v>4</v>
      </c>
      <c r="I11" s="49"/>
      <c r="J11" s="49"/>
      <c r="K11" s="59">
        <f t="shared" si="0"/>
        <v>3.5</v>
      </c>
      <c r="L11" s="49"/>
      <c r="M11" s="49">
        <v>3.5</v>
      </c>
      <c r="N11" s="49">
        <v>3.5</v>
      </c>
      <c r="O11" s="49"/>
      <c r="P11" s="49"/>
      <c r="Q11" s="59">
        <f t="shared" si="1"/>
        <v>3.5</v>
      </c>
      <c r="R11" s="49"/>
      <c r="S11" s="49">
        <v>3.5</v>
      </c>
      <c r="T11" s="49"/>
      <c r="U11" s="49"/>
      <c r="V11" s="49"/>
      <c r="W11" s="59">
        <f t="shared" si="2"/>
        <v>3.5</v>
      </c>
      <c r="X11" s="49"/>
      <c r="Y11" s="49"/>
      <c r="Z11" s="49"/>
      <c r="AA11" s="49"/>
      <c r="AB11" s="49"/>
      <c r="AC11" s="59" t="str">
        <f t="shared" si="3"/>
        <v>0</v>
      </c>
      <c r="AD11" s="49"/>
      <c r="AE11" s="49"/>
      <c r="AF11" s="49"/>
      <c r="AG11" s="49"/>
      <c r="AH11" s="49"/>
      <c r="AI11" s="59" t="str">
        <f t="shared" si="4"/>
        <v>0</v>
      </c>
      <c r="AJ11" s="49">
        <v>3.5</v>
      </c>
      <c r="AK11" s="49">
        <v>3</v>
      </c>
      <c r="AL11" s="49">
        <v>3.5</v>
      </c>
      <c r="AM11" s="49">
        <v>4</v>
      </c>
      <c r="AN11" s="49"/>
      <c r="AO11" s="59">
        <f t="shared" si="5"/>
        <v>3.5</v>
      </c>
      <c r="AP11" s="49"/>
      <c r="AQ11" s="49"/>
      <c r="AR11" s="49"/>
      <c r="AS11" s="49"/>
      <c r="AT11" s="49"/>
      <c r="AU11" s="59" t="str">
        <f t="shared" si="6"/>
        <v>0</v>
      </c>
      <c r="AV11" s="49"/>
      <c r="AW11" s="49"/>
      <c r="AX11" s="49"/>
      <c r="AY11" s="49">
        <v>3</v>
      </c>
      <c r="AZ11" s="49"/>
      <c r="BA11" s="59">
        <f t="shared" si="7"/>
        <v>3</v>
      </c>
    </row>
    <row r="12" spans="1:55" ht="23.1" customHeight="1" x14ac:dyDescent="0.3">
      <c r="A12" s="7">
        <v>10</v>
      </c>
      <c r="B12" s="7" t="s">
        <v>68</v>
      </c>
      <c r="C12" s="7" t="s">
        <v>69</v>
      </c>
      <c r="D12" s="7" t="s">
        <v>450</v>
      </c>
      <c r="E12" s="7" t="s">
        <v>35</v>
      </c>
      <c r="F12" s="49">
        <v>5</v>
      </c>
      <c r="G12" s="49">
        <v>4</v>
      </c>
      <c r="H12" s="49">
        <v>4</v>
      </c>
      <c r="I12" s="49"/>
      <c r="J12" s="7"/>
      <c r="K12" s="59">
        <f t="shared" si="0"/>
        <v>4.333333333333333</v>
      </c>
      <c r="L12" s="49"/>
      <c r="M12" s="49">
        <v>5</v>
      </c>
      <c r="N12" s="49">
        <v>5</v>
      </c>
      <c r="O12" s="49"/>
      <c r="P12" s="49"/>
      <c r="Q12" s="59">
        <f t="shared" si="1"/>
        <v>5</v>
      </c>
      <c r="R12" s="49"/>
      <c r="S12" s="49">
        <v>4</v>
      </c>
      <c r="T12" s="7"/>
      <c r="U12" s="49"/>
      <c r="V12" s="7"/>
      <c r="W12" s="59">
        <f t="shared" si="2"/>
        <v>4</v>
      </c>
      <c r="X12" s="49"/>
      <c r="Y12" s="49"/>
      <c r="Z12" s="7"/>
      <c r="AA12" s="7"/>
      <c r="AB12" s="7"/>
      <c r="AC12" s="59" t="str">
        <f t="shared" si="3"/>
        <v>0</v>
      </c>
      <c r="AD12" s="49"/>
      <c r="AE12" s="7"/>
      <c r="AF12" s="49"/>
      <c r="AG12" s="7"/>
      <c r="AH12" s="7"/>
      <c r="AI12" s="59" t="str">
        <f t="shared" si="4"/>
        <v>0</v>
      </c>
      <c r="AJ12" s="49">
        <v>4</v>
      </c>
      <c r="AK12" s="49">
        <v>4</v>
      </c>
      <c r="AL12" s="49">
        <v>5</v>
      </c>
      <c r="AM12" s="49">
        <v>5</v>
      </c>
      <c r="AN12" s="7"/>
      <c r="AO12" s="59">
        <f t="shared" si="5"/>
        <v>4.5</v>
      </c>
      <c r="AP12" s="49"/>
      <c r="AQ12" s="49"/>
      <c r="AR12" s="49"/>
      <c r="AS12" s="7"/>
      <c r="AT12" s="7"/>
      <c r="AU12" s="59" t="str">
        <f t="shared" si="6"/>
        <v>0</v>
      </c>
      <c r="AV12" s="7"/>
      <c r="AW12" s="7"/>
      <c r="AX12" s="49"/>
      <c r="AY12" s="49">
        <v>4</v>
      </c>
      <c r="AZ12" s="49"/>
      <c r="BA12" s="59">
        <f t="shared" si="7"/>
        <v>4</v>
      </c>
    </row>
    <row r="13" spans="1:55" ht="23.1" customHeight="1" x14ac:dyDescent="0.3">
      <c r="A13" s="49">
        <v>11</v>
      </c>
      <c r="B13" s="49" t="s">
        <v>162</v>
      </c>
      <c r="C13" s="49" t="s">
        <v>163</v>
      </c>
      <c r="D13" s="49" t="s">
        <v>450</v>
      </c>
      <c r="E13" s="49" t="s">
        <v>161</v>
      </c>
      <c r="F13" s="49">
        <v>2</v>
      </c>
      <c r="G13" s="49">
        <v>3</v>
      </c>
      <c r="H13" s="49">
        <v>3</v>
      </c>
      <c r="I13" s="49"/>
      <c r="J13" s="49"/>
      <c r="K13" s="59">
        <f t="shared" si="0"/>
        <v>2.6666666666666665</v>
      </c>
      <c r="L13" s="49"/>
      <c r="M13" s="49">
        <v>2</v>
      </c>
      <c r="N13" s="49">
        <v>2</v>
      </c>
      <c r="O13" s="49"/>
      <c r="P13" s="49"/>
      <c r="Q13" s="59">
        <f t="shared" si="1"/>
        <v>2</v>
      </c>
      <c r="R13" s="49"/>
      <c r="S13" s="49">
        <v>3</v>
      </c>
      <c r="T13" s="49"/>
      <c r="U13" s="49"/>
      <c r="V13" s="49"/>
      <c r="W13" s="59">
        <f t="shared" si="2"/>
        <v>3</v>
      </c>
      <c r="X13" s="49"/>
      <c r="Y13" s="49"/>
      <c r="Z13" s="49"/>
      <c r="AA13" s="49"/>
      <c r="AB13" s="49"/>
      <c r="AC13" s="59" t="str">
        <f t="shared" si="3"/>
        <v>0</v>
      </c>
      <c r="AD13" s="49"/>
      <c r="AE13" s="49"/>
      <c r="AF13" s="49"/>
      <c r="AG13" s="49"/>
      <c r="AH13" s="49"/>
      <c r="AI13" s="59" t="str">
        <f t="shared" si="4"/>
        <v>0</v>
      </c>
      <c r="AJ13" s="49">
        <v>2</v>
      </c>
      <c r="AK13" s="49">
        <v>3</v>
      </c>
      <c r="AL13" s="49">
        <v>3</v>
      </c>
      <c r="AM13" s="49">
        <v>3</v>
      </c>
      <c r="AN13" s="49"/>
      <c r="AO13" s="59">
        <f t="shared" si="5"/>
        <v>2.75</v>
      </c>
      <c r="AP13" s="49"/>
      <c r="AQ13" s="49"/>
      <c r="AR13" s="49"/>
      <c r="AS13" s="49"/>
      <c r="AT13" s="49"/>
      <c r="AU13" s="59" t="str">
        <f t="shared" si="6"/>
        <v>0</v>
      </c>
      <c r="AV13" s="49"/>
      <c r="AW13" s="49"/>
      <c r="AX13" s="49"/>
      <c r="AY13" s="49">
        <v>3</v>
      </c>
      <c r="AZ13" s="49"/>
      <c r="BA13" s="59">
        <f t="shared" si="7"/>
        <v>3</v>
      </c>
    </row>
    <row r="14" spans="1:55" ht="23.1" customHeight="1" x14ac:dyDescent="0.3">
      <c r="A14" s="7">
        <v>12</v>
      </c>
      <c r="B14" s="7" t="s">
        <v>178</v>
      </c>
      <c r="C14" s="7" t="s">
        <v>179</v>
      </c>
      <c r="D14" s="7" t="s">
        <v>450</v>
      </c>
      <c r="E14" s="7" t="s">
        <v>161</v>
      </c>
      <c r="F14" s="49">
        <v>3.5</v>
      </c>
      <c r="G14" s="49">
        <v>3</v>
      </c>
      <c r="H14" s="49">
        <v>4</v>
      </c>
      <c r="I14" s="49"/>
      <c r="J14" s="7"/>
      <c r="K14" s="59">
        <f t="shared" si="0"/>
        <v>3.5</v>
      </c>
      <c r="L14" s="49"/>
      <c r="M14" s="49">
        <v>3</v>
      </c>
      <c r="N14" s="49">
        <v>2.5</v>
      </c>
      <c r="O14" s="49"/>
      <c r="P14" s="49"/>
      <c r="Q14" s="59">
        <f t="shared" si="1"/>
        <v>2.75</v>
      </c>
      <c r="R14" s="49"/>
      <c r="S14" s="49">
        <v>3</v>
      </c>
      <c r="T14" s="7"/>
      <c r="U14" s="49"/>
      <c r="V14" s="7"/>
      <c r="W14" s="59">
        <f t="shared" si="2"/>
        <v>3</v>
      </c>
      <c r="X14" s="49"/>
      <c r="Y14" s="49"/>
      <c r="Z14" s="7"/>
      <c r="AA14" s="7"/>
      <c r="AB14" s="7"/>
      <c r="AC14" s="59" t="str">
        <f t="shared" si="3"/>
        <v>0</v>
      </c>
      <c r="AD14" s="49"/>
      <c r="AE14" s="7"/>
      <c r="AF14" s="49"/>
      <c r="AG14" s="7"/>
      <c r="AH14" s="7"/>
      <c r="AI14" s="59" t="str">
        <f t="shared" si="4"/>
        <v>0</v>
      </c>
      <c r="AJ14" s="49">
        <v>3.5</v>
      </c>
      <c r="AK14" s="49">
        <v>3</v>
      </c>
      <c r="AL14" s="49">
        <v>3.5</v>
      </c>
      <c r="AM14" s="49">
        <v>4</v>
      </c>
      <c r="AN14" s="7"/>
      <c r="AO14" s="59">
        <f t="shared" si="5"/>
        <v>3.5</v>
      </c>
      <c r="AP14" s="49"/>
      <c r="AQ14" s="49"/>
      <c r="AR14" s="49"/>
      <c r="AS14" s="7"/>
      <c r="AT14" s="7"/>
      <c r="AU14" s="59" t="str">
        <f t="shared" si="6"/>
        <v>0</v>
      </c>
      <c r="AV14" s="7"/>
      <c r="AW14" s="7"/>
      <c r="AX14" s="49"/>
      <c r="AY14" s="49">
        <v>3</v>
      </c>
      <c r="AZ14" s="49"/>
      <c r="BA14" s="59">
        <f t="shared" si="7"/>
        <v>3</v>
      </c>
    </row>
    <row r="15" spans="1:55" ht="23.1" customHeight="1" x14ac:dyDescent="0.3">
      <c r="A15" s="49">
        <v>13</v>
      </c>
      <c r="B15" s="49" t="s">
        <v>87</v>
      </c>
      <c r="C15" s="49" t="s">
        <v>88</v>
      </c>
      <c r="D15" s="49" t="s">
        <v>450</v>
      </c>
      <c r="E15" s="49" t="s">
        <v>35</v>
      </c>
      <c r="F15" s="49">
        <v>3</v>
      </c>
      <c r="G15" s="49">
        <v>3</v>
      </c>
      <c r="H15" s="49">
        <v>3</v>
      </c>
      <c r="I15" s="49"/>
      <c r="J15" s="49"/>
      <c r="K15" s="59">
        <f t="shared" si="0"/>
        <v>3</v>
      </c>
      <c r="L15" s="49"/>
      <c r="M15" s="49">
        <v>2.5</v>
      </c>
      <c r="N15" s="49">
        <v>3</v>
      </c>
      <c r="O15" s="49"/>
      <c r="P15" s="49"/>
      <c r="Q15" s="59">
        <f t="shared" si="1"/>
        <v>2.75</v>
      </c>
      <c r="R15" s="49"/>
      <c r="S15" s="49">
        <v>4</v>
      </c>
      <c r="T15" s="49"/>
      <c r="U15" s="49"/>
      <c r="V15" s="49"/>
      <c r="W15" s="59">
        <f t="shared" si="2"/>
        <v>4</v>
      </c>
      <c r="X15" s="49"/>
      <c r="Y15" s="49"/>
      <c r="Z15" s="49"/>
      <c r="AA15" s="49"/>
      <c r="AB15" s="49"/>
      <c r="AC15" s="59" t="str">
        <f t="shared" si="3"/>
        <v>0</v>
      </c>
      <c r="AD15" s="49"/>
      <c r="AE15" s="49"/>
      <c r="AF15" s="49"/>
      <c r="AG15" s="49"/>
      <c r="AH15" s="49"/>
      <c r="AI15" s="59" t="str">
        <f t="shared" si="4"/>
        <v>0</v>
      </c>
      <c r="AJ15" s="49">
        <v>3</v>
      </c>
      <c r="AK15" s="49">
        <v>3</v>
      </c>
      <c r="AL15" s="49">
        <v>3</v>
      </c>
      <c r="AM15" s="49">
        <v>3</v>
      </c>
      <c r="AN15" s="49"/>
      <c r="AO15" s="59">
        <f t="shared" si="5"/>
        <v>3</v>
      </c>
      <c r="AP15" s="49"/>
      <c r="AQ15" s="49"/>
      <c r="AR15" s="49"/>
      <c r="AS15" s="49"/>
      <c r="AT15" s="49"/>
      <c r="AU15" s="59" t="str">
        <f t="shared" si="6"/>
        <v>0</v>
      </c>
      <c r="AV15" s="49"/>
      <c r="AW15" s="49"/>
      <c r="AX15" s="49"/>
      <c r="AY15" s="49">
        <v>2.5</v>
      </c>
      <c r="AZ15" s="49"/>
      <c r="BA15" s="59">
        <f t="shared" si="7"/>
        <v>2.5</v>
      </c>
    </row>
    <row r="16" spans="1:55" ht="23.1" customHeight="1" x14ac:dyDescent="0.3">
      <c r="A16" s="7">
        <v>14</v>
      </c>
      <c r="B16" s="7" t="s">
        <v>194</v>
      </c>
      <c r="C16" s="7" t="s">
        <v>195</v>
      </c>
      <c r="D16" s="7" t="s">
        <v>542</v>
      </c>
      <c r="E16" s="7" t="s">
        <v>161</v>
      </c>
      <c r="F16" s="49">
        <v>3.5</v>
      </c>
      <c r="G16" s="49">
        <v>3</v>
      </c>
      <c r="H16" s="49">
        <v>4</v>
      </c>
      <c r="I16" s="49"/>
      <c r="J16" s="7"/>
      <c r="K16" s="59">
        <f t="shared" si="0"/>
        <v>3.5</v>
      </c>
      <c r="L16" s="49"/>
      <c r="M16" s="49">
        <v>4</v>
      </c>
      <c r="N16" s="49">
        <v>3.5</v>
      </c>
      <c r="O16" s="49"/>
      <c r="P16" s="49"/>
      <c r="Q16" s="59">
        <f t="shared" si="1"/>
        <v>3.75</v>
      </c>
      <c r="R16" s="49"/>
      <c r="S16" s="49">
        <v>3.5</v>
      </c>
      <c r="T16" s="7"/>
      <c r="U16" s="49"/>
      <c r="V16" s="7"/>
      <c r="W16" s="59">
        <f t="shared" si="2"/>
        <v>3.5</v>
      </c>
      <c r="X16" s="49"/>
      <c r="Y16" s="49"/>
      <c r="Z16" s="7"/>
      <c r="AA16" s="7"/>
      <c r="AB16" s="7"/>
      <c r="AC16" s="59" t="str">
        <f t="shared" si="3"/>
        <v>0</v>
      </c>
      <c r="AD16" s="49"/>
      <c r="AE16" s="7"/>
      <c r="AF16" s="49"/>
      <c r="AG16" s="7"/>
      <c r="AH16" s="7"/>
      <c r="AI16" s="59" t="str">
        <f t="shared" si="4"/>
        <v>0</v>
      </c>
      <c r="AJ16" s="49">
        <v>3.5</v>
      </c>
      <c r="AK16" s="49">
        <v>3</v>
      </c>
      <c r="AL16" s="49">
        <v>3.5</v>
      </c>
      <c r="AM16" s="49">
        <v>4</v>
      </c>
      <c r="AN16" s="7"/>
      <c r="AO16" s="59">
        <f t="shared" si="5"/>
        <v>3.5</v>
      </c>
      <c r="AP16" s="49"/>
      <c r="AQ16" s="49"/>
      <c r="AR16" s="49"/>
      <c r="AS16" s="7"/>
      <c r="AT16" s="7"/>
      <c r="AU16" s="59" t="str">
        <f t="shared" si="6"/>
        <v>0</v>
      </c>
      <c r="AV16" s="7"/>
      <c r="AW16" s="7"/>
      <c r="AX16" s="49"/>
      <c r="AY16" s="49">
        <v>3.5</v>
      </c>
      <c r="AZ16" s="49"/>
      <c r="BA16" s="59">
        <f t="shared" si="7"/>
        <v>3.5</v>
      </c>
    </row>
    <row r="17" spans="1:53" ht="23.1" customHeight="1" x14ac:dyDescent="0.3">
      <c r="A17" s="49">
        <v>15</v>
      </c>
      <c r="B17" s="49" t="s">
        <v>293</v>
      </c>
      <c r="C17" s="49" t="s">
        <v>294</v>
      </c>
      <c r="D17" s="49" t="s">
        <v>542</v>
      </c>
      <c r="E17" s="49" t="s">
        <v>493</v>
      </c>
      <c r="F17" s="49">
        <v>4</v>
      </c>
      <c r="G17" s="49">
        <v>4</v>
      </c>
      <c r="H17" s="49">
        <v>5</v>
      </c>
      <c r="I17" s="49"/>
      <c r="J17" s="49"/>
      <c r="K17" s="59">
        <f t="shared" si="0"/>
        <v>4.333333333333333</v>
      </c>
      <c r="L17" s="49"/>
      <c r="M17" s="49">
        <v>3</v>
      </c>
      <c r="N17" s="49">
        <v>3</v>
      </c>
      <c r="O17" s="49"/>
      <c r="P17" s="49"/>
      <c r="Q17" s="59">
        <f t="shared" si="1"/>
        <v>3</v>
      </c>
      <c r="R17" s="49"/>
      <c r="S17" s="49" t="s">
        <v>581</v>
      </c>
      <c r="T17" s="49"/>
      <c r="U17" s="49"/>
      <c r="V17" s="49"/>
      <c r="W17" s="59" t="str">
        <f t="shared" si="2"/>
        <v>0</v>
      </c>
      <c r="X17" s="49"/>
      <c r="Y17" s="49"/>
      <c r="Z17" s="49"/>
      <c r="AA17" s="49"/>
      <c r="AB17" s="49"/>
      <c r="AC17" s="59" t="str">
        <f t="shared" si="3"/>
        <v>0</v>
      </c>
      <c r="AD17" s="49"/>
      <c r="AE17" s="49"/>
      <c r="AF17" s="49"/>
      <c r="AG17" s="49"/>
      <c r="AH17" s="49"/>
      <c r="AI17" s="59" t="str">
        <f t="shared" si="4"/>
        <v>0</v>
      </c>
      <c r="AJ17" s="49">
        <v>4</v>
      </c>
      <c r="AK17" s="49">
        <v>5</v>
      </c>
      <c r="AL17" s="49">
        <v>5</v>
      </c>
      <c r="AM17" s="49">
        <v>5</v>
      </c>
      <c r="AN17" s="49"/>
      <c r="AO17" s="59">
        <f t="shared" si="5"/>
        <v>4.75</v>
      </c>
      <c r="AP17" s="49"/>
      <c r="AQ17" s="49"/>
      <c r="AR17" s="49"/>
      <c r="AS17" s="49"/>
      <c r="AT17" s="49"/>
      <c r="AU17" s="59" t="str">
        <f t="shared" si="6"/>
        <v>0</v>
      </c>
      <c r="AV17" s="49"/>
      <c r="AW17" s="49"/>
      <c r="AX17" s="49"/>
      <c r="AY17" s="49">
        <v>3</v>
      </c>
      <c r="AZ17" s="49"/>
      <c r="BA17" s="59">
        <f t="shared" si="7"/>
        <v>3</v>
      </c>
    </row>
    <row r="18" spans="1:53" ht="23.1" customHeight="1" x14ac:dyDescent="0.3">
      <c r="A18" s="7">
        <v>16</v>
      </c>
      <c r="B18" s="7" t="s">
        <v>105</v>
      </c>
      <c r="C18" s="7" t="s">
        <v>106</v>
      </c>
      <c r="D18" s="7" t="s">
        <v>450</v>
      </c>
      <c r="E18" s="7" t="s">
        <v>35</v>
      </c>
      <c r="F18" s="49">
        <v>4</v>
      </c>
      <c r="G18" s="49">
        <v>4</v>
      </c>
      <c r="H18" s="49">
        <v>4</v>
      </c>
      <c r="I18" s="49"/>
      <c r="J18" s="7"/>
      <c r="K18" s="59">
        <f t="shared" si="0"/>
        <v>4</v>
      </c>
      <c r="L18" s="49"/>
      <c r="M18" s="49">
        <v>4</v>
      </c>
      <c r="N18" s="49">
        <v>4</v>
      </c>
      <c r="O18" s="49"/>
      <c r="P18" s="49"/>
      <c r="Q18" s="59">
        <f t="shared" si="1"/>
        <v>4</v>
      </c>
      <c r="R18" s="49"/>
      <c r="S18" s="49">
        <v>1</v>
      </c>
      <c r="T18" s="7"/>
      <c r="U18" s="49"/>
      <c r="V18" s="7"/>
      <c r="W18" s="59">
        <f t="shared" si="2"/>
        <v>1</v>
      </c>
      <c r="X18" s="49"/>
      <c r="Y18" s="49"/>
      <c r="Z18" s="7"/>
      <c r="AA18" s="7"/>
      <c r="AB18" s="7"/>
      <c r="AC18" s="59" t="str">
        <f t="shared" si="3"/>
        <v>0</v>
      </c>
      <c r="AD18" s="49"/>
      <c r="AE18" s="7"/>
      <c r="AF18" s="49"/>
      <c r="AG18" s="7"/>
      <c r="AH18" s="7"/>
      <c r="AI18" s="59" t="str">
        <f t="shared" si="4"/>
        <v>0</v>
      </c>
      <c r="AJ18" s="49">
        <v>4</v>
      </c>
      <c r="AK18" s="49">
        <v>4</v>
      </c>
      <c r="AL18" s="49">
        <v>4</v>
      </c>
      <c r="AM18" s="49">
        <v>4</v>
      </c>
      <c r="AN18" s="7"/>
      <c r="AO18" s="59">
        <f t="shared" si="5"/>
        <v>4</v>
      </c>
      <c r="AP18" s="49"/>
      <c r="AQ18" s="49"/>
      <c r="AR18" s="49"/>
      <c r="AS18" s="7"/>
      <c r="AT18" s="7"/>
      <c r="AU18" s="59" t="str">
        <f t="shared" si="6"/>
        <v>0</v>
      </c>
      <c r="AV18" s="7"/>
      <c r="AW18" s="7"/>
      <c r="AX18" s="49"/>
      <c r="AY18" s="49">
        <v>4</v>
      </c>
      <c r="AZ18" s="49"/>
      <c r="BA18" s="59">
        <f t="shared" si="7"/>
        <v>4</v>
      </c>
    </row>
    <row r="19" spans="1:53" ht="23.1" customHeight="1" x14ac:dyDescent="0.3">
      <c r="A19" s="49">
        <v>17</v>
      </c>
      <c r="B19" s="49" t="s">
        <v>295</v>
      </c>
      <c r="C19" s="49" t="s">
        <v>296</v>
      </c>
      <c r="D19" s="49" t="s">
        <v>542</v>
      </c>
      <c r="E19" s="49" t="s">
        <v>493</v>
      </c>
      <c r="F19" s="49">
        <v>4</v>
      </c>
      <c r="G19" s="49">
        <v>4</v>
      </c>
      <c r="H19" s="49">
        <v>4</v>
      </c>
      <c r="I19" s="49"/>
      <c r="J19" s="49"/>
      <c r="K19" s="59">
        <f t="shared" si="0"/>
        <v>4</v>
      </c>
      <c r="L19" s="49"/>
      <c r="M19" s="49">
        <v>4</v>
      </c>
      <c r="N19" s="49">
        <v>5</v>
      </c>
      <c r="O19" s="49"/>
      <c r="P19" s="49"/>
      <c r="Q19" s="59">
        <f t="shared" si="1"/>
        <v>4.5</v>
      </c>
      <c r="R19" s="49"/>
      <c r="S19" s="49">
        <v>4</v>
      </c>
      <c r="T19" s="49"/>
      <c r="U19" s="49"/>
      <c r="V19" s="49"/>
      <c r="W19" s="59">
        <f t="shared" si="2"/>
        <v>4</v>
      </c>
      <c r="X19" s="49"/>
      <c r="Y19" s="49"/>
      <c r="Z19" s="49"/>
      <c r="AA19" s="49"/>
      <c r="AB19" s="49"/>
      <c r="AC19" s="59" t="str">
        <f t="shared" si="3"/>
        <v>0</v>
      </c>
      <c r="AD19" s="49"/>
      <c r="AE19" s="49"/>
      <c r="AF19" s="49"/>
      <c r="AG19" s="49"/>
      <c r="AH19" s="49"/>
      <c r="AI19" s="59" t="str">
        <f t="shared" si="4"/>
        <v>0</v>
      </c>
      <c r="AJ19" s="49">
        <v>4</v>
      </c>
      <c r="AK19" s="49">
        <v>4</v>
      </c>
      <c r="AL19" s="49">
        <v>3</v>
      </c>
      <c r="AM19" s="49">
        <v>4</v>
      </c>
      <c r="AN19" s="49"/>
      <c r="AO19" s="59">
        <f t="shared" si="5"/>
        <v>3.75</v>
      </c>
      <c r="AP19" s="49"/>
      <c r="AQ19" s="49"/>
      <c r="AR19" s="49"/>
      <c r="AS19" s="49"/>
      <c r="AT19" s="49"/>
      <c r="AU19" s="59" t="str">
        <f t="shared" si="6"/>
        <v>0</v>
      </c>
      <c r="AV19" s="49"/>
      <c r="AW19" s="49"/>
      <c r="AX19" s="49"/>
      <c r="AY19" s="49">
        <v>5</v>
      </c>
      <c r="AZ19" s="49"/>
      <c r="BA19" s="59">
        <f t="shared" si="7"/>
        <v>5</v>
      </c>
    </row>
    <row r="20" spans="1:53" ht="23.1" customHeight="1" x14ac:dyDescent="0.3">
      <c r="A20" s="7">
        <v>18</v>
      </c>
      <c r="B20" s="7" t="s">
        <v>107</v>
      </c>
      <c r="C20" s="7" t="s">
        <v>108</v>
      </c>
      <c r="D20" s="7" t="s">
        <v>543</v>
      </c>
      <c r="E20" s="7" t="s">
        <v>35</v>
      </c>
      <c r="F20" s="49">
        <v>3</v>
      </c>
      <c r="G20" s="49">
        <v>3</v>
      </c>
      <c r="H20" s="49">
        <v>3</v>
      </c>
      <c r="I20" s="49"/>
      <c r="J20" s="7"/>
      <c r="K20" s="59">
        <f t="shared" si="0"/>
        <v>3</v>
      </c>
      <c r="L20" s="49"/>
      <c r="M20" s="49">
        <v>4</v>
      </c>
      <c r="N20" s="49">
        <v>4</v>
      </c>
      <c r="O20" s="49"/>
      <c r="P20" s="49"/>
      <c r="Q20" s="59">
        <f t="shared" si="1"/>
        <v>4</v>
      </c>
      <c r="R20" s="49"/>
      <c r="S20" s="49">
        <v>3</v>
      </c>
      <c r="T20" s="7"/>
      <c r="U20" s="49"/>
      <c r="V20" s="7"/>
      <c r="W20" s="59">
        <f t="shared" si="2"/>
        <v>3</v>
      </c>
      <c r="X20" s="49"/>
      <c r="Y20" s="49"/>
      <c r="Z20" s="7"/>
      <c r="AA20" s="7"/>
      <c r="AB20" s="7"/>
      <c r="AC20" s="59" t="str">
        <f t="shared" si="3"/>
        <v>0</v>
      </c>
      <c r="AD20" s="49"/>
      <c r="AE20" s="7"/>
      <c r="AF20" s="49"/>
      <c r="AG20" s="7"/>
      <c r="AH20" s="7"/>
      <c r="AI20" s="59" t="str">
        <f t="shared" si="4"/>
        <v>0</v>
      </c>
      <c r="AJ20" s="49">
        <v>3</v>
      </c>
      <c r="AK20" s="49">
        <v>3</v>
      </c>
      <c r="AL20" s="49">
        <v>3</v>
      </c>
      <c r="AM20" s="49">
        <v>3</v>
      </c>
      <c r="AN20" s="7"/>
      <c r="AO20" s="59">
        <f t="shared" si="5"/>
        <v>3</v>
      </c>
      <c r="AP20" s="49"/>
      <c r="AQ20" s="49"/>
      <c r="AR20" s="49"/>
      <c r="AS20" s="7"/>
      <c r="AT20" s="7"/>
      <c r="AU20" s="59" t="str">
        <f t="shared" si="6"/>
        <v>0</v>
      </c>
      <c r="AV20" s="7"/>
      <c r="AW20" s="7"/>
      <c r="AX20" s="49"/>
      <c r="AY20" s="49">
        <v>4</v>
      </c>
      <c r="AZ20" s="49"/>
      <c r="BA20" s="59">
        <f t="shared" si="7"/>
        <v>4</v>
      </c>
    </row>
    <row r="21" spans="1:53" ht="23.1" customHeight="1" x14ac:dyDescent="0.3">
      <c r="A21" s="49">
        <v>19</v>
      </c>
      <c r="B21" s="49" t="s">
        <v>50</v>
      </c>
      <c r="C21" s="49" t="s">
        <v>51</v>
      </c>
      <c r="D21" s="49" t="s">
        <v>542</v>
      </c>
      <c r="E21" s="49" t="s">
        <v>35</v>
      </c>
      <c r="F21" s="49">
        <v>4</v>
      </c>
      <c r="G21" s="49">
        <v>4</v>
      </c>
      <c r="H21" s="49">
        <v>5</v>
      </c>
      <c r="I21" s="49"/>
      <c r="J21" s="49"/>
      <c r="K21" s="59">
        <f t="shared" si="0"/>
        <v>4.333333333333333</v>
      </c>
      <c r="L21" s="49"/>
      <c r="M21" s="49">
        <v>4</v>
      </c>
      <c r="N21" s="49">
        <v>3.5</v>
      </c>
      <c r="O21" s="49"/>
      <c r="P21" s="49"/>
      <c r="Q21" s="59">
        <f t="shared" si="1"/>
        <v>3.75</v>
      </c>
      <c r="R21" s="49"/>
      <c r="S21" s="49">
        <v>4</v>
      </c>
      <c r="T21" s="49"/>
      <c r="U21" s="49"/>
      <c r="V21" s="49"/>
      <c r="W21" s="59">
        <f t="shared" si="2"/>
        <v>4</v>
      </c>
      <c r="X21" s="49"/>
      <c r="Y21" s="49"/>
      <c r="Z21" s="49"/>
      <c r="AA21" s="49"/>
      <c r="AB21" s="49"/>
      <c r="AC21" s="59" t="str">
        <f t="shared" si="3"/>
        <v>0</v>
      </c>
      <c r="AD21" s="49"/>
      <c r="AE21" s="49"/>
      <c r="AF21" s="49"/>
      <c r="AG21" s="49"/>
      <c r="AH21" s="49"/>
      <c r="AI21" s="59" t="str">
        <f t="shared" si="4"/>
        <v>0</v>
      </c>
      <c r="AJ21" s="49">
        <v>4</v>
      </c>
      <c r="AK21" s="49">
        <v>5</v>
      </c>
      <c r="AL21" s="49">
        <v>5</v>
      </c>
      <c r="AM21" s="49">
        <v>5</v>
      </c>
      <c r="AN21" s="49"/>
      <c r="AO21" s="59">
        <f t="shared" si="5"/>
        <v>4.75</v>
      </c>
      <c r="AP21" s="49"/>
      <c r="AQ21" s="49"/>
      <c r="AR21" s="49"/>
      <c r="AS21" s="49"/>
      <c r="AT21" s="49"/>
      <c r="AU21" s="59" t="str">
        <f t="shared" si="6"/>
        <v>0</v>
      </c>
      <c r="AV21" s="49"/>
      <c r="AW21" s="49"/>
      <c r="AX21" s="49"/>
      <c r="AY21" s="49">
        <v>3.5</v>
      </c>
      <c r="AZ21" s="49"/>
      <c r="BA21" s="59">
        <f t="shared" si="7"/>
        <v>3.5</v>
      </c>
    </row>
    <row r="22" spans="1:53" ht="23.1" customHeight="1" x14ac:dyDescent="0.3">
      <c r="A22" s="7">
        <v>20</v>
      </c>
      <c r="B22" s="7" t="s">
        <v>196</v>
      </c>
      <c r="C22" s="7" t="s">
        <v>537</v>
      </c>
      <c r="D22" s="7" t="s">
        <v>450</v>
      </c>
      <c r="E22" s="7" t="s">
        <v>161</v>
      </c>
      <c r="F22" s="49">
        <v>3.5</v>
      </c>
      <c r="G22" s="49">
        <v>4</v>
      </c>
      <c r="H22" s="49">
        <v>4.5</v>
      </c>
      <c r="I22" s="49"/>
      <c r="J22" s="7"/>
      <c r="K22" s="59">
        <f t="shared" si="0"/>
        <v>4</v>
      </c>
      <c r="L22" s="49"/>
      <c r="M22" s="49">
        <v>4</v>
      </c>
      <c r="N22" s="49">
        <v>4.75</v>
      </c>
      <c r="O22" s="49"/>
      <c r="P22" s="49"/>
      <c r="Q22" s="59">
        <f t="shared" si="1"/>
        <v>4.375</v>
      </c>
      <c r="R22" s="49"/>
      <c r="S22" s="49">
        <v>4</v>
      </c>
      <c r="T22" s="7"/>
      <c r="U22" s="49"/>
      <c r="V22" s="7"/>
      <c r="W22" s="59">
        <f t="shared" si="2"/>
        <v>4</v>
      </c>
      <c r="X22" s="49"/>
      <c r="Y22" s="49"/>
      <c r="Z22" s="7"/>
      <c r="AA22" s="7"/>
      <c r="AB22" s="7"/>
      <c r="AC22" s="59" t="str">
        <f t="shared" si="3"/>
        <v>0</v>
      </c>
      <c r="AD22" s="49"/>
      <c r="AE22" s="7"/>
      <c r="AF22" s="49"/>
      <c r="AG22" s="7"/>
      <c r="AH22" s="7"/>
      <c r="AI22" s="59" t="str">
        <f t="shared" si="4"/>
        <v>0</v>
      </c>
      <c r="AJ22" s="49">
        <v>4.5</v>
      </c>
      <c r="AK22" s="49">
        <v>4</v>
      </c>
      <c r="AL22" s="49">
        <v>4</v>
      </c>
      <c r="AM22" s="49">
        <v>4</v>
      </c>
      <c r="AN22" s="7"/>
      <c r="AO22" s="59">
        <f t="shared" si="5"/>
        <v>4.125</v>
      </c>
      <c r="AP22" s="49"/>
      <c r="AQ22" s="49"/>
      <c r="AR22" s="49"/>
      <c r="AS22" s="7"/>
      <c r="AT22" s="7"/>
      <c r="AU22" s="59" t="str">
        <f t="shared" si="6"/>
        <v>0</v>
      </c>
      <c r="AV22" s="7"/>
      <c r="AW22" s="7"/>
      <c r="AX22" s="49"/>
      <c r="AY22" s="49">
        <v>4.5</v>
      </c>
      <c r="AZ22" s="49"/>
      <c r="BA22" s="59">
        <f t="shared" si="7"/>
        <v>4.5</v>
      </c>
    </row>
    <row r="23" spans="1:53" ht="23.1" customHeight="1" x14ac:dyDescent="0.3">
      <c r="A23" s="49">
        <v>21</v>
      </c>
      <c r="B23" s="49" t="s">
        <v>209</v>
      </c>
      <c r="C23" s="49" t="s">
        <v>210</v>
      </c>
      <c r="D23" s="49" t="s">
        <v>450</v>
      </c>
      <c r="E23" s="49" t="s">
        <v>161</v>
      </c>
      <c r="F23" s="49">
        <v>3</v>
      </c>
      <c r="G23" s="49">
        <v>3</v>
      </c>
      <c r="H23" s="49">
        <v>3</v>
      </c>
      <c r="I23" s="49"/>
      <c r="J23" s="49"/>
      <c r="K23" s="59">
        <f t="shared" si="0"/>
        <v>3</v>
      </c>
      <c r="L23" s="49"/>
      <c r="M23" s="49">
        <v>3</v>
      </c>
      <c r="N23" s="49">
        <v>3</v>
      </c>
      <c r="O23" s="49"/>
      <c r="P23" s="49"/>
      <c r="Q23" s="59">
        <f t="shared" si="1"/>
        <v>3</v>
      </c>
      <c r="R23" s="49"/>
      <c r="S23" s="49">
        <v>3</v>
      </c>
      <c r="T23" s="49"/>
      <c r="U23" s="49"/>
      <c r="V23" s="49"/>
      <c r="W23" s="59">
        <f t="shared" si="2"/>
        <v>3</v>
      </c>
      <c r="X23" s="49"/>
      <c r="Y23" s="49"/>
      <c r="Z23" s="49"/>
      <c r="AA23" s="49"/>
      <c r="AB23" s="49"/>
      <c r="AC23" s="59" t="str">
        <f t="shared" si="3"/>
        <v>0</v>
      </c>
      <c r="AD23" s="49"/>
      <c r="AE23" s="49"/>
      <c r="AF23" s="49"/>
      <c r="AG23" s="49"/>
      <c r="AH23" s="49"/>
      <c r="AI23" s="59" t="str">
        <f t="shared" si="4"/>
        <v>0</v>
      </c>
      <c r="AJ23" s="49">
        <v>3</v>
      </c>
      <c r="AK23" s="49">
        <v>3</v>
      </c>
      <c r="AL23" s="49">
        <v>3</v>
      </c>
      <c r="AM23" s="49">
        <v>3</v>
      </c>
      <c r="AN23" s="49"/>
      <c r="AO23" s="59">
        <f t="shared" si="5"/>
        <v>3</v>
      </c>
      <c r="AP23" s="49"/>
      <c r="AQ23" s="49"/>
      <c r="AR23" s="49"/>
      <c r="AS23" s="49"/>
      <c r="AT23" s="49"/>
      <c r="AU23" s="59" t="str">
        <f t="shared" si="6"/>
        <v>0</v>
      </c>
      <c r="AV23" s="49"/>
      <c r="AW23" s="49"/>
      <c r="AX23" s="49"/>
      <c r="AY23" s="49">
        <v>3</v>
      </c>
      <c r="AZ23" s="49"/>
      <c r="BA23" s="59">
        <f t="shared" si="7"/>
        <v>3</v>
      </c>
    </row>
    <row r="24" spans="1:53" ht="23.1" customHeight="1" x14ac:dyDescent="0.3">
      <c r="A24" s="7">
        <v>22</v>
      </c>
      <c r="B24" s="7" t="s">
        <v>58</v>
      </c>
      <c r="C24" s="7" t="s">
        <v>59</v>
      </c>
      <c r="D24" s="7" t="s">
        <v>450</v>
      </c>
      <c r="E24" s="7" t="s">
        <v>35</v>
      </c>
      <c r="F24" s="49">
        <v>4</v>
      </c>
      <c r="G24" s="49">
        <v>4</v>
      </c>
      <c r="H24" s="49">
        <v>4</v>
      </c>
      <c r="I24" s="49"/>
      <c r="J24" s="7"/>
      <c r="K24" s="59">
        <f t="shared" si="0"/>
        <v>4</v>
      </c>
      <c r="L24" s="49"/>
      <c r="M24" s="49">
        <v>4</v>
      </c>
      <c r="N24" s="49">
        <v>4</v>
      </c>
      <c r="O24" s="49"/>
      <c r="P24" s="49"/>
      <c r="Q24" s="59">
        <f t="shared" si="1"/>
        <v>4</v>
      </c>
      <c r="R24" s="49"/>
      <c r="S24" s="49">
        <v>3</v>
      </c>
      <c r="T24" s="7"/>
      <c r="U24" s="49"/>
      <c r="V24" s="7"/>
      <c r="W24" s="59">
        <f t="shared" si="2"/>
        <v>3</v>
      </c>
      <c r="X24" s="49"/>
      <c r="Y24" s="49"/>
      <c r="Z24" s="7"/>
      <c r="AA24" s="7"/>
      <c r="AB24" s="7"/>
      <c r="AC24" s="59" t="str">
        <f t="shared" si="3"/>
        <v>0</v>
      </c>
      <c r="AD24" s="49"/>
      <c r="AE24" s="7"/>
      <c r="AF24" s="49"/>
      <c r="AG24" s="7"/>
      <c r="AH24" s="7"/>
      <c r="AI24" s="59" t="str">
        <f t="shared" si="4"/>
        <v>0</v>
      </c>
      <c r="AJ24" s="49">
        <v>4</v>
      </c>
      <c r="AK24" s="49">
        <v>4</v>
      </c>
      <c r="AL24" s="49">
        <v>4</v>
      </c>
      <c r="AM24" s="49">
        <v>4</v>
      </c>
      <c r="AN24" s="7"/>
      <c r="AO24" s="59">
        <f t="shared" si="5"/>
        <v>4</v>
      </c>
      <c r="AP24" s="49"/>
      <c r="AQ24" s="49"/>
      <c r="AR24" s="49"/>
      <c r="AS24" s="7"/>
      <c r="AT24" s="7"/>
      <c r="AU24" s="59" t="str">
        <f t="shared" si="6"/>
        <v>0</v>
      </c>
      <c r="AV24" s="7"/>
      <c r="AW24" s="7"/>
      <c r="AX24" s="49"/>
      <c r="AY24" s="49">
        <v>5</v>
      </c>
      <c r="AZ24" s="49"/>
      <c r="BA24" s="59">
        <f t="shared" si="7"/>
        <v>5</v>
      </c>
    </row>
    <row r="25" spans="1:53" ht="23.1" customHeight="1" x14ac:dyDescent="0.3">
      <c r="A25" s="49">
        <v>23</v>
      </c>
      <c r="B25" s="49" t="s">
        <v>225</v>
      </c>
      <c r="C25" s="49" t="s">
        <v>226</v>
      </c>
      <c r="D25" s="49" t="s">
        <v>450</v>
      </c>
      <c r="E25" s="49" t="s">
        <v>161</v>
      </c>
      <c r="F25" s="49">
        <v>5</v>
      </c>
      <c r="G25" s="49">
        <v>4</v>
      </c>
      <c r="H25" s="49">
        <v>4</v>
      </c>
      <c r="I25" s="49"/>
      <c r="J25" s="49"/>
      <c r="K25" s="59">
        <f t="shared" si="0"/>
        <v>4.333333333333333</v>
      </c>
      <c r="L25" s="49"/>
      <c r="M25" s="49">
        <v>3</v>
      </c>
      <c r="N25" s="49">
        <v>3</v>
      </c>
      <c r="O25" s="49"/>
      <c r="P25" s="49"/>
      <c r="Q25" s="59">
        <f t="shared" si="1"/>
        <v>3</v>
      </c>
      <c r="R25" s="49"/>
      <c r="S25" s="49">
        <v>3</v>
      </c>
      <c r="T25" s="49"/>
      <c r="U25" s="49"/>
      <c r="V25" s="49"/>
      <c r="W25" s="59">
        <f t="shared" si="2"/>
        <v>3</v>
      </c>
      <c r="X25" s="49"/>
      <c r="Y25" s="49"/>
      <c r="Z25" s="49"/>
      <c r="AA25" s="49"/>
      <c r="AB25" s="49"/>
      <c r="AC25" s="59" t="str">
        <f t="shared" si="3"/>
        <v>0</v>
      </c>
      <c r="AD25" s="49"/>
      <c r="AE25" s="49"/>
      <c r="AF25" s="49"/>
      <c r="AG25" s="49"/>
      <c r="AH25" s="49"/>
      <c r="AI25" s="59" t="str">
        <f t="shared" si="4"/>
        <v>0</v>
      </c>
      <c r="AJ25" s="49">
        <v>4</v>
      </c>
      <c r="AK25" s="49">
        <v>5</v>
      </c>
      <c r="AL25" s="49">
        <v>4</v>
      </c>
      <c r="AM25" s="49">
        <v>4</v>
      </c>
      <c r="AN25" s="49"/>
      <c r="AO25" s="59">
        <f t="shared" si="5"/>
        <v>4.25</v>
      </c>
      <c r="AP25" s="49"/>
      <c r="AQ25" s="49"/>
      <c r="AR25" s="49"/>
      <c r="AS25" s="49"/>
      <c r="AT25" s="49"/>
      <c r="AU25" s="59" t="str">
        <f t="shared" si="6"/>
        <v>0</v>
      </c>
      <c r="AV25" s="49"/>
      <c r="AW25" s="49"/>
      <c r="AX25" s="49"/>
      <c r="AY25" s="49">
        <v>2.5</v>
      </c>
      <c r="AZ25" s="49"/>
      <c r="BA25" s="59">
        <f t="shared" si="7"/>
        <v>2.5</v>
      </c>
    </row>
    <row r="26" spans="1:53" ht="23.1" customHeight="1" x14ac:dyDescent="0.3">
      <c r="A26" s="7">
        <v>24</v>
      </c>
      <c r="B26" s="7" t="s">
        <v>297</v>
      </c>
      <c r="C26" s="7" t="s">
        <v>109</v>
      </c>
      <c r="D26" s="7" t="s">
        <v>450</v>
      </c>
      <c r="E26" s="7" t="s">
        <v>35</v>
      </c>
      <c r="F26" s="49">
        <v>4</v>
      </c>
      <c r="G26" s="49">
        <v>4</v>
      </c>
      <c r="H26" s="49">
        <v>4</v>
      </c>
      <c r="I26" s="49"/>
      <c r="J26" s="7"/>
      <c r="K26" s="59">
        <f t="shared" si="0"/>
        <v>4</v>
      </c>
      <c r="L26" s="49"/>
      <c r="M26" s="49">
        <v>4</v>
      </c>
      <c r="N26" s="49">
        <v>4</v>
      </c>
      <c r="O26" s="49"/>
      <c r="P26" s="49"/>
      <c r="Q26" s="59">
        <f t="shared" si="1"/>
        <v>4</v>
      </c>
      <c r="R26" s="49"/>
      <c r="S26" s="49">
        <v>2</v>
      </c>
      <c r="T26" s="7"/>
      <c r="U26" s="49"/>
      <c r="V26" s="7"/>
      <c r="W26" s="59">
        <f t="shared" si="2"/>
        <v>2</v>
      </c>
      <c r="X26" s="49"/>
      <c r="Y26" s="49"/>
      <c r="Z26" s="7"/>
      <c r="AA26" s="7"/>
      <c r="AB26" s="7"/>
      <c r="AC26" s="59" t="str">
        <f t="shared" si="3"/>
        <v>0</v>
      </c>
      <c r="AD26" s="49"/>
      <c r="AE26" s="7"/>
      <c r="AF26" s="49"/>
      <c r="AG26" s="7"/>
      <c r="AH26" s="7"/>
      <c r="AI26" s="59" t="str">
        <f t="shared" si="4"/>
        <v>0</v>
      </c>
      <c r="AJ26" s="49">
        <v>4</v>
      </c>
      <c r="AK26" s="49">
        <v>4</v>
      </c>
      <c r="AL26" s="49">
        <v>4</v>
      </c>
      <c r="AM26" s="49">
        <v>4</v>
      </c>
      <c r="AN26" s="7"/>
      <c r="AO26" s="59">
        <f t="shared" si="5"/>
        <v>4</v>
      </c>
      <c r="AP26" s="49"/>
      <c r="AQ26" s="49"/>
      <c r="AR26" s="49"/>
      <c r="AS26" s="7"/>
      <c r="AT26" s="7"/>
      <c r="AU26" s="59" t="str">
        <f t="shared" si="6"/>
        <v>0</v>
      </c>
      <c r="AV26" s="7"/>
      <c r="AW26" s="7"/>
      <c r="AX26" s="49"/>
      <c r="AY26" s="49">
        <v>4</v>
      </c>
      <c r="AZ26" s="49"/>
      <c r="BA26" s="59">
        <f t="shared" si="7"/>
        <v>4</v>
      </c>
    </row>
    <row r="27" spans="1:53" ht="23.1" customHeight="1" x14ac:dyDescent="0.3">
      <c r="A27" s="49">
        <v>25</v>
      </c>
      <c r="B27" s="49" t="s">
        <v>241</v>
      </c>
      <c r="C27" s="49" t="s">
        <v>242</v>
      </c>
      <c r="D27" s="49" t="s">
        <v>450</v>
      </c>
      <c r="E27" s="49" t="s">
        <v>161</v>
      </c>
      <c r="F27" s="49">
        <v>2</v>
      </c>
      <c r="G27" s="49">
        <v>2</v>
      </c>
      <c r="H27" s="49">
        <v>2.5</v>
      </c>
      <c r="I27" s="49"/>
      <c r="J27" s="49"/>
      <c r="K27" s="59">
        <f t="shared" si="0"/>
        <v>2.1666666666666665</v>
      </c>
      <c r="L27" s="49"/>
      <c r="M27" s="49">
        <v>2</v>
      </c>
      <c r="N27" s="49">
        <v>2</v>
      </c>
      <c r="O27" s="49"/>
      <c r="P27" s="49"/>
      <c r="Q27" s="59">
        <f t="shared" si="1"/>
        <v>2</v>
      </c>
      <c r="R27" s="49"/>
      <c r="S27" s="49">
        <v>3</v>
      </c>
      <c r="T27" s="49"/>
      <c r="U27" s="49"/>
      <c r="V27" s="49"/>
      <c r="W27" s="59">
        <f t="shared" si="2"/>
        <v>3</v>
      </c>
      <c r="X27" s="49"/>
      <c r="Y27" s="49"/>
      <c r="Z27" s="49"/>
      <c r="AA27" s="49"/>
      <c r="AB27" s="49"/>
      <c r="AC27" s="59" t="str">
        <f t="shared" si="3"/>
        <v>0</v>
      </c>
      <c r="AD27" s="49"/>
      <c r="AE27" s="49"/>
      <c r="AF27" s="49"/>
      <c r="AG27" s="49"/>
      <c r="AH27" s="49"/>
      <c r="AI27" s="59" t="str">
        <f t="shared" si="4"/>
        <v>0</v>
      </c>
      <c r="AJ27" s="49">
        <v>2.5</v>
      </c>
      <c r="AK27" s="49">
        <v>2</v>
      </c>
      <c r="AL27" s="49">
        <v>2</v>
      </c>
      <c r="AM27" s="49">
        <v>2</v>
      </c>
      <c r="AN27" s="49"/>
      <c r="AO27" s="59">
        <f t="shared" si="5"/>
        <v>2.125</v>
      </c>
      <c r="AP27" s="49"/>
      <c r="AQ27" s="49"/>
      <c r="AR27" s="49"/>
      <c r="AS27" s="49"/>
      <c r="AT27" s="49"/>
      <c r="AU27" s="59" t="str">
        <f t="shared" si="6"/>
        <v>0</v>
      </c>
      <c r="AV27" s="49"/>
      <c r="AW27" s="49"/>
      <c r="AX27" s="49"/>
      <c r="AY27" s="49">
        <v>2.5</v>
      </c>
      <c r="AZ27" s="49"/>
      <c r="BA27" s="59">
        <f t="shared" si="7"/>
        <v>2.5</v>
      </c>
    </row>
    <row r="28" spans="1:53" ht="23.1" customHeight="1" x14ac:dyDescent="0.3">
      <c r="A28" s="7">
        <v>26</v>
      </c>
      <c r="B28" s="7" t="s">
        <v>298</v>
      </c>
      <c r="C28" s="7" t="s">
        <v>299</v>
      </c>
      <c r="D28" s="7" t="s">
        <v>542</v>
      </c>
      <c r="E28" s="7" t="s">
        <v>493</v>
      </c>
      <c r="F28" s="49">
        <v>3</v>
      </c>
      <c r="G28" s="49">
        <v>2</v>
      </c>
      <c r="H28" s="49">
        <v>3</v>
      </c>
      <c r="I28" s="49"/>
      <c r="J28" s="7"/>
      <c r="K28" s="59">
        <f t="shared" si="0"/>
        <v>2.6666666666666665</v>
      </c>
      <c r="L28" s="49"/>
      <c r="M28" s="49">
        <v>2</v>
      </c>
      <c r="N28" s="49">
        <v>3</v>
      </c>
      <c r="O28" s="49"/>
      <c r="P28" s="49"/>
      <c r="Q28" s="59">
        <f t="shared" si="1"/>
        <v>2.5</v>
      </c>
      <c r="R28" s="49"/>
      <c r="S28" s="49">
        <v>3</v>
      </c>
      <c r="T28" s="7"/>
      <c r="U28" s="49"/>
      <c r="V28" s="7"/>
      <c r="W28" s="59">
        <f t="shared" si="2"/>
        <v>3</v>
      </c>
      <c r="X28" s="49"/>
      <c r="Y28" s="49"/>
      <c r="Z28" s="7"/>
      <c r="AA28" s="7"/>
      <c r="AB28" s="7"/>
      <c r="AC28" s="59" t="str">
        <f t="shared" si="3"/>
        <v>0</v>
      </c>
      <c r="AD28" s="49"/>
      <c r="AE28" s="7"/>
      <c r="AF28" s="49"/>
      <c r="AG28" s="7"/>
      <c r="AH28" s="7"/>
      <c r="AI28" s="59" t="str">
        <f t="shared" si="4"/>
        <v>0</v>
      </c>
      <c r="AJ28" s="49">
        <v>3</v>
      </c>
      <c r="AK28" s="49">
        <v>3</v>
      </c>
      <c r="AL28" s="49">
        <v>3</v>
      </c>
      <c r="AM28" s="49">
        <v>3</v>
      </c>
      <c r="AN28" s="7"/>
      <c r="AO28" s="59">
        <f t="shared" si="5"/>
        <v>3</v>
      </c>
      <c r="AP28" s="49"/>
      <c r="AQ28" s="49"/>
      <c r="AR28" s="49"/>
      <c r="AS28" s="7"/>
      <c r="AT28" s="7"/>
      <c r="AU28" s="59" t="str">
        <f t="shared" si="6"/>
        <v>0</v>
      </c>
      <c r="AV28" s="7"/>
      <c r="AW28" s="7"/>
      <c r="AX28" s="49"/>
      <c r="AY28" s="49">
        <v>3</v>
      </c>
      <c r="AZ28" s="49"/>
      <c r="BA28" s="59">
        <f t="shared" si="7"/>
        <v>3</v>
      </c>
    </row>
    <row r="29" spans="1:53" ht="23.1" customHeight="1" x14ac:dyDescent="0.3">
      <c r="A29" s="49">
        <v>27</v>
      </c>
      <c r="B29" s="49" t="s">
        <v>257</v>
      </c>
      <c r="C29" s="49" t="s">
        <v>258</v>
      </c>
      <c r="D29" s="49" t="s">
        <v>450</v>
      </c>
      <c r="E29" s="49" t="s">
        <v>161</v>
      </c>
      <c r="F29" s="49">
        <v>5</v>
      </c>
      <c r="G29" s="49">
        <v>4</v>
      </c>
      <c r="H29" s="49">
        <v>4</v>
      </c>
      <c r="I29" s="49"/>
      <c r="J29" s="49"/>
      <c r="K29" s="59">
        <f t="shared" si="0"/>
        <v>4.333333333333333</v>
      </c>
      <c r="L29" s="49"/>
      <c r="M29" s="49">
        <v>4</v>
      </c>
      <c r="N29" s="49">
        <v>3.5</v>
      </c>
      <c r="O29" s="49"/>
      <c r="P29" s="49"/>
      <c r="Q29" s="59">
        <f t="shared" si="1"/>
        <v>3.75</v>
      </c>
      <c r="R29" s="49"/>
      <c r="S29" s="49">
        <v>3.5</v>
      </c>
      <c r="T29" s="49"/>
      <c r="U29" s="49"/>
      <c r="V29" s="49"/>
      <c r="W29" s="59">
        <f t="shared" si="2"/>
        <v>3.5</v>
      </c>
      <c r="X29" s="49"/>
      <c r="Y29" s="49"/>
      <c r="Z29" s="49"/>
      <c r="AA29" s="49"/>
      <c r="AB29" s="49"/>
      <c r="AC29" s="59" t="str">
        <f t="shared" si="3"/>
        <v>0</v>
      </c>
      <c r="AD29" s="49"/>
      <c r="AE29" s="49"/>
      <c r="AF29" s="49"/>
      <c r="AG29" s="49"/>
      <c r="AH29" s="49"/>
      <c r="AI29" s="59" t="str">
        <f t="shared" si="4"/>
        <v>0</v>
      </c>
      <c r="AJ29" s="49">
        <v>4</v>
      </c>
      <c r="AK29" s="49">
        <v>5</v>
      </c>
      <c r="AL29" s="49">
        <v>4</v>
      </c>
      <c r="AM29" s="49">
        <v>4</v>
      </c>
      <c r="AN29" s="49"/>
      <c r="AO29" s="59">
        <f t="shared" si="5"/>
        <v>4.25</v>
      </c>
      <c r="AP29" s="49"/>
      <c r="AQ29" s="49"/>
      <c r="AR29" s="49"/>
      <c r="AS29" s="49"/>
      <c r="AT29" s="49"/>
      <c r="AU29" s="59" t="str">
        <f t="shared" si="6"/>
        <v>0</v>
      </c>
      <c r="AV29" s="49"/>
      <c r="AW29" s="49"/>
      <c r="AX29" s="49"/>
      <c r="AY29" s="49">
        <v>4</v>
      </c>
      <c r="AZ29" s="49"/>
      <c r="BA29" s="59">
        <f t="shared" si="7"/>
        <v>4</v>
      </c>
    </row>
    <row r="30" spans="1:53" ht="23.1" customHeight="1" x14ac:dyDescent="0.3">
      <c r="A30" s="7">
        <v>28</v>
      </c>
      <c r="B30" s="7" t="s">
        <v>66</v>
      </c>
      <c r="C30" s="7" t="s">
        <v>67</v>
      </c>
      <c r="D30" s="7" t="s">
        <v>450</v>
      </c>
      <c r="E30" s="7" t="s">
        <v>35</v>
      </c>
      <c r="F30" s="49">
        <v>4</v>
      </c>
      <c r="G30" s="49">
        <v>4</v>
      </c>
      <c r="H30" s="49">
        <v>4</v>
      </c>
      <c r="I30" s="49"/>
      <c r="J30" s="7"/>
      <c r="K30" s="59">
        <f t="shared" si="0"/>
        <v>4</v>
      </c>
      <c r="L30" s="49"/>
      <c r="M30" s="49">
        <v>4</v>
      </c>
      <c r="N30" s="49">
        <v>4</v>
      </c>
      <c r="O30" s="49"/>
      <c r="P30" s="49"/>
      <c r="Q30" s="59">
        <f t="shared" si="1"/>
        <v>4</v>
      </c>
      <c r="R30" s="49"/>
      <c r="S30" s="49">
        <v>2</v>
      </c>
      <c r="T30" s="7"/>
      <c r="U30" s="49"/>
      <c r="V30" s="7"/>
      <c r="W30" s="59">
        <f t="shared" si="2"/>
        <v>2</v>
      </c>
      <c r="X30" s="49"/>
      <c r="Y30" s="49"/>
      <c r="Z30" s="7"/>
      <c r="AA30" s="7"/>
      <c r="AB30" s="7"/>
      <c r="AC30" s="59" t="str">
        <f t="shared" si="3"/>
        <v>0</v>
      </c>
      <c r="AD30" s="49"/>
      <c r="AE30" s="7"/>
      <c r="AF30" s="49"/>
      <c r="AG30" s="7"/>
      <c r="AH30" s="7"/>
      <c r="AI30" s="59" t="str">
        <f t="shared" si="4"/>
        <v>0</v>
      </c>
      <c r="AJ30" s="49">
        <v>4</v>
      </c>
      <c r="AK30" s="49">
        <v>4</v>
      </c>
      <c r="AL30" s="49">
        <v>5</v>
      </c>
      <c r="AM30" s="49">
        <v>5</v>
      </c>
      <c r="AN30" s="7"/>
      <c r="AO30" s="59">
        <f t="shared" si="5"/>
        <v>4.5</v>
      </c>
      <c r="AP30" s="49"/>
      <c r="AQ30" s="49"/>
      <c r="AR30" s="49"/>
      <c r="AS30" s="7"/>
      <c r="AT30" s="7"/>
      <c r="AU30" s="59" t="str">
        <f t="shared" si="6"/>
        <v>0</v>
      </c>
      <c r="AV30" s="7"/>
      <c r="AW30" s="7"/>
      <c r="AX30" s="49"/>
      <c r="AY30" s="49">
        <v>5</v>
      </c>
      <c r="AZ30" s="49"/>
      <c r="BA30" s="59">
        <f t="shared" si="7"/>
        <v>5</v>
      </c>
    </row>
    <row r="31" spans="1:53" ht="23.1" customHeight="1" x14ac:dyDescent="0.3">
      <c r="A31" s="49">
        <v>29</v>
      </c>
      <c r="B31" s="49" t="s">
        <v>300</v>
      </c>
      <c r="C31" s="49" t="s">
        <v>301</v>
      </c>
      <c r="D31" s="49" t="s">
        <v>450</v>
      </c>
      <c r="E31" s="49" t="s">
        <v>493</v>
      </c>
      <c r="F31" s="49">
        <v>3</v>
      </c>
      <c r="G31" s="49">
        <v>4</v>
      </c>
      <c r="H31" s="49">
        <v>4</v>
      </c>
      <c r="I31" s="49"/>
      <c r="J31" s="49"/>
      <c r="K31" s="59">
        <f t="shared" si="0"/>
        <v>3.6666666666666665</v>
      </c>
      <c r="L31" s="49"/>
      <c r="M31" s="49">
        <v>4</v>
      </c>
      <c r="N31" s="49">
        <v>4</v>
      </c>
      <c r="O31" s="49"/>
      <c r="P31" s="49"/>
      <c r="Q31" s="59">
        <f t="shared" si="1"/>
        <v>4</v>
      </c>
      <c r="R31" s="49"/>
      <c r="S31" s="49">
        <v>2</v>
      </c>
      <c r="T31" s="49"/>
      <c r="U31" s="49"/>
      <c r="V31" s="49"/>
      <c r="W31" s="59">
        <f t="shared" si="2"/>
        <v>2</v>
      </c>
      <c r="X31" s="49"/>
      <c r="Y31" s="49"/>
      <c r="Z31" s="49"/>
      <c r="AA31" s="49"/>
      <c r="AB31" s="49"/>
      <c r="AC31" s="59" t="str">
        <f t="shared" si="3"/>
        <v>0</v>
      </c>
      <c r="AD31" s="49"/>
      <c r="AE31" s="49"/>
      <c r="AF31" s="49"/>
      <c r="AG31" s="49"/>
      <c r="AH31" s="49"/>
      <c r="AI31" s="59" t="str">
        <f t="shared" si="4"/>
        <v>0</v>
      </c>
      <c r="AJ31" s="49">
        <v>4</v>
      </c>
      <c r="AK31" s="49">
        <v>3</v>
      </c>
      <c r="AL31" s="49">
        <v>4</v>
      </c>
      <c r="AM31" s="49">
        <v>3</v>
      </c>
      <c r="AN31" s="49"/>
      <c r="AO31" s="59">
        <f t="shared" si="5"/>
        <v>3.5</v>
      </c>
      <c r="AP31" s="49"/>
      <c r="AQ31" s="49"/>
      <c r="AR31" s="49"/>
      <c r="AS31" s="49"/>
      <c r="AT31" s="49"/>
      <c r="AU31" s="59" t="str">
        <f t="shared" si="6"/>
        <v>0</v>
      </c>
      <c r="AV31" s="49"/>
      <c r="AW31" s="49"/>
      <c r="AX31" s="49"/>
      <c r="AY31" s="49">
        <v>4</v>
      </c>
      <c r="AZ31" s="49"/>
      <c r="BA31" s="59">
        <f t="shared" si="7"/>
        <v>4</v>
      </c>
    </row>
    <row r="32" spans="1:53" ht="23.1" customHeight="1" x14ac:dyDescent="0.3">
      <c r="A32" s="7">
        <v>30</v>
      </c>
      <c r="B32" s="7" t="s">
        <v>40</v>
      </c>
      <c r="C32" s="7" t="s">
        <v>41</v>
      </c>
      <c r="D32" s="7" t="s">
        <v>450</v>
      </c>
      <c r="E32" s="7" t="s">
        <v>35</v>
      </c>
      <c r="F32" s="49">
        <v>3</v>
      </c>
      <c r="G32" s="49">
        <v>3</v>
      </c>
      <c r="H32" s="49">
        <v>3</v>
      </c>
      <c r="I32" s="49"/>
      <c r="J32" s="7"/>
      <c r="K32" s="59">
        <f t="shared" si="0"/>
        <v>3</v>
      </c>
      <c r="L32" s="49"/>
      <c r="M32" s="49">
        <v>3</v>
      </c>
      <c r="N32" s="49">
        <v>3</v>
      </c>
      <c r="O32" s="49"/>
      <c r="P32" s="49"/>
      <c r="Q32" s="59">
        <f t="shared" si="1"/>
        <v>3</v>
      </c>
      <c r="R32" s="49"/>
      <c r="S32" s="49">
        <v>2</v>
      </c>
      <c r="T32" s="7"/>
      <c r="U32" s="49"/>
      <c r="V32" s="7"/>
      <c r="W32" s="59">
        <f t="shared" si="2"/>
        <v>2</v>
      </c>
      <c r="X32" s="49"/>
      <c r="Y32" s="49"/>
      <c r="Z32" s="7"/>
      <c r="AA32" s="7"/>
      <c r="AB32" s="7"/>
      <c r="AC32" s="59" t="str">
        <f t="shared" si="3"/>
        <v>0</v>
      </c>
      <c r="AD32" s="49"/>
      <c r="AE32" s="7"/>
      <c r="AF32" s="49"/>
      <c r="AG32" s="7"/>
      <c r="AH32" s="7"/>
      <c r="AI32" s="59" t="str">
        <f t="shared" si="4"/>
        <v>0</v>
      </c>
      <c r="AJ32" s="49">
        <v>3</v>
      </c>
      <c r="AK32" s="49">
        <v>3</v>
      </c>
      <c r="AL32" s="49">
        <v>3</v>
      </c>
      <c r="AM32" s="49">
        <v>3</v>
      </c>
      <c r="AN32" s="7"/>
      <c r="AO32" s="59">
        <f t="shared" si="5"/>
        <v>3</v>
      </c>
      <c r="AP32" s="49"/>
      <c r="AQ32" s="49"/>
      <c r="AR32" s="49"/>
      <c r="AS32" s="7"/>
      <c r="AT32" s="7"/>
      <c r="AU32" s="59" t="str">
        <f t="shared" si="6"/>
        <v>0</v>
      </c>
      <c r="AV32" s="7"/>
      <c r="AW32" s="7"/>
      <c r="AX32" s="49"/>
      <c r="AY32" s="49">
        <v>3.5</v>
      </c>
      <c r="AZ32" s="49"/>
      <c r="BA32" s="59">
        <f t="shared" si="7"/>
        <v>3.5</v>
      </c>
    </row>
    <row r="33" spans="1:53" ht="23.1" customHeight="1" x14ac:dyDescent="0.3">
      <c r="A33" s="49">
        <v>31</v>
      </c>
      <c r="B33" s="49" t="s">
        <v>110</v>
      </c>
      <c r="C33" s="49" t="s">
        <v>111</v>
      </c>
      <c r="D33" s="49" t="s">
        <v>450</v>
      </c>
      <c r="E33" s="49" t="s">
        <v>35</v>
      </c>
      <c r="F33" s="49">
        <v>3</v>
      </c>
      <c r="G33" s="49">
        <v>2</v>
      </c>
      <c r="H33" s="49">
        <v>3</v>
      </c>
      <c r="I33" s="49"/>
      <c r="J33" s="49"/>
      <c r="K33" s="59">
        <f t="shared" si="0"/>
        <v>2.6666666666666665</v>
      </c>
      <c r="L33" s="49"/>
      <c r="M33" s="49">
        <v>4</v>
      </c>
      <c r="N33" s="49">
        <v>3</v>
      </c>
      <c r="O33" s="49"/>
      <c r="P33" s="49"/>
      <c r="Q33" s="59">
        <f t="shared" si="1"/>
        <v>3.5</v>
      </c>
      <c r="R33" s="49"/>
      <c r="S33" s="49">
        <v>3</v>
      </c>
      <c r="T33" s="49"/>
      <c r="U33" s="49"/>
      <c r="V33" s="49"/>
      <c r="W33" s="59">
        <f t="shared" si="2"/>
        <v>3</v>
      </c>
      <c r="X33" s="49"/>
      <c r="Y33" s="49"/>
      <c r="Z33" s="49"/>
      <c r="AA33" s="49"/>
      <c r="AB33" s="49"/>
      <c r="AC33" s="59" t="str">
        <f t="shared" si="3"/>
        <v>0</v>
      </c>
      <c r="AD33" s="49"/>
      <c r="AE33" s="49"/>
      <c r="AF33" s="49"/>
      <c r="AG33" s="49"/>
      <c r="AH33" s="49"/>
      <c r="AI33" s="59" t="str">
        <f t="shared" si="4"/>
        <v>0</v>
      </c>
      <c r="AJ33" s="49">
        <v>2</v>
      </c>
      <c r="AK33" s="49">
        <v>2</v>
      </c>
      <c r="AL33" s="49">
        <v>2</v>
      </c>
      <c r="AM33" s="49">
        <v>2</v>
      </c>
      <c r="AN33" s="49"/>
      <c r="AO33" s="59">
        <f t="shared" si="5"/>
        <v>2</v>
      </c>
      <c r="AP33" s="49"/>
      <c r="AQ33" s="49"/>
      <c r="AR33" s="49"/>
      <c r="AS33" s="49"/>
      <c r="AT33" s="49"/>
      <c r="AU33" s="59" t="str">
        <f t="shared" si="6"/>
        <v>0</v>
      </c>
      <c r="AV33" s="49"/>
      <c r="AW33" s="49"/>
      <c r="AX33" s="49"/>
      <c r="AY33" s="49">
        <v>3</v>
      </c>
      <c r="AZ33" s="49"/>
      <c r="BA33" s="59">
        <f t="shared" si="7"/>
        <v>3</v>
      </c>
    </row>
    <row r="34" spans="1:53" ht="23.1" customHeight="1" x14ac:dyDescent="0.3">
      <c r="A34" s="7">
        <v>32</v>
      </c>
      <c r="B34" s="7" t="s">
        <v>243</v>
      </c>
      <c r="C34" s="7" t="s">
        <v>244</v>
      </c>
      <c r="D34" s="7" t="s">
        <v>542</v>
      </c>
      <c r="E34" s="7" t="s">
        <v>161</v>
      </c>
      <c r="F34" s="49">
        <v>3</v>
      </c>
      <c r="G34" s="49">
        <v>3</v>
      </c>
      <c r="H34" s="49">
        <v>3</v>
      </c>
      <c r="I34" s="49"/>
      <c r="J34" s="7"/>
      <c r="K34" s="59">
        <f t="shared" si="0"/>
        <v>3</v>
      </c>
      <c r="L34" s="49"/>
      <c r="M34" s="49">
        <v>2</v>
      </c>
      <c r="N34" s="49">
        <v>2</v>
      </c>
      <c r="O34" s="49"/>
      <c r="P34" s="49"/>
      <c r="Q34" s="59">
        <f t="shared" si="1"/>
        <v>2</v>
      </c>
      <c r="R34" s="49"/>
      <c r="S34" s="49">
        <v>3</v>
      </c>
      <c r="T34" s="7"/>
      <c r="U34" s="49"/>
      <c r="V34" s="7"/>
      <c r="W34" s="59">
        <f t="shared" si="2"/>
        <v>3</v>
      </c>
      <c r="X34" s="49"/>
      <c r="Y34" s="49"/>
      <c r="Z34" s="7"/>
      <c r="AA34" s="7"/>
      <c r="AB34" s="7"/>
      <c r="AC34" s="59" t="str">
        <f t="shared" si="3"/>
        <v>0</v>
      </c>
      <c r="AD34" s="49"/>
      <c r="AE34" s="7"/>
      <c r="AF34" s="49"/>
      <c r="AG34" s="7"/>
      <c r="AH34" s="7"/>
      <c r="AI34" s="59" t="str">
        <f t="shared" si="4"/>
        <v>0</v>
      </c>
      <c r="AJ34" s="49">
        <v>2</v>
      </c>
      <c r="AK34" s="49">
        <v>2</v>
      </c>
      <c r="AL34" s="49">
        <v>3</v>
      </c>
      <c r="AM34" s="49">
        <v>2</v>
      </c>
      <c r="AN34" s="7"/>
      <c r="AO34" s="59">
        <f t="shared" si="5"/>
        <v>2.25</v>
      </c>
      <c r="AP34" s="49"/>
      <c r="AQ34" s="49"/>
      <c r="AR34" s="49"/>
      <c r="AS34" s="7"/>
      <c r="AT34" s="7"/>
      <c r="AU34" s="59" t="str">
        <f t="shared" si="6"/>
        <v>0</v>
      </c>
      <c r="AV34" s="7"/>
      <c r="AW34" s="7"/>
      <c r="AX34" s="49"/>
      <c r="AY34" s="49">
        <v>3</v>
      </c>
      <c r="AZ34" s="49"/>
      <c r="BA34" s="59">
        <f t="shared" si="7"/>
        <v>3</v>
      </c>
    </row>
    <row r="35" spans="1:53" ht="23.1" customHeight="1" x14ac:dyDescent="0.3">
      <c r="A35" s="49">
        <v>33</v>
      </c>
      <c r="B35" s="49" t="s">
        <v>211</v>
      </c>
      <c r="C35" s="49" t="s">
        <v>212</v>
      </c>
      <c r="D35" s="49" t="s">
        <v>542</v>
      </c>
      <c r="E35" s="49" t="s">
        <v>161</v>
      </c>
      <c r="F35" s="49">
        <v>5</v>
      </c>
      <c r="G35" s="49">
        <v>4</v>
      </c>
      <c r="H35" s="49">
        <v>4</v>
      </c>
      <c r="I35" s="49"/>
      <c r="J35" s="49"/>
      <c r="K35" s="59">
        <f t="shared" si="0"/>
        <v>4.333333333333333</v>
      </c>
      <c r="L35" s="49"/>
      <c r="M35" s="49">
        <v>3</v>
      </c>
      <c r="N35" s="49">
        <v>3</v>
      </c>
      <c r="O35" s="49"/>
      <c r="P35" s="49"/>
      <c r="Q35" s="59">
        <f t="shared" si="1"/>
        <v>3</v>
      </c>
      <c r="R35" s="49"/>
      <c r="S35" s="49">
        <v>3</v>
      </c>
      <c r="T35" s="49"/>
      <c r="U35" s="49"/>
      <c r="V35" s="49"/>
      <c r="W35" s="59">
        <f t="shared" si="2"/>
        <v>3</v>
      </c>
      <c r="X35" s="49"/>
      <c r="Y35" s="49"/>
      <c r="Z35" s="49"/>
      <c r="AA35" s="49"/>
      <c r="AB35" s="49"/>
      <c r="AC35" s="59" t="str">
        <f t="shared" si="3"/>
        <v>0</v>
      </c>
      <c r="AD35" s="49"/>
      <c r="AE35" s="49"/>
      <c r="AF35" s="49"/>
      <c r="AG35" s="49"/>
      <c r="AH35" s="49"/>
      <c r="AI35" s="59" t="str">
        <f t="shared" si="4"/>
        <v>0</v>
      </c>
      <c r="AJ35" s="49">
        <v>4</v>
      </c>
      <c r="AK35" s="49">
        <v>5</v>
      </c>
      <c r="AL35" s="49">
        <v>4</v>
      </c>
      <c r="AM35" s="49">
        <v>4</v>
      </c>
      <c r="AN35" s="49"/>
      <c r="AO35" s="59">
        <f t="shared" si="5"/>
        <v>4.25</v>
      </c>
      <c r="AP35" s="49"/>
      <c r="AQ35" s="49"/>
      <c r="AR35" s="49"/>
      <c r="AS35" s="49"/>
      <c r="AT35" s="49"/>
      <c r="AU35" s="59" t="str">
        <f t="shared" si="6"/>
        <v>0</v>
      </c>
      <c r="AV35" s="49"/>
      <c r="AW35" s="49"/>
      <c r="AX35" s="49"/>
      <c r="AY35" s="49">
        <v>3</v>
      </c>
      <c r="AZ35" s="49"/>
      <c r="BA35" s="59">
        <f t="shared" si="7"/>
        <v>3</v>
      </c>
    </row>
    <row r="36" spans="1:53" ht="23.1" customHeight="1" x14ac:dyDescent="0.3">
      <c r="A36" s="7">
        <v>34</v>
      </c>
      <c r="B36" s="7" t="s">
        <v>95</v>
      </c>
      <c r="C36" s="7" t="s">
        <v>96</v>
      </c>
      <c r="D36" s="7" t="s">
        <v>542</v>
      </c>
      <c r="E36" s="7" t="s">
        <v>35</v>
      </c>
      <c r="F36" s="49">
        <v>3</v>
      </c>
      <c r="G36" s="49">
        <v>3</v>
      </c>
      <c r="H36" s="49">
        <v>3</v>
      </c>
      <c r="I36" s="49"/>
      <c r="J36" s="7"/>
      <c r="K36" s="59">
        <f t="shared" si="0"/>
        <v>3</v>
      </c>
      <c r="L36" s="49"/>
      <c r="M36" s="49">
        <v>4</v>
      </c>
      <c r="N36" s="49">
        <v>4</v>
      </c>
      <c r="O36" s="49"/>
      <c r="P36" s="49"/>
      <c r="Q36" s="59">
        <f t="shared" si="1"/>
        <v>4</v>
      </c>
      <c r="R36" s="49"/>
      <c r="S36" s="49">
        <v>3</v>
      </c>
      <c r="T36" s="7"/>
      <c r="U36" s="49"/>
      <c r="V36" s="7"/>
      <c r="W36" s="59">
        <f t="shared" si="2"/>
        <v>3</v>
      </c>
      <c r="X36" s="49"/>
      <c r="Y36" s="49"/>
      <c r="Z36" s="7"/>
      <c r="AA36" s="7"/>
      <c r="AB36" s="7"/>
      <c r="AC36" s="59" t="str">
        <f t="shared" si="3"/>
        <v>0</v>
      </c>
      <c r="AD36" s="49"/>
      <c r="AE36" s="7"/>
      <c r="AF36" s="49"/>
      <c r="AG36" s="7"/>
      <c r="AH36" s="7"/>
      <c r="AI36" s="59" t="str">
        <f t="shared" si="4"/>
        <v>0</v>
      </c>
      <c r="AJ36" s="49">
        <v>3</v>
      </c>
      <c r="AK36" s="49">
        <v>3</v>
      </c>
      <c r="AL36" s="49">
        <v>3</v>
      </c>
      <c r="AM36" s="49">
        <v>3</v>
      </c>
      <c r="AN36" s="7"/>
      <c r="AO36" s="59">
        <f t="shared" si="5"/>
        <v>3</v>
      </c>
      <c r="AP36" s="49"/>
      <c r="AQ36" s="49"/>
      <c r="AR36" s="49"/>
      <c r="AS36" s="7"/>
      <c r="AT36" s="7"/>
      <c r="AU36" s="59" t="str">
        <f t="shared" si="6"/>
        <v>0</v>
      </c>
      <c r="AV36" s="7"/>
      <c r="AW36" s="7"/>
      <c r="AX36" s="49"/>
      <c r="AY36" s="49">
        <v>4</v>
      </c>
      <c r="AZ36" s="49"/>
      <c r="BA36" s="59">
        <f t="shared" si="7"/>
        <v>4</v>
      </c>
    </row>
    <row r="37" spans="1:53" ht="23.1" customHeight="1" x14ac:dyDescent="0.3">
      <c r="A37" s="49">
        <v>35</v>
      </c>
      <c r="B37" s="49" t="s">
        <v>273</v>
      </c>
      <c r="C37" s="49" t="s">
        <v>274</v>
      </c>
      <c r="D37" s="49" t="s">
        <v>450</v>
      </c>
      <c r="E37" s="49" t="s">
        <v>161</v>
      </c>
      <c r="F37" s="49">
        <v>4</v>
      </c>
      <c r="G37" s="49">
        <v>4</v>
      </c>
      <c r="H37" s="49">
        <v>4</v>
      </c>
      <c r="I37" s="49"/>
      <c r="J37" s="49"/>
      <c r="K37" s="59">
        <f t="shared" si="0"/>
        <v>4</v>
      </c>
      <c r="L37" s="49"/>
      <c r="M37" s="49">
        <v>5</v>
      </c>
      <c r="N37" s="49">
        <v>5</v>
      </c>
      <c r="O37" s="49"/>
      <c r="P37" s="49"/>
      <c r="Q37" s="59">
        <f t="shared" si="1"/>
        <v>5</v>
      </c>
      <c r="R37" s="49"/>
      <c r="S37" s="49">
        <v>2</v>
      </c>
      <c r="T37" s="49"/>
      <c r="U37" s="49"/>
      <c r="V37" s="49"/>
      <c r="W37" s="59">
        <f t="shared" si="2"/>
        <v>2</v>
      </c>
      <c r="X37" s="49"/>
      <c r="Y37" s="49"/>
      <c r="Z37" s="49"/>
      <c r="AA37" s="49"/>
      <c r="AB37" s="49"/>
      <c r="AC37" s="59" t="str">
        <f t="shared" si="3"/>
        <v>0</v>
      </c>
      <c r="AD37" s="49"/>
      <c r="AE37" s="49"/>
      <c r="AF37" s="49"/>
      <c r="AG37" s="49"/>
      <c r="AH37" s="49"/>
      <c r="AI37" s="59" t="str">
        <f t="shared" si="4"/>
        <v>0</v>
      </c>
      <c r="AJ37" s="49">
        <v>4</v>
      </c>
      <c r="AK37" s="49">
        <v>3</v>
      </c>
      <c r="AL37" s="49">
        <v>3</v>
      </c>
      <c r="AM37" s="49">
        <v>3</v>
      </c>
      <c r="AN37" s="49"/>
      <c r="AO37" s="59">
        <f t="shared" si="5"/>
        <v>3.25</v>
      </c>
      <c r="AP37" s="49"/>
      <c r="AQ37" s="49"/>
      <c r="AR37" s="49"/>
      <c r="AS37" s="49"/>
      <c r="AT37" s="49"/>
      <c r="AU37" s="59" t="str">
        <f t="shared" si="6"/>
        <v>0</v>
      </c>
      <c r="AV37" s="49"/>
      <c r="AW37" s="49"/>
      <c r="AX37" s="49"/>
      <c r="AY37" s="49">
        <v>5</v>
      </c>
      <c r="AZ37" s="49"/>
      <c r="BA37" s="59">
        <f t="shared" si="7"/>
        <v>5</v>
      </c>
    </row>
    <row r="38" spans="1:53" ht="23.1" customHeight="1" x14ac:dyDescent="0.3">
      <c r="A38" s="7">
        <v>36</v>
      </c>
      <c r="B38" s="7" t="s">
        <v>112</v>
      </c>
      <c r="C38" s="7" t="s">
        <v>113</v>
      </c>
      <c r="D38" s="7" t="s">
        <v>450</v>
      </c>
      <c r="E38" s="7" t="s">
        <v>35</v>
      </c>
      <c r="F38" s="49">
        <v>4</v>
      </c>
      <c r="G38" s="49">
        <v>4</v>
      </c>
      <c r="H38" s="49">
        <v>4</v>
      </c>
      <c r="I38" s="49"/>
      <c r="J38" s="7"/>
      <c r="K38" s="59">
        <f t="shared" si="0"/>
        <v>4</v>
      </c>
      <c r="L38" s="49"/>
      <c r="M38" s="49">
        <v>3</v>
      </c>
      <c r="N38" s="49">
        <v>3</v>
      </c>
      <c r="O38" s="49"/>
      <c r="P38" s="49"/>
      <c r="Q38" s="59">
        <f t="shared" si="1"/>
        <v>3</v>
      </c>
      <c r="R38" s="49"/>
      <c r="S38" s="49">
        <v>3</v>
      </c>
      <c r="T38" s="7"/>
      <c r="U38" s="49"/>
      <c r="V38" s="7"/>
      <c r="W38" s="59">
        <f t="shared" si="2"/>
        <v>3</v>
      </c>
      <c r="X38" s="49"/>
      <c r="Y38" s="49"/>
      <c r="Z38" s="7"/>
      <c r="AA38" s="7"/>
      <c r="AB38" s="7"/>
      <c r="AC38" s="59" t="str">
        <f t="shared" si="3"/>
        <v>0</v>
      </c>
      <c r="AD38" s="49"/>
      <c r="AE38" s="7"/>
      <c r="AF38" s="49"/>
      <c r="AG38" s="7"/>
      <c r="AH38" s="7"/>
      <c r="AI38" s="59" t="str">
        <f t="shared" si="4"/>
        <v>0</v>
      </c>
      <c r="AJ38" s="49">
        <v>4</v>
      </c>
      <c r="AK38" s="49">
        <v>4</v>
      </c>
      <c r="AL38" s="49">
        <v>5</v>
      </c>
      <c r="AM38" s="49">
        <v>5</v>
      </c>
      <c r="AN38" s="7"/>
      <c r="AO38" s="59">
        <f t="shared" si="5"/>
        <v>4.5</v>
      </c>
      <c r="AP38" s="49"/>
      <c r="AQ38" s="49"/>
      <c r="AR38" s="49"/>
      <c r="AS38" s="7"/>
      <c r="AT38" s="7"/>
      <c r="AU38" s="59" t="str">
        <f t="shared" si="6"/>
        <v>0</v>
      </c>
      <c r="AV38" s="7"/>
      <c r="AW38" s="7"/>
      <c r="AX38" s="49"/>
      <c r="AY38" s="49">
        <v>3</v>
      </c>
      <c r="AZ38" s="49"/>
      <c r="BA38" s="59">
        <f t="shared" si="7"/>
        <v>3</v>
      </c>
    </row>
    <row r="39" spans="1:53" ht="23.1" customHeight="1" x14ac:dyDescent="0.3">
      <c r="A39" s="49">
        <v>37</v>
      </c>
      <c r="B39" s="49" t="s">
        <v>302</v>
      </c>
      <c r="C39" s="49" t="s">
        <v>303</v>
      </c>
      <c r="D39" s="49" t="s">
        <v>450</v>
      </c>
      <c r="E39" s="49" t="s">
        <v>493</v>
      </c>
      <c r="F39" s="49">
        <v>5</v>
      </c>
      <c r="G39" s="49">
        <v>5</v>
      </c>
      <c r="H39" s="49">
        <v>5</v>
      </c>
      <c r="I39" s="49"/>
      <c r="J39" s="49"/>
      <c r="K39" s="59">
        <f t="shared" si="0"/>
        <v>5</v>
      </c>
      <c r="L39" s="49"/>
      <c r="M39" s="49">
        <v>5</v>
      </c>
      <c r="N39" s="49">
        <v>5</v>
      </c>
      <c r="O39" s="49"/>
      <c r="P39" s="49"/>
      <c r="Q39" s="59">
        <f t="shared" si="1"/>
        <v>5</v>
      </c>
      <c r="R39" s="49"/>
      <c r="S39" s="49">
        <v>2</v>
      </c>
      <c r="T39" s="49"/>
      <c r="U39" s="49"/>
      <c r="V39" s="49"/>
      <c r="W39" s="59">
        <f t="shared" si="2"/>
        <v>2</v>
      </c>
      <c r="X39" s="49"/>
      <c r="Y39" s="49"/>
      <c r="Z39" s="49"/>
      <c r="AA39" s="49"/>
      <c r="AB39" s="49"/>
      <c r="AC39" s="59" t="str">
        <f t="shared" si="3"/>
        <v>0</v>
      </c>
      <c r="AD39" s="49"/>
      <c r="AE39" s="49"/>
      <c r="AF39" s="49"/>
      <c r="AG39" s="49"/>
      <c r="AH39" s="49"/>
      <c r="AI39" s="59" t="str">
        <f t="shared" si="4"/>
        <v>0</v>
      </c>
      <c r="AJ39" s="49">
        <v>5</v>
      </c>
      <c r="AK39" s="49">
        <v>5</v>
      </c>
      <c r="AL39" s="49">
        <v>5</v>
      </c>
      <c r="AM39" s="49">
        <v>5</v>
      </c>
      <c r="AN39" s="49"/>
      <c r="AO39" s="59">
        <f t="shared" si="5"/>
        <v>5</v>
      </c>
      <c r="AP39" s="49"/>
      <c r="AQ39" s="49"/>
      <c r="AR39" s="49"/>
      <c r="AS39" s="49"/>
      <c r="AT39" s="49"/>
      <c r="AU39" s="59" t="str">
        <f t="shared" si="6"/>
        <v>0</v>
      </c>
      <c r="AV39" s="49"/>
      <c r="AW39" s="49"/>
      <c r="AX39" s="49"/>
      <c r="AY39" s="49">
        <v>5</v>
      </c>
      <c r="AZ39" s="49"/>
      <c r="BA39" s="59">
        <f t="shared" si="7"/>
        <v>5</v>
      </c>
    </row>
    <row r="40" spans="1:53" ht="23.1" customHeight="1" x14ac:dyDescent="0.3">
      <c r="A40" s="7">
        <v>38</v>
      </c>
      <c r="B40" s="7" t="s">
        <v>227</v>
      </c>
      <c r="C40" s="7" t="s">
        <v>228</v>
      </c>
      <c r="D40" s="7" t="s">
        <v>542</v>
      </c>
      <c r="E40" s="7" t="s">
        <v>161</v>
      </c>
      <c r="F40" s="49">
        <v>4</v>
      </c>
      <c r="G40" s="49">
        <v>4</v>
      </c>
      <c r="H40" s="49">
        <v>5</v>
      </c>
      <c r="I40" s="49"/>
      <c r="J40" s="7"/>
      <c r="K40" s="59">
        <f t="shared" si="0"/>
        <v>4.333333333333333</v>
      </c>
      <c r="L40" s="49"/>
      <c r="M40" s="49">
        <v>3.5</v>
      </c>
      <c r="N40" s="49">
        <v>3</v>
      </c>
      <c r="O40" s="49"/>
      <c r="P40" s="49"/>
      <c r="Q40" s="59">
        <f t="shared" si="1"/>
        <v>3.25</v>
      </c>
      <c r="R40" s="49"/>
      <c r="S40" s="49">
        <v>3</v>
      </c>
      <c r="T40" s="7"/>
      <c r="U40" s="49"/>
      <c r="V40" s="7"/>
      <c r="W40" s="59">
        <f t="shared" si="2"/>
        <v>3</v>
      </c>
      <c r="X40" s="49"/>
      <c r="Y40" s="49"/>
      <c r="Z40" s="7"/>
      <c r="AA40" s="7"/>
      <c r="AB40" s="7"/>
      <c r="AC40" s="59" t="str">
        <f t="shared" si="3"/>
        <v>0</v>
      </c>
      <c r="AD40" s="49"/>
      <c r="AE40" s="7"/>
      <c r="AF40" s="49"/>
      <c r="AG40" s="7"/>
      <c r="AH40" s="7"/>
      <c r="AI40" s="59" t="str">
        <f t="shared" si="4"/>
        <v>0</v>
      </c>
      <c r="AJ40" s="49">
        <v>4</v>
      </c>
      <c r="AK40" s="49">
        <v>5</v>
      </c>
      <c r="AL40" s="49">
        <v>5</v>
      </c>
      <c r="AM40" s="49">
        <v>5</v>
      </c>
      <c r="AN40" s="7"/>
      <c r="AO40" s="59">
        <f t="shared" si="5"/>
        <v>4.75</v>
      </c>
      <c r="AP40" s="49"/>
      <c r="AQ40" s="49"/>
      <c r="AR40" s="49"/>
      <c r="AS40" s="7"/>
      <c r="AT40" s="7"/>
      <c r="AU40" s="59" t="str">
        <f t="shared" si="6"/>
        <v>0</v>
      </c>
      <c r="AV40" s="7"/>
      <c r="AW40" s="7"/>
      <c r="AX40" s="49"/>
      <c r="AY40" s="49">
        <v>2.5</v>
      </c>
      <c r="AZ40" s="49"/>
      <c r="BA40" s="59">
        <f t="shared" si="7"/>
        <v>2.5</v>
      </c>
    </row>
    <row r="41" spans="1:53" ht="23.1" customHeight="1" x14ac:dyDescent="0.3">
      <c r="A41" s="49">
        <v>39</v>
      </c>
      <c r="B41" s="49" t="s">
        <v>304</v>
      </c>
      <c r="C41" s="49" t="s">
        <v>305</v>
      </c>
      <c r="D41" s="49" t="s">
        <v>542</v>
      </c>
      <c r="E41" s="49" t="s">
        <v>493</v>
      </c>
      <c r="F41" s="49">
        <v>3</v>
      </c>
      <c r="G41" s="49">
        <v>3</v>
      </c>
      <c r="H41" s="49">
        <v>3</v>
      </c>
      <c r="I41" s="49"/>
      <c r="J41" s="49"/>
      <c r="K41" s="59">
        <f t="shared" si="0"/>
        <v>3</v>
      </c>
      <c r="L41" s="49"/>
      <c r="M41" s="49">
        <v>4</v>
      </c>
      <c r="N41" s="49">
        <v>3.5</v>
      </c>
      <c r="O41" s="49"/>
      <c r="P41" s="49"/>
      <c r="Q41" s="59">
        <f t="shared" si="1"/>
        <v>3.75</v>
      </c>
      <c r="R41" s="49"/>
      <c r="S41" s="49">
        <v>3</v>
      </c>
      <c r="T41" s="49"/>
      <c r="U41" s="49"/>
      <c r="V41" s="49"/>
      <c r="W41" s="59">
        <f t="shared" si="2"/>
        <v>3</v>
      </c>
      <c r="X41" s="49"/>
      <c r="Y41" s="49"/>
      <c r="Z41" s="49"/>
      <c r="AA41" s="49"/>
      <c r="AB41" s="49"/>
      <c r="AC41" s="59" t="str">
        <f t="shared" si="3"/>
        <v>0</v>
      </c>
      <c r="AD41" s="49"/>
      <c r="AE41" s="49"/>
      <c r="AF41" s="49"/>
      <c r="AG41" s="49"/>
      <c r="AH41" s="49"/>
      <c r="AI41" s="59" t="str">
        <f t="shared" si="4"/>
        <v>0</v>
      </c>
      <c r="AJ41" s="49">
        <v>3</v>
      </c>
      <c r="AK41" s="49">
        <v>3</v>
      </c>
      <c r="AL41" s="49">
        <v>4</v>
      </c>
      <c r="AM41" s="49">
        <v>3</v>
      </c>
      <c r="AN41" s="49"/>
      <c r="AO41" s="59">
        <f t="shared" si="5"/>
        <v>3.25</v>
      </c>
      <c r="AP41" s="49"/>
      <c r="AQ41" s="49"/>
      <c r="AR41" s="49"/>
      <c r="AS41" s="49"/>
      <c r="AT41" s="49"/>
      <c r="AU41" s="59" t="str">
        <f t="shared" si="6"/>
        <v>0</v>
      </c>
      <c r="AV41" s="49"/>
      <c r="AW41" s="49"/>
      <c r="AX41" s="49"/>
      <c r="AY41" s="49">
        <v>3</v>
      </c>
      <c r="AZ41" s="49"/>
      <c r="BA41" s="59">
        <f t="shared" si="7"/>
        <v>3</v>
      </c>
    </row>
    <row r="42" spans="1:53" ht="23.1" customHeight="1" x14ac:dyDescent="0.3">
      <c r="A42" s="7">
        <v>40</v>
      </c>
      <c r="B42" s="7" t="s">
        <v>89</v>
      </c>
      <c r="C42" s="7" t="s">
        <v>90</v>
      </c>
      <c r="D42" s="7" t="s">
        <v>450</v>
      </c>
      <c r="E42" s="7" t="s">
        <v>35</v>
      </c>
      <c r="F42" s="49">
        <v>2</v>
      </c>
      <c r="G42" s="49">
        <v>2</v>
      </c>
      <c r="H42" s="49">
        <v>2</v>
      </c>
      <c r="I42" s="49"/>
      <c r="J42" s="7"/>
      <c r="K42" s="59">
        <f t="shared" si="0"/>
        <v>2</v>
      </c>
      <c r="L42" s="49"/>
      <c r="M42" s="49">
        <v>2</v>
      </c>
      <c r="N42" s="49">
        <v>2</v>
      </c>
      <c r="O42" s="49"/>
      <c r="P42" s="49"/>
      <c r="Q42" s="59">
        <f t="shared" si="1"/>
        <v>2</v>
      </c>
      <c r="R42" s="49"/>
      <c r="S42" s="49">
        <v>4</v>
      </c>
      <c r="T42" s="7"/>
      <c r="U42" s="49"/>
      <c r="V42" s="7"/>
      <c r="W42" s="59">
        <f t="shared" si="2"/>
        <v>4</v>
      </c>
      <c r="X42" s="49"/>
      <c r="Y42" s="49"/>
      <c r="Z42" s="7"/>
      <c r="AA42" s="7"/>
      <c r="AB42" s="7"/>
      <c r="AC42" s="59" t="str">
        <f t="shared" si="3"/>
        <v>0</v>
      </c>
      <c r="AD42" s="49"/>
      <c r="AE42" s="7"/>
      <c r="AF42" s="49"/>
      <c r="AG42" s="7"/>
      <c r="AH42" s="7"/>
      <c r="AI42" s="59" t="str">
        <f t="shared" si="4"/>
        <v>0</v>
      </c>
      <c r="AJ42" s="49">
        <v>3</v>
      </c>
      <c r="AK42" s="49">
        <v>3</v>
      </c>
      <c r="AL42" s="49">
        <v>3</v>
      </c>
      <c r="AM42" s="49">
        <v>3</v>
      </c>
      <c r="AN42" s="7"/>
      <c r="AO42" s="59">
        <f t="shared" si="5"/>
        <v>3</v>
      </c>
      <c r="AP42" s="49"/>
      <c r="AQ42" s="49"/>
      <c r="AR42" s="49"/>
      <c r="AS42" s="7"/>
      <c r="AT42" s="7"/>
      <c r="AU42" s="59" t="str">
        <f t="shared" si="6"/>
        <v>0</v>
      </c>
      <c r="AV42" s="7"/>
      <c r="AW42" s="7"/>
      <c r="AX42" s="49"/>
      <c r="AY42" s="49">
        <v>3</v>
      </c>
      <c r="AZ42" s="49"/>
      <c r="BA42" s="59">
        <f t="shared" si="7"/>
        <v>3</v>
      </c>
    </row>
    <row r="43" spans="1:53" ht="23.1" customHeight="1" x14ac:dyDescent="0.3">
      <c r="A43" s="49">
        <v>41</v>
      </c>
      <c r="B43" s="49" t="s">
        <v>306</v>
      </c>
      <c r="C43" s="49" t="s">
        <v>307</v>
      </c>
      <c r="D43" s="49" t="s">
        <v>542</v>
      </c>
      <c r="E43" s="49" t="s">
        <v>493</v>
      </c>
      <c r="F43" s="49">
        <v>3</v>
      </c>
      <c r="G43" s="49">
        <v>3</v>
      </c>
      <c r="H43" s="49">
        <v>3</v>
      </c>
      <c r="I43" s="49"/>
      <c r="J43" s="49"/>
      <c r="K43" s="59">
        <f t="shared" si="0"/>
        <v>3</v>
      </c>
      <c r="L43" s="49"/>
      <c r="M43" s="49">
        <v>3</v>
      </c>
      <c r="N43" s="49">
        <v>3</v>
      </c>
      <c r="O43" s="49"/>
      <c r="P43" s="49"/>
      <c r="Q43" s="59">
        <f t="shared" si="1"/>
        <v>3</v>
      </c>
      <c r="R43" s="49"/>
      <c r="S43" s="49">
        <v>3</v>
      </c>
      <c r="T43" s="49"/>
      <c r="U43" s="49"/>
      <c r="V43" s="49"/>
      <c r="W43" s="59">
        <f t="shared" si="2"/>
        <v>3</v>
      </c>
      <c r="X43" s="49"/>
      <c r="Y43" s="49"/>
      <c r="Z43" s="49"/>
      <c r="AA43" s="49"/>
      <c r="AB43" s="49"/>
      <c r="AC43" s="59" t="str">
        <f t="shared" si="3"/>
        <v>0</v>
      </c>
      <c r="AD43" s="49"/>
      <c r="AE43" s="49"/>
      <c r="AF43" s="49"/>
      <c r="AG43" s="49"/>
      <c r="AH43" s="49"/>
      <c r="AI43" s="59" t="str">
        <f t="shared" si="4"/>
        <v>0</v>
      </c>
      <c r="AJ43" s="49">
        <v>3</v>
      </c>
      <c r="AK43" s="49">
        <v>3</v>
      </c>
      <c r="AL43" s="49">
        <v>4</v>
      </c>
      <c r="AM43" s="49">
        <v>3</v>
      </c>
      <c r="AN43" s="49"/>
      <c r="AO43" s="59">
        <f t="shared" si="5"/>
        <v>3.25</v>
      </c>
      <c r="AP43" s="49"/>
      <c r="AQ43" s="49"/>
      <c r="AR43" s="49"/>
      <c r="AS43" s="49"/>
      <c r="AT43" s="49"/>
      <c r="AU43" s="59" t="str">
        <f t="shared" si="6"/>
        <v>0</v>
      </c>
      <c r="AV43" s="49"/>
      <c r="AW43" s="49"/>
      <c r="AX43" s="49"/>
      <c r="AY43" s="49">
        <v>3</v>
      </c>
      <c r="AZ43" s="49"/>
      <c r="BA43" s="59">
        <f t="shared" si="7"/>
        <v>3</v>
      </c>
    </row>
    <row r="44" spans="1:53" ht="23.1" customHeight="1" x14ac:dyDescent="0.3">
      <c r="A44" s="7">
        <v>42</v>
      </c>
      <c r="B44" s="7" t="s">
        <v>245</v>
      </c>
      <c r="C44" s="7" t="s">
        <v>246</v>
      </c>
      <c r="D44" s="7" t="s">
        <v>542</v>
      </c>
      <c r="E44" s="7" t="s">
        <v>161</v>
      </c>
      <c r="F44" s="49">
        <v>3</v>
      </c>
      <c r="G44" s="49">
        <v>3</v>
      </c>
      <c r="H44" s="49">
        <v>3</v>
      </c>
      <c r="I44" s="49"/>
      <c r="J44" s="7"/>
      <c r="K44" s="59">
        <f t="shared" si="0"/>
        <v>3</v>
      </c>
      <c r="L44" s="49"/>
      <c r="M44" s="49">
        <v>3</v>
      </c>
      <c r="N44" s="49">
        <v>2.5</v>
      </c>
      <c r="O44" s="49"/>
      <c r="P44" s="49"/>
      <c r="Q44" s="59">
        <f t="shared" si="1"/>
        <v>2.75</v>
      </c>
      <c r="R44" s="49"/>
      <c r="S44" s="49">
        <v>3</v>
      </c>
      <c r="T44" s="7"/>
      <c r="U44" s="49"/>
      <c r="V44" s="7"/>
      <c r="W44" s="59">
        <f t="shared" si="2"/>
        <v>3</v>
      </c>
      <c r="X44" s="49"/>
      <c r="Y44" s="49"/>
      <c r="Z44" s="7"/>
      <c r="AA44" s="7"/>
      <c r="AB44" s="7"/>
      <c r="AC44" s="59" t="str">
        <f t="shared" si="3"/>
        <v>0</v>
      </c>
      <c r="AD44" s="49"/>
      <c r="AE44" s="7"/>
      <c r="AF44" s="49"/>
      <c r="AG44" s="7"/>
      <c r="AH44" s="7"/>
      <c r="AI44" s="59" t="str">
        <f t="shared" si="4"/>
        <v>0</v>
      </c>
      <c r="AJ44" s="49">
        <v>3</v>
      </c>
      <c r="AK44" s="49">
        <v>3</v>
      </c>
      <c r="AL44" s="49">
        <v>4</v>
      </c>
      <c r="AM44" s="49">
        <v>3</v>
      </c>
      <c r="AN44" s="7"/>
      <c r="AO44" s="59">
        <f t="shared" si="5"/>
        <v>3.25</v>
      </c>
      <c r="AP44" s="49"/>
      <c r="AQ44" s="49"/>
      <c r="AR44" s="49"/>
      <c r="AS44" s="7"/>
      <c r="AT44" s="7"/>
      <c r="AU44" s="59" t="str">
        <f t="shared" si="6"/>
        <v>0</v>
      </c>
      <c r="AV44" s="7"/>
      <c r="AW44" s="7"/>
      <c r="AX44" s="49"/>
      <c r="AY44" s="49">
        <v>2.5</v>
      </c>
      <c r="AZ44" s="49"/>
      <c r="BA44" s="59">
        <f t="shared" si="7"/>
        <v>2.5</v>
      </c>
    </row>
    <row r="45" spans="1:53" ht="23.1" customHeight="1" x14ac:dyDescent="0.3">
      <c r="A45" s="49">
        <v>43</v>
      </c>
      <c r="B45" s="49" t="s">
        <v>114</v>
      </c>
      <c r="C45" s="49" t="s">
        <v>115</v>
      </c>
      <c r="D45" s="49" t="s">
        <v>450</v>
      </c>
      <c r="E45" s="49" t="s">
        <v>35</v>
      </c>
      <c r="F45" s="49">
        <v>5</v>
      </c>
      <c r="G45" s="49">
        <v>4</v>
      </c>
      <c r="H45" s="49">
        <v>5</v>
      </c>
      <c r="I45" s="49"/>
      <c r="J45" s="49"/>
      <c r="K45" s="59">
        <f t="shared" si="0"/>
        <v>4.666666666666667</v>
      </c>
      <c r="L45" s="49"/>
      <c r="M45" s="49">
        <v>5</v>
      </c>
      <c r="N45" s="49">
        <v>5</v>
      </c>
      <c r="O45" s="49"/>
      <c r="P45" s="49"/>
      <c r="Q45" s="59">
        <f t="shared" si="1"/>
        <v>5</v>
      </c>
      <c r="R45" s="49"/>
      <c r="S45" s="49">
        <v>4</v>
      </c>
      <c r="T45" s="49"/>
      <c r="U45" s="49"/>
      <c r="V45" s="49"/>
      <c r="W45" s="59">
        <f t="shared" si="2"/>
        <v>4</v>
      </c>
      <c r="X45" s="49"/>
      <c r="Y45" s="49"/>
      <c r="Z45" s="49"/>
      <c r="AA45" s="49"/>
      <c r="AB45" s="49"/>
      <c r="AC45" s="59" t="str">
        <f t="shared" si="3"/>
        <v>0</v>
      </c>
      <c r="AD45" s="49"/>
      <c r="AE45" s="49"/>
      <c r="AF45" s="49"/>
      <c r="AG45" s="49"/>
      <c r="AH45" s="49"/>
      <c r="AI45" s="59" t="str">
        <f t="shared" si="4"/>
        <v>0</v>
      </c>
      <c r="AJ45" s="49">
        <v>5</v>
      </c>
      <c r="AK45" s="49">
        <v>5</v>
      </c>
      <c r="AL45" s="49">
        <v>5</v>
      </c>
      <c r="AM45" s="49">
        <v>5</v>
      </c>
      <c r="AN45" s="49"/>
      <c r="AO45" s="59">
        <f t="shared" si="5"/>
        <v>5</v>
      </c>
      <c r="AP45" s="49"/>
      <c r="AQ45" s="49"/>
      <c r="AR45" s="49"/>
      <c r="AS45" s="49"/>
      <c r="AT45" s="49"/>
      <c r="AU45" s="59" t="str">
        <f t="shared" si="6"/>
        <v>0</v>
      </c>
      <c r="AV45" s="49"/>
      <c r="AW45" s="49"/>
      <c r="AX45" s="49"/>
      <c r="AY45" s="49">
        <v>5</v>
      </c>
      <c r="AZ45" s="49"/>
      <c r="BA45" s="59">
        <f t="shared" si="7"/>
        <v>5</v>
      </c>
    </row>
    <row r="46" spans="1:53" ht="23.1" customHeight="1" x14ac:dyDescent="0.3">
      <c r="A46" s="7">
        <v>44</v>
      </c>
      <c r="B46" s="7" t="s">
        <v>116</v>
      </c>
      <c r="C46" s="7" t="s">
        <v>117</v>
      </c>
      <c r="D46" s="7" t="s">
        <v>542</v>
      </c>
      <c r="E46" s="7" t="s">
        <v>35</v>
      </c>
      <c r="F46" s="49">
        <v>4</v>
      </c>
      <c r="G46" s="49">
        <v>4</v>
      </c>
      <c r="H46" s="49">
        <v>4</v>
      </c>
      <c r="I46" s="49"/>
      <c r="J46" s="7"/>
      <c r="K46" s="59">
        <f t="shared" si="0"/>
        <v>4</v>
      </c>
      <c r="L46" s="49"/>
      <c r="M46" s="49">
        <v>4</v>
      </c>
      <c r="N46" s="49">
        <v>4</v>
      </c>
      <c r="O46" s="49"/>
      <c r="P46" s="49"/>
      <c r="Q46" s="59">
        <f t="shared" si="1"/>
        <v>4</v>
      </c>
      <c r="R46" s="49"/>
      <c r="S46" s="49">
        <v>2</v>
      </c>
      <c r="T46" s="7"/>
      <c r="U46" s="49"/>
      <c r="V46" s="7"/>
      <c r="W46" s="59">
        <f t="shared" si="2"/>
        <v>2</v>
      </c>
      <c r="X46" s="49"/>
      <c r="Y46" s="49"/>
      <c r="Z46" s="7"/>
      <c r="AA46" s="7"/>
      <c r="AB46" s="7"/>
      <c r="AC46" s="59" t="str">
        <f t="shared" si="3"/>
        <v>0</v>
      </c>
      <c r="AD46" s="49"/>
      <c r="AE46" s="7"/>
      <c r="AF46" s="49"/>
      <c r="AG46" s="7"/>
      <c r="AH46" s="7"/>
      <c r="AI46" s="59" t="str">
        <f t="shared" si="4"/>
        <v>0</v>
      </c>
      <c r="AJ46" s="49">
        <v>4</v>
      </c>
      <c r="AK46" s="49">
        <v>4</v>
      </c>
      <c r="AL46" s="49">
        <v>5</v>
      </c>
      <c r="AM46" s="49">
        <v>4</v>
      </c>
      <c r="AN46" s="7"/>
      <c r="AO46" s="59">
        <f t="shared" si="5"/>
        <v>4.25</v>
      </c>
      <c r="AP46" s="49"/>
      <c r="AQ46" s="49"/>
      <c r="AR46" s="49"/>
      <c r="AS46" s="7"/>
      <c r="AT46" s="7"/>
      <c r="AU46" s="59" t="str">
        <f t="shared" si="6"/>
        <v>0</v>
      </c>
      <c r="AV46" s="7"/>
      <c r="AW46" s="7"/>
      <c r="AX46" s="49"/>
      <c r="AY46" s="49">
        <v>5</v>
      </c>
      <c r="AZ46" s="49"/>
      <c r="BA46" s="59">
        <f t="shared" si="7"/>
        <v>5</v>
      </c>
    </row>
    <row r="47" spans="1:53" ht="23.1" customHeight="1" x14ac:dyDescent="0.3">
      <c r="A47" s="49">
        <v>45</v>
      </c>
      <c r="B47" s="49" t="s">
        <v>180</v>
      </c>
      <c r="C47" s="49" t="s">
        <v>181</v>
      </c>
      <c r="D47" s="49" t="s">
        <v>450</v>
      </c>
      <c r="E47" s="49" t="s">
        <v>161</v>
      </c>
      <c r="F47" s="49" t="s">
        <v>581</v>
      </c>
      <c r="G47" s="49" t="s">
        <v>581</v>
      </c>
      <c r="H47" s="49" t="s">
        <v>581</v>
      </c>
      <c r="I47" s="49"/>
      <c r="J47" s="49"/>
      <c r="K47" s="59" t="str">
        <f t="shared" si="0"/>
        <v>0</v>
      </c>
      <c r="L47" s="49"/>
      <c r="M47" s="49" t="s">
        <v>581</v>
      </c>
      <c r="N47" s="49" t="s">
        <v>581</v>
      </c>
      <c r="O47" s="49"/>
      <c r="P47" s="49"/>
      <c r="Q47" s="59" t="str">
        <f t="shared" si="1"/>
        <v>0</v>
      </c>
      <c r="R47" s="49"/>
      <c r="S47" s="49" t="s">
        <v>581</v>
      </c>
      <c r="T47" s="49"/>
      <c r="U47" s="49"/>
      <c r="V47" s="49"/>
      <c r="W47" s="59" t="str">
        <f t="shared" si="2"/>
        <v>0</v>
      </c>
      <c r="X47" s="49"/>
      <c r="Y47" s="49"/>
      <c r="Z47" s="49"/>
      <c r="AA47" s="49"/>
      <c r="AB47" s="49"/>
      <c r="AC47" s="59" t="str">
        <f t="shared" si="3"/>
        <v>0</v>
      </c>
      <c r="AD47" s="49"/>
      <c r="AE47" s="49"/>
      <c r="AF47" s="49"/>
      <c r="AG47" s="49"/>
      <c r="AH47" s="49"/>
      <c r="AI47" s="59" t="str">
        <f t="shared" si="4"/>
        <v>0</v>
      </c>
      <c r="AJ47" s="49" t="s">
        <v>581</v>
      </c>
      <c r="AK47" s="49" t="s">
        <v>581</v>
      </c>
      <c r="AL47" s="49" t="s">
        <v>581</v>
      </c>
      <c r="AM47" s="49" t="s">
        <v>581</v>
      </c>
      <c r="AN47" s="49"/>
      <c r="AO47" s="59" t="str">
        <f t="shared" si="5"/>
        <v>0</v>
      </c>
      <c r="AP47" s="49"/>
      <c r="AQ47" s="49"/>
      <c r="AR47" s="49"/>
      <c r="AS47" s="49"/>
      <c r="AT47" s="49"/>
      <c r="AU47" s="59" t="str">
        <f t="shared" si="6"/>
        <v>0</v>
      </c>
      <c r="AV47" s="49"/>
      <c r="AW47" s="49"/>
      <c r="AX47" s="49"/>
      <c r="AY47" s="49" t="s">
        <v>581</v>
      </c>
      <c r="AZ47" s="49"/>
      <c r="BA47" s="59" t="str">
        <f t="shared" si="7"/>
        <v>0</v>
      </c>
    </row>
    <row r="48" spans="1:53" ht="23.1" customHeight="1" x14ac:dyDescent="0.3">
      <c r="A48" s="7">
        <v>46</v>
      </c>
      <c r="B48" s="7" t="s">
        <v>308</v>
      </c>
      <c r="C48" s="7" t="s">
        <v>309</v>
      </c>
      <c r="D48" s="7" t="s">
        <v>542</v>
      </c>
      <c r="E48" s="7" t="s">
        <v>493</v>
      </c>
      <c r="F48" s="49">
        <v>4</v>
      </c>
      <c r="G48" s="49">
        <v>4</v>
      </c>
      <c r="H48" s="49">
        <v>5</v>
      </c>
      <c r="I48" s="49"/>
      <c r="J48" s="7"/>
      <c r="K48" s="59">
        <f t="shared" si="0"/>
        <v>4.333333333333333</v>
      </c>
      <c r="L48" s="49"/>
      <c r="M48" s="49">
        <v>4</v>
      </c>
      <c r="N48" s="49">
        <v>5</v>
      </c>
      <c r="O48" s="49"/>
      <c r="P48" s="49"/>
      <c r="Q48" s="59">
        <f t="shared" si="1"/>
        <v>4.5</v>
      </c>
      <c r="R48" s="49"/>
      <c r="S48" s="49">
        <v>2</v>
      </c>
      <c r="T48" s="7"/>
      <c r="U48" s="49"/>
      <c r="V48" s="7"/>
      <c r="W48" s="59">
        <f t="shared" si="2"/>
        <v>2</v>
      </c>
      <c r="X48" s="49"/>
      <c r="Y48" s="49"/>
      <c r="Z48" s="7"/>
      <c r="AA48" s="7"/>
      <c r="AB48" s="7"/>
      <c r="AC48" s="59" t="str">
        <f t="shared" si="3"/>
        <v>0</v>
      </c>
      <c r="AD48" s="49"/>
      <c r="AE48" s="7"/>
      <c r="AF48" s="49"/>
      <c r="AG48" s="7"/>
      <c r="AH48" s="7"/>
      <c r="AI48" s="59" t="str">
        <f t="shared" si="4"/>
        <v>0</v>
      </c>
      <c r="AJ48" s="49">
        <v>4</v>
      </c>
      <c r="AK48" s="49">
        <v>5</v>
      </c>
      <c r="AL48" s="49">
        <v>5</v>
      </c>
      <c r="AM48" s="49">
        <v>5</v>
      </c>
      <c r="AN48" s="7"/>
      <c r="AO48" s="59">
        <f t="shared" si="5"/>
        <v>4.75</v>
      </c>
      <c r="AP48" s="49"/>
      <c r="AQ48" s="49"/>
      <c r="AR48" s="49"/>
      <c r="AS48" s="7"/>
      <c r="AT48" s="7"/>
      <c r="AU48" s="59" t="str">
        <f t="shared" si="6"/>
        <v>0</v>
      </c>
      <c r="AV48" s="7"/>
      <c r="AW48" s="7"/>
      <c r="AX48" s="49"/>
      <c r="AY48" s="49">
        <v>5</v>
      </c>
      <c r="AZ48" s="49"/>
      <c r="BA48" s="59">
        <f t="shared" si="7"/>
        <v>5</v>
      </c>
    </row>
    <row r="49" spans="1:53" ht="23.1" customHeight="1" x14ac:dyDescent="0.3">
      <c r="A49" s="49">
        <v>47</v>
      </c>
      <c r="B49" s="49" t="s">
        <v>118</v>
      </c>
      <c r="C49" s="49" t="s">
        <v>119</v>
      </c>
      <c r="D49" s="49" t="s">
        <v>450</v>
      </c>
      <c r="E49" s="49" t="s">
        <v>35</v>
      </c>
      <c r="F49" s="49">
        <v>3</v>
      </c>
      <c r="G49" s="49">
        <v>2</v>
      </c>
      <c r="H49" s="49">
        <v>3</v>
      </c>
      <c r="I49" s="49"/>
      <c r="J49" s="49"/>
      <c r="K49" s="59">
        <f t="shared" si="0"/>
        <v>2.6666666666666665</v>
      </c>
      <c r="L49" s="49"/>
      <c r="M49" s="49">
        <v>3</v>
      </c>
      <c r="N49" s="49">
        <v>3</v>
      </c>
      <c r="O49" s="49"/>
      <c r="P49" s="49"/>
      <c r="Q49" s="59">
        <f t="shared" si="1"/>
        <v>3</v>
      </c>
      <c r="R49" s="49"/>
      <c r="S49" s="49">
        <v>2</v>
      </c>
      <c r="T49" s="49"/>
      <c r="U49" s="49"/>
      <c r="V49" s="49"/>
      <c r="W49" s="59">
        <f t="shared" si="2"/>
        <v>2</v>
      </c>
      <c r="X49" s="49"/>
      <c r="Y49" s="49"/>
      <c r="Z49" s="49"/>
      <c r="AA49" s="49"/>
      <c r="AB49" s="49"/>
      <c r="AC49" s="59" t="str">
        <f t="shared" si="3"/>
        <v>0</v>
      </c>
      <c r="AD49" s="49"/>
      <c r="AE49" s="49"/>
      <c r="AF49" s="49"/>
      <c r="AG49" s="49"/>
      <c r="AH49" s="49"/>
      <c r="AI49" s="59" t="str">
        <f t="shared" si="4"/>
        <v>0</v>
      </c>
      <c r="AJ49" s="49">
        <v>2</v>
      </c>
      <c r="AK49" s="49">
        <v>2</v>
      </c>
      <c r="AL49" s="49">
        <v>2</v>
      </c>
      <c r="AM49" s="49">
        <v>2</v>
      </c>
      <c r="AN49" s="49"/>
      <c r="AO49" s="59">
        <f t="shared" si="5"/>
        <v>2</v>
      </c>
      <c r="AP49" s="49"/>
      <c r="AQ49" s="49"/>
      <c r="AR49" s="49"/>
      <c r="AS49" s="49"/>
      <c r="AT49" s="49"/>
      <c r="AU49" s="59" t="str">
        <f t="shared" si="6"/>
        <v>0</v>
      </c>
      <c r="AV49" s="49"/>
      <c r="AW49" s="49"/>
      <c r="AX49" s="49"/>
      <c r="AY49" s="49">
        <v>3</v>
      </c>
      <c r="AZ49" s="49"/>
      <c r="BA49" s="59">
        <f t="shared" si="7"/>
        <v>3</v>
      </c>
    </row>
    <row r="50" spans="1:53" ht="23.1" customHeight="1" x14ac:dyDescent="0.3">
      <c r="A50" s="7">
        <v>48</v>
      </c>
      <c r="B50" s="7" t="s">
        <v>197</v>
      </c>
      <c r="C50" s="7" t="s">
        <v>198</v>
      </c>
      <c r="D50" s="7" t="s">
        <v>450</v>
      </c>
      <c r="E50" s="7" t="s">
        <v>161</v>
      </c>
      <c r="F50" s="49">
        <v>3</v>
      </c>
      <c r="G50" s="49">
        <v>3</v>
      </c>
      <c r="H50" s="49">
        <v>3</v>
      </c>
      <c r="I50" s="49"/>
      <c r="J50" s="7"/>
      <c r="K50" s="59">
        <f t="shared" si="0"/>
        <v>3</v>
      </c>
      <c r="L50" s="49"/>
      <c r="M50" s="49">
        <v>2.5</v>
      </c>
      <c r="N50" s="49">
        <v>2</v>
      </c>
      <c r="O50" s="49"/>
      <c r="P50" s="49"/>
      <c r="Q50" s="59">
        <f t="shared" si="1"/>
        <v>2.25</v>
      </c>
      <c r="R50" s="49"/>
      <c r="S50" s="49">
        <v>2.5</v>
      </c>
      <c r="T50" s="7"/>
      <c r="U50" s="49"/>
      <c r="V50" s="7"/>
      <c r="W50" s="59">
        <f t="shared" si="2"/>
        <v>2.5</v>
      </c>
      <c r="X50" s="49"/>
      <c r="Y50" s="49"/>
      <c r="Z50" s="7"/>
      <c r="AA50" s="7"/>
      <c r="AB50" s="7"/>
      <c r="AC50" s="59" t="str">
        <f t="shared" si="3"/>
        <v>0</v>
      </c>
      <c r="AD50" s="49"/>
      <c r="AE50" s="7"/>
      <c r="AF50" s="49"/>
      <c r="AG50" s="7"/>
      <c r="AH50" s="7"/>
      <c r="AI50" s="59" t="str">
        <f t="shared" si="4"/>
        <v>0</v>
      </c>
      <c r="AJ50" s="49">
        <v>3</v>
      </c>
      <c r="AK50" s="49">
        <v>3</v>
      </c>
      <c r="AL50" s="49">
        <v>4</v>
      </c>
      <c r="AM50" s="49">
        <v>3</v>
      </c>
      <c r="AN50" s="7"/>
      <c r="AO50" s="59">
        <f t="shared" si="5"/>
        <v>3.25</v>
      </c>
      <c r="AP50" s="49"/>
      <c r="AQ50" s="49"/>
      <c r="AR50" s="49"/>
      <c r="AS50" s="7"/>
      <c r="AT50" s="7"/>
      <c r="AU50" s="59" t="str">
        <f t="shared" si="6"/>
        <v>0</v>
      </c>
      <c r="AV50" s="7"/>
      <c r="AW50" s="7"/>
      <c r="AX50" s="49"/>
      <c r="AY50" s="49">
        <v>2.5</v>
      </c>
      <c r="AZ50" s="49"/>
      <c r="BA50" s="59">
        <f t="shared" si="7"/>
        <v>2.5</v>
      </c>
    </row>
    <row r="51" spans="1:53" ht="23.1" customHeight="1" x14ac:dyDescent="0.3">
      <c r="A51" s="49">
        <v>49</v>
      </c>
      <c r="B51" s="49" t="s">
        <v>310</v>
      </c>
      <c r="C51" s="49" t="s">
        <v>311</v>
      </c>
      <c r="D51" s="49" t="s">
        <v>450</v>
      </c>
      <c r="E51" s="49" t="s">
        <v>493</v>
      </c>
      <c r="F51" s="49">
        <v>3</v>
      </c>
      <c r="G51" s="49">
        <v>5</v>
      </c>
      <c r="H51" s="49">
        <v>3</v>
      </c>
      <c r="I51" s="49"/>
      <c r="J51" s="49"/>
      <c r="K51" s="59">
        <f t="shared" si="0"/>
        <v>3.6666666666666665</v>
      </c>
      <c r="L51" s="49"/>
      <c r="M51" s="49">
        <v>4</v>
      </c>
      <c r="N51" s="49">
        <v>5</v>
      </c>
      <c r="O51" s="49"/>
      <c r="P51" s="49"/>
      <c r="Q51" s="59">
        <f t="shared" si="1"/>
        <v>4.5</v>
      </c>
      <c r="R51" s="49"/>
      <c r="S51" s="49">
        <v>5</v>
      </c>
      <c r="T51" s="49"/>
      <c r="U51" s="49"/>
      <c r="V51" s="49"/>
      <c r="W51" s="59">
        <f t="shared" si="2"/>
        <v>5</v>
      </c>
      <c r="X51" s="49"/>
      <c r="Y51" s="49"/>
      <c r="Z51" s="49"/>
      <c r="AA51" s="49"/>
      <c r="AB51" s="49"/>
      <c r="AC51" s="59" t="str">
        <f t="shared" si="3"/>
        <v>0</v>
      </c>
      <c r="AD51" s="49"/>
      <c r="AE51" s="49"/>
      <c r="AF51" s="49"/>
      <c r="AG51" s="49"/>
      <c r="AH51" s="49"/>
      <c r="AI51" s="59" t="str">
        <f t="shared" si="4"/>
        <v>0</v>
      </c>
      <c r="AJ51" s="49">
        <v>4</v>
      </c>
      <c r="AK51" s="49">
        <v>4</v>
      </c>
      <c r="AL51" s="49">
        <v>4</v>
      </c>
      <c r="AM51" s="49">
        <v>4</v>
      </c>
      <c r="AN51" s="49"/>
      <c r="AO51" s="59">
        <f t="shared" si="5"/>
        <v>4</v>
      </c>
      <c r="AP51" s="49"/>
      <c r="AQ51" s="49"/>
      <c r="AR51" s="49"/>
      <c r="AS51" s="49"/>
      <c r="AT51" s="49"/>
      <c r="AU51" s="59" t="str">
        <f t="shared" si="6"/>
        <v>0</v>
      </c>
      <c r="AV51" s="49"/>
      <c r="AW51" s="49"/>
      <c r="AX51" s="49"/>
      <c r="AY51" s="49">
        <v>4</v>
      </c>
      <c r="AZ51" s="49"/>
      <c r="BA51" s="59">
        <f t="shared" si="7"/>
        <v>4</v>
      </c>
    </row>
    <row r="52" spans="1:53" ht="23.1" customHeight="1" x14ac:dyDescent="0.3">
      <c r="A52" s="7">
        <v>50</v>
      </c>
      <c r="B52" s="7" t="s">
        <v>122</v>
      </c>
      <c r="C52" s="7" t="s">
        <v>123</v>
      </c>
      <c r="D52" s="7" t="s">
        <v>450</v>
      </c>
      <c r="E52" s="7" t="s">
        <v>35</v>
      </c>
      <c r="F52" s="49">
        <v>3</v>
      </c>
      <c r="G52" s="49">
        <v>4</v>
      </c>
      <c r="H52" s="49">
        <v>3</v>
      </c>
      <c r="I52" s="49"/>
      <c r="J52" s="7"/>
      <c r="K52" s="59">
        <f t="shared" si="0"/>
        <v>3.3333333333333335</v>
      </c>
      <c r="L52" s="49"/>
      <c r="M52" s="49">
        <v>2.5</v>
      </c>
      <c r="N52" s="49">
        <v>2</v>
      </c>
      <c r="O52" s="49"/>
      <c r="P52" s="49"/>
      <c r="Q52" s="59">
        <f t="shared" si="1"/>
        <v>2.25</v>
      </c>
      <c r="R52" s="49"/>
      <c r="S52" s="49">
        <v>2</v>
      </c>
      <c r="T52" s="7"/>
      <c r="U52" s="49"/>
      <c r="V52" s="7"/>
      <c r="W52" s="59">
        <f t="shared" si="2"/>
        <v>2</v>
      </c>
      <c r="X52" s="49"/>
      <c r="Y52" s="49"/>
      <c r="Z52" s="7"/>
      <c r="AA52" s="7"/>
      <c r="AB52" s="7"/>
      <c r="AC52" s="59" t="str">
        <f t="shared" si="3"/>
        <v>0</v>
      </c>
      <c r="AD52" s="49"/>
      <c r="AE52" s="7"/>
      <c r="AF52" s="49"/>
      <c r="AG52" s="7"/>
      <c r="AH52" s="7"/>
      <c r="AI52" s="59" t="str">
        <f t="shared" si="4"/>
        <v>0</v>
      </c>
      <c r="AJ52" s="49">
        <v>4</v>
      </c>
      <c r="AK52" s="49">
        <v>4</v>
      </c>
      <c r="AL52" s="49">
        <v>3</v>
      </c>
      <c r="AM52" s="49">
        <v>3</v>
      </c>
      <c r="AN52" s="7"/>
      <c r="AO52" s="59">
        <f t="shared" si="5"/>
        <v>3.5</v>
      </c>
      <c r="AP52" s="49"/>
      <c r="AQ52" s="49"/>
      <c r="AR52" s="49"/>
      <c r="AS52" s="7"/>
      <c r="AT52" s="7"/>
      <c r="AU52" s="59" t="str">
        <f t="shared" si="6"/>
        <v>0</v>
      </c>
      <c r="AV52" s="7"/>
      <c r="AW52" s="7"/>
      <c r="AX52" s="49"/>
      <c r="AY52" s="49">
        <v>2</v>
      </c>
      <c r="AZ52" s="49"/>
      <c r="BA52" s="59">
        <f t="shared" si="7"/>
        <v>2</v>
      </c>
    </row>
    <row r="53" spans="1:53" ht="23.1" customHeight="1" x14ac:dyDescent="0.3">
      <c r="A53" s="49">
        <v>51</v>
      </c>
      <c r="B53" s="49" t="s">
        <v>259</v>
      </c>
      <c r="C53" s="49" t="s">
        <v>260</v>
      </c>
      <c r="D53" s="49" t="s">
        <v>542</v>
      </c>
      <c r="E53" s="49" t="s">
        <v>161</v>
      </c>
      <c r="F53" s="49">
        <v>2</v>
      </c>
      <c r="G53" s="49">
        <v>4</v>
      </c>
      <c r="H53" s="49">
        <v>5</v>
      </c>
      <c r="I53" s="49"/>
      <c r="J53" s="49"/>
      <c r="K53" s="59">
        <f t="shared" si="0"/>
        <v>3.6666666666666665</v>
      </c>
      <c r="L53" s="49"/>
      <c r="M53" s="49">
        <v>3</v>
      </c>
      <c r="N53" s="49">
        <v>3</v>
      </c>
      <c r="O53" s="49"/>
      <c r="P53" s="49"/>
      <c r="Q53" s="59">
        <f t="shared" si="1"/>
        <v>3</v>
      </c>
      <c r="R53" s="49"/>
      <c r="S53" s="49">
        <v>3</v>
      </c>
      <c r="T53" s="49"/>
      <c r="U53" s="49"/>
      <c r="V53" s="49"/>
      <c r="W53" s="59">
        <f t="shared" si="2"/>
        <v>3</v>
      </c>
      <c r="X53" s="49"/>
      <c r="Y53" s="49"/>
      <c r="Z53" s="49"/>
      <c r="AA53" s="49"/>
      <c r="AB53" s="49"/>
      <c r="AC53" s="59" t="str">
        <f t="shared" si="3"/>
        <v>0</v>
      </c>
      <c r="AD53" s="49"/>
      <c r="AE53" s="49"/>
      <c r="AF53" s="49"/>
      <c r="AG53" s="49"/>
      <c r="AH53" s="49"/>
      <c r="AI53" s="59" t="str">
        <f t="shared" si="4"/>
        <v>0</v>
      </c>
      <c r="AJ53" s="49">
        <v>5</v>
      </c>
      <c r="AK53" s="49">
        <v>4</v>
      </c>
      <c r="AL53" s="49">
        <v>4</v>
      </c>
      <c r="AM53" s="49">
        <v>4</v>
      </c>
      <c r="AN53" s="49"/>
      <c r="AO53" s="59">
        <f t="shared" si="5"/>
        <v>4.25</v>
      </c>
      <c r="AP53" s="49"/>
      <c r="AQ53" s="49"/>
      <c r="AR53" s="49"/>
      <c r="AS53" s="49"/>
      <c r="AT53" s="49"/>
      <c r="AU53" s="59" t="str">
        <f t="shared" si="6"/>
        <v>0</v>
      </c>
      <c r="AV53" s="49"/>
      <c r="AW53" s="49"/>
      <c r="AX53" s="49"/>
      <c r="AY53" s="49">
        <v>3</v>
      </c>
      <c r="AZ53" s="49"/>
      <c r="BA53" s="59">
        <f t="shared" si="7"/>
        <v>3</v>
      </c>
    </row>
    <row r="54" spans="1:53" ht="23.1" customHeight="1" x14ac:dyDescent="0.3">
      <c r="A54" s="7">
        <v>52</v>
      </c>
      <c r="B54" s="7" t="s">
        <v>213</v>
      </c>
      <c r="C54" s="7" t="s">
        <v>214</v>
      </c>
      <c r="D54" s="7" t="s">
        <v>450</v>
      </c>
      <c r="E54" s="7" t="s">
        <v>161</v>
      </c>
      <c r="F54" s="49">
        <v>2</v>
      </c>
      <c r="G54" s="49">
        <v>2</v>
      </c>
      <c r="H54" s="49">
        <v>2</v>
      </c>
      <c r="I54" s="49"/>
      <c r="J54" s="7"/>
      <c r="K54" s="59">
        <f t="shared" si="0"/>
        <v>2</v>
      </c>
      <c r="L54" s="49"/>
      <c r="M54" s="49">
        <v>2</v>
      </c>
      <c r="N54" s="49">
        <v>2</v>
      </c>
      <c r="O54" s="49"/>
      <c r="P54" s="49"/>
      <c r="Q54" s="59">
        <f t="shared" si="1"/>
        <v>2</v>
      </c>
      <c r="R54" s="49"/>
      <c r="S54" s="49">
        <v>3</v>
      </c>
      <c r="T54" s="7"/>
      <c r="U54" s="49"/>
      <c r="V54" s="7"/>
      <c r="W54" s="59">
        <f t="shared" si="2"/>
        <v>3</v>
      </c>
      <c r="X54" s="49"/>
      <c r="Y54" s="49"/>
      <c r="Z54" s="7"/>
      <c r="AA54" s="7"/>
      <c r="AB54" s="7"/>
      <c r="AC54" s="59" t="str">
        <f t="shared" si="3"/>
        <v>0</v>
      </c>
      <c r="AD54" s="49"/>
      <c r="AE54" s="7"/>
      <c r="AF54" s="49"/>
      <c r="AG54" s="7"/>
      <c r="AH54" s="7"/>
      <c r="AI54" s="59" t="str">
        <f t="shared" si="4"/>
        <v>0</v>
      </c>
      <c r="AJ54" s="49">
        <v>2</v>
      </c>
      <c r="AK54" s="49">
        <v>3</v>
      </c>
      <c r="AL54" s="49">
        <v>2</v>
      </c>
      <c r="AM54" s="49">
        <v>2</v>
      </c>
      <c r="AN54" s="7"/>
      <c r="AO54" s="59">
        <f t="shared" si="5"/>
        <v>2.25</v>
      </c>
      <c r="AP54" s="49"/>
      <c r="AQ54" s="49"/>
      <c r="AR54" s="49"/>
      <c r="AS54" s="7"/>
      <c r="AT54" s="7"/>
      <c r="AU54" s="59" t="str">
        <f t="shared" si="6"/>
        <v>0</v>
      </c>
      <c r="AV54" s="7"/>
      <c r="AW54" s="7"/>
      <c r="AX54" s="49"/>
      <c r="AY54" s="49">
        <v>2</v>
      </c>
      <c r="AZ54" s="49"/>
      <c r="BA54" s="59">
        <f t="shared" si="7"/>
        <v>2</v>
      </c>
    </row>
    <row r="55" spans="1:53" ht="23.1" customHeight="1" x14ac:dyDescent="0.3">
      <c r="A55" s="49">
        <v>53</v>
      </c>
      <c r="B55" s="49" t="s">
        <v>229</v>
      </c>
      <c r="C55" s="49" t="s">
        <v>230</v>
      </c>
      <c r="D55" s="49" t="s">
        <v>450</v>
      </c>
      <c r="E55" s="49" t="s">
        <v>161</v>
      </c>
      <c r="F55" s="49">
        <v>3</v>
      </c>
      <c r="G55" s="49">
        <v>3</v>
      </c>
      <c r="H55" s="49">
        <v>4</v>
      </c>
      <c r="I55" s="49"/>
      <c r="J55" s="49"/>
      <c r="K55" s="59">
        <f t="shared" si="0"/>
        <v>3.3333333333333335</v>
      </c>
      <c r="L55" s="49"/>
      <c r="M55" s="49">
        <v>4</v>
      </c>
      <c r="N55" s="49">
        <v>4</v>
      </c>
      <c r="O55" s="49"/>
      <c r="P55" s="49"/>
      <c r="Q55" s="59">
        <f t="shared" si="1"/>
        <v>4</v>
      </c>
      <c r="R55" s="49"/>
      <c r="S55" s="49">
        <v>2</v>
      </c>
      <c r="T55" s="49"/>
      <c r="U55" s="49"/>
      <c r="V55" s="49"/>
      <c r="W55" s="59">
        <f t="shared" si="2"/>
        <v>2</v>
      </c>
      <c r="X55" s="49"/>
      <c r="Y55" s="49"/>
      <c r="Z55" s="49"/>
      <c r="AA55" s="49"/>
      <c r="AB55" s="49"/>
      <c r="AC55" s="59" t="str">
        <f t="shared" si="3"/>
        <v>0</v>
      </c>
      <c r="AD55" s="49"/>
      <c r="AE55" s="49"/>
      <c r="AF55" s="49"/>
      <c r="AG55" s="49"/>
      <c r="AH55" s="49"/>
      <c r="AI55" s="59" t="str">
        <f t="shared" si="4"/>
        <v>0</v>
      </c>
      <c r="AJ55" s="49">
        <v>4</v>
      </c>
      <c r="AK55" s="49">
        <v>4</v>
      </c>
      <c r="AL55" s="49">
        <v>4</v>
      </c>
      <c r="AM55" s="49">
        <v>4</v>
      </c>
      <c r="AN55" s="49"/>
      <c r="AO55" s="59">
        <f t="shared" si="5"/>
        <v>4</v>
      </c>
      <c r="AP55" s="49"/>
      <c r="AQ55" s="49"/>
      <c r="AR55" s="49"/>
      <c r="AS55" s="49"/>
      <c r="AT55" s="49"/>
      <c r="AU55" s="59" t="str">
        <f t="shared" si="6"/>
        <v>0</v>
      </c>
      <c r="AV55" s="49"/>
      <c r="AW55" s="49"/>
      <c r="AX55" s="49"/>
      <c r="AY55" s="49">
        <v>4</v>
      </c>
      <c r="AZ55" s="49"/>
      <c r="BA55" s="59">
        <f t="shared" si="7"/>
        <v>4</v>
      </c>
    </row>
    <row r="56" spans="1:53" ht="23.1" customHeight="1" x14ac:dyDescent="0.3">
      <c r="A56" s="7">
        <v>54</v>
      </c>
      <c r="B56" s="7" t="s">
        <v>312</v>
      </c>
      <c r="C56" s="7" t="s">
        <v>313</v>
      </c>
      <c r="D56" s="7" t="s">
        <v>450</v>
      </c>
      <c r="E56" s="7" t="s">
        <v>493</v>
      </c>
      <c r="F56" s="49">
        <v>4</v>
      </c>
      <c r="G56" s="49">
        <v>4</v>
      </c>
      <c r="H56" s="49">
        <v>3</v>
      </c>
      <c r="I56" s="49"/>
      <c r="J56" s="7"/>
      <c r="K56" s="59">
        <f t="shared" si="0"/>
        <v>3.6666666666666665</v>
      </c>
      <c r="L56" s="49"/>
      <c r="M56" s="49">
        <v>3</v>
      </c>
      <c r="N56" s="49">
        <v>4</v>
      </c>
      <c r="O56" s="49"/>
      <c r="P56" s="49"/>
      <c r="Q56" s="59">
        <f t="shared" si="1"/>
        <v>3.5</v>
      </c>
      <c r="R56" s="49"/>
      <c r="S56" s="49">
        <v>2</v>
      </c>
      <c r="T56" s="7"/>
      <c r="U56" s="49"/>
      <c r="V56" s="7"/>
      <c r="W56" s="59">
        <f t="shared" si="2"/>
        <v>2</v>
      </c>
      <c r="X56" s="49"/>
      <c r="Y56" s="49"/>
      <c r="Z56" s="7"/>
      <c r="AA56" s="7"/>
      <c r="AB56" s="7"/>
      <c r="AC56" s="59" t="str">
        <f t="shared" si="3"/>
        <v>0</v>
      </c>
      <c r="AD56" s="49"/>
      <c r="AE56" s="7"/>
      <c r="AF56" s="49"/>
      <c r="AG56" s="7"/>
      <c r="AH56" s="7"/>
      <c r="AI56" s="59" t="str">
        <f t="shared" si="4"/>
        <v>0</v>
      </c>
      <c r="AJ56" s="49">
        <v>3</v>
      </c>
      <c r="AK56" s="49">
        <v>4</v>
      </c>
      <c r="AL56" s="49">
        <v>3</v>
      </c>
      <c r="AM56" s="49">
        <v>3</v>
      </c>
      <c r="AN56" s="7"/>
      <c r="AO56" s="59">
        <f t="shared" si="5"/>
        <v>3.25</v>
      </c>
      <c r="AP56" s="49"/>
      <c r="AQ56" s="49"/>
      <c r="AR56" s="49"/>
      <c r="AS56" s="7"/>
      <c r="AT56" s="7"/>
      <c r="AU56" s="59" t="str">
        <f t="shared" si="6"/>
        <v>0</v>
      </c>
      <c r="AV56" s="7"/>
      <c r="AW56" s="7"/>
      <c r="AX56" s="49"/>
      <c r="AY56" s="49">
        <v>4</v>
      </c>
      <c r="AZ56" s="49"/>
      <c r="BA56" s="59">
        <f t="shared" si="7"/>
        <v>4</v>
      </c>
    </row>
    <row r="57" spans="1:53" ht="23.1" customHeight="1" x14ac:dyDescent="0.3">
      <c r="A57" s="49">
        <v>55</v>
      </c>
      <c r="B57" s="49" t="s">
        <v>247</v>
      </c>
      <c r="C57" s="49" t="s">
        <v>248</v>
      </c>
      <c r="D57" s="49" t="s">
        <v>450</v>
      </c>
      <c r="E57" s="49" t="s">
        <v>161</v>
      </c>
      <c r="F57" s="49">
        <v>3</v>
      </c>
      <c r="G57" s="49">
        <v>5</v>
      </c>
      <c r="H57" s="49">
        <v>3</v>
      </c>
      <c r="I57" s="49"/>
      <c r="J57" s="49"/>
      <c r="K57" s="59">
        <f t="shared" si="0"/>
        <v>3.6666666666666665</v>
      </c>
      <c r="L57" s="49"/>
      <c r="M57" s="49">
        <v>4</v>
      </c>
      <c r="N57" s="49">
        <v>4</v>
      </c>
      <c r="O57" s="49"/>
      <c r="P57" s="49"/>
      <c r="Q57" s="59">
        <f t="shared" si="1"/>
        <v>4</v>
      </c>
      <c r="R57" s="49"/>
      <c r="S57" s="49">
        <v>4</v>
      </c>
      <c r="T57" s="49"/>
      <c r="U57" s="49"/>
      <c r="V57" s="49"/>
      <c r="W57" s="59">
        <f t="shared" si="2"/>
        <v>4</v>
      </c>
      <c r="X57" s="49"/>
      <c r="Y57" s="49"/>
      <c r="Z57" s="49"/>
      <c r="AA57" s="49"/>
      <c r="AB57" s="49"/>
      <c r="AC57" s="59" t="str">
        <f t="shared" si="3"/>
        <v>0</v>
      </c>
      <c r="AD57" s="49"/>
      <c r="AE57" s="49"/>
      <c r="AF57" s="49"/>
      <c r="AG57" s="49"/>
      <c r="AH57" s="49"/>
      <c r="AI57" s="59" t="str">
        <f t="shared" si="4"/>
        <v>0</v>
      </c>
      <c r="AJ57" s="49">
        <v>4</v>
      </c>
      <c r="AK57" s="49">
        <v>4</v>
      </c>
      <c r="AL57" s="49">
        <v>4</v>
      </c>
      <c r="AM57" s="49">
        <v>4</v>
      </c>
      <c r="AN57" s="49"/>
      <c r="AO57" s="59">
        <f t="shared" si="5"/>
        <v>4</v>
      </c>
      <c r="AP57" s="49"/>
      <c r="AQ57" s="49"/>
      <c r="AR57" s="49"/>
      <c r="AS57" s="49"/>
      <c r="AT57" s="49"/>
      <c r="AU57" s="59" t="str">
        <f t="shared" si="6"/>
        <v>0</v>
      </c>
      <c r="AV57" s="49"/>
      <c r="AW57" s="49"/>
      <c r="AX57" s="49"/>
      <c r="AY57" s="49">
        <v>3</v>
      </c>
      <c r="AZ57" s="49"/>
      <c r="BA57" s="59">
        <f t="shared" si="7"/>
        <v>3</v>
      </c>
    </row>
    <row r="58" spans="1:53" ht="23.1" customHeight="1" x14ac:dyDescent="0.3">
      <c r="A58" s="7">
        <v>56</v>
      </c>
      <c r="B58" s="7" t="s">
        <v>124</v>
      </c>
      <c r="C58" s="7" t="s">
        <v>125</v>
      </c>
      <c r="D58" s="7" t="s">
        <v>542</v>
      </c>
      <c r="E58" s="7" t="s">
        <v>35</v>
      </c>
      <c r="F58" s="49">
        <v>4</v>
      </c>
      <c r="G58" s="49">
        <v>4</v>
      </c>
      <c r="H58" s="49">
        <v>4</v>
      </c>
      <c r="I58" s="49"/>
      <c r="J58" s="7"/>
      <c r="K58" s="59">
        <f t="shared" si="0"/>
        <v>4</v>
      </c>
      <c r="L58" s="49"/>
      <c r="M58" s="49">
        <v>4</v>
      </c>
      <c r="N58" s="49">
        <v>5</v>
      </c>
      <c r="O58" s="49"/>
      <c r="P58" s="49"/>
      <c r="Q58" s="59">
        <f t="shared" si="1"/>
        <v>4.5</v>
      </c>
      <c r="R58" s="49"/>
      <c r="S58" s="49">
        <v>4</v>
      </c>
      <c r="T58" s="7"/>
      <c r="U58" s="49"/>
      <c r="V58" s="7"/>
      <c r="W58" s="59">
        <f t="shared" si="2"/>
        <v>4</v>
      </c>
      <c r="X58" s="49"/>
      <c r="Y58" s="49"/>
      <c r="Z58" s="7"/>
      <c r="AA58" s="7"/>
      <c r="AB58" s="7"/>
      <c r="AC58" s="59" t="str">
        <f t="shared" si="3"/>
        <v>0</v>
      </c>
      <c r="AD58" s="49"/>
      <c r="AE58" s="7"/>
      <c r="AF58" s="49"/>
      <c r="AG58" s="7"/>
      <c r="AH58" s="7"/>
      <c r="AI58" s="59" t="str">
        <f t="shared" si="4"/>
        <v>0</v>
      </c>
      <c r="AJ58" s="49">
        <v>4</v>
      </c>
      <c r="AK58" s="49">
        <v>4</v>
      </c>
      <c r="AL58" s="49">
        <v>5</v>
      </c>
      <c r="AM58" s="49">
        <v>5</v>
      </c>
      <c r="AN58" s="7"/>
      <c r="AO58" s="59">
        <f t="shared" si="5"/>
        <v>4.5</v>
      </c>
      <c r="AP58" s="49"/>
      <c r="AQ58" s="49"/>
      <c r="AR58" s="49"/>
      <c r="AS58" s="7"/>
      <c r="AT58" s="7"/>
      <c r="AU58" s="59" t="str">
        <f t="shared" si="6"/>
        <v>0</v>
      </c>
      <c r="AV58" s="7"/>
      <c r="AW58" s="7"/>
      <c r="AX58" s="49"/>
      <c r="AY58" s="49">
        <v>5</v>
      </c>
      <c r="AZ58" s="49"/>
      <c r="BA58" s="59">
        <f t="shared" si="7"/>
        <v>5</v>
      </c>
    </row>
    <row r="59" spans="1:53" ht="23.1" customHeight="1" x14ac:dyDescent="0.3">
      <c r="A59" s="49">
        <v>57</v>
      </c>
      <c r="B59" s="49" t="s">
        <v>314</v>
      </c>
      <c r="C59" s="49" t="s">
        <v>315</v>
      </c>
      <c r="D59" s="49" t="s">
        <v>542</v>
      </c>
      <c r="E59" s="49" t="s">
        <v>493</v>
      </c>
      <c r="F59" s="49">
        <v>4</v>
      </c>
      <c r="G59" s="49">
        <v>4</v>
      </c>
      <c r="H59" s="49">
        <v>4</v>
      </c>
      <c r="I59" s="49"/>
      <c r="J59" s="49"/>
      <c r="K59" s="59">
        <f t="shared" si="0"/>
        <v>4</v>
      </c>
      <c r="L59" s="49"/>
      <c r="M59" s="49">
        <v>4</v>
      </c>
      <c r="N59" s="49">
        <v>4</v>
      </c>
      <c r="O59" s="49"/>
      <c r="P59" s="49"/>
      <c r="Q59" s="59">
        <f t="shared" si="1"/>
        <v>4</v>
      </c>
      <c r="R59" s="49"/>
      <c r="S59" s="49">
        <v>0</v>
      </c>
      <c r="T59" s="49"/>
      <c r="U59" s="49"/>
      <c r="V59" s="49"/>
      <c r="W59" s="59">
        <f t="shared" si="2"/>
        <v>0</v>
      </c>
      <c r="X59" s="49"/>
      <c r="Y59" s="49"/>
      <c r="Z59" s="49"/>
      <c r="AA59" s="49"/>
      <c r="AB59" s="49"/>
      <c r="AC59" s="59" t="str">
        <f t="shared" si="3"/>
        <v>0</v>
      </c>
      <c r="AD59" s="49"/>
      <c r="AE59" s="49"/>
      <c r="AF59" s="49"/>
      <c r="AG59" s="49"/>
      <c r="AH59" s="49"/>
      <c r="AI59" s="59" t="str">
        <f t="shared" si="4"/>
        <v>0</v>
      </c>
      <c r="AJ59" s="49">
        <v>4</v>
      </c>
      <c r="AK59" s="49">
        <v>4</v>
      </c>
      <c r="AL59" s="49">
        <v>4</v>
      </c>
      <c r="AM59" s="49">
        <v>4</v>
      </c>
      <c r="AN59" s="49"/>
      <c r="AO59" s="59">
        <f t="shared" si="5"/>
        <v>4</v>
      </c>
      <c r="AP59" s="49"/>
      <c r="AQ59" s="49"/>
      <c r="AR59" s="49"/>
      <c r="AS59" s="49"/>
      <c r="AT59" s="49"/>
      <c r="AU59" s="59" t="str">
        <f t="shared" si="6"/>
        <v>0</v>
      </c>
      <c r="AV59" s="49"/>
      <c r="AW59" s="49"/>
      <c r="AX59" s="49"/>
      <c r="AY59" s="49">
        <v>4</v>
      </c>
      <c r="AZ59" s="49"/>
      <c r="BA59" s="59">
        <f t="shared" si="7"/>
        <v>4</v>
      </c>
    </row>
    <row r="60" spans="1:53" ht="23.1" customHeight="1" x14ac:dyDescent="0.3">
      <c r="A60" s="7">
        <v>58</v>
      </c>
      <c r="B60" s="7" t="s">
        <v>316</v>
      </c>
      <c r="C60" s="7" t="s">
        <v>317</v>
      </c>
      <c r="D60" s="7" t="s">
        <v>450</v>
      </c>
      <c r="E60" s="7" t="s">
        <v>493</v>
      </c>
      <c r="F60" s="49">
        <v>3</v>
      </c>
      <c r="G60" s="49">
        <v>3.5</v>
      </c>
      <c r="H60" s="49">
        <v>2.5</v>
      </c>
      <c r="I60" s="49"/>
      <c r="J60" s="7"/>
      <c r="K60" s="59">
        <f t="shared" si="0"/>
        <v>3</v>
      </c>
      <c r="L60" s="49"/>
      <c r="M60" s="49">
        <v>2</v>
      </c>
      <c r="N60" s="49">
        <v>2</v>
      </c>
      <c r="O60" s="49"/>
      <c r="P60" s="49"/>
      <c r="Q60" s="59">
        <f t="shared" si="1"/>
        <v>2</v>
      </c>
      <c r="R60" s="49"/>
      <c r="S60" s="49">
        <v>2</v>
      </c>
      <c r="T60" s="7"/>
      <c r="U60" s="49"/>
      <c r="V60" s="7"/>
      <c r="W60" s="59">
        <f t="shared" si="2"/>
        <v>2</v>
      </c>
      <c r="X60" s="49"/>
      <c r="Y60" s="49"/>
      <c r="Z60" s="7"/>
      <c r="AA60" s="7"/>
      <c r="AB60" s="7"/>
      <c r="AC60" s="59" t="str">
        <f t="shared" si="3"/>
        <v>0</v>
      </c>
      <c r="AD60" s="49"/>
      <c r="AE60" s="7"/>
      <c r="AF60" s="49"/>
      <c r="AG60" s="7"/>
      <c r="AH60" s="7"/>
      <c r="AI60" s="59" t="str">
        <f t="shared" si="4"/>
        <v>0</v>
      </c>
      <c r="AJ60" s="49">
        <v>3</v>
      </c>
      <c r="AK60" s="49">
        <v>3</v>
      </c>
      <c r="AL60" s="49">
        <v>2.5</v>
      </c>
      <c r="AM60" s="49">
        <v>2.5</v>
      </c>
      <c r="AN60" s="7"/>
      <c r="AO60" s="59">
        <f t="shared" si="5"/>
        <v>2.75</v>
      </c>
      <c r="AP60" s="49"/>
      <c r="AQ60" s="49"/>
      <c r="AR60" s="49"/>
      <c r="AS60" s="7"/>
      <c r="AT60" s="7"/>
      <c r="AU60" s="59" t="str">
        <f t="shared" si="6"/>
        <v>0</v>
      </c>
      <c r="AV60" s="7"/>
      <c r="AW60" s="7"/>
      <c r="AX60" s="49"/>
      <c r="AY60" s="49">
        <v>3</v>
      </c>
      <c r="AZ60" s="49"/>
      <c r="BA60" s="59">
        <f t="shared" si="7"/>
        <v>3</v>
      </c>
    </row>
    <row r="61" spans="1:53" ht="23.1" customHeight="1" x14ac:dyDescent="0.3">
      <c r="A61" s="49">
        <v>59</v>
      </c>
      <c r="B61" s="49" t="s">
        <v>126</v>
      </c>
      <c r="C61" s="49" t="s">
        <v>127</v>
      </c>
      <c r="D61" s="49" t="s">
        <v>450</v>
      </c>
      <c r="E61" s="49" t="s">
        <v>35</v>
      </c>
      <c r="F61" s="49">
        <v>2</v>
      </c>
      <c r="G61" s="49">
        <v>2</v>
      </c>
      <c r="H61" s="49">
        <v>2</v>
      </c>
      <c r="I61" s="49"/>
      <c r="J61" s="49"/>
      <c r="K61" s="59">
        <f t="shared" si="0"/>
        <v>2</v>
      </c>
      <c r="L61" s="49"/>
      <c r="M61" s="49">
        <v>2</v>
      </c>
      <c r="N61" s="49">
        <v>2</v>
      </c>
      <c r="O61" s="49"/>
      <c r="P61" s="49"/>
      <c r="Q61" s="59">
        <f t="shared" si="1"/>
        <v>2</v>
      </c>
      <c r="R61" s="49"/>
      <c r="S61" s="49">
        <v>2</v>
      </c>
      <c r="T61" s="49"/>
      <c r="U61" s="49"/>
      <c r="V61" s="49"/>
      <c r="W61" s="59">
        <f t="shared" si="2"/>
        <v>2</v>
      </c>
      <c r="X61" s="49"/>
      <c r="Y61" s="49"/>
      <c r="Z61" s="49"/>
      <c r="AA61" s="49"/>
      <c r="AB61" s="49"/>
      <c r="AC61" s="59" t="str">
        <f t="shared" si="3"/>
        <v>0</v>
      </c>
      <c r="AD61" s="49"/>
      <c r="AE61" s="49"/>
      <c r="AF61" s="49"/>
      <c r="AG61" s="49"/>
      <c r="AH61" s="49"/>
      <c r="AI61" s="59" t="str">
        <f t="shared" si="4"/>
        <v>0</v>
      </c>
      <c r="AJ61" s="49">
        <v>2</v>
      </c>
      <c r="AK61" s="49">
        <v>2</v>
      </c>
      <c r="AL61" s="49">
        <v>2</v>
      </c>
      <c r="AM61" s="49">
        <v>2</v>
      </c>
      <c r="AN61" s="49"/>
      <c r="AO61" s="59">
        <f t="shared" si="5"/>
        <v>2</v>
      </c>
      <c r="AP61" s="49"/>
      <c r="AQ61" s="49"/>
      <c r="AR61" s="49"/>
      <c r="AS61" s="49"/>
      <c r="AT61" s="49"/>
      <c r="AU61" s="59" t="str">
        <f t="shared" si="6"/>
        <v>0</v>
      </c>
      <c r="AV61" s="49"/>
      <c r="AW61" s="49"/>
      <c r="AX61" s="49"/>
      <c r="AY61" s="49">
        <v>3</v>
      </c>
      <c r="AZ61" s="49"/>
      <c r="BA61" s="59">
        <f t="shared" si="7"/>
        <v>3</v>
      </c>
    </row>
    <row r="62" spans="1:53" ht="23.1" customHeight="1" x14ac:dyDescent="0.3">
      <c r="A62" s="7">
        <v>60</v>
      </c>
      <c r="B62" s="7" t="s">
        <v>42</v>
      </c>
      <c r="C62" s="7" t="s">
        <v>43</v>
      </c>
      <c r="D62" s="7" t="s">
        <v>450</v>
      </c>
      <c r="E62" s="7" t="s">
        <v>35</v>
      </c>
      <c r="F62" s="49">
        <v>3</v>
      </c>
      <c r="G62" s="49">
        <v>4</v>
      </c>
      <c r="H62" s="49">
        <v>5</v>
      </c>
      <c r="I62" s="49"/>
      <c r="J62" s="7"/>
      <c r="K62" s="59">
        <f t="shared" si="0"/>
        <v>4</v>
      </c>
      <c r="L62" s="49"/>
      <c r="M62" s="49">
        <v>3</v>
      </c>
      <c r="N62" s="49">
        <v>3</v>
      </c>
      <c r="O62" s="49"/>
      <c r="P62" s="49"/>
      <c r="Q62" s="59">
        <f t="shared" si="1"/>
        <v>3</v>
      </c>
      <c r="R62" s="49"/>
      <c r="S62" s="49">
        <v>3</v>
      </c>
      <c r="T62" s="7"/>
      <c r="U62" s="49"/>
      <c r="V62" s="7"/>
      <c r="W62" s="59">
        <f t="shared" si="2"/>
        <v>3</v>
      </c>
      <c r="X62" s="49"/>
      <c r="Y62" s="49"/>
      <c r="Z62" s="7"/>
      <c r="AA62" s="7"/>
      <c r="AB62" s="7"/>
      <c r="AC62" s="59" t="str">
        <f t="shared" si="3"/>
        <v>0</v>
      </c>
      <c r="AD62" s="49"/>
      <c r="AE62" s="7"/>
      <c r="AF62" s="49"/>
      <c r="AG62" s="7"/>
      <c r="AH62" s="7"/>
      <c r="AI62" s="59" t="str">
        <f t="shared" si="4"/>
        <v>0</v>
      </c>
      <c r="AJ62" s="49">
        <v>3</v>
      </c>
      <c r="AK62" s="49">
        <v>3</v>
      </c>
      <c r="AL62" s="49">
        <v>4</v>
      </c>
      <c r="AM62" s="49">
        <v>3</v>
      </c>
      <c r="AN62" s="7"/>
      <c r="AO62" s="59">
        <f t="shared" si="5"/>
        <v>3.25</v>
      </c>
      <c r="AP62" s="49"/>
      <c r="AQ62" s="49"/>
      <c r="AR62" s="49"/>
      <c r="AS62" s="7"/>
      <c r="AT62" s="7"/>
      <c r="AU62" s="59" t="str">
        <f t="shared" si="6"/>
        <v>0</v>
      </c>
      <c r="AV62" s="7"/>
      <c r="AW62" s="7"/>
      <c r="AX62" s="49"/>
      <c r="AY62" s="49">
        <v>2.5</v>
      </c>
      <c r="AZ62" s="49"/>
      <c r="BA62" s="59">
        <f t="shared" si="7"/>
        <v>2.5</v>
      </c>
    </row>
    <row r="63" spans="1:53" ht="23.1" customHeight="1" x14ac:dyDescent="0.3">
      <c r="A63" s="49">
        <v>61</v>
      </c>
      <c r="B63" s="49" t="s">
        <v>128</v>
      </c>
      <c r="C63" s="49" t="s">
        <v>129</v>
      </c>
      <c r="D63" s="49" t="s">
        <v>450</v>
      </c>
      <c r="E63" s="49" t="s">
        <v>35</v>
      </c>
      <c r="F63" s="49">
        <v>4</v>
      </c>
      <c r="G63" s="49">
        <v>4</v>
      </c>
      <c r="H63" s="49">
        <v>4</v>
      </c>
      <c r="I63" s="49"/>
      <c r="J63" s="49"/>
      <c r="K63" s="59">
        <f t="shared" si="0"/>
        <v>4</v>
      </c>
      <c r="L63" s="49"/>
      <c r="M63" s="49">
        <v>4</v>
      </c>
      <c r="N63" s="49">
        <v>4</v>
      </c>
      <c r="O63" s="49"/>
      <c r="P63" s="49"/>
      <c r="Q63" s="59">
        <f t="shared" si="1"/>
        <v>4</v>
      </c>
      <c r="R63" s="49"/>
      <c r="S63" s="49">
        <v>2</v>
      </c>
      <c r="T63" s="49"/>
      <c r="U63" s="49"/>
      <c r="V63" s="49"/>
      <c r="W63" s="59">
        <f t="shared" si="2"/>
        <v>2</v>
      </c>
      <c r="X63" s="49"/>
      <c r="Y63" s="49"/>
      <c r="Z63" s="49"/>
      <c r="AA63" s="49"/>
      <c r="AB63" s="49"/>
      <c r="AC63" s="59" t="str">
        <f t="shared" si="3"/>
        <v>0</v>
      </c>
      <c r="AD63" s="49"/>
      <c r="AE63" s="49"/>
      <c r="AF63" s="49"/>
      <c r="AG63" s="49"/>
      <c r="AH63" s="49"/>
      <c r="AI63" s="59" t="str">
        <f t="shared" si="4"/>
        <v>0</v>
      </c>
      <c r="AJ63" s="49">
        <v>4</v>
      </c>
      <c r="AK63" s="49">
        <v>4</v>
      </c>
      <c r="AL63" s="49">
        <v>4</v>
      </c>
      <c r="AM63" s="49">
        <v>4</v>
      </c>
      <c r="AN63" s="49"/>
      <c r="AO63" s="59">
        <f t="shared" si="5"/>
        <v>4</v>
      </c>
      <c r="AP63" s="49"/>
      <c r="AQ63" s="49"/>
      <c r="AR63" s="49"/>
      <c r="AS63" s="49"/>
      <c r="AT63" s="49"/>
      <c r="AU63" s="59" t="str">
        <f t="shared" si="6"/>
        <v>0</v>
      </c>
      <c r="AV63" s="49"/>
      <c r="AW63" s="49"/>
      <c r="AX63" s="49"/>
      <c r="AY63" s="49">
        <v>4</v>
      </c>
      <c r="AZ63" s="49"/>
      <c r="BA63" s="59">
        <f t="shared" si="7"/>
        <v>4</v>
      </c>
    </row>
    <row r="64" spans="1:53" ht="23.1" customHeight="1" x14ac:dyDescent="0.3">
      <c r="A64" s="7">
        <v>62</v>
      </c>
      <c r="B64" s="7" t="s">
        <v>275</v>
      </c>
      <c r="C64" s="7" t="s">
        <v>276</v>
      </c>
      <c r="D64" s="7" t="s">
        <v>542</v>
      </c>
      <c r="E64" s="7" t="s">
        <v>161</v>
      </c>
      <c r="F64" s="49">
        <v>4</v>
      </c>
      <c r="G64" s="49">
        <v>3</v>
      </c>
      <c r="H64" s="49">
        <v>3</v>
      </c>
      <c r="I64" s="49"/>
      <c r="J64" s="7"/>
      <c r="K64" s="59">
        <f t="shared" si="0"/>
        <v>3.3333333333333335</v>
      </c>
      <c r="L64" s="49"/>
      <c r="M64" s="49">
        <v>5</v>
      </c>
      <c r="N64" s="49">
        <v>4</v>
      </c>
      <c r="O64" s="49"/>
      <c r="P64" s="49"/>
      <c r="Q64" s="59">
        <f t="shared" si="1"/>
        <v>4.5</v>
      </c>
      <c r="R64" s="49"/>
      <c r="S64" s="49">
        <v>1</v>
      </c>
      <c r="T64" s="7"/>
      <c r="U64" s="49"/>
      <c r="V64" s="7"/>
      <c r="W64" s="59">
        <f t="shared" si="2"/>
        <v>1</v>
      </c>
      <c r="X64" s="49"/>
      <c r="Y64" s="49"/>
      <c r="Z64" s="7"/>
      <c r="AA64" s="7"/>
      <c r="AB64" s="7"/>
      <c r="AC64" s="59" t="str">
        <f t="shared" si="3"/>
        <v>0</v>
      </c>
      <c r="AD64" s="49"/>
      <c r="AE64" s="7"/>
      <c r="AF64" s="49"/>
      <c r="AG64" s="7"/>
      <c r="AH64" s="7"/>
      <c r="AI64" s="59" t="str">
        <f t="shared" si="4"/>
        <v>0</v>
      </c>
      <c r="AJ64" s="49">
        <v>2</v>
      </c>
      <c r="AK64" s="49">
        <v>3</v>
      </c>
      <c r="AL64" s="49">
        <v>3</v>
      </c>
      <c r="AM64" s="49">
        <v>3</v>
      </c>
      <c r="AN64" s="7"/>
      <c r="AO64" s="59">
        <f t="shared" si="5"/>
        <v>2.75</v>
      </c>
      <c r="AP64" s="49"/>
      <c r="AQ64" s="49"/>
      <c r="AR64" s="49"/>
      <c r="AS64" s="7"/>
      <c r="AT64" s="7"/>
      <c r="AU64" s="59" t="str">
        <f t="shared" si="6"/>
        <v>0</v>
      </c>
      <c r="AV64" s="7"/>
      <c r="AW64" s="7"/>
      <c r="AX64" s="49"/>
      <c r="AY64" s="49">
        <v>3</v>
      </c>
      <c r="AZ64" s="49"/>
      <c r="BA64" s="59">
        <f t="shared" si="7"/>
        <v>3</v>
      </c>
    </row>
    <row r="65" spans="1:53" ht="23.1" customHeight="1" x14ac:dyDescent="0.3">
      <c r="A65" s="49">
        <v>63</v>
      </c>
      <c r="B65" s="49" t="s">
        <v>60</v>
      </c>
      <c r="C65" s="49" t="s">
        <v>61</v>
      </c>
      <c r="D65" s="49" t="s">
        <v>450</v>
      </c>
      <c r="E65" s="49" t="s">
        <v>35</v>
      </c>
      <c r="F65" s="49">
        <v>4</v>
      </c>
      <c r="G65" s="49">
        <v>4</v>
      </c>
      <c r="H65" s="49">
        <v>4</v>
      </c>
      <c r="I65" s="49"/>
      <c r="J65" s="49"/>
      <c r="K65" s="59">
        <f t="shared" si="0"/>
        <v>4</v>
      </c>
      <c r="L65" s="49"/>
      <c r="M65" s="49">
        <v>5</v>
      </c>
      <c r="N65" s="49">
        <v>5</v>
      </c>
      <c r="O65" s="49"/>
      <c r="P65" s="49"/>
      <c r="Q65" s="59">
        <f t="shared" si="1"/>
        <v>5</v>
      </c>
      <c r="R65" s="49"/>
      <c r="S65" s="49">
        <v>4</v>
      </c>
      <c r="T65" s="49"/>
      <c r="U65" s="49"/>
      <c r="V65" s="49"/>
      <c r="W65" s="59">
        <f t="shared" si="2"/>
        <v>4</v>
      </c>
      <c r="X65" s="49"/>
      <c r="Y65" s="49"/>
      <c r="Z65" s="49"/>
      <c r="AA65" s="49"/>
      <c r="AB65" s="49"/>
      <c r="AC65" s="59" t="str">
        <f t="shared" si="3"/>
        <v>0</v>
      </c>
      <c r="AD65" s="49"/>
      <c r="AE65" s="49"/>
      <c r="AF65" s="49"/>
      <c r="AG65" s="49"/>
      <c r="AH65" s="49"/>
      <c r="AI65" s="59" t="str">
        <f t="shared" si="4"/>
        <v>0</v>
      </c>
      <c r="AJ65" s="49">
        <v>4</v>
      </c>
      <c r="AK65" s="49">
        <v>4</v>
      </c>
      <c r="AL65" s="49">
        <v>4</v>
      </c>
      <c r="AM65" s="49">
        <v>4</v>
      </c>
      <c r="AN65" s="49"/>
      <c r="AO65" s="59">
        <f t="shared" si="5"/>
        <v>4</v>
      </c>
      <c r="AP65" s="49"/>
      <c r="AQ65" s="49"/>
      <c r="AR65" s="49"/>
      <c r="AS65" s="49"/>
      <c r="AT65" s="49"/>
      <c r="AU65" s="59" t="str">
        <f t="shared" si="6"/>
        <v>0</v>
      </c>
      <c r="AV65" s="49"/>
      <c r="AW65" s="49"/>
      <c r="AX65" s="49"/>
      <c r="AY65" s="49">
        <v>4</v>
      </c>
      <c r="AZ65" s="49"/>
      <c r="BA65" s="59">
        <f t="shared" si="7"/>
        <v>4</v>
      </c>
    </row>
    <row r="66" spans="1:53" ht="23.1" customHeight="1" x14ac:dyDescent="0.3">
      <c r="A66" s="7">
        <v>64</v>
      </c>
      <c r="B66" s="7" t="s">
        <v>318</v>
      </c>
      <c r="C66" s="7" t="s">
        <v>319</v>
      </c>
      <c r="D66" s="7" t="s">
        <v>450</v>
      </c>
      <c r="E66" s="7" t="s">
        <v>493</v>
      </c>
      <c r="F66" s="49">
        <v>5</v>
      </c>
      <c r="G66" s="49">
        <v>5</v>
      </c>
      <c r="H66" s="49">
        <v>5</v>
      </c>
      <c r="I66" s="49"/>
      <c r="J66" s="7"/>
      <c r="K66" s="59">
        <f t="shared" si="0"/>
        <v>5</v>
      </c>
      <c r="L66" s="49"/>
      <c r="M66" s="49">
        <v>5</v>
      </c>
      <c r="N66" s="49">
        <v>5</v>
      </c>
      <c r="O66" s="49"/>
      <c r="P66" s="49"/>
      <c r="Q66" s="59">
        <f t="shared" si="1"/>
        <v>5</v>
      </c>
      <c r="R66" s="49"/>
      <c r="S66" s="49">
        <v>2</v>
      </c>
      <c r="T66" s="7"/>
      <c r="U66" s="49"/>
      <c r="V66" s="7"/>
      <c r="W66" s="59">
        <f t="shared" si="2"/>
        <v>2</v>
      </c>
      <c r="X66" s="49"/>
      <c r="Y66" s="49"/>
      <c r="Z66" s="7"/>
      <c r="AA66" s="7"/>
      <c r="AB66" s="7"/>
      <c r="AC66" s="59" t="str">
        <f t="shared" si="3"/>
        <v>0</v>
      </c>
      <c r="AD66" s="49"/>
      <c r="AE66" s="7"/>
      <c r="AF66" s="49"/>
      <c r="AG66" s="7"/>
      <c r="AH66" s="7"/>
      <c r="AI66" s="59" t="str">
        <f t="shared" si="4"/>
        <v>0</v>
      </c>
      <c r="AJ66" s="49">
        <v>5</v>
      </c>
      <c r="AK66" s="49">
        <v>5</v>
      </c>
      <c r="AL66" s="49">
        <v>5</v>
      </c>
      <c r="AM66" s="49">
        <v>5</v>
      </c>
      <c r="AN66" s="7"/>
      <c r="AO66" s="59">
        <f t="shared" si="5"/>
        <v>5</v>
      </c>
      <c r="AP66" s="49"/>
      <c r="AQ66" s="49"/>
      <c r="AR66" s="49"/>
      <c r="AS66" s="7"/>
      <c r="AT66" s="7"/>
      <c r="AU66" s="59" t="str">
        <f t="shared" si="6"/>
        <v>0</v>
      </c>
      <c r="AV66" s="7"/>
      <c r="AW66" s="7"/>
      <c r="AX66" s="49"/>
      <c r="AY66" s="49">
        <v>5</v>
      </c>
      <c r="AZ66" s="49"/>
      <c r="BA66" s="59">
        <f t="shared" si="7"/>
        <v>5</v>
      </c>
    </row>
    <row r="67" spans="1:53" ht="23.1" customHeight="1" x14ac:dyDescent="0.3">
      <c r="A67" s="49">
        <v>65</v>
      </c>
      <c r="B67" s="49" t="s">
        <v>91</v>
      </c>
      <c r="C67" s="49" t="s">
        <v>92</v>
      </c>
      <c r="D67" s="49" t="s">
        <v>450</v>
      </c>
      <c r="E67" s="49" t="s">
        <v>35</v>
      </c>
      <c r="F67" s="49">
        <v>2</v>
      </c>
      <c r="G67" s="49">
        <v>2</v>
      </c>
      <c r="H67" s="49">
        <v>2</v>
      </c>
      <c r="I67" s="49"/>
      <c r="J67" s="49"/>
      <c r="K67" s="59">
        <f t="shared" si="0"/>
        <v>2</v>
      </c>
      <c r="L67" s="49"/>
      <c r="M67" s="49">
        <v>2</v>
      </c>
      <c r="N67" s="49">
        <v>2</v>
      </c>
      <c r="O67" s="49"/>
      <c r="P67" s="49"/>
      <c r="Q67" s="59">
        <f t="shared" si="1"/>
        <v>2</v>
      </c>
      <c r="R67" s="49"/>
      <c r="S67" s="49">
        <v>4</v>
      </c>
      <c r="T67" s="49"/>
      <c r="U67" s="49"/>
      <c r="V67" s="49"/>
      <c r="W67" s="59">
        <f t="shared" si="2"/>
        <v>4</v>
      </c>
      <c r="X67" s="49"/>
      <c r="Y67" s="49"/>
      <c r="Z67" s="49"/>
      <c r="AA67" s="49"/>
      <c r="AB67" s="49"/>
      <c r="AC67" s="59" t="str">
        <f t="shared" si="3"/>
        <v>0</v>
      </c>
      <c r="AD67" s="49"/>
      <c r="AE67" s="49"/>
      <c r="AF67" s="49"/>
      <c r="AG67" s="49"/>
      <c r="AH67" s="49"/>
      <c r="AI67" s="59" t="str">
        <f t="shared" si="4"/>
        <v>0</v>
      </c>
      <c r="AJ67" s="49">
        <v>2</v>
      </c>
      <c r="AK67" s="49">
        <v>2</v>
      </c>
      <c r="AL67" s="49">
        <v>2</v>
      </c>
      <c r="AM67" s="49">
        <v>2</v>
      </c>
      <c r="AN67" s="49"/>
      <c r="AO67" s="59">
        <f t="shared" si="5"/>
        <v>2</v>
      </c>
      <c r="AP67" s="49"/>
      <c r="AQ67" s="49"/>
      <c r="AR67" s="49"/>
      <c r="AS67" s="49"/>
      <c r="AT67" s="49"/>
      <c r="AU67" s="59" t="str">
        <f t="shared" si="6"/>
        <v>0</v>
      </c>
      <c r="AV67" s="49"/>
      <c r="AW67" s="49"/>
      <c r="AX67" s="49"/>
      <c r="AY67" s="49">
        <v>3</v>
      </c>
      <c r="AZ67" s="49"/>
      <c r="BA67" s="59">
        <f t="shared" si="7"/>
        <v>3</v>
      </c>
    </row>
    <row r="68" spans="1:53" ht="23.1" customHeight="1" x14ac:dyDescent="0.3">
      <c r="A68" s="7">
        <v>66</v>
      </c>
      <c r="B68" s="7" t="s">
        <v>261</v>
      </c>
      <c r="C68" s="7" t="s">
        <v>262</v>
      </c>
      <c r="D68" s="7" t="s">
        <v>450</v>
      </c>
      <c r="E68" s="7" t="s">
        <v>161</v>
      </c>
      <c r="F68" s="49" t="s">
        <v>581</v>
      </c>
      <c r="G68" s="49" t="s">
        <v>581</v>
      </c>
      <c r="H68" s="49" t="s">
        <v>581</v>
      </c>
      <c r="I68" s="49"/>
      <c r="J68" s="7"/>
      <c r="K68" s="59" t="str">
        <f t="shared" ref="K68:K131" si="8">IFERROR(AVERAGE(F68,G68,H68,I68,J68),"0")</f>
        <v>0</v>
      </c>
      <c r="L68" s="49"/>
      <c r="M68" s="49" t="s">
        <v>581</v>
      </c>
      <c r="N68" s="49" t="s">
        <v>581</v>
      </c>
      <c r="O68" s="49"/>
      <c r="P68" s="49"/>
      <c r="Q68" s="59" t="str">
        <f t="shared" ref="Q68:Q131" si="9">IFERROR(AVERAGE(L68,M68,N68,O68,P68),"0")</f>
        <v>0</v>
      </c>
      <c r="R68" s="49"/>
      <c r="S68" s="49" t="s">
        <v>581</v>
      </c>
      <c r="T68" s="7"/>
      <c r="U68" s="49"/>
      <c r="V68" s="7"/>
      <c r="W68" s="59" t="str">
        <f t="shared" ref="W68:W131" si="10">IFERROR(AVERAGE(R68,S68,T68,U68,V68),"0")</f>
        <v>0</v>
      </c>
      <c r="X68" s="49"/>
      <c r="Y68" s="49"/>
      <c r="Z68" s="7"/>
      <c r="AA68" s="7"/>
      <c r="AB68" s="7"/>
      <c r="AC68" s="59" t="str">
        <f t="shared" ref="AC68:AC131" si="11">IFERROR(AVERAGE(X68,Y68,Z68,AA68,AB68),"0")</f>
        <v>0</v>
      </c>
      <c r="AD68" s="49"/>
      <c r="AE68" s="7"/>
      <c r="AF68" s="49"/>
      <c r="AG68" s="7"/>
      <c r="AH68" s="7"/>
      <c r="AI68" s="59" t="str">
        <f t="shared" ref="AI68:AI131" si="12">IFERROR(AVERAGE(AD68,AE68,AF68,AG68,AH68),"0")</f>
        <v>0</v>
      </c>
      <c r="AJ68" s="49" t="s">
        <v>581</v>
      </c>
      <c r="AK68" s="49" t="s">
        <v>581</v>
      </c>
      <c r="AL68" s="49" t="s">
        <v>581</v>
      </c>
      <c r="AM68" s="49" t="s">
        <v>581</v>
      </c>
      <c r="AN68" s="7"/>
      <c r="AO68" s="59" t="str">
        <f t="shared" ref="AO68:AO131" si="13">IFERROR(AVERAGE(AJ68,AK68,AL68,AM68,AN68),"0")</f>
        <v>0</v>
      </c>
      <c r="AP68" s="49"/>
      <c r="AQ68" s="49"/>
      <c r="AR68" s="49"/>
      <c r="AS68" s="7"/>
      <c r="AT68" s="7"/>
      <c r="AU68" s="59" t="str">
        <f t="shared" ref="AU68:AU131" si="14">IFERROR(AVERAGE(AP68,AQ68,AR68,AS68,AT68),"0")</f>
        <v>0</v>
      </c>
      <c r="AV68" s="7"/>
      <c r="AW68" s="7"/>
      <c r="AX68" s="49"/>
      <c r="AY68" s="49" t="s">
        <v>581</v>
      </c>
      <c r="AZ68" s="49"/>
      <c r="BA68" s="59" t="str">
        <f t="shared" ref="BA68:BA131" si="15">IFERROR(AVERAGE(AV68,AW68,AX68,AY68,AZ68),"0")</f>
        <v>0</v>
      </c>
    </row>
    <row r="69" spans="1:53" ht="23.1" customHeight="1" x14ac:dyDescent="0.3">
      <c r="A69" s="49">
        <v>67</v>
      </c>
      <c r="B69" s="49" t="s">
        <v>277</v>
      </c>
      <c r="C69" s="49" t="s">
        <v>278</v>
      </c>
      <c r="D69" s="49" t="s">
        <v>450</v>
      </c>
      <c r="E69" s="49" t="s">
        <v>161</v>
      </c>
      <c r="F69" s="49">
        <v>4</v>
      </c>
      <c r="G69" s="49">
        <v>4</v>
      </c>
      <c r="H69" s="49">
        <v>4</v>
      </c>
      <c r="I69" s="49"/>
      <c r="J69" s="49"/>
      <c r="K69" s="59">
        <f t="shared" si="8"/>
        <v>4</v>
      </c>
      <c r="L69" s="49"/>
      <c r="M69" s="49">
        <v>4</v>
      </c>
      <c r="N69" s="49">
        <v>4</v>
      </c>
      <c r="O69" s="49"/>
      <c r="P69" s="49"/>
      <c r="Q69" s="59">
        <f t="shared" si="9"/>
        <v>4</v>
      </c>
      <c r="R69" s="49"/>
      <c r="S69" s="49">
        <v>2</v>
      </c>
      <c r="T69" s="49"/>
      <c r="U69" s="49"/>
      <c r="V69" s="49"/>
      <c r="W69" s="59">
        <f t="shared" si="10"/>
        <v>2</v>
      </c>
      <c r="X69" s="49"/>
      <c r="Y69" s="49"/>
      <c r="Z69" s="49"/>
      <c r="AA69" s="49"/>
      <c r="AB69" s="49"/>
      <c r="AC69" s="59" t="str">
        <f t="shared" si="11"/>
        <v>0</v>
      </c>
      <c r="AD69" s="49"/>
      <c r="AE69" s="49"/>
      <c r="AF69" s="49"/>
      <c r="AG69" s="49"/>
      <c r="AH69" s="49"/>
      <c r="AI69" s="59" t="str">
        <f t="shared" si="12"/>
        <v>0</v>
      </c>
      <c r="AJ69" s="49">
        <v>4</v>
      </c>
      <c r="AK69" s="49">
        <v>3</v>
      </c>
      <c r="AL69" s="49">
        <v>3</v>
      </c>
      <c r="AM69" s="49">
        <v>3</v>
      </c>
      <c r="AN69" s="49"/>
      <c r="AO69" s="59">
        <f t="shared" si="13"/>
        <v>3.25</v>
      </c>
      <c r="AP69" s="49"/>
      <c r="AQ69" s="49"/>
      <c r="AR69" s="49"/>
      <c r="AS69" s="49"/>
      <c r="AT69" s="49"/>
      <c r="AU69" s="59" t="str">
        <f t="shared" si="14"/>
        <v>0</v>
      </c>
      <c r="AV69" s="49"/>
      <c r="AW69" s="49"/>
      <c r="AX69" s="49"/>
      <c r="AY69" s="49">
        <v>5</v>
      </c>
      <c r="AZ69" s="49"/>
      <c r="BA69" s="59">
        <f t="shared" si="15"/>
        <v>5</v>
      </c>
    </row>
    <row r="70" spans="1:53" ht="23.1" customHeight="1" x14ac:dyDescent="0.3">
      <c r="A70" s="7">
        <v>68</v>
      </c>
      <c r="B70" s="7" t="s">
        <v>164</v>
      </c>
      <c r="C70" s="7" t="s">
        <v>165</v>
      </c>
      <c r="D70" s="7" t="s">
        <v>450</v>
      </c>
      <c r="E70" s="7" t="s">
        <v>161</v>
      </c>
      <c r="F70" s="49">
        <v>5</v>
      </c>
      <c r="G70" s="49">
        <v>5</v>
      </c>
      <c r="H70" s="49">
        <v>5</v>
      </c>
      <c r="I70" s="49"/>
      <c r="J70" s="7"/>
      <c r="K70" s="59">
        <f t="shared" si="8"/>
        <v>5</v>
      </c>
      <c r="L70" s="49"/>
      <c r="M70" s="49">
        <v>5</v>
      </c>
      <c r="N70" s="49">
        <v>5</v>
      </c>
      <c r="O70" s="49"/>
      <c r="P70" s="49"/>
      <c r="Q70" s="59">
        <f t="shared" si="9"/>
        <v>5</v>
      </c>
      <c r="R70" s="49"/>
      <c r="S70" s="49">
        <v>2</v>
      </c>
      <c r="T70" s="7"/>
      <c r="U70" s="49"/>
      <c r="V70" s="7"/>
      <c r="W70" s="59">
        <f t="shared" si="10"/>
        <v>2</v>
      </c>
      <c r="X70" s="49"/>
      <c r="Y70" s="49"/>
      <c r="Z70" s="7"/>
      <c r="AA70" s="7"/>
      <c r="AB70" s="7"/>
      <c r="AC70" s="59" t="str">
        <f t="shared" si="11"/>
        <v>0</v>
      </c>
      <c r="AD70" s="49"/>
      <c r="AE70" s="7"/>
      <c r="AF70" s="49"/>
      <c r="AG70" s="7"/>
      <c r="AH70" s="7"/>
      <c r="AI70" s="59" t="str">
        <f t="shared" si="12"/>
        <v>0</v>
      </c>
      <c r="AJ70" s="49">
        <v>5</v>
      </c>
      <c r="AK70" s="49">
        <v>5</v>
      </c>
      <c r="AL70" s="49">
        <v>5</v>
      </c>
      <c r="AM70" s="49">
        <v>5</v>
      </c>
      <c r="AN70" s="7"/>
      <c r="AO70" s="59">
        <f t="shared" si="13"/>
        <v>5</v>
      </c>
      <c r="AP70" s="49"/>
      <c r="AQ70" s="49"/>
      <c r="AR70" s="49"/>
      <c r="AS70" s="7"/>
      <c r="AT70" s="7"/>
      <c r="AU70" s="59" t="str">
        <f t="shared" si="14"/>
        <v>0</v>
      </c>
      <c r="AV70" s="7"/>
      <c r="AW70" s="7"/>
      <c r="AX70" s="49"/>
      <c r="AY70" s="49">
        <v>5</v>
      </c>
      <c r="AZ70" s="49"/>
      <c r="BA70" s="59">
        <f t="shared" si="15"/>
        <v>5</v>
      </c>
    </row>
    <row r="71" spans="1:53" ht="23.1" customHeight="1" x14ac:dyDescent="0.3">
      <c r="A71" s="49">
        <v>69</v>
      </c>
      <c r="B71" s="49" t="s">
        <v>130</v>
      </c>
      <c r="C71" s="49" t="s">
        <v>131</v>
      </c>
      <c r="D71" s="49" t="s">
        <v>542</v>
      </c>
      <c r="E71" s="49" t="s">
        <v>35</v>
      </c>
      <c r="F71" s="49">
        <v>3</v>
      </c>
      <c r="G71" s="49">
        <v>3</v>
      </c>
      <c r="H71" s="49">
        <v>3</v>
      </c>
      <c r="I71" s="49"/>
      <c r="J71" s="49"/>
      <c r="K71" s="59">
        <f t="shared" si="8"/>
        <v>3</v>
      </c>
      <c r="L71" s="49"/>
      <c r="M71" s="49">
        <v>3</v>
      </c>
      <c r="N71" s="49">
        <v>3</v>
      </c>
      <c r="O71" s="49"/>
      <c r="P71" s="49"/>
      <c r="Q71" s="59">
        <f t="shared" si="9"/>
        <v>3</v>
      </c>
      <c r="R71" s="49"/>
      <c r="S71" s="49">
        <v>3</v>
      </c>
      <c r="T71" s="49"/>
      <c r="U71" s="49"/>
      <c r="V71" s="49"/>
      <c r="W71" s="59">
        <f t="shared" si="10"/>
        <v>3</v>
      </c>
      <c r="X71" s="49"/>
      <c r="Y71" s="49"/>
      <c r="Z71" s="49"/>
      <c r="AA71" s="49"/>
      <c r="AB71" s="49"/>
      <c r="AC71" s="59" t="str">
        <f t="shared" si="11"/>
        <v>0</v>
      </c>
      <c r="AD71" s="49"/>
      <c r="AE71" s="49"/>
      <c r="AF71" s="49"/>
      <c r="AG71" s="49"/>
      <c r="AH71" s="49"/>
      <c r="AI71" s="59" t="str">
        <f t="shared" si="12"/>
        <v>0</v>
      </c>
      <c r="AJ71" s="49">
        <v>3</v>
      </c>
      <c r="AK71" s="49">
        <v>3</v>
      </c>
      <c r="AL71" s="49">
        <v>3</v>
      </c>
      <c r="AM71" s="49">
        <v>3</v>
      </c>
      <c r="AN71" s="49"/>
      <c r="AO71" s="59">
        <f t="shared" si="13"/>
        <v>3</v>
      </c>
      <c r="AP71" s="49"/>
      <c r="AQ71" s="49"/>
      <c r="AR71" s="49"/>
      <c r="AS71" s="49"/>
      <c r="AT71" s="49"/>
      <c r="AU71" s="59" t="str">
        <f t="shared" si="14"/>
        <v>0</v>
      </c>
      <c r="AV71" s="49"/>
      <c r="AW71" s="49"/>
      <c r="AX71" s="49"/>
      <c r="AY71" s="49">
        <v>3.5</v>
      </c>
      <c r="AZ71" s="49"/>
      <c r="BA71" s="59">
        <f t="shared" si="15"/>
        <v>3.5</v>
      </c>
    </row>
    <row r="72" spans="1:53" ht="23.1" customHeight="1" x14ac:dyDescent="0.3">
      <c r="A72" s="7">
        <v>70</v>
      </c>
      <c r="B72" s="7" t="s">
        <v>320</v>
      </c>
      <c r="C72" s="7" t="s">
        <v>321</v>
      </c>
      <c r="D72" s="7" t="s">
        <v>542</v>
      </c>
      <c r="E72" s="7" t="s">
        <v>493</v>
      </c>
      <c r="F72" s="49">
        <v>3</v>
      </c>
      <c r="G72" s="49">
        <v>3</v>
      </c>
      <c r="H72" s="49">
        <v>2</v>
      </c>
      <c r="I72" s="49"/>
      <c r="J72" s="7"/>
      <c r="K72" s="59">
        <f t="shared" si="8"/>
        <v>2.6666666666666665</v>
      </c>
      <c r="L72" s="49"/>
      <c r="M72" s="49">
        <v>3</v>
      </c>
      <c r="N72" s="49">
        <v>3</v>
      </c>
      <c r="O72" s="49"/>
      <c r="P72" s="49"/>
      <c r="Q72" s="59">
        <f t="shared" si="9"/>
        <v>3</v>
      </c>
      <c r="R72" s="49"/>
      <c r="S72" s="49">
        <v>3</v>
      </c>
      <c r="T72" s="7"/>
      <c r="U72" s="49"/>
      <c r="V72" s="7"/>
      <c r="W72" s="59">
        <f t="shared" si="10"/>
        <v>3</v>
      </c>
      <c r="X72" s="49"/>
      <c r="Y72" s="49"/>
      <c r="Z72" s="7"/>
      <c r="AA72" s="7"/>
      <c r="AB72" s="7"/>
      <c r="AC72" s="59" t="str">
        <f t="shared" si="11"/>
        <v>0</v>
      </c>
      <c r="AD72" s="49"/>
      <c r="AE72" s="7"/>
      <c r="AF72" s="49"/>
      <c r="AG72" s="7"/>
      <c r="AH72" s="7"/>
      <c r="AI72" s="59" t="str">
        <f t="shared" si="12"/>
        <v>0</v>
      </c>
      <c r="AJ72" s="49">
        <v>3</v>
      </c>
      <c r="AK72" s="49">
        <v>3</v>
      </c>
      <c r="AL72" s="49">
        <v>2</v>
      </c>
      <c r="AM72" s="49">
        <v>4</v>
      </c>
      <c r="AN72" s="7"/>
      <c r="AO72" s="59">
        <f t="shared" si="13"/>
        <v>3</v>
      </c>
      <c r="AP72" s="49"/>
      <c r="AQ72" s="49"/>
      <c r="AR72" s="49"/>
      <c r="AS72" s="7"/>
      <c r="AT72" s="7"/>
      <c r="AU72" s="59" t="str">
        <f t="shared" si="14"/>
        <v>0</v>
      </c>
      <c r="AV72" s="7"/>
      <c r="AW72" s="7"/>
      <c r="AX72" s="49"/>
      <c r="AY72" s="49">
        <v>3</v>
      </c>
      <c r="AZ72" s="49"/>
      <c r="BA72" s="59">
        <f t="shared" si="15"/>
        <v>3</v>
      </c>
    </row>
    <row r="73" spans="1:53" ht="23.1" customHeight="1" x14ac:dyDescent="0.3">
      <c r="A73" s="49">
        <v>71</v>
      </c>
      <c r="B73" s="49" t="s">
        <v>132</v>
      </c>
      <c r="C73" s="49" t="s">
        <v>133</v>
      </c>
      <c r="D73" s="49" t="s">
        <v>542</v>
      </c>
      <c r="E73" s="49" t="s">
        <v>35</v>
      </c>
      <c r="F73" s="49" t="s">
        <v>581</v>
      </c>
      <c r="G73" s="49" t="s">
        <v>581</v>
      </c>
      <c r="H73" s="49" t="s">
        <v>581</v>
      </c>
      <c r="I73" s="49"/>
      <c r="J73" s="49"/>
      <c r="K73" s="59" t="str">
        <f t="shared" si="8"/>
        <v>0</v>
      </c>
      <c r="L73" s="49"/>
      <c r="M73" s="49" t="s">
        <v>581</v>
      </c>
      <c r="N73" s="49" t="s">
        <v>581</v>
      </c>
      <c r="O73" s="49"/>
      <c r="P73" s="49"/>
      <c r="Q73" s="59" t="str">
        <f t="shared" si="9"/>
        <v>0</v>
      </c>
      <c r="R73" s="49"/>
      <c r="S73" s="49">
        <v>0</v>
      </c>
      <c r="T73" s="49"/>
      <c r="U73" s="49"/>
      <c r="V73" s="49"/>
      <c r="W73" s="59">
        <f t="shared" si="10"/>
        <v>0</v>
      </c>
      <c r="X73" s="49"/>
      <c r="Y73" s="49"/>
      <c r="Z73" s="49"/>
      <c r="AA73" s="49"/>
      <c r="AB73" s="49"/>
      <c r="AC73" s="59" t="str">
        <f t="shared" si="11"/>
        <v>0</v>
      </c>
      <c r="AD73" s="49"/>
      <c r="AE73" s="49"/>
      <c r="AF73" s="49"/>
      <c r="AG73" s="49"/>
      <c r="AH73" s="49"/>
      <c r="AI73" s="59" t="str">
        <f t="shared" si="12"/>
        <v>0</v>
      </c>
      <c r="AJ73" s="49" t="s">
        <v>581</v>
      </c>
      <c r="AK73" s="49" t="s">
        <v>581</v>
      </c>
      <c r="AL73" s="49" t="s">
        <v>581</v>
      </c>
      <c r="AM73" s="49" t="s">
        <v>581</v>
      </c>
      <c r="AN73" s="49"/>
      <c r="AO73" s="59" t="str">
        <f t="shared" si="13"/>
        <v>0</v>
      </c>
      <c r="AP73" s="49"/>
      <c r="AQ73" s="49"/>
      <c r="AR73" s="49"/>
      <c r="AS73" s="49"/>
      <c r="AT73" s="49"/>
      <c r="AU73" s="59" t="str">
        <f t="shared" si="14"/>
        <v>0</v>
      </c>
      <c r="AV73" s="49"/>
      <c r="AW73" s="49"/>
      <c r="AX73" s="49"/>
      <c r="AY73" s="49" t="s">
        <v>581</v>
      </c>
      <c r="AZ73" s="49"/>
      <c r="BA73" s="59" t="str">
        <f t="shared" si="15"/>
        <v>0</v>
      </c>
    </row>
    <row r="74" spans="1:53" ht="23.1" customHeight="1" x14ac:dyDescent="0.3">
      <c r="A74" s="7">
        <v>72</v>
      </c>
      <c r="B74" s="7" t="s">
        <v>166</v>
      </c>
      <c r="C74" s="7" t="s">
        <v>167</v>
      </c>
      <c r="D74" s="7" t="s">
        <v>542</v>
      </c>
      <c r="E74" s="7" t="s">
        <v>161</v>
      </c>
      <c r="F74" s="49">
        <v>3</v>
      </c>
      <c r="G74" s="49">
        <v>4</v>
      </c>
      <c r="H74" s="49">
        <v>5</v>
      </c>
      <c r="I74" s="49"/>
      <c r="J74" s="7"/>
      <c r="K74" s="59">
        <f t="shared" si="8"/>
        <v>4</v>
      </c>
      <c r="L74" s="49"/>
      <c r="M74" s="49">
        <v>2.5</v>
      </c>
      <c r="N74" s="49">
        <v>2</v>
      </c>
      <c r="O74" s="49"/>
      <c r="P74" s="49"/>
      <c r="Q74" s="59">
        <f t="shared" si="9"/>
        <v>2.25</v>
      </c>
      <c r="R74" s="49"/>
      <c r="S74" s="49">
        <v>2.5</v>
      </c>
      <c r="T74" s="7"/>
      <c r="U74" s="49"/>
      <c r="V74" s="7"/>
      <c r="W74" s="59">
        <f t="shared" si="10"/>
        <v>2.5</v>
      </c>
      <c r="X74" s="49"/>
      <c r="Y74" s="49"/>
      <c r="Z74" s="7"/>
      <c r="AA74" s="7"/>
      <c r="AB74" s="7"/>
      <c r="AC74" s="59" t="str">
        <f t="shared" si="11"/>
        <v>0</v>
      </c>
      <c r="AD74" s="49"/>
      <c r="AE74" s="7"/>
      <c r="AF74" s="49"/>
      <c r="AG74" s="7"/>
      <c r="AH74" s="7"/>
      <c r="AI74" s="59" t="str">
        <f t="shared" si="12"/>
        <v>0</v>
      </c>
      <c r="AJ74" s="49">
        <v>3</v>
      </c>
      <c r="AK74" s="49">
        <v>3</v>
      </c>
      <c r="AL74" s="49">
        <v>4</v>
      </c>
      <c r="AM74" s="49">
        <v>3</v>
      </c>
      <c r="AN74" s="7"/>
      <c r="AO74" s="59">
        <f t="shared" si="13"/>
        <v>3.25</v>
      </c>
      <c r="AP74" s="49"/>
      <c r="AQ74" s="49"/>
      <c r="AR74" s="49"/>
      <c r="AS74" s="7"/>
      <c r="AT74" s="7"/>
      <c r="AU74" s="59" t="str">
        <f t="shared" si="14"/>
        <v>0</v>
      </c>
      <c r="AV74" s="7"/>
      <c r="AW74" s="7"/>
      <c r="AX74" s="49"/>
      <c r="AY74" s="49">
        <v>2</v>
      </c>
      <c r="AZ74" s="49"/>
      <c r="BA74" s="59">
        <f t="shared" si="15"/>
        <v>2</v>
      </c>
    </row>
    <row r="75" spans="1:53" ht="23.1" customHeight="1" x14ac:dyDescent="0.3">
      <c r="A75" s="49">
        <v>73</v>
      </c>
      <c r="B75" s="49" t="s">
        <v>182</v>
      </c>
      <c r="C75" s="49" t="s">
        <v>183</v>
      </c>
      <c r="D75" s="49" t="s">
        <v>450</v>
      </c>
      <c r="E75" s="49" t="s">
        <v>161</v>
      </c>
      <c r="F75" s="49">
        <v>4</v>
      </c>
      <c r="G75" s="49">
        <v>3</v>
      </c>
      <c r="H75" s="49">
        <v>3</v>
      </c>
      <c r="I75" s="49"/>
      <c r="J75" s="49"/>
      <c r="K75" s="59">
        <f t="shared" si="8"/>
        <v>3.3333333333333335</v>
      </c>
      <c r="L75" s="49"/>
      <c r="M75" s="49">
        <v>3</v>
      </c>
      <c r="N75" s="49">
        <v>3</v>
      </c>
      <c r="O75" s="49"/>
      <c r="P75" s="49"/>
      <c r="Q75" s="59">
        <f t="shared" si="9"/>
        <v>3</v>
      </c>
      <c r="R75" s="49"/>
      <c r="S75" s="49">
        <v>3</v>
      </c>
      <c r="T75" s="49"/>
      <c r="U75" s="49"/>
      <c r="V75" s="49"/>
      <c r="W75" s="59">
        <f t="shared" si="10"/>
        <v>3</v>
      </c>
      <c r="X75" s="49"/>
      <c r="Y75" s="49"/>
      <c r="Z75" s="49"/>
      <c r="AA75" s="49"/>
      <c r="AB75" s="49"/>
      <c r="AC75" s="59" t="str">
        <f t="shared" si="11"/>
        <v>0</v>
      </c>
      <c r="AD75" s="49"/>
      <c r="AE75" s="49"/>
      <c r="AF75" s="49"/>
      <c r="AG75" s="49"/>
      <c r="AH75" s="49"/>
      <c r="AI75" s="59" t="str">
        <f t="shared" si="12"/>
        <v>0</v>
      </c>
      <c r="AJ75" s="49">
        <v>2</v>
      </c>
      <c r="AK75" s="49">
        <v>3</v>
      </c>
      <c r="AL75" s="49">
        <v>3</v>
      </c>
      <c r="AM75" s="49">
        <v>3</v>
      </c>
      <c r="AN75" s="49"/>
      <c r="AO75" s="59">
        <f t="shared" si="13"/>
        <v>2.75</v>
      </c>
      <c r="AP75" s="49"/>
      <c r="AQ75" s="49"/>
      <c r="AR75" s="49"/>
      <c r="AS75" s="49"/>
      <c r="AT75" s="49"/>
      <c r="AU75" s="59" t="str">
        <f t="shared" si="14"/>
        <v>0</v>
      </c>
      <c r="AV75" s="49"/>
      <c r="AW75" s="49"/>
      <c r="AX75" s="49"/>
      <c r="AY75" s="49">
        <v>3</v>
      </c>
      <c r="AZ75" s="49"/>
      <c r="BA75" s="59">
        <f t="shared" si="15"/>
        <v>3</v>
      </c>
    </row>
    <row r="76" spans="1:53" ht="23.1" customHeight="1" x14ac:dyDescent="0.3">
      <c r="A76" s="7">
        <v>74</v>
      </c>
      <c r="B76" s="7" t="s">
        <v>322</v>
      </c>
      <c r="C76" s="7" t="s">
        <v>323</v>
      </c>
      <c r="D76" s="7" t="s">
        <v>450</v>
      </c>
      <c r="E76" s="7" t="s">
        <v>493</v>
      </c>
      <c r="F76" s="49">
        <v>4</v>
      </c>
      <c r="G76" s="49">
        <v>5</v>
      </c>
      <c r="H76" s="49">
        <v>4</v>
      </c>
      <c r="I76" s="49"/>
      <c r="J76" s="7"/>
      <c r="K76" s="59">
        <f t="shared" si="8"/>
        <v>4.333333333333333</v>
      </c>
      <c r="L76" s="49"/>
      <c r="M76" s="49">
        <v>4</v>
      </c>
      <c r="N76" s="49">
        <v>4</v>
      </c>
      <c r="O76" s="49"/>
      <c r="P76" s="49"/>
      <c r="Q76" s="59">
        <f t="shared" si="9"/>
        <v>4</v>
      </c>
      <c r="R76" s="49"/>
      <c r="S76" s="49">
        <v>2</v>
      </c>
      <c r="T76" s="7"/>
      <c r="U76" s="49"/>
      <c r="V76" s="7"/>
      <c r="W76" s="59">
        <f t="shared" si="10"/>
        <v>2</v>
      </c>
      <c r="X76" s="49"/>
      <c r="Y76" s="49"/>
      <c r="Z76" s="7"/>
      <c r="AA76" s="7"/>
      <c r="AB76" s="7"/>
      <c r="AC76" s="59" t="str">
        <f t="shared" si="11"/>
        <v>0</v>
      </c>
      <c r="AD76" s="49"/>
      <c r="AE76" s="7"/>
      <c r="AF76" s="49"/>
      <c r="AG76" s="7"/>
      <c r="AH76" s="7"/>
      <c r="AI76" s="59" t="str">
        <f t="shared" si="12"/>
        <v>0</v>
      </c>
      <c r="AJ76" s="49">
        <v>4</v>
      </c>
      <c r="AK76" s="49">
        <v>5</v>
      </c>
      <c r="AL76" s="49">
        <v>4</v>
      </c>
      <c r="AM76" s="49">
        <v>4</v>
      </c>
      <c r="AN76" s="7"/>
      <c r="AO76" s="59">
        <f t="shared" si="13"/>
        <v>4.25</v>
      </c>
      <c r="AP76" s="49"/>
      <c r="AQ76" s="49"/>
      <c r="AR76" s="49"/>
      <c r="AS76" s="7"/>
      <c r="AT76" s="7"/>
      <c r="AU76" s="59" t="str">
        <f t="shared" si="14"/>
        <v>0</v>
      </c>
      <c r="AV76" s="7"/>
      <c r="AW76" s="7"/>
      <c r="AX76" s="49"/>
      <c r="AY76" s="49">
        <v>5</v>
      </c>
      <c r="AZ76" s="49"/>
      <c r="BA76" s="59">
        <f t="shared" si="15"/>
        <v>5</v>
      </c>
    </row>
    <row r="77" spans="1:53" ht="23.1" customHeight="1" x14ac:dyDescent="0.3">
      <c r="A77" s="49">
        <v>75</v>
      </c>
      <c r="B77" s="49" t="s">
        <v>324</v>
      </c>
      <c r="C77" s="49" t="s">
        <v>325</v>
      </c>
      <c r="D77" s="49" t="s">
        <v>450</v>
      </c>
      <c r="E77" s="49" t="s">
        <v>493</v>
      </c>
      <c r="F77" s="49">
        <v>4</v>
      </c>
      <c r="G77" s="49">
        <v>4</v>
      </c>
      <c r="H77" s="49">
        <v>5</v>
      </c>
      <c r="I77" s="49"/>
      <c r="J77" s="49"/>
      <c r="K77" s="59">
        <f t="shared" si="8"/>
        <v>4.333333333333333</v>
      </c>
      <c r="L77" s="49"/>
      <c r="M77" s="49">
        <v>2.5</v>
      </c>
      <c r="N77" s="49">
        <v>2</v>
      </c>
      <c r="O77" s="49"/>
      <c r="P77" s="49"/>
      <c r="Q77" s="59">
        <f t="shared" si="9"/>
        <v>2.25</v>
      </c>
      <c r="R77" s="49"/>
      <c r="S77" s="49">
        <v>2</v>
      </c>
      <c r="T77" s="49"/>
      <c r="U77" s="49"/>
      <c r="V77" s="49"/>
      <c r="W77" s="59">
        <f t="shared" si="10"/>
        <v>2</v>
      </c>
      <c r="X77" s="49"/>
      <c r="Y77" s="49"/>
      <c r="Z77" s="49"/>
      <c r="AA77" s="49"/>
      <c r="AB77" s="49"/>
      <c r="AC77" s="59" t="str">
        <f t="shared" si="11"/>
        <v>0</v>
      </c>
      <c r="AD77" s="49"/>
      <c r="AE77" s="49"/>
      <c r="AF77" s="49"/>
      <c r="AG77" s="49"/>
      <c r="AH77" s="49"/>
      <c r="AI77" s="59" t="str">
        <f t="shared" si="12"/>
        <v>0</v>
      </c>
      <c r="AJ77" s="49">
        <v>4</v>
      </c>
      <c r="AK77" s="49">
        <v>5</v>
      </c>
      <c r="AL77" s="49">
        <v>5</v>
      </c>
      <c r="AM77" s="49">
        <v>5</v>
      </c>
      <c r="AN77" s="49"/>
      <c r="AO77" s="59">
        <f t="shared" si="13"/>
        <v>4.75</v>
      </c>
      <c r="AP77" s="49"/>
      <c r="AQ77" s="49"/>
      <c r="AR77" s="49"/>
      <c r="AS77" s="49"/>
      <c r="AT77" s="49"/>
      <c r="AU77" s="59" t="str">
        <f t="shared" si="14"/>
        <v>0</v>
      </c>
      <c r="AV77" s="49"/>
      <c r="AW77" s="49"/>
      <c r="AX77" s="49"/>
      <c r="AY77" s="49">
        <v>2</v>
      </c>
      <c r="AZ77" s="49"/>
      <c r="BA77" s="59">
        <f t="shared" si="15"/>
        <v>2</v>
      </c>
    </row>
    <row r="78" spans="1:53" ht="23.1" customHeight="1" x14ac:dyDescent="0.3">
      <c r="A78" s="7">
        <v>76</v>
      </c>
      <c r="B78" s="7" t="s">
        <v>326</v>
      </c>
      <c r="C78" s="7" t="s">
        <v>327</v>
      </c>
      <c r="D78" s="7" t="s">
        <v>450</v>
      </c>
      <c r="E78" s="7" t="s">
        <v>493</v>
      </c>
      <c r="F78" s="49">
        <v>4</v>
      </c>
      <c r="G78" s="49">
        <v>4</v>
      </c>
      <c r="H78" s="49">
        <v>5</v>
      </c>
      <c r="I78" s="49"/>
      <c r="J78" s="7"/>
      <c r="K78" s="59">
        <f t="shared" si="8"/>
        <v>4.333333333333333</v>
      </c>
      <c r="L78" s="49"/>
      <c r="M78" s="49">
        <v>5</v>
      </c>
      <c r="N78" s="49">
        <v>5</v>
      </c>
      <c r="O78" s="49"/>
      <c r="P78" s="49"/>
      <c r="Q78" s="59">
        <f t="shared" si="9"/>
        <v>5</v>
      </c>
      <c r="R78" s="49"/>
      <c r="S78" s="49">
        <v>4</v>
      </c>
      <c r="T78" s="7"/>
      <c r="U78" s="49"/>
      <c r="V78" s="7"/>
      <c r="W78" s="59">
        <f t="shared" si="10"/>
        <v>4</v>
      </c>
      <c r="X78" s="49"/>
      <c r="Y78" s="49"/>
      <c r="Z78" s="7"/>
      <c r="AA78" s="7"/>
      <c r="AB78" s="7"/>
      <c r="AC78" s="59" t="str">
        <f t="shared" si="11"/>
        <v>0</v>
      </c>
      <c r="AD78" s="49"/>
      <c r="AE78" s="7"/>
      <c r="AF78" s="49"/>
      <c r="AG78" s="7"/>
      <c r="AH78" s="7"/>
      <c r="AI78" s="59" t="str">
        <f t="shared" si="12"/>
        <v>0</v>
      </c>
      <c r="AJ78" s="49">
        <v>5</v>
      </c>
      <c r="AK78" s="49">
        <v>4</v>
      </c>
      <c r="AL78" s="49">
        <v>4</v>
      </c>
      <c r="AM78" s="49">
        <v>4</v>
      </c>
      <c r="AN78" s="7"/>
      <c r="AO78" s="59">
        <f t="shared" si="13"/>
        <v>4.25</v>
      </c>
      <c r="AP78" s="49"/>
      <c r="AQ78" s="49"/>
      <c r="AR78" s="49"/>
      <c r="AS78" s="7"/>
      <c r="AT78" s="7"/>
      <c r="AU78" s="59" t="str">
        <f t="shared" si="14"/>
        <v>0</v>
      </c>
      <c r="AV78" s="7"/>
      <c r="AW78" s="7"/>
      <c r="AX78" s="49"/>
      <c r="AY78" s="49">
        <v>5</v>
      </c>
      <c r="AZ78" s="49"/>
      <c r="BA78" s="59">
        <f t="shared" si="15"/>
        <v>5</v>
      </c>
    </row>
    <row r="79" spans="1:53" ht="23.1" customHeight="1" x14ac:dyDescent="0.3">
      <c r="A79" s="49">
        <v>77</v>
      </c>
      <c r="B79" s="49" t="s">
        <v>328</v>
      </c>
      <c r="C79" s="49" t="s">
        <v>329</v>
      </c>
      <c r="D79" s="49" t="s">
        <v>450</v>
      </c>
      <c r="E79" s="49" t="s">
        <v>493</v>
      </c>
      <c r="F79" s="49">
        <v>3</v>
      </c>
      <c r="G79" s="49">
        <v>2</v>
      </c>
      <c r="H79" s="49">
        <v>2</v>
      </c>
      <c r="I79" s="49"/>
      <c r="J79" s="49"/>
      <c r="K79" s="59">
        <f t="shared" si="8"/>
        <v>2.3333333333333335</v>
      </c>
      <c r="L79" s="49"/>
      <c r="M79" s="49">
        <v>2</v>
      </c>
      <c r="N79" s="49">
        <v>2</v>
      </c>
      <c r="O79" s="49"/>
      <c r="P79" s="49"/>
      <c r="Q79" s="59">
        <f t="shared" si="9"/>
        <v>2</v>
      </c>
      <c r="R79" s="49"/>
      <c r="S79" s="49">
        <v>2</v>
      </c>
      <c r="T79" s="49"/>
      <c r="U79" s="49"/>
      <c r="V79" s="49"/>
      <c r="W79" s="59">
        <f t="shared" si="10"/>
        <v>2</v>
      </c>
      <c r="X79" s="49"/>
      <c r="Y79" s="49"/>
      <c r="Z79" s="49"/>
      <c r="AA79" s="49"/>
      <c r="AB79" s="49"/>
      <c r="AC79" s="59" t="str">
        <f t="shared" si="11"/>
        <v>0</v>
      </c>
      <c r="AD79" s="49"/>
      <c r="AE79" s="49"/>
      <c r="AF79" s="49"/>
      <c r="AG79" s="49"/>
      <c r="AH79" s="49"/>
      <c r="AI79" s="59" t="str">
        <f t="shared" si="12"/>
        <v>0</v>
      </c>
      <c r="AJ79" s="49">
        <v>2</v>
      </c>
      <c r="AK79" s="49">
        <v>2</v>
      </c>
      <c r="AL79" s="49">
        <v>2</v>
      </c>
      <c r="AM79" s="49">
        <v>2</v>
      </c>
      <c r="AN79" s="49"/>
      <c r="AO79" s="59">
        <f t="shared" si="13"/>
        <v>2</v>
      </c>
      <c r="AP79" s="49"/>
      <c r="AQ79" s="49"/>
      <c r="AR79" s="49"/>
      <c r="AS79" s="49"/>
      <c r="AT79" s="49"/>
      <c r="AU79" s="59" t="str">
        <f t="shared" si="14"/>
        <v>0</v>
      </c>
      <c r="AV79" s="49"/>
      <c r="AW79" s="49"/>
      <c r="AX79" s="49"/>
      <c r="AY79" s="49">
        <v>2</v>
      </c>
      <c r="AZ79" s="49"/>
      <c r="BA79" s="59">
        <f t="shared" si="15"/>
        <v>2</v>
      </c>
    </row>
    <row r="80" spans="1:53" ht="23.1" customHeight="1" x14ac:dyDescent="0.3">
      <c r="A80" s="7">
        <v>78</v>
      </c>
      <c r="B80" s="7" t="s">
        <v>330</v>
      </c>
      <c r="C80" s="7" t="s">
        <v>331</v>
      </c>
      <c r="D80" s="7" t="s">
        <v>450</v>
      </c>
      <c r="E80" s="7" t="s">
        <v>493</v>
      </c>
      <c r="F80" s="49">
        <v>3</v>
      </c>
      <c r="G80" s="49">
        <v>3</v>
      </c>
      <c r="H80" s="49">
        <v>3</v>
      </c>
      <c r="I80" s="49"/>
      <c r="J80" s="7"/>
      <c r="K80" s="59">
        <f t="shared" si="8"/>
        <v>3</v>
      </c>
      <c r="L80" s="49"/>
      <c r="M80" s="49">
        <v>3</v>
      </c>
      <c r="N80" s="49">
        <v>4</v>
      </c>
      <c r="O80" s="49"/>
      <c r="P80" s="49"/>
      <c r="Q80" s="59">
        <f t="shared" si="9"/>
        <v>3.5</v>
      </c>
      <c r="R80" s="49"/>
      <c r="S80" s="49">
        <v>3</v>
      </c>
      <c r="T80" s="7"/>
      <c r="U80" s="49"/>
      <c r="V80" s="7"/>
      <c r="W80" s="59">
        <f t="shared" si="10"/>
        <v>3</v>
      </c>
      <c r="X80" s="49"/>
      <c r="Y80" s="49"/>
      <c r="Z80" s="7"/>
      <c r="AA80" s="7"/>
      <c r="AB80" s="7"/>
      <c r="AC80" s="59" t="str">
        <f t="shared" si="11"/>
        <v>0</v>
      </c>
      <c r="AD80" s="49"/>
      <c r="AE80" s="7"/>
      <c r="AF80" s="49"/>
      <c r="AG80" s="7"/>
      <c r="AH80" s="7"/>
      <c r="AI80" s="59" t="str">
        <f t="shared" si="12"/>
        <v>0</v>
      </c>
      <c r="AJ80" s="49">
        <v>3</v>
      </c>
      <c r="AK80" s="49">
        <v>3</v>
      </c>
      <c r="AL80" s="49">
        <v>4</v>
      </c>
      <c r="AM80" s="49">
        <v>4</v>
      </c>
      <c r="AN80" s="7"/>
      <c r="AO80" s="59">
        <f t="shared" si="13"/>
        <v>3.5</v>
      </c>
      <c r="AP80" s="49"/>
      <c r="AQ80" s="49"/>
      <c r="AR80" s="49"/>
      <c r="AS80" s="7"/>
      <c r="AT80" s="7"/>
      <c r="AU80" s="59" t="str">
        <f t="shared" si="14"/>
        <v>0</v>
      </c>
      <c r="AV80" s="7"/>
      <c r="AW80" s="7"/>
      <c r="AX80" s="49"/>
      <c r="AY80" s="49">
        <v>4</v>
      </c>
      <c r="AZ80" s="49"/>
      <c r="BA80" s="59">
        <f t="shared" si="15"/>
        <v>4</v>
      </c>
    </row>
    <row r="81" spans="1:53" ht="23.1" customHeight="1" x14ac:dyDescent="0.3">
      <c r="A81" s="49">
        <v>79</v>
      </c>
      <c r="B81" s="49" t="s">
        <v>199</v>
      </c>
      <c r="C81" s="49" t="s">
        <v>200</v>
      </c>
      <c r="D81" s="49" t="s">
        <v>450</v>
      </c>
      <c r="E81" s="49" t="s">
        <v>161</v>
      </c>
      <c r="F81" s="49">
        <v>3</v>
      </c>
      <c r="G81" s="49">
        <v>2</v>
      </c>
      <c r="H81" s="49">
        <v>3</v>
      </c>
      <c r="I81" s="49"/>
      <c r="J81" s="49"/>
      <c r="K81" s="59">
        <f t="shared" si="8"/>
        <v>2.6666666666666665</v>
      </c>
      <c r="L81" s="49"/>
      <c r="M81" s="49">
        <v>4</v>
      </c>
      <c r="N81" s="49">
        <v>4</v>
      </c>
      <c r="O81" s="49"/>
      <c r="P81" s="49"/>
      <c r="Q81" s="59">
        <f t="shared" si="9"/>
        <v>4</v>
      </c>
      <c r="R81" s="49"/>
      <c r="S81" s="49">
        <v>2</v>
      </c>
      <c r="T81" s="49"/>
      <c r="U81" s="49"/>
      <c r="V81" s="49"/>
      <c r="W81" s="59">
        <f t="shared" si="10"/>
        <v>2</v>
      </c>
      <c r="X81" s="49"/>
      <c r="Y81" s="49"/>
      <c r="Z81" s="49"/>
      <c r="AA81" s="49"/>
      <c r="AB81" s="49"/>
      <c r="AC81" s="59" t="str">
        <f t="shared" si="11"/>
        <v>0</v>
      </c>
      <c r="AD81" s="49"/>
      <c r="AE81" s="49"/>
      <c r="AF81" s="49"/>
      <c r="AG81" s="49"/>
      <c r="AH81" s="49"/>
      <c r="AI81" s="59" t="str">
        <f t="shared" si="12"/>
        <v>0</v>
      </c>
      <c r="AJ81" s="49">
        <v>4</v>
      </c>
      <c r="AK81" s="49">
        <v>3</v>
      </c>
      <c r="AL81" s="49">
        <v>3</v>
      </c>
      <c r="AM81" s="49">
        <v>4</v>
      </c>
      <c r="AN81" s="49"/>
      <c r="AO81" s="59">
        <f t="shared" si="13"/>
        <v>3.5</v>
      </c>
      <c r="AP81" s="49"/>
      <c r="AQ81" s="49"/>
      <c r="AR81" s="49"/>
      <c r="AS81" s="49"/>
      <c r="AT81" s="49"/>
      <c r="AU81" s="59" t="str">
        <f t="shared" si="14"/>
        <v>0</v>
      </c>
      <c r="AV81" s="49"/>
      <c r="AW81" s="49"/>
      <c r="AX81" s="49"/>
      <c r="AY81" s="49">
        <v>5</v>
      </c>
      <c r="AZ81" s="49"/>
      <c r="BA81" s="59">
        <f t="shared" si="15"/>
        <v>5</v>
      </c>
    </row>
    <row r="82" spans="1:53" ht="23.1" customHeight="1" x14ac:dyDescent="0.3">
      <c r="A82" s="7">
        <v>80</v>
      </c>
      <c r="B82" s="7" t="s">
        <v>332</v>
      </c>
      <c r="C82" s="7" t="s">
        <v>333</v>
      </c>
      <c r="D82" s="7" t="s">
        <v>450</v>
      </c>
      <c r="E82" s="7" t="s">
        <v>493</v>
      </c>
      <c r="F82" s="49">
        <v>2</v>
      </c>
      <c r="G82" s="49">
        <v>4</v>
      </c>
      <c r="H82" s="49">
        <v>5</v>
      </c>
      <c r="I82" s="49"/>
      <c r="J82" s="7"/>
      <c r="K82" s="59">
        <f t="shared" si="8"/>
        <v>3.6666666666666665</v>
      </c>
      <c r="L82" s="49"/>
      <c r="M82" s="49">
        <v>3</v>
      </c>
      <c r="N82" s="49">
        <v>3</v>
      </c>
      <c r="O82" s="49"/>
      <c r="P82" s="49"/>
      <c r="Q82" s="59">
        <f t="shared" si="9"/>
        <v>3</v>
      </c>
      <c r="R82" s="49"/>
      <c r="S82" s="49">
        <v>2</v>
      </c>
      <c r="T82" s="7"/>
      <c r="U82" s="49"/>
      <c r="V82" s="7"/>
      <c r="W82" s="59">
        <f t="shared" si="10"/>
        <v>2</v>
      </c>
      <c r="X82" s="49"/>
      <c r="Y82" s="49"/>
      <c r="Z82" s="7"/>
      <c r="AA82" s="7"/>
      <c r="AB82" s="7"/>
      <c r="AC82" s="59" t="str">
        <f t="shared" si="11"/>
        <v>0</v>
      </c>
      <c r="AD82" s="49"/>
      <c r="AE82" s="7"/>
      <c r="AF82" s="49"/>
      <c r="AG82" s="7"/>
      <c r="AH82" s="7"/>
      <c r="AI82" s="59" t="str">
        <f t="shared" si="12"/>
        <v>0</v>
      </c>
      <c r="AJ82" s="49">
        <v>5</v>
      </c>
      <c r="AK82" s="49">
        <v>4</v>
      </c>
      <c r="AL82" s="49">
        <v>4</v>
      </c>
      <c r="AM82" s="49">
        <v>4</v>
      </c>
      <c r="AN82" s="7"/>
      <c r="AO82" s="59">
        <f t="shared" si="13"/>
        <v>4.25</v>
      </c>
      <c r="AP82" s="49"/>
      <c r="AQ82" s="49"/>
      <c r="AR82" s="49"/>
      <c r="AS82" s="7"/>
      <c r="AT82" s="7"/>
      <c r="AU82" s="59" t="str">
        <f t="shared" si="14"/>
        <v>0</v>
      </c>
      <c r="AV82" s="7"/>
      <c r="AW82" s="7"/>
      <c r="AX82" s="49"/>
      <c r="AY82" s="49">
        <v>4</v>
      </c>
      <c r="AZ82" s="49"/>
      <c r="BA82" s="59">
        <f t="shared" si="15"/>
        <v>4</v>
      </c>
    </row>
    <row r="83" spans="1:53" ht="23.1" customHeight="1" x14ac:dyDescent="0.3">
      <c r="A83" s="49">
        <v>81</v>
      </c>
      <c r="B83" s="49" t="s">
        <v>334</v>
      </c>
      <c r="C83" s="49" t="s">
        <v>335</v>
      </c>
      <c r="D83" s="49" t="s">
        <v>542</v>
      </c>
      <c r="E83" s="49" t="s">
        <v>493</v>
      </c>
      <c r="F83" s="49">
        <v>2</v>
      </c>
      <c r="G83" s="49">
        <v>2</v>
      </c>
      <c r="H83" s="49">
        <v>2</v>
      </c>
      <c r="I83" s="49"/>
      <c r="J83" s="49"/>
      <c r="K83" s="59">
        <f t="shared" si="8"/>
        <v>2</v>
      </c>
      <c r="L83" s="49"/>
      <c r="M83" s="49">
        <v>2</v>
      </c>
      <c r="N83" s="49">
        <v>2</v>
      </c>
      <c r="O83" s="49"/>
      <c r="P83" s="49"/>
      <c r="Q83" s="59">
        <f t="shared" si="9"/>
        <v>2</v>
      </c>
      <c r="R83" s="49"/>
      <c r="S83" s="49">
        <v>3</v>
      </c>
      <c r="T83" s="49"/>
      <c r="U83" s="49"/>
      <c r="V83" s="49"/>
      <c r="W83" s="59">
        <f t="shared" si="10"/>
        <v>3</v>
      </c>
      <c r="X83" s="49"/>
      <c r="Y83" s="49"/>
      <c r="Z83" s="49"/>
      <c r="AA83" s="49"/>
      <c r="AB83" s="49"/>
      <c r="AC83" s="59" t="str">
        <f t="shared" si="11"/>
        <v>0</v>
      </c>
      <c r="AD83" s="49"/>
      <c r="AE83" s="49"/>
      <c r="AF83" s="49"/>
      <c r="AG83" s="49"/>
      <c r="AH83" s="49"/>
      <c r="AI83" s="59" t="str">
        <f t="shared" si="12"/>
        <v>0</v>
      </c>
      <c r="AJ83" s="49">
        <v>2</v>
      </c>
      <c r="AK83" s="49">
        <v>3</v>
      </c>
      <c r="AL83" s="49">
        <v>2</v>
      </c>
      <c r="AM83" s="49">
        <v>2</v>
      </c>
      <c r="AN83" s="49"/>
      <c r="AO83" s="59">
        <f t="shared" si="13"/>
        <v>2.25</v>
      </c>
      <c r="AP83" s="49"/>
      <c r="AQ83" s="49"/>
      <c r="AR83" s="49"/>
      <c r="AS83" s="49"/>
      <c r="AT83" s="49"/>
      <c r="AU83" s="59" t="str">
        <f t="shared" si="14"/>
        <v>0</v>
      </c>
      <c r="AV83" s="49"/>
      <c r="AW83" s="49"/>
      <c r="AX83" s="49"/>
      <c r="AY83" s="49">
        <v>3</v>
      </c>
      <c r="AZ83" s="49"/>
      <c r="BA83" s="59">
        <f t="shared" si="15"/>
        <v>3</v>
      </c>
    </row>
    <row r="84" spans="1:53" ht="23.1" customHeight="1" x14ac:dyDescent="0.3">
      <c r="A84" s="7">
        <v>82</v>
      </c>
      <c r="B84" s="7" t="s">
        <v>81</v>
      </c>
      <c r="C84" s="7" t="s">
        <v>82</v>
      </c>
      <c r="D84" s="7" t="s">
        <v>542</v>
      </c>
      <c r="E84" s="7" t="s">
        <v>35</v>
      </c>
      <c r="F84" s="49">
        <v>4</v>
      </c>
      <c r="G84" s="49">
        <v>4</v>
      </c>
      <c r="H84" s="49">
        <v>5</v>
      </c>
      <c r="I84" s="49"/>
      <c r="J84" s="7"/>
      <c r="K84" s="59">
        <f t="shared" si="8"/>
        <v>4.333333333333333</v>
      </c>
      <c r="L84" s="49"/>
      <c r="M84" s="49">
        <v>4.5</v>
      </c>
      <c r="N84" s="49">
        <v>4</v>
      </c>
      <c r="O84" s="49"/>
      <c r="P84" s="49"/>
      <c r="Q84" s="59">
        <f t="shared" si="9"/>
        <v>4.25</v>
      </c>
      <c r="R84" s="49"/>
      <c r="S84" s="49">
        <v>4</v>
      </c>
      <c r="T84" s="7"/>
      <c r="U84" s="49"/>
      <c r="V84" s="7"/>
      <c r="W84" s="59">
        <f t="shared" si="10"/>
        <v>4</v>
      </c>
      <c r="X84" s="49"/>
      <c r="Y84" s="49"/>
      <c r="Z84" s="7"/>
      <c r="AA84" s="7"/>
      <c r="AB84" s="7"/>
      <c r="AC84" s="59" t="str">
        <f t="shared" si="11"/>
        <v>0</v>
      </c>
      <c r="AD84" s="49"/>
      <c r="AE84" s="7"/>
      <c r="AF84" s="49"/>
      <c r="AG84" s="7"/>
      <c r="AH84" s="7"/>
      <c r="AI84" s="59" t="str">
        <f t="shared" si="12"/>
        <v>0</v>
      </c>
      <c r="AJ84" s="49">
        <v>4</v>
      </c>
      <c r="AK84" s="49">
        <v>5</v>
      </c>
      <c r="AL84" s="49">
        <v>5</v>
      </c>
      <c r="AM84" s="49">
        <v>5</v>
      </c>
      <c r="AN84" s="7"/>
      <c r="AO84" s="59">
        <f t="shared" si="13"/>
        <v>4.75</v>
      </c>
      <c r="AP84" s="49"/>
      <c r="AQ84" s="49"/>
      <c r="AR84" s="49"/>
      <c r="AS84" s="7"/>
      <c r="AT84" s="7"/>
      <c r="AU84" s="59" t="str">
        <f t="shared" si="14"/>
        <v>0</v>
      </c>
      <c r="AV84" s="7"/>
      <c r="AW84" s="7"/>
      <c r="AX84" s="49"/>
      <c r="AY84" s="49">
        <v>3</v>
      </c>
      <c r="AZ84" s="49"/>
      <c r="BA84" s="59">
        <f t="shared" si="15"/>
        <v>3</v>
      </c>
    </row>
    <row r="85" spans="1:53" ht="23.1" customHeight="1" x14ac:dyDescent="0.3">
      <c r="A85" s="49">
        <v>83</v>
      </c>
      <c r="B85" s="49" t="s">
        <v>70</v>
      </c>
      <c r="C85" s="49" t="s">
        <v>71</v>
      </c>
      <c r="D85" s="49" t="s">
        <v>450</v>
      </c>
      <c r="E85" s="49" t="s">
        <v>35</v>
      </c>
      <c r="F85" s="49">
        <v>3</v>
      </c>
      <c r="G85" s="49">
        <v>3</v>
      </c>
      <c r="H85" s="49">
        <v>3</v>
      </c>
      <c r="I85" s="49"/>
      <c r="J85" s="49"/>
      <c r="K85" s="59">
        <f t="shared" si="8"/>
        <v>3</v>
      </c>
      <c r="L85" s="49"/>
      <c r="M85" s="49">
        <v>2.5</v>
      </c>
      <c r="N85" s="49">
        <v>3</v>
      </c>
      <c r="O85" s="49"/>
      <c r="P85" s="49"/>
      <c r="Q85" s="59">
        <f t="shared" si="9"/>
        <v>2.75</v>
      </c>
      <c r="R85" s="49"/>
      <c r="S85" s="49">
        <v>2</v>
      </c>
      <c r="T85" s="49"/>
      <c r="U85" s="49"/>
      <c r="V85" s="49"/>
      <c r="W85" s="59">
        <f t="shared" si="10"/>
        <v>2</v>
      </c>
      <c r="X85" s="49"/>
      <c r="Y85" s="49"/>
      <c r="Z85" s="49"/>
      <c r="AA85" s="49"/>
      <c r="AB85" s="49"/>
      <c r="AC85" s="59" t="str">
        <f t="shared" si="11"/>
        <v>0</v>
      </c>
      <c r="AD85" s="49"/>
      <c r="AE85" s="49"/>
      <c r="AF85" s="49"/>
      <c r="AG85" s="49"/>
      <c r="AH85" s="49"/>
      <c r="AI85" s="59" t="str">
        <f t="shared" si="12"/>
        <v>0</v>
      </c>
      <c r="AJ85" s="49">
        <v>3</v>
      </c>
      <c r="AK85" s="49">
        <v>3</v>
      </c>
      <c r="AL85" s="49">
        <v>3</v>
      </c>
      <c r="AM85" s="49">
        <v>3</v>
      </c>
      <c r="AN85" s="49"/>
      <c r="AO85" s="59">
        <f t="shared" si="13"/>
        <v>3</v>
      </c>
      <c r="AP85" s="49"/>
      <c r="AQ85" s="49"/>
      <c r="AR85" s="49"/>
      <c r="AS85" s="49"/>
      <c r="AT85" s="49"/>
      <c r="AU85" s="59" t="str">
        <f t="shared" si="14"/>
        <v>0</v>
      </c>
      <c r="AV85" s="49"/>
      <c r="AW85" s="49"/>
      <c r="AX85" s="49"/>
      <c r="AY85" s="49">
        <v>2.5</v>
      </c>
      <c r="AZ85" s="49"/>
      <c r="BA85" s="59">
        <f t="shared" si="15"/>
        <v>2.5</v>
      </c>
    </row>
    <row r="86" spans="1:53" ht="23.1" customHeight="1" x14ac:dyDescent="0.3">
      <c r="A86" s="7">
        <v>84</v>
      </c>
      <c r="B86" s="7" t="s">
        <v>336</v>
      </c>
      <c r="C86" s="7" t="s">
        <v>337</v>
      </c>
      <c r="D86" s="7" t="s">
        <v>450</v>
      </c>
      <c r="E86" s="7" t="s">
        <v>493</v>
      </c>
      <c r="F86" s="49">
        <v>3.5</v>
      </c>
      <c r="G86" s="49">
        <v>4</v>
      </c>
      <c r="H86" s="49">
        <v>4.5</v>
      </c>
      <c r="I86" s="49"/>
      <c r="J86" s="7"/>
      <c r="K86" s="59">
        <f t="shared" si="8"/>
        <v>4</v>
      </c>
      <c r="L86" s="49"/>
      <c r="M86" s="49">
        <v>4</v>
      </c>
      <c r="N86" s="49">
        <v>4.5</v>
      </c>
      <c r="O86" s="49"/>
      <c r="P86" s="49"/>
      <c r="Q86" s="59">
        <f t="shared" si="9"/>
        <v>4.25</v>
      </c>
      <c r="R86" s="49"/>
      <c r="S86" s="49">
        <v>3</v>
      </c>
      <c r="T86" s="7"/>
      <c r="U86" s="49"/>
      <c r="V86" s="7"/>
      <c r="W86" s="59">
        <f t="shared" si="10"/>
        <v>3</v>
      </c>
      <c r="X86" s="49"/>
      <c r="Y86" s="49"/>
      <c r="Z86" s="7"/>
      <c r="AA86" s="7"/>
      <c r="AB86" s="7"/>
      <c r="AC86" s="59" t="str">
        <f t="shared" si="11"/>
        <v>0</v>
      </c>
      <c r="AD86" s="49"/>
      <c r="AE86" s="7"/>
      <c r="AF86" s="49"/>
      <c r="AG86" s="7"/>
      <c r="AH86" s="7"/>
      <c r="AI86" s="59" t="str">
        <f t="shared" si="12"/>
        <v>0</v>
      </c>
      <c r="AJ86" s="49">
        <v>4.5</v>
      </c>
      <c r="AK86" s="49">
        <v>4</v>
      </c>
      <c r="AL86" s="49">
        <v>4</v>
      </c>
      <c r="AM86" s="49">
        <v>4</v>
      </c>
      <c r="AN86" s="7"/>
      <c r="AO86" s="59">
        <f t="shared" si="13"/>
        <v>4.125</v>
      </c>
      <c r="AP86" s="49"/>
      <c r="AQ86" s="49"/>
      <c r="AR86" s="49"/>
      <c r="AS86" s="7"/>
      <c r="AT86" s="7"/>
      <c r="AU86" s="59" t="str">
        <f t="shared" si="14"/>
        <v>0</v>
      </c>
      <c r="AV86" s="7"/>
      <c r="AW86" s="7"/>
      <c r="AX86" s="49"/>
      <c r="AY86" s="49">
        <v>4.5</v>
      </c>
      <c r="AZ86" s="49"/>
      <c r="BA86" s="59">
        <f t="shared" si="15"/>
        <v>4.5</v>
      </c>
    </row>
    <row r="87" spans="1:53" ht="23.1" customHeight="1" x14ac:dyDescent="0.3">
      <c r="A87" s="49">
        <v>85</v>
      </c>
      <c r="B87" s="49" t="s">
        <v>134</v>
      </c>
      <c r="C87" s="49" t="s">
        <v>135</v>
      </c>
      <c r="D87" s="49" t="s">
        <v>450</v>
      </c>
      <c r="E87" s="49" t="s">
        <v>35</v>
      </c>
      <c r="F87" s="49">
        <v>3</v>
      </c>
      <c r="G87" s="49">
        <v>3</v>
      </c>
      <c r="H87" s="49">
        <v>3</v>
      </c>
      <c r="I87" s="49"/>
      <c r="J87" s="49"/>
      <c r="K87" s="59">
        <f t="shared" si="8"/>
        <v>3</v>
      </c>
      <c r="L87" s="49"/>
      <c r="M87" s="49">
        <v>3</v>
      </c>
      <c r="N87" s="49">
        <v>3</v>
      </c>
      <c r="O87" s="49"/>
      <c r="P87" s="49"/>
      <c r="Q87" s="59">
        <f t="shared" si="9"/>
        <v>3</v>
      </c>
      <c r="R87" s="49"/>
      <c r="S87" s="49">
        <v>4</v>
      </c>
      <c r="T87" s="49"/>
      <c r="U87" s="49"/>
      <c r="V87" s="49"/>
      <c r="W87" s="59">
        <f t="shared" si="10"/>
        <v>4</v>
      </c>
      <c r="X87" s="49"/>
      <c r="Y87" s="49"/>
      <c r="Z87" s="49"/>
      <c r="AA87" s="49"/>
      <c r="AB87" s="49"/>
      <c r="AC87" s="59" t="str">
        <f t="shared" si="11"/>
        <v>0</v>
      </c>
      <c r="AD87" s="49"/>
      <c r="AE87" s="49"/>
      <c r="AF87" s="49"/>
      <c r="AG87" s="49"/>
      <c r="AH87" s="49"/>
      <c r="AI87" s="59" t="str">
        <f t="shared" si="12"/>
        <v>0</v>
      </c>
      <c r="AJ87" s="49">
        <v>3</v>
      </c>
      <c r="AK87" s="49">
        <v>3</v>
      </c>
      <c r="AL87" s="49">
        <v>3</v>
      </c>
      <c r="AM87" s="49">
        <v>3</v>
      </c>
      <c r="AN87" s="49"/>
      <c r="AO87" s="59">
        <f t="shared" si="13"/>
        <v>3</v>
      </c>
      <c r="AP87" s="49"/>
      <c r="AQ87" s="49"/>
      <c r="AR87" s="49"/>
      <c r="AS87" s="49"/>
      <c r="AT87" s="49"/>
      <c r="AU87" s="59" t="str">
        <f t="shared" si="14"/>
        <v>0</v>
      </c>
      <c r="AV87" s="49"/>
      <c r="AW87" s="49"/>
      <c r="AX87" s="49"/>
      <c r="AY87" s="49">
        <v>3.5</v>
      </c>
      <c r="AZ87" s="49"/>
      <c r="BA87" s="59">
        <f t="shared" si="15"/>
        <v>3.5</v>
      </c>
    </row>
    <row r="88" spans="1:53" ht="23.1" customHeight="1" x14ac:dyDescent="0.3">
      <c r="A88" s="7">
        <v>86</v>
      </c>
      <c r="B88" s="7" t="s">
        <v>215</v>
      </c>
      <c r="C88" s="7" t="s">
        <v>216</v>
      </c>
      <c r="D88" s="7" t="s">
        <v>450</v>
      </c>
      <c r="E88" s="7" t="s">
        <v>161</v>
      </c>
      <c r="F88" s="49">
        <v>3</v>
      </c>
      <c r="G88" s="49">
        <v>3</v>
      </c>
      <c r="H88" s="49">
        <v>4</v>
      </c>
      <c r="I88" s="49"/>
      <c r="J88" s="7"/>
      <c r="K88" s="59">
        <f t="shared" si="8"/>
        <v>3.3333333333333335</v>
      </c>
      <c r="L88" s="49"/>
      <c r="M88" s="49">
        <v>4</v>
      </c>
      <c r="N88" s="49">
        <v>4</v>
      </c>
      <c r="O88" s="49"/>
      <c r="P88" s="49"/>
      <c r="Q88" s="59">
        <f t="shared" si="9"/>
        <v>4</v>
      </c>
      <c r="R88" s="49"/>
      <c r="S88" s="49">
        <v>3</v>
      </c>
      <c r="T88" s="7"/>
      <c r="U88" s="49"/>
      <c r="V88" s="7"/>
      <c r="W88" s="59">
        <f t="shared" si="10"/>
        <v>3</v>
      </c>
      <c r="X88" s="49"/>
      <c r="Y88" s="49"/>
      <c r="Z88" s="7"/>
      <c r="AA88" s="7"/>
      <c r="AB88" s="7"/>
      <c r="AC88" s="59" t="str">
        <f t="shared" si="11"/>
        <v>0</v>
      </c>
      <c r="AD88" s="49"/>
      <c r="AE88" s="7"/>
      <c r="AF88" s="49"/>
      <c r="AG88" s="7"/>
      <c r="AH88" s="7"/>
      <c r="AI88" s="59" t="str">
        <f t="shared" si="12"/>
        <v>0</v>
      </c>
      <c r="AJ88" s="49">
        <v>4</v>
      </c>
      <c r="AK88" s="49">
        <v>4</v>
      </c>
      <c r="AL88" s="49">
        <v>4</v>
      </c>
      <c r="AM88" s="49">
        <v>4</v>
      </c>
      <c r="AN88" s="7"/>
      <c r="AO88" s="59">
        <f t="shared" si="13"/>
        <v>4</v>
      </c>
      <c r="AP88" s="49"/>
      <c r="AQ88" s="49"/>
      <c r="AR88" s="49"/>
      <c r="AS88" s="7"/>
      <c r="AT88" s="7"/>
      <c r="AU88" s="59" t="str">
        <f t="shared" si="14"/>
        <v>0</v>
      </c>
      <c r="AV88" s="7"/>
      <c r="AW88" s="7"/>
      <c r="AX88" s="49"/>
      <c r="AY88" s="49">
        <v>4</v>
      </c>
      <c r="AZ88" s="49"/>
      <c r="BA88" s="59">
        <f t="shared" si="15"/>
        <v>4</v>
      </c>
    </row>
    <row r="89" spans="1:53" ht="23.1" customHeight="1" x14ac:dyDescent="0.3">
      <c r="A89" s="49">
        <v>87</v>
      </c>
      <c r="B89" s="49" t="s">
        <v>338</v>
      </c>
      <c r="C89" s="49" t="s">
        <v>339</v>
      </c>
      <c r="D89" s="49" t="s">
        <v>542</v>
      </c>
      <c r="E89" s="49" t="s">
        <v>493</v>
      </c>
      <c r="F89" s="49">
        <v>4</v>
      </c>
      <c r="G89" s="49">
        <v>4</v>
      </c>
      <c r="H89" s="49">
        <v>4</v>
      </c>
      <c r="I89" s="49"/>
      <c r="J89" s="49"/>
      <c r="K89" s="59">
        <f t="shared" si="8"/>
        <v>4</v>
      </c>
      <c r="L89" s="49"/>
      <c r="M89" s="49">
        <v>4</v>
      </c>
      <c r="N89" s="49">
        <v>4</v>
      </c>
      <c r="O89" s="49"/>
      <c r="P89" s="49"/>
      <c r="Q89" s="59">
        <f t="shared" si="9"/>
        <v>4</v>
      </c>
      <c r="R89" s="49"/>
      <c r="S89" s="49">
        <v>4</v>
      </c>
      <c r="T89" s="49"/>
      <c r="U89" s="49"/>
      <c r="V89" s="49"/>
      <c r="W89" s="59">
        <f t="shared" si="10"/>
        <v>4</v>
      </c>
      <c r="X89" s="49"/>
      <c r="Y89" s="49"/>
      <c r="Z89" s="49"/>
      <c r="AA89" s="49"/>
      <c r="AB89" s="49"/>
      <c r="AC89" s="59" t="str">
        <f t="shared" si="11"/>
        <v>0</v>
      </c>
      <c r="AD89" s="49"/>
      <c r="AE89" s="49"/>
      <c r="AF89" s="49"/>
      <c r="AG89" s="49"/>
      <c r="AH89" s="49"/>
      <c r="AI89" s="59" t="str">
        <f t="shared" si="12"/>
        <v>0</v>
      </c>
      <c r="AJ89" s="49">
        <v>4</v>
      </c>
      <c r="AK89" s="49">
        <v>4</v>
      </c>
      <c r="AL89" s="49">
        <v>4</v>
      </c>
      <c r="AM89" s="49">
        <v>4</v>
      </c>
      <c r="AN89" s="49"/>
      <c r="AO89" s="59">
        <f t="shared" si="13"/>
        <v>4</v>
      </c>
      <c r="AP89" s="49"/>
      <c r="AQ89" s="49"/>
      <c r="AR89" s="49"/>
      <c r="AS89" s="49"/>
      <c r="AT89" s="49"/>
      <c r="AU89" s="59" t="str">
        <f t="shared" si="14"/>
        <v>0</v>
      </c>
      <c r="AV89" s="49"/>
      <c r="AW89" s="49"/>
      <c r="AX89" s="49"/>
      <c r="AY89" s="49">
        <v>5</v>
      </c>
      <c r="AZ89" s="49"/>
      <c r="BA89" s="59">
        <f t="shared" si="15"/>
        <v>5</v>
      </c>
    </row>
    <row r="90" spans="1:53" ht="23.1" customHeight="1" x14ac:dyDescent="0.3">
      <c r="A90" s="7">
        <v>88</v>
      </c>
      <c r="B90" s="7" t="s">
        <v>136</v>
      </c>
      <c r="C90" s="7" t="s">
        <v>137</v>
      </c>
      <c r="D90" s="7" t="s">
        <v>542</v>
      </c>
      <c r="E90" s="7" t="s">
        <v>35</v>
      </c>
      <c r="F90" s="49">
        <v>5</v>
      </c>
      <c r="G90" s="49">
        <v>4</v>
      </c>
      <c r="H90" s="49">
        <v>5</v>
      </c>
      <c r="I90" s="49"/>
      <c r="J90" s="7"/>
      <c r="K90" s="59">
        <f t="shared" si="8"/>
        <v>4.666666666666667</v>
      </c>
      <c r="L90" s="49"/>
      <c r="M90" s="49">
        <v>5</v>
      </c>
      <c r="N90" s="49">
        <v>5</v>
      </c>
      <c r="O90" s="49"/>
      <c r="P90" s="49"/>
      <c r="Q90" s="59">
        <f t="shared" si="9"/>
        <v>5</v>
      </c>
      <c r="R90" s="49"/>
      <c r="S90" s="49">
        <v>3</v>
      </c>
      <c r="T90" s="7"/>
      <c r="U90" s="49"/>
      <c r="V90" s="7"/>
      <c r="W90" s="59">
        <f t="shared" si="10"/>
        <v>3</v>
      </c>
      <c r="X90" s="49"/>
      <c r="Y90" s="49"/>
      <c r="Z90" s="7"/>
      <c r="AA90" s="7"/>
      <c r="AB90" s="7"/>
      <c r="AC90" s="59" t="str">
        <f t="shared" si="11"/>
        <v>0</v>
      </c>
      <c r="AD90" s="49"/>
      <c r="AE90" s="7"/>
      <c r="AF90" s="49"/>
      <c r="AG90" s="7"/>
      <c r="AH90" s="7"/>
      <c r="AI90" s="59" t="str">
        <f t="shared" si="12"/>
        <v>0</v>
      </c>
      <c r="AJ90" s="49">
        <v>5</v>
      </c>
      <c r="AK90" s="49">
        <v>5</v>
      </c>
      <c r="AL90" s="49">
        <v>5</v>
      </c>
      <c r="AM90" s="49">
        <v>5</v>
      </c>
      <c r="AN90" s="7"/>
      <c r="AO90" s="59">
        <f t="shared" si="13"/>
        <v>5</v>
      </c>
      <c r="AP90" s="49"/>
      <c r="AQ90" s="49"/>
      <c r="AR90" s="49"/>
      <c r="AS90" s="7"/>
      <c r="AT90" s="7"/>
      <c r="AU90" s="59" t="str">
        <f t="shared" si="14"/>
        <v>0</v>
      </c>
      <c r="AV90" s="7"/>
      <c r="AW90" s="7"/>
      <c r="AX90" s="49"/>
      <c r="AY90" s="49">
        <v>5</v>
      </c>
      <c r="AZ90" s="49"/>
      <c r="BA90" s="59">
        <f t="shared" si="15"/>
        <v>5</v>
      </c>
    </row>
    <row r="91" spans="1:53" ht="23.1" customHeight="1" x14ac:dyDescent="0.3">
      <c r="A91" s="49">
        <v>89</v>
      </c>
      <c r="B91" s="49" t="s">
        <v>62</v>
      </c>
      <c r="C91" s="49" t="s">
        <v>63</v>
      </c>
      <c r="D91" s="49" t="s">
        <v>542</v>
      </c>
      <c r="E91" s="49" t="s">
        <v>35</v>
      </c>
      <c r="F91" s="49">
        <v>4</v>
      </c>
      <c r="G91" s="49">
        <v>3</v>
      </c>
      <c r="H91" s="49">
        <v>4</v>
      </c>
      <c r="I91" s="49"/>
      <c r="J91" s="49"/>
      <c r="K91" s="59">
        <f t="shared" si="8"/>
        <v>3.6666666666666665</v>
      </c>
      <c r="L91" s="49"/>
      <c r="M91" s="49">
        <v>3</v>
      </c>
      <c r="N91" s="49">
        <v>4</v>
      </c>
      <c r="O91" s="49"/>
      <c r="P91" s="49"/>
      <c r="Q91" s="59">
        <f t="shared" si="9"/>
        <v>3.5</v>
      </c>
      <c r="R91" s="49"/>
      <c r="S91" s="49">
        <v>4</v>
      </c>
      <c r="T91" s="49"/>
      <c r="U91" s="49"/>
      <c r="V91" s="49"/>
      <c r="W91" s="59">
        <f t="shared" si="10"/>
        <v>4</v>
      </c>
      <c r="X91" s="49"/>
      <c r="Y91" s="49"/>
      <c r="Z91" s="49"/>
      <c r="AA91" s="49"/>
      <c r="AB91" s="49"/>
      <c r="AC91" s="59" t="str">
        <f t="shared" si="11"/>
        <v>0</v>
      </c>
      <c r="AD91" s="49"/>
      <c r="AE91" s="49"/>
      <c r="AF91" s="49"/>
      <c r="AG91" s="49"/>
      <c r="AH91" s="49"/>
      <c r="AI91" s="59" t="str">
        <f t="shared" si="12"/>
        <v>0</v>
      </c>
      <c r="AJ91" s="49">
        <v>4</v>
      </c>
      <c r="AK91" s="49">
        <v>3</v>
      </c>
      <c r="AL91" s="49">
        <v>3</v>
      </c>
      <c r="AM91" s="49">
        <v>4</v>
      </c>
      <c r="AN91" s="49"/>
      <c r="AO91" s="59">
        <f t="shared" si="13"/>
        <v>3.5</v>
      </c>
      <c r="AP91" s="49"/>
      <c r="AQ91" s="49"/>
      <c r="AR91" s="49"/>
      <c r="AS91" s="49"/>
      <c r="AT91" s="49"/>
      <c r="AU91" s="59" t="str">
        <f t="shared" si="14"/>
        <v>0</v>
      </c>
      <c r="AV91" s="49"/>
      <c r="AW91" s="49"/>
      <c r="AX91" s="49"/>
      <c r="AY91" s="49">
        <v>3</v>
      </c>
      <c r="AZ91" s="49"/>
      <c r="BA91" s="59">
        <f t="shared" si="15"/>
        <v>3</v>
      </c>
    </row>
    <row r="92" spans="1:53" ht="23.1" customHeight="1" x14ac:dyDescent="0.3">
      <c r="A92" s="7">
        <v>90</v>
      </c>
      <c r="B92" s="7" t="s">
        <v>38</v>
      </c>
      <c r="C92" s="7" t="s">
        <v>39</v>
      </c>
      <c r="D92" s="7" t="s">
        <v>544</v>
      </c>
      <c r="E92" s="7" t="s">
        <v>35</v>
      </c>
      <c r="F92" s="49">
        <v>3</v>
      </c>
      <c r="G92" s="49">
        <v>3</v>
      </c>
      <c r="H92" s="49">
        <v>3</v>
      </c>
      <c r="I92" s="49"/>
      <c r="J92" s="7"/>
      <c r="K92" s="59">
        <f t="shared" si="8"/>
        <v>3</v>
      </c>
      <c r="L92" s="49"/>
      <c r="M92" s="49">
        <v>4</v>
      </c>
      <c r="N92" s="49">
        <v>4</v>
      </c>
      <c r="O92" s="49"/>
      <c r="P92" s="49"/>
      <c r="Q92" s="59">
        <f t="shared" si="9"/>
        <v>4</v>
      </c>
      <c r="R92" s="49"/>
      <c r="S92" s="49">
        <v>2</v>
      </c>
      <c r="T92" s="7"/>
      <c r="U92" s="49"/>
      <c r="V92" s="7"/>
      <c r="W92" s="59">
        <f t="shared" si="10"/>
        <v>2</v>
      </c>
      <c r="X92" s="49"/>
      <c r="Y92" s="49"/>
      <c r="Z92" s="7"/>
      <c r="AA92" s="7"/>
      <c r="AB92" s="7"/>
      <c r="AC92" s="59" t="str">
        <f t="shared" si="11"/>
        <v>0</v>
      </c>
      <c r="AD92" s="49"/>
      <c r="AE92" s="7"/>
      <c r="AF92" s="49"/>
      <c r="AG92" s="7"/>
      <c r="AH92" s="7"/>
      <c r="AI92" s="59" t="str">
        <f t="shared" si="12"/>
        <v>0</v>
      </c>
      <c r="AJ92" s="49">
        <v>3</v>
      </c>
      <c r="AK92" s="49">
        <v>3</v>
      </c>
      <c r="AL92" s="49">
        <v>4</v>
      </c>
      <c r="AM92" s="49">
        <v>4</v>
      </c>
      <c r="AN92" s="7"/>
      <c r="AO92" s="59">
        <f t="shared" si="13"/>
        <v>3.5</v>
      </c>
      <c r="AP92" s="49"/>
      <c r="AQ92" s="49"/>
      <c r="AR92" s="49"/>
      <c r="AS92" s="7"/>
      <c r="AT92" s="7"/>
      <c r="AU92" s="59" t="str">
        <f t="shared" si="14"/>
        <v>0</v>
      </c>
      <c r="AV92" s="7"/>
      <c r="AW92" s="7"/>
      <c r="AX92" s="49"/>
      <c r="AY92" s="49">
        <v>5</v>
      </c>
      <c r="AZ92" s="49"/>
      <c r="BA92" s="59">
        <f t="shared" si="15"/>
        <v>5</v>
      </c>
    </row>
    <row r="93" spans="1:53" ht="23.1" customHeight="1" x14ac:dyDescent="0.3">
      <c r="A93" s="49">
        <v>91</v>
      </c>
      <c r="B93" s="49" t="s">
        <v>138</v>
      </c>
      <c r="C93" s="49" t="s">
        <v>139</v>
      </c>
      <c r="D93" s="49" t="s">
        <v>450</v>
      </c>
      <c r="E93" s="49" t="s">
        <v>35</v>
      </c>
      <c r="F93" s="49">
        <v>2</v>
      </c>
      <c r="G93" s="49">
        <v>1</v>
      </c>
      <c r="H93" s="49">
        <v>2</v>
      </c>
      <c r="I93" s="49"/>
      <c r="J93" s="49"/>
      <c r="K93" s="59">
        <f t="shared" si="8"/>
        <v>1.6666666666666667</v>
      </c>
      <c r="L93" s="49"/>
      <c r="M93" s="49">
        <v>3</v>
      </c>
      <c r="N93" s="49">
        <v>2</v>
      </c>
      <c r="O93" s="49"/>
      <c r="P93" s="49"/>
      <c r="Q93" s="59">
        <f t="shared" si="9"/>
        <v>2.5</v>
      </c>
      <c r="R93" s="49"/>
      <c r="S93" s="49">
        <v>1</v>
      </c>
      <c r="T93" s="49"/>
      <c r="U93" s="49"/>
      <c r="V93" s="49"/>
      <c r="W93" s="59">
        <f t="shared" si="10"/>
        <v>1</v>
      </c>
      <c r="X93" s="49"/>
      <c r="Y93" s="49"/>
      <c r="Z93" s="49"/>
      <c r="AA93" s="49"/>
      <c r="AB93" s="49"/>
      <c r="AC93" s="59" t="str">
        <f t="shared" si="11"/>
        <v>0</v>
      </c>
      <c r="AD93" s="49"/>
      <c r="AE93" s="49"/>
      <c r="AF93" s="49"/>
      <c r="AG93" s="49"/>
      <c r="AH93" s="49"/>
      <c r="AI93" s="59" t="str">
        <f t="shared" si="12"/>
        <v>0</v>
      </c>
      <c r="AJ93" s="49">
        <v>2</v>
      </c>
      <c r="AK93" s="49">
        <v>2</v>
      </c>
      <c r="AL93" s="49">
        <v>1</v>
      </c>
      <c r="AM93" s="49">
        <v>2</v>
      </c>
      <c r="AN93" s="49"/>
      <c r="AO93" s="59">
        <f t="shared" si="13"/>
        <v>1.75</v>
      </c>
      <c r="AP93" s="49"/>
      <c r="AQ93" s="49"/>
      <c r="AR93" s="49"/>
      <c r="AS93" s="49"/>
      <c r="AT93" s="49"/>
      <c r="AU93" s="59" t="str">
        <f t="shared" si="14"/>
        <v>0</v>
      </c>
      <c r="AV93" s="49"/>
      <c r="AW93" s="49"/>
      <c r="AX93" s="49"/>
      <c r="AY93" s="49">
        <v>2</v>
      </c>
      <c r="AZ93" s="49"/>
      <c r="BA93" s="59">
        <f t="shared" si="15"/>
        <v>2</v>
      </c>
    </row>
    <row r="94" spans="1:53" ht="23.1" customHeight="1" x14ac:dyDescent="0.3">
      <c r="A94" s="7">
        <v>92</v>
      </c>
      <c r="B94" s="7" t="s">
        <v>231</v>
      </c>
      <c r="C94" s="7" t="s">
        <v>232</v>
      </c>
      <c r="D94" s="7" t="s">
        <v>450</v>
      </c>
      <c r="E94" s="7" t="s">
        <v>161</v>
      </c>
      <c r="F94" s="49">
        <v>3</v>
      </c>
      <c r="G94" s="49">
        <v>2</v>
      </c>
      <c r="H94" s="49">
        <v>2</v>
      </c>
      <c r="I94" s="49"/>
      <c r="J94" s="7"/>
      <c r="K94" s="59">
        <f t="shared" si="8"/>
        <v>2.3333333333333335</v>
      </c>
      <c r="L94" s="49"/>
      <c r="M94" s="49">
        <v>3</v>
      </c>
      <c r="N94" s="49">
        <v>2</v>
      </c>
      <c r="O94" s="49"/>
      <c r="P94" s="49"/>
      <c r="Q94" s="59">
        <f t="shared" si="9"/>
        <v>2.5</v>
      </c>
      <c r="R94" s="49"/>
      <c r="S94" s="49">
        <v>3</v>
      </c>
      <c r="T94" s="7"/>
      <c r="U94" s="49"/>
      <c r="V94" s="7"/>
      <c r="W94" s="59">
        <f t="shared" si="10"/>
        <v>3</v>
      </c>
      <c r="X94" s="49"/>
      <c r="Y94" s="49"/>
      <c r="Z94" s="7"/>
      <c r="AA94" s="7"/>
      <c r="AB94" s="7"/>
      <c r="AC94" s="59" t="str">
        <f t="shared" si="11"/>
        <v>0</v>
      </c>
      <c r="AD94" s="49"/>
      <c r="AE94" s="7"/>
      <c r="AF94" s="49"/>
      <c r="AG94" s="7"/>
      <c r="AH94" s="7"/>
      <c r="AI94" s="59" t="str">
        <f t="shared" si="12"/>
        <v>0</v>
      </c>
      <c r="AJ94" s="49">
        <v>3</v>
      </c>
      <c r="AK94" s="49">
        <v>2</v>
      </c>
      <c r="AL94" s="49">
        <v>2</v>
      </c>
      <c r="AM94" s="49">
        <v>2</v>
      </c>
      <c r="AN94" s="7"/>
      <c r="AO94" s="59">
        <f t="shared" si="13"/>
        <v>2.25</v>
      </c>
      <c r="AP94" s="49"/>
      <c r="AQ94" s="49"/>
      <c r="AR94" s="49"/>
      <c r="AS94" s="7"/>
      <c r="AT94" s="7"/>
      <c r="AU94" s="59" t="str">
        <f t="shared" si="14"/>
        <v>0</v>
      </c>
      <c r="AV94" s="7"/>
      <c r="AW94" s="7"/>
      <c r="AX94" s="49"/>
      <c r="AY94" s="49">
        <v>3</v>
      </c>
      <c r="AZ94" s="49"/>
      <c r="BA94" s="59">
        <f t="shared" si="15"/>
        <v>3</v>
      </c>
    </row>
    <row r="95" spans="1:53" ht="23.1" customHeight="1" x14ac:dyDescent="0.3">
      <c r="A95" s="49">
        <v>93</v>
      </c>
      <c r="B95" s="49" t="s">
        <v>340</v>
      </c>
      <c r="C95" s="49" t="s">
        <v>341</v>
      </c>
      <c r="D95" s="49" t="s">
        <v>542</v>
      </c>
      <c r="E95" s="49" t="s">
        <v>493</v>
      </c>
      <c r="F95" s="49">
        <v>3</v>
      </c>
      <c r="G95" s="49">
        <v>3.5</v>
      </c>
      <c r="H95" s="49">
        <v>2.5</v>
      </c>
      <c r="I95" s="49"/>
      <c r="J95" s="49"/>
      <c r="K95" s="59">
        <f t="shared" si="8"/>
        <v>3</v>
      </c>
      <c r="L95" s="49"/>
      <c r="M95" s="49">
        <v>4</v>
      </c>
      <c r="N95" s="49">
        <v>4</v>
      </c>
      <c r="O95" s="49"/>
      <c r="P95" s="49"/>
      <c r="Q95" s="59">
        <f t="shared" si="9"/>
        <v>4</v>
      </c>
      <c r="R95" s="49"/>
      <c r="S95" s="49">
        <v>2</v>
      </c>
      <c r="T95" s="49"/>
      <c r="U95" s="49"/>
      <c r="V95" s="49"/>
      <c r="W95" s="59">
        <f t="shared" si="10"/>
        <v>2</v>
      </c>
      <c r="X95" s="49"/>
      <c r="Y95" s="49"/>
      <c r="Z95" s="49"/>
      <c r="AA95" s="49"/>
      <c r="AB95" s="49"/>
      <c r="AC95" s="59" t="str">
        <f t="shared" si="11"/>
        <v>0</v>
      </c>
      <c r="AD95" s="49"/>
      <c r="AE95" s="49"/>
      <c r="AF95" s="49"/>
      <c r="AG95" s="49"/>
      <c r="AH95" s="49"/>
      <c r="AI95" s="59" t="str">
        <f t="shared" si="12"/>
        <v>0</v>
      </c>
      <c r="AJ95" s="49">
        <v>3</v>
      </c>
      <c r="AK95" s="49">
        <v>3</v>
      </c>
      <c r="AL95" s="49">
        <v>2.5</v>
      </c>
      <c r="AM95" s="49">
        <v>2.5</v>
      </c>
      <c r="AN95" s="49"/>
      <c r="AO95" s="59">
        <f t="shared" si="13"/>
        <v>2.75</v>
      </c>
      <c r="AP95" s="49"/>
      <c r="AQ95" s="49"/>
      <c r="AR95" s="49"/>
      <c r="AS95" s="49"/>
      <c r="AT95" s="49"/>
      <c r="AU95" s="59" t="str">
        <f t="shared" si="14"/>
        <v>0</v>
      </c>
      <c r="AV95" s="49"/>
      <c r="AW95" s="49"/>
      <c r="AX95" s="49"/>
      <c r="AY95" s="49">
        <v>3</v>
      </c>
      <c r="AZ95" s="49"/>
      <c r="BA95" s="59">
        <f t="shared" si="15"/>
        <v>3</v>
      </c>
    </row>
    <row r="96" spans="1:53" ht="23.1" customHeight="1" x14ac:dyDescent="0.3">
      <c r="A96" s="7">
        <v>94</v>
      </c>
      <c r="B96" s="7" t="s">
        <v>97</v>
      </c>
      <c r="C96" s="7" t="s">
        <v>98</v>
      </c>
      <c r="D96" s="7" t="s">
        <v>450</v>
      </c>
      <c r="E96" s="7" t="s">
        <v>35</v>
      </c>
      <c r="F96" s="49">
        <v>1</v>
      </c>
      <c r="G96" s="49">
        <v>1</v>
      </c>
      <c r="H96" s="49">
        <v>1</v>
      </c>
      <c r="I96" s="49"/>
      <c r="J96" s="7"/>
      <c r="K96" s="59">
        <f t="shared" si="8"/>
        <v>1</v>
      </c>
      <c r="L96" s="49"/>
      <c r="M96" s="49">
        <v>2</v>
      </c>
      <c r="N96" s="49">
        <v>1</v>
      </c>
      <c r="O96" s="49"/>
      <c r="P96" s="49"/>
      <c r="Q96" s="59">
        <f t="shared" si="9"/>
        <v>1.5</v>
      </c>
      <c r="R96" s="49"/>
      <c r="S96" s="49">
        <v>2</v>
      </c>
      <c r="T96" s="7"/>
      <c r="U96" s="49"/>
      <c r="V96" s="7"/>
      <c r="W96" s="59">
        <f t="shared" si="10"/>
        <v>2</v>
      </c>
      <c r="X96" s="49"/>
      <c r="Y96" s="49"/>
      <c r="Z96" s="7"/>
      <c r="AA96" s="7"/>
      <c r="AB96" s="7"/>
      <c r="AC96" s="59" t="str">
        <f t="shared" si="11"/>
        <v>0</v>
      </c>
      <c r="AD96" s="49"/>
      <c r="AE96" s="7"/>
      <c r="AF96" s="49"/>
      <c r="AG96" s="7"/>
      <c r="AH96" s="7"/>
      <c r="AI96" s="59" t="str">
        <f t="shared" si="12"/>
        <v>0</v>
      </c>
      <c r="AJ96" s="49">
        <v>1</v>
      </c>
      <c r="AK96" s="49">
        <v>1</v>
      </c>
      <c r="AL96" s="49">
        <v>2</v>
      </c>
      <c r="AM96" s="49">
        <v>2</v>
      </c>
      <c r="AN96" s="7"/>
      <c r="AO96" s="59">
        <f t="shared" si="13"/>
        <v>1.5</v>
      </c>
      <c r="AP96" s="49"/>
      <c r="AQ96" s="49"/>
      <c r="AR96" s="49"/>
      <c r="AS96" s="7"/>
      <c r="AT96" s="7"/>
      <c r="AU96" s="59" t="str">
        <f t="shared" si="14"/>
        <v>0</v>
      </c>
      <c r="AV96" s="7"/>
      <c r="AW96" s="7"/>
      <c r="AX96" s="49"/>
      <c r="AY96" s="49">
        <v>3</v>
      </c>
      <c r="AZ96" s="49"/>
      <c r="BA96" s="59">
        <f t="shared" si="15"/>
        <v>3</v>
      </c>
    </row>
    <row r="97" spans="1:53" ht="23.1" customHeight="1" x14ac:dyDescent="0.3">
      <c r="A97" s="49">
        <v>95</v>
      </c>
      <c r="B97" s="49" t="s">
        <v>249</v>
      </c>
      <c r="C97" s="49" t="s">
        <v>250</v>
      </c>
      <c r="D97" s="49" t="s">
        <v>450</v>
      </c>
      <c r="E97" s="49" t="s">
        <v>161</v>
      </c>
      <c r="F97" s="49">
        <v>3</v>
      </c>
      <c r="G97" s="49">
        <v>4</v>
      </c>
      <c r="H97" s="49">
        <v>4</v>
      </c>
      <c r="I97" s="49"/>
      <c r="J97" s="49"/>
      <c r="K97" s="59">
        <f t="shared" si="8"/>
        <v>3.6666666666666665</v>
      </c>
      <c r="L97" s="49"/>
      <c r="M97" s="49">
        <v>3</v>
      </c>
      <c r="N97" s="49">
        <v>4</v>
      </c>
      <c r="O97" s="49"/>
      <c r="P97" s="49"/>
      <c r="Q97" s="59">
        <f t="shared" si="9"/>
        <v>3.5</v>
      </c>
      <c r="R97" s="49"/>
      <c r="S97" s="49">
        <v>3</v>
      </c>
      <c r="T97" s="49"/>
      <c r="U97" s="49"/>
      <c r="V97" s="49"/>
      <c r="W97" s="59">
        <f t="shared" si="10"/>
        <v>3</v>
      </c>
      <c r="X97" s="49"/>
      <c r="Y97" s="49"/>
      <c r="Z97" s="49"/>
      <c r="AA97" s="49"/>
      <c r="AB97" s="49"/>
      <c r="AC97" s="59" t="str">
        <f t="shared" si="11"/>
        <v>0</v>
      </c>
      <c r="AD97" s="49"/>
      <c r="AE97" s="49"/>
      <c r="AF97" s="49"/>
      <c r="AG97" s="49"/>
      <c r="AH97" s="49"/>
      <c r="AI97" s="59" t="str">
        <f t="shared" si="12"/>
        <v>0</v>
      </c>
      <c r="AJ97" s="49">
        <v>4</v>
      </c>
      <c r="AK97" s="49">
        <v>3</v>
      </c>
      <c r="AL97" s="49">
        <v>4</v>
      </c>
      <c r="AM97" s="49">
        <v>3</v>
      </c>
      <c r="AN97" s="49"/>
      <c r="AO97" s="59">
        <f t="shared" si="13"/>
        <v>3.5</v>
      </c>
      <c r="AP97" s="49"/>
      <c r="AQ97" s="49"/>
      <c r="AR97" s="49"/>
      <c r="AS97" s="49"/>
      <c r="AT97" s="49"/>
      <c r="AU97" s="59" t="str">
        <f t="shared" si="14"/>
        <v>0</v>
      </c>
      <c r="AV97" s="49"/>
      <c r="AW97" s="49"/>
      <c r="AX97" s="49"/>
      <c r="AY97" s="49">
        <v>3</v>
      </c>
      <c r="AZ97" s="49"/>
      <c r="BA97" s="59">
        <f t="shared" si="15"/>
        <v>3</v>
      </c>
    </row>
    <row r="98" spans="1:53" ht="23.1" customHeight="1" x14ac:dyDescent="0.3">
      <c r="A98" s="7">
        <v>96</v>
      </c>
      <c r="B98" s="7" t="s">
        <v>342</v>
      </c>
      <c r="C98" s="7" t="s">
        <v>343</v>
      </c>
      <c r="D98" s="7" t="s">
        <v>450</v>
      </c>
      <c r="E98" s="7" t="s">
        <v>493</v>
      </c>
      <c r="F98" s="49">
        <v>4</v>
      </c>
      <c r="G98" s="49">
        <v>4</v>
      </c>
      <c r="H98" s="49">
        <v>3</v>
      </c>
      <c r="I98" s="49"/>
      <c r="J98" s="7"/>
      <c r="K98" s="59">
        <f t="shared" si="8"/>
        <v>3.6666666666666665</v>
      </c>
      <c r="L98" s="49"/>
      <c r="M98" s="49">
        <v>3</v>
      </c>
      <c r="N98" s="49">
        <v>3</v>
      </c>
      <c r="O98" s="49"/>
      <c r="P98" s="49"/>
      <c r="Q98" s="59">
        <f t="shared" si="9"/>
        <v>3</v>
      </c>
      <c r="R98" s="49"/>
      <c r="S98" s="49">
        <v>3</v>
      </c>
      <c r="T98" s="7"/>
      <c r="U98" s="49"/>
      <c r="V98" s="7"/>
      <c r="W98" s="59">
        <f t="shared" si="10"/>
        <v>3</v>
      </c>
      <c r="X98" s="49"/>
      <c r="Y98" s="49"/>
      <c r="Z98" s="7"/>
      <c r="AA98" s="7"/>
      <c r="AB98" s="7"/>
      <c r="AC98" s="59" t="str">
        <f t="shared" si="11"/>
        <v>0</v>
      </c>
      <c r="AD98" s="49"/>
      <c r="AE98" s="7"/>
      <c r="AF98" s="49"/>
      <c r="AG98" s="7"/>
      <c r="AH98" s="7"/>
      <c r="AI98" s="59" t="str">
        <f t="shared" si="12"/>
        <v>0</v>
      </c>
      <c r="AJ98" s="49">
        <v>3</v>
      </c>
      <c r="AK98" s="49">
        <v>4</v>
      </c>
      <c r="AL98" s="49">
        <v>3</v>
      </c>
      <c r="AM98" s="49">
        <v>3</v>
      </c>
      <c r="AN98" s="7"/>
      <c r="AO98" s="59">
        <f t="shared" si="13"/>
        <v>3.25</v>
      </c>
      <c r="AP98" s="49"/>
      <c r="AQ98" s="49"/>
      <c r="AR98" s="49"/>
      <c r="AS98" s="7"/>
      <c r="AT98" s="7"/>
      <c r="AU98" s="59" t="str">
        <f t="shared" si="14"/>
        <v>0</v>
      </c>
      <c r="AV98" s="7"/>
      <c r="AW98" s="7"/>
      <c r="AX98" s="49"/>
      <c r="AY98" s="49">
        <v>4</v>
      </c>
      <c r="AZ98" s="49"/>
      <c r="BA98" s="59">
        <f t="shared" si="15"/>
        <v>4</v>
      </c>
    </row>
    <row r="99" spans="1:53" ht="23.1" customHeight="1" x14ac:dyDescent="0.3">
      <c r="A99" s="49">
        <v>97</v>
      </c>
      <c r="B99" s="49" t="s">
        <v>184</v>
      </c>
      <c r="C99" s="49" t="s">
        <v>185</v>
      </c>
      <c r="D99" s="49" t="s">
        <v>542</v>
      </c>
      <c r="E99" s="49" t="s">
        <v>161</v>
      </c>
      <c r="F99" s="49">
        <v>4</v>
      </c>
      <c r="G99" s="49">
        <v>4</v>
      </c>
      <c r="H99" s="49">
        <v>5</v>
      </c>
      <c r="I99" s="49"/>
      <c r="J99" s="49"/>
      <c r="K99" s="59">
        <f t="shared" si="8"/>
        <v>4.333333333333333</v>
      </c>
      <c r="L99" s="49"/>
      <c r="M99" s="49">
        <v>3.5</v>
      </c>
      <c r="N99" s="49">
        <v>3</v>
      </c>
      <c r="O99" s="49"/>
      <c r="P99" s="49"/>
      <c r="Q99" s="59">
        <f t="shared" si="9"/>
        <v>3.25</v>
      </c>
      <c r="R99" s="49"/>
      <c r="S99" s="49">
        <v>3.5</v>
      </c>
      <c r="T99" s="49"/>
      <c r="U99" s="49"/>
      <c r="V99" s="49"/>
      <c r="W99" s="59">
        <f t="shared" si="10"/>
        <v>3.5</v>
      </c>
      <c r="X99" s="49"/>
      <c r="Y99" s="49"/>
      <c r="Z99" s="49"/>
      <c r="AA99" s="49"/>
      <c r="AB99" s="49"/>
      <c r="AC99" s="59" t="str">
        <f t="shared" si="11"/>
        <v>0</v>
      </c>
      <c r="AD99" s="49"/>
      <c r="AE99" s="49"/>
      <c r="AF99" s="49"/>
      <c r="AG99" s="49"/>
      <c r="AH99" s="49"/>
      <c r="AI99" s="59" t="str">
        <f t="shared" si="12"/>
        <v>0</v>
      </c>
      <c r="AJ99" s="49">
        <v>4</v>
      </c>
      <c r="AK99" s="49">
        <v>5</v>
      </c>
      <c r="AL99" s="49">
        <v>5</v>
      </c>
      <c r="AM99" s="49">
        <v>5</v>
      </c>
      <c r="AN99" s="49"/>
      <c r="AO99" s="59">
        <f t="shared" si="13"/>
        <v>4.75</v>
      </c>
      <c r="AP99" s="49"/>
      <c r="AQ99" s="49"/>
      <c r="AR99" s="49"/>
      <c r="AS99" s="49"/>
      <c r="AT99" s="49"/>
      <c r="AU99" s="59" t="str">
        <f t="shared" si="14"/>
        <v>0</v>
      </c>
      <c r="AV99" s="49"/>
      <c r="AW99" s="49"/>
      <c r="AX99" s="49"/>
      <c r="AY99" s="49">
        <v>3</v>
      </c>
      <c r="AZ99" s="49"/>
      <c r="BA99" s="59">
        <f t="shared" si="15"/>
        <v>3</v>
      </c>
    </row>
    <row r="100" spans="1:53" ht="23.1" customHeight="1" x14ac:dyDescent="0.3">
      <c r="A100" s="7">
        <v>98</v>
      </c>
      <c r="B100" s="7" t="s">
        <v>344</v>
      </c>
      <c r="C100" s="7" t="s">
        <v>345</v>
      </c>
      <c r="D100" s="7" t="s">
        <v>542</v>
      </c>
      <c r="E100" s="7" t="s">
        <v>493</v>
      </c>
      <c r="F100" s="49">
        <v>4</v>
      </c>
      <c r="G100" s="49">
        <v>4</v>
      </c>
      <c r="H100" s="49">
        <v>3</v>
      </c>
      <c r="I100" s="49"/>
      <c r="J100" s="7"/>
      <c r="K100" s="59">
        <f t="shared" si="8"/>
        <v>3.6666666666666665</v>
      </c>
      <c r="L100" s="49"/>
      <c r="M100" s="49">
        <v>5</v>
      </c>
      <c r="N100" s="49">
        <v>5</v>
      </c>
      <c r="O100" s="49"/>
      <c r="P100" s="49"/>
      <c r="Q100" s="59">
        <f t="shared" si="9"/>
        <v>5</v>
      </c>
      <c r="R100" s="49"/>
      <c r="S100" s="49">
        <v>3</v>
      </c>
      <c r="T100" s="7"/>
      <c r="U100" s="49"/>
      <c r="V100" s="7"/>
      <c r="W100" s="59">
        <f t="shared" si="10"/>
        <v>3</v>
      </c>
      <c r="X100" s="49"/>
      <c r="Y100" s="49"/>
      <c r="Z100" s="7"/>
      <c r="AA100" s="7"/>
      <c r="AB100" s="7"/>
      <c r="AC100" s="59" t="str">
        <f t="shared" si="11"/>
        <v>0</v>
      </c>
      <c r="AD100" s="49"/>
      <c r="AE100" s="7"/>
      <c r="AF100" s="49"/>
      <c r="AG100" s="7"/>
      <c r="AH100" s="7"/>
      <c r="AI100" s="59" t="str">
        <f t="shared" si="12"/>
        <v>0</v>
      </c>
      <c r="AJ100" s="49">
        <v>3</v>
      </c>
      <c r="AK100" s="49">
        <v>3</v>
      </c>
      <c r="AL100" s="49">
        <v>4</v>
      </c>
      <c r="AM100" s="49">
        <v>3</v>
      </c>
      <c r="AN100" s="7"/>
      <c r="AO100" s="59">
        <f t="shared" si="13"/>
        <v>3.25</v>
      </c>
      <c r="AP100" s="49"/>
      <c r="AQ100" s="49"/>
      <c r="AR100" s="49"/>
      <c r="AS100" s="7"/>
      <c r="AT100" s="7"/>
      <c r="AU100" s="59" t="str">
        <f t="shared" si="14"/>
        <v>0</v>
      </c>
      <c r="AV100" s="7"/>
      <c r="AW100" s="7"/>
      <c r="AX100" s="49"/>
      <c r="AY100" s="49">
        <v>4</v>
      </c>
      <c r="AZ100" s="49"/>
      <c r="BA100" s="59">
        <f t="shared" si="15"/>
        <v>4</v>
      </c>
    </row>
    <row r="101" spans="1:53" ht="23.1" customHeight="1" x14ac:dyDescent="0.3">
      <c r="A101" s="49">
        <v>99</v>
      </c>
      <c r="B101" s="49" t="s">
        <v>263</v>
      </c>
      <c r="C101" s="49" t="s">
        <v>264</v>
      </c>
      <c r="D101" s="49" t="s">
        <v>450</v>
      </c>
      <c r="E101" s="49" t="s">
        <v>161</v>
      </c>
      <c r="F101" s="49">
        <v>2</v>
      </c>
      <c r="G101" s="49">
        <v>2</v>
      </c>
      <c r="H101" s="49">
        <v>3</v>
      </c>
      <c r="I101" s="49"/>
      <c r="J101" s="49"/>
      <c r="K101" s="59">
        <f t="shared" si="8"/>
        <v>2.3333333333333335</v>
      </c>
      <c r="L101" s="49"/>
      <c r="M101" s="49">
        <v>3</v>
      </c>
      <c r="N101" s="49">
        <v>3</v>
      </c>
      <c r="O101" s="49"/>
      <c r="P101" s="49"/>
      <c r="Q101" s="59">
        <f t="shared" si="9"/>
        <v>3</v>
      </c>
      <c r="R101" s="49"/>
      <c r="S101" s="49">
        <v>1</v>
      </c>
      <c r="T101" s="49"/>
      <c r="U101" s="49"/>
      <c r="V101" s="49"/>
      <c r="W101" s="59">
        <f t="shared" si="10"/>
        <v>1</v>
      </c>
      <c r="X101" s="49"/>
      <c r="Y101" s="49"/>
      <c r="Z101" s="49"/>
      <c r="AA101" s="49"/>
      <c r="AB101" s="49"/>
      <c r="AC101" s="59" t="str">
        <f t="shared" si="11"/>
        <v>0</v>
      </c>
      <c r="AD101" s="49"/>
      <c r="AE101" s="49"/>
      <c r="AF101" s="49"/>
      <c r="AG101" s="49"/>
      <c r="AH101" s="49"/>
      <c r="AI101" s="59" t="str">
        <f t="shared" si="12"/>
        <v>0</v>
      </c>
      <c r="AJ101" s="49">
        <v>3</v>
      </c>
      <c r="AK101" s="49">
        <v>3</v>
      </c>
      <c r="AL101" s="49">
        <v>2</v>
      </c>
      <c r="AM101" s="49">
        <v>2</v>
      </c>
      <c r="AN101" s="49"/>
      <c r="AO101" s="59">
        <f t="shared" si="13"/>
        <v>2.5</v>
      </c>
      <c r="AP101" s="49"/>
      <c r="AQ101" s="49"/>
      <c r="AR101" s="49"/>
      <c r="AS101" s="49"/>
      <c r="AT101" s="49"/>
      <c r="AU101" s="59" t="str">
        <f t="shared" si="14"/>
        <v>0</v>
      </c>
      <c r="AV101" s="49"/>
      <c r="AW101" s="49"/>
      <c r="AX101" s="49"/>
      <c r="AY101" s="49">
        <v>2</v>
      </c>
      <c r="AZ101" s="49"/>
      <c r="BA101" s="59">
        <f t="shared" si="15"/>
        <v>2</v>
      </c>
    </row>
    <row r="102" spans="1:53" ht="23.1" customHeight="1" x14ac:dyDescent="0.3">
      <c r="A102" s="7">
        <v>100</v>
      </c>
      <c r="B102" s="7" t="s">
        <v>140</v>
      </c>
      <c r="C102" s="7" t="s">
        <v>141</v>
      </c>
      <c r="D102" s="7" t="s">
        <v>450</v>
      </c>
      <c r="E102" s="7" t="s">
        <v>35</v>
      </c>
      <c r="F102" s="49">
        <v>3</v>
      </c>
      <c r="G102" s="49">
        <v>2</v>
      </c>
      <c r="H102" s="49">
        <v>3</v>
      </c>
      <c r="I102" s="49"/>
      <c r="J102" s="7"/>
      <c r="K102" s="59">
        <f t="shared" si="8"/>
        <v>2.6666666666666665</v>
      </c>
      <c r="L102" s="49"/>
      <c r="M102" s="49">
        <v>3</v>
      </c>
      <c r="N102" s="49">
        <v>3</v>
      </c>
      <c r="O102" s="49"/>
      <c r="P102" s="49"/>
      <c r="Q102" s="59">
        <f t="shared" si="9"/>
        <v>3</v>
      </c>
      <c r="R102" s="49"/>
      <c r="S102" s="49">
        <v>1</v>
      </c>
      <c r="T102" s="7"/>
      <c r="U102" s="49"/>
      <c r="V102" s="7"/>
      <c r="W102" s="59">
        <f t="shared" si="10"/>
        <v>1</v>
      </c>
      <c r="X102" s="49"/>
      <c r="Y102" s="49"/>
      <c r="Z102" s="7"/>
      <c r="AA102" s="7"/>
      <c r="AB102" s="7"/>
      <c r="AC102" s="59" t="str">
        <f t="shared" si="11"/>
        <v>0</v>
      </c>
      <c r="AD102" s="49"/>
      <c r="AE102" s="7"/>
      <c r="AF102" s="49"/>
      <c r="AG102" s="7"/>
      <c r="AH102" s="7"/>
      <c r="AI102" s="59" t="str">
        <f t="shared" si="12"/>
        <v>0</v>
      </c>
      <c r="AJ102" s="49">
        <v>4</v>
      </c>
      <c r="AK102" s="49">
        <v>3</v>
      </c>
      <c r="AL102" s="49">
        <v>3</v>
      </c>
      <c r="AM102" s="49">
        <v>4</v>
      </c>
      <c r="AN102" s="7"/>
      <c r="AO102" s="59">
        <f t="shared" si="13"/>
        <v>3.5</v>
      </c>
      <c r="AP102" s="49"/>
      <c r="AQ102" s="49"/>
      <c r="AR102" s="49"/>
      <c r="AS102" s="7"/>
      <c r="AT102" s="7"/>
      <c r="AU102" s="59" t="str">
        <f t="shared" si="14"/>
        <v>0</v>
      </c>
      <c r="AV102" s="7"/>
      <c r="AW102" s="7"/>
      <c r="AX102" s="49"/>
      <c r="AY102" s="49">
        <v>3</v>
      </c>
      <c r="AZ102" s="49"/>
      <c r="BA102" s="59">
        <f t="shared" si="15"/>
        <v>3</v>
      </c>
    </row>
    <row r="103" spans="1:53" ht="23.1" customHeight="1" x14ac:dyDescent="0.3">
      <c r="A103" s="49">
        <v>101</v>
      </c>
      <c r="B103" s="49" t="s">
        <v>346</v>
      </c>
      <c r="C103" s="49" t="s">
        <v>347</v>
      </c>
      <c r="D103" s="49" t="s">
        <v>450</v>
      </c>
      <c r="E103" s="49" t="s">
        <v>493</v>
      </c>
      <c r="F103" s="49">
        <v>3</v>
      </c>
      <c r="G103" s="49">
        <v>3</v>
      </c>
      <c r="H103" s="49">
        <v>3</v>
      </c>
      <c r="I103" s="49"/>
      <c r="J103" s="49"/>
      <c r="K103" s="59">
        <f t="shared" si="8"/>
        <v>3</v>
      </c>
      <c r="L103" s="49"/>
      <c r="M103" s="49">
        <v>3</v>
      </c>
      <c r="N103" s="49">
        <v>3</v>
      </c>
      <c r="O103" s="49"/>
      <c r="P103" s="49"/>
      <c r="Q103" s="59">
        <f t="shared" si="9"/>
        <v>3</v>
      </c>
      <c r="R103" s="49"/>
      <c r="S103" s="49">
        <v>4</v>
      </c>
      <c r="T103" s="49"/>
      <c r="U103" s="49"/>
      <c r="V103" s="49"/>
      <c r="W103" s="59">
        <f t="shared" si="10"/>
        <v>4</v>
      </c>
      <c r="X103" s="49"/>
      <c r="Y103" s="49"/>
      <c r="Z103" s="49"/>
      <c r="AA103" s="49"/>
      <c r="AB103" s="49"/>
      <c r="AC103" s="59" t="str">
        <f t="shared" si="11"/>
        <v>0</v>
      </c>
      <c r="AD103" s="49"/>
      <c r="AE103" s="49"/>
      <c r="AF103" s="49"/>
      <c r="AG103" s="49"/>
      <c r="AH103" s="49"/>
      <c r="AI103" s="59" t="str">
        <f t="shared" si="12"/>
        <v>0</v>
      </c>
      <c r="AJ103" s="49">
        <v>3</v>
      </c>
      <c r="AK103" s="49">
        <v>3</v>
      </c>
      <c r="AL103" s="49">
        <v>3</v>
      </c>
      <c r="AM103" s="49">
        <v>3</v>
      </c>
      <c r="AN103" s="49"/>
      <c r="AO103" s="59">
        <f t="shared" si="13"/>
        <v>3</v>
      </c>
      <c r="AP103" s="49"/>
      <c r="AQ103" s="49"/>
      <c r="AR103" s="49"/>
      <c r="AS103" s="49"/>
      <c r="AT103" s="49"/>
      <c r="AU103" s="59" t="str">
        <f t="shared" si="14"/>
        <v>0</v>
      </c>
      <c r="AV103" s="49"/>
      <c r="AW103" s="49"/>
      <c r="AX103" s="49"/>
      <c r="AY103" s="49">
        <v>3</v>
      </c>
      <c r="AZ103" s="49"/>
      <c r="BA103" s="59">
        <f t="shared" si="15"/>
        <v>3</v>
      </c>
    </row>
    <row r="104" spans="1:53" ht="23.1" customHeight="1" x14ac:dyDescent="0.3">
      <c r="A104" s="7">
        <v>102</v>
      </c>
      <c r="B104" s="7" t="s">
        <v>348</v>
      </c>
      <c r="C104" s="7" t="s">
        <v>349</v>
      </c>
      <c r="D104" s="7" t="s">
        <v>542</v>
      </c>
      <c r="E104" s="7" t="s">
        <v>493</v>
      </c>
      <c r="F104" s="49">
        <v>4</v>
      </c>
      <c r="G104" s="49">
        <v>4</v>
      </c>
      <c r="H104" s="49">
        <v>4</v>
      </c>
      <c r="I104" s="49"/>
      <c r="J104" s="7"/>
      <c r="K104" s="59">
        <f t="shared" si="8"/>
        <v>4</v>
      </c>
      <c r="L104" s="49"/>
      <c r="M104" s="49">
        <v>5</v>
      </c>
      <c r="N104" s="49">
        <v>5</v>
      </c>
      <c r="O104" s="49"/>
      <c r="P104" s="49"/>
      <c r="Q104" s="59">
        <f t="shared" si="9"/>
        <v>5</v>
      </c>
      <c r="R104" s="49"/>
      <c r="S104" s="49">
        <v>3</v>
      </c>
      <c r="T104" s="7"/>
      <c r="U104" s="49"/>
      <c r="V104" s="7"/>
      <c r="W104" s="59">
        <f t="shared" si="10"/>
        <v>3</v>
      </c>
      <c r="X104" s="49"/>
      <c r="Y104" s="49"/>
      <c r="Z104" s="7"/>
      <c r="AA104" s="7"/>
      <c r="AB104" s="7"/>
      <c r="AC104" s="59" t="str">
        <f t="shared" si="11"/>
        <v>0</v>
      </c>
      <c r="AD104" s="49"/>
      <c r="AE104" s="7"/>
      <c r="AF104" s="49"/>
      <c r="AG104" s="7"/>
      <c r="AH104" s="7"/>
      <c r="AI104" s="59" t="str">
        <f t="shared" si="12"/>
        <v>0</v>
      </c>
      <c r="AJ104" s="49">
        <v>4</v>
      </c>
      <c r="AK104" s="49">
        <v>3</v>
      </c>
      <c r="AL104" s="49">
        <v>3</v>
      </c>
      <c r="AM104" s="49">
        <v>3</v>
      </c>
      <c r="AN104" s="7"/>
      <c r="AO104" s="59">
        <f t="shared" si="13"/>
        <v>3.25</v>
      </c>
      <c r="AP104" s="49"/>
      <c r="AQ104" s="49"/>
      <c r="AR104" s="49"/>
      <c r="AS104" s="7"/>
      <c r="AT104" s="7"/>
      <c r="AU104" s="59" t="str">
        <f t="shared" si="14"/>
        <v>0</v>
      </c>
      <c r="AV104" s="7"/>
      <c r="AW104" s="7"/>
      <c r="AX104" s="49"/>
      <c r="AY104" s="49">
        <v>4</v>
      </c>
      <c r="AZ104" s="49"/>
      <c r="BA104" s="59">
        <f t="shared" si="15"/>
        <v>4</v>
      </c>
    </row>
    <row r="105" spans="1:53" ht="23.1" customHeight="1" x14ac:dyDescent="0.3">
      <c r="A105" s="49">
        <v>103</v>
      </c>
      <c r="B105" s="49" t="s">
        <v>142</v>
      </c>
      <c r="C105" s="49" t="s">
        <v>143</v>
      </c>
      <c r="D105" s="49" t="s">
        <v>542</v>
      </c>
      <c r="E105" s="49" t="s">
        <v>35</v>
      </c>
      <c r="F105" s="49">
        <v>2</v>
      </c>
      <c r="G105" s="49">
        <v>2</v>
      </c>
      <c r="H105" s="49">
        <v>2</v>
      </c>
      <c r="I105" s="49"/>
      <c r="J105" s="49"/>
      <c r="K105" s="59">
        <f t="shared" si="8"/>
        <v>2</v>
      </c>
      <c r="L105" s="49"/>
      <c r="M105" s="49">
        <v>3</v>
      </c>
      <c r="N105" s="49">
        <v>3</v>
      </c>
      <c r="O105" s="49"/>
      <c r="P105" s="49"/>
      <c r="Q105" s="59">
        <f t="shared" si="9"/>
        <v>3</v>
      </c>
      <c r="R105" s="49"/>
      <c r="S105" s="49">
        <v>2</v>
      </c>
      <c r="T105" s="49"/>
      <c r="U105" s="49"/>
      <c r="V105" s="49"/>
      <c r="W105" s="59">
        <f t="shared" si="10"/>
        <v>2</v>
      </c>
      <c r="X105" s="49"/>
      <c r="Y105" s="49"/>
      <c r="Z105" s="49"/>
      <c r="AA105" s="49"/>
      <c r="AB105" s="49"/>
      <c r="AC105" s="59" t="str">
        <f t="shared" si="11"/>
        <v>0</v>
      </c>
      <c r="AD105" s="49"/>
      <c r="AE105" s="49"/>
      <c r="AF105" s="49"/>
      <c r="AG105" s="49"/>
      <c r="AH105" s="49"/>
      <c r="AI105" s="59" t="str">
        <f t="shared" si="12"/>
        <v>0</v>
      </c>
      <c r="AJ105" s="49">
        <v>3</v>
      </c>
      <c r="AK105" s="49">
        <v>3</v>
      </c>
      <c r="AL105" s="49">
        <v>2</v>
      </c>
      <c r="AM105" s="49">
        <v>2</v>
      </c>
      <c r="AN105" s="49"/>
      <c r="AO105" s="59">
        <f t="shared" si="13"/>
        <v>2.5</v>
      </c>
      <c r="AP105" s="49"/>
      <c r="AQ105" s="49"/>
      <c r="AR105" s="49"/>
      <c r="AS105" s="49"/>
      <c r="AT105" s="49"/>
      <c r="AU105" s="59" t="str">
        <f t="shared" si="14"/>
        <v>0</v>
      </c>
      <c r="AV105" s="49"/>
      <c r="AW105" s="49"/>
      <c r="AX105" s="49"/>
      <c r="AY105" s="49">
        <v>3</v>
      </c>
      <c r="AZ105" s="49"/>
      <c r="BA105" s="59">
        <f t="shared" si="15"/>
        <v>3</v>
      </c>
    </row>
    <row r="106" spans="1:53" ht="23.1" customHeight="1" x14ac:dyDescent="0.3">
      <c r="A106" s="7">
        <v>104</v>
      </c>
      <c r="B106" s="7" t="s">
        <v>77</v>
      </c>
      <c r="C106" s="7" t="s">
        <v>78</v>
      </c>
      <c r="D106" s="7" t="s">
        <v>450</v>
      </c>
      <c r="E106" s="7" t="s">
        <v>35</v>
      </c>
      <c r="F106" s="49">
        <v>2</v>
      </c>
      <c r="G106" s="49">
        <v>3</v>
      </c>
      <c r="H106" s="49">
        <v>3</v>
      </c>
      <c r="I106" s="49"/>
      <c r="J106" s="7"/>
      <c r="K106" s="59">
        <f t="shared" si="8"/>
        <v>2.6666666666666665</v>
      </c>
      <c r="L106" s="49"/>
      <c r="M106" s="49">
        <v>3</v>
      </c>
      <c r="N106" s="49">
        <v>3</v>
      </c>
      <c r="O106" s="49"/>
      <c r="P106" s="49"/>
      <c r="Q106" s="59">
        <f t="shared" si="9"/>
        <v>3</v>
      </c>
      <c r="R106" s="49"/>
      <c r="S106" s="49">
        <v>3</v>
      </c>
      <c r="T106" s="7"/>
      <c r="U106" s="49"/>
      <c r="V106" s="7"/>
      <c r="W106" s="59">
        <f t="shared" si="10"/>
        <v>3</v>
      </c>
      <c r="X106" s="49"/>
      <c r="Y106" s="49"/>
      <c r="Z106" s="7"/>
      <c r="AA106" s="7"/>
      <c r="AB106" s="7"/>
      <c r="AC106" s="59" t="str">
        <f t="shared" si="11"/>
        <v>0</v>
      </c>
      <c r="AD106" s="49"/>
      <c r="AE106" s="7"/>
      <c r="AF106" s="49"/>
      <c r="AG106" s="7"/>
      <c r="AH106" s="7"/>
      <c r="AI106" s="59" t="str">
        <f t="shared" si="12"/>
        <v>0</v>
      </c>
      <c r="AJ106" s="49">
        <v>2</v>
      </c>
      <c r="AK106" s="49">
        <v>3</v>
      </c>
      <c r="AL106" s="49">
        <v>3</v>
      </c>
      <c r="AM106" s="49">
        <v>3</v>
      </c>
      <c r="AN106" s="7"/>
      <c r="AO106" s="59">
        <f t="shared" si="13"/>
        <v>2.75</v>
      </c>
      <c r="AP106" s="49"/>
      <c r="AQ106" s="49"/>
      <c r="AR106" s="49"/>
      <c r="AS106" s="7"/>
      <c r="AT106" s="7"/>
      <c r="AU106" s="59" t="str">
        <f t="shared" si="14"/>
        <v>0</v>
      </c>
      <c r="AV106" s="7"/>
      <c r="AW106" s="7"/>
      <c r="AX106" s="49"/>
      <c r="AY106" s="49">
        <v>2</v>
      </c>
      <c r="AZ106" s="49"/>
      <c r="BA106" s="59">
        <f t="shared" si="15"/>
        <v>2</v>
      </c>
    </row>
    <row r="107" spans="1:53" ht="23.1" customHeight="1" x14ac:dyDescent="0.3">
      <c r="A107" s="49">
        <v>105</v>
      </c>
      <c r="B107" s="49" t="s">
        <v>144</v>
      </c>
      <c r="C107" s="49" t="s">
        <v>145</v>
      </c>
      <c r="D107" s="49" t="s">
        <v>542</v>
      </c>
      <c r="E107" s="49" t="s">
        <v>35</v>
      </c>
      <c r="F107" s="49">
        <v>4</v>
      </c>
      <c r="G107" s="49">
        <v>4</v>
      </c>
      <c r="H107" s="49">
        <v>4</v>
      </c>
      <c r="I107" s="49"/>
      <c r="J107" s="49"/>
      <c r="K107" s="59">
        <f t="shared" si="8"/>
        <v>4</v>
      </c>
      <c r="L107" s="49"/>
      <c r="M107" s="49">
        <v>4</v>
      </c>
      <c r="N107" s="49">
        <v>5</v>
      </c>
      <c r="O107" s="49"/>
      <c r="P107" s="49"/>
      <c r="Q107" s="59">
        <f t="shared" si="9"/>
        <v>4.5</v>
      </c>
      <c r="R107" s="49"/>
      <c r="S107" s="49">
        <v>4</v>
      </c>
      <c r="T107" s="49"/>
      <c r="U107" s="49"/>
      <c r="V107" s="49"/>
      <c r="W107" s="59">
        <f t="shared" si="10"/>
        <v>4</v>
      </c>
      <c r="X107" s="49"/>
      <c r="Y107" s="49"/>
      <c r="Z107" s="49"/>
      <c r="AA107" s="49"/>
      <c r="AB107" s="49"/>
      <c r="AC107" s="59" t="str">
        <f t="shared" si="11"/>
        <v>0</v>
      </c>
      <c r="AD107" s="49"/>
      <c r="AE107" s="49"/>
      <c r="AF107" s="49"/>
      <c r="AG107" s="49"/>
      <c r="AH107" s="49"/>
      <c r="AI107" s="59" t="str">
        <f t="shared" si="12"/>
        <v>0</v>
      </c>
      <c r="AJ107" s="49">
        <v>4</v>
      </c>
      <c r="AK107" s="49">
        <v>4</v>
      </c>
      <c r="AL107" s="49">
        <v>5</v>
      </c>
      <c r="AM107" s="49">
        <v>4</v>
      </c>
      <c r="AN107" s="49"/>
      <c r="AO107" s="59">
        <f t="shared" si="13"/>
        <v>4.25</v>
      </c>
      <c r="AP107" s="49"/>
      <c r="AQ107" s="49"/>
      <c r="AR107" s="49"/>
      <c r="AS107" s="49"/>
      <c r="AT107" s="49"/>
      <c r="AU107" s="59" t="str">
        <f t="shared" si="14"/>
        <v>0</v>
      </c>
      <c r="AV107" s="49"/>
      <c r="AW107" s="49"/>
      <c r="AX107" s="49"/>
      <c r="AY107" s="49">
        <v>5</v>
      </c>
      <c r="AZ107" s="49"/>
      <c r="BA107" s="59">
        <f t="shared" si="15"/>
        <v>5</v>
      </c>
    </row>
    <row r="108" spans="1:53" ht="23.1" customHeight="1" x14ac:dyDescent="0.3">
      <c r="A108" s="7">
        <v>106</v>
      </c>
      <c r="B108" s="7" t="s">
        <v>350</v>
      </c>
      <c r="C108" s="7" t="s">
        <v>351</v>
      </c>
      <c r="D108" s="7" t="s">
        <v>450</v>
      </c>
      <c r="E108" s="7" t="s">
        <v>493</v>
      </c>
      <c r="F108" s="49">
        <v>2</v>
      </c>
      <c r="G108" s="49">
        <v>2</v>
      </c>
      <c r="H108" s="49">
        <v>2.5</v>
      </c>
      <c r="I108" s="49"/>
      <c r="J108" s="7"/>
      <c r="K108" s="59">
        <f t="shared" si="8"/>
        <v>2.1666666666666665</v>
      </c>
      <c r="L108" s="49"/>
      <c r="M108" s="49">
        <v>2.5</v>
      </c>
      <c r="N108" s="49">
        <v>2.5</v>
      </c>
      <c r="O108" s="49"/>
      <c r="P108" s="49"/>
      <c r="Q108" s="59">
        <f t="shared" si="9"/>
        <v>2.5</v>
      </c>
      <c r="R108" s="49"/>
      <c r="S108" s="49">
        <v>3</v>
      </c>
      <c r="T108" s="7"/>
      <c r="U108" s="49"/>
      <c r="V108" s="7"/>
      <c r="W108" s="59">
        <f t="shared" si="10"/>
        <v>3</v>
      </c>
      <c r="X108" s="49"/>
      <c r="Y108" s="49"/>
      <c r="Z108" s="7"/>
      <c r="AA108" s="7"/>
      <c r="AB108" s="7"/>
      <c r="AC108" s="59" t="str">
        <f t="shared" si="11"/>
        <v>0</v>
      </c>
      <c r="AD108" s="49"/>
      <c r="AE108" s="7"/>
      <c r="AF108" s="49"/>
      <c r="AG108" s="7"/>
      <c r="AH108" s="7"/>
      <c r="AI108" s="59" t="str">
        <f t="shared" si="12"/>
        <v>0</v>
      </c>
      <c r="AJ108" s="49">
        <v>2.5</v>
      </c>
      <c r="AK108" s="49">
        <v>2</v>
      </c>
      <c r="AL108" s="49">
        <v>2</v>
      </c>
      <c r="AM108" s="49">
        <v>2</v>
      </c>
      <c r="AN108" s="7"/>
      <c r="AO108" s="59">
        <f t="shared" si="13"/>
        <v>2.125</v>
      </c>
      <c r="AP108" s="49"/>
      <c r="AQ108" s="49"/>
      <c r="AR108" s="49"/>
      <c r="AS108" s="7"/>
      <c r="AT108" s="7"/>
      <c r="AU108" s="59" t="str">
        <f t="shared" si="14"/>
        <v>0</v>
      </c>
      <c r="AV108" s="7"/>
      <c r="AW108" s="7"/>
      <c r="AX108" s="49"/>
      <c r="AY108" s="49">
        <v>2.5</v>
      </c>
      <c r="AZ108" s="49"/>
      <c r="BA108" s="59">
        <f t="shared" si="15"/>
        <v>2.5</v>
      </c>
    </row>
    <row r="109" spans="1:53" ht="23.1" customHeight="1" x14ac:dyDescent="0.3">
      <c r="A109" s="49">
        <v>107</v>
      </c>
      <c r="B109" s="49" t="s">
        <v>352</v>
      </c>
      <c r="C109" s="49" t="s">
        <v>353</v>
      </c>
      <c r="D109" s="49" t="s">
        <v>542</v>
      </c>
      <c r="E109" s="49" t="s">
        <v>493</v>
      </c>
      <c r="F109" s="49">
        <v>4</v>
      </c>
      <c r="G109" s="49">
        <v>4</v>
      </c>
      <c r="H109" s="49">
        <v>5</v>
      </c>
      <c r="I109" s="49"/>
      <c r="J109" s="49"/>
      <c r="K109" s="59">
        <f t="shared" si="8"/>
        <v>4.333333333333333</v>
      </c>
      <c r="L109" s="49"/>
      <c r="M109" s="49">
        <v>4</v>
      </c>
      <c r="N109" s="49">
        <v>4</v>
      </c>
      <c r="O109" s="49"/>
      <c r="P109" s="49"/>
      <c r="Q109" s="59">
        <f t="shared" si="9"/>
        <v>4</v>
      </c>
      <c r="R109" s="49"/>
      <c r="S109" s="49">
        <v>3</v>
      </c>
      <c r="T109" s="49"/>
      <c r="U109" s="49"/>
      <c r="V109" s="49"/>
      <c r="W109" s="59">
        <f t="shared" si="10"/>
        <v>3</v>
      </c>
      <c r="X109" s="49"/>
      <c r="Y109" s="49"/>
      <c r="Z109" s="49"/>
      <c r="AA109" s="49"/>
      <c r="AB109" s="49"/>
      <c r="AC109" s="59" t="str">
        <f t="shared" si="11"/>
        <v>0</v>
      </c>
      <c r="AD109" s="49"/>
      <c r="AE109" s="49"/>
      <c r="AF109" s="49"/>
      <c r="AG109" s="49"/>
      <c r="AH109" s="49"/>
      <c r="AI109" s="59" t="str">
        <f t="shared" si="12"/>
        <v>0</v>
      </c>
      <c r="AJ109" s="49">
        <v>4</v>
      </c>
      <c r="AK109" s="49">
        <v>5</v>
      </c>
      <c r="AL109" s="49">
        <v>5</v>
      </c>
      <c r="AM109" s="49">
        <v>5</v>
      </c>
      <c r="AN109" s="49"/>
      <c r="AO109" s="59">
        <f t="shared" si="13"/>
        <v>4.75</v>
      </c>
      <c r="AP109" s="49"/>
      <c r="AQ109" s="49"/>
      <c r="AR109" s="49"/>
      <c r="AS109" s="49"/>
      <c r="AT109" s="49"/>
      <c r="AU109" s="59" t="str">
        <f t="shared" si="14"/>
        <v>0</v>
      </c>
      <c r="AV109" s="49"/>
      <c r="AW109" s="49"/>
      <c r="AX109" s="49"/>
      <c r="AY109" s="49">
        <v>4</v>
      </c>
      <c r="AZ109" s="49"/>
      <c r="BA109" s="59">
        <f t="shared" si="15"/>
        <v>4</v>
      </c>
    </row>
    <row r="110" spans="1:53" ht="23.1" customHeight="1" x14ac:dyDescent="0.3">
      <c r="A110" s="7">
        <v>108</v>
      </c>
      <c r="B110" s="7" t="s">
        <v>279</v>
      </c>
      <c r="C110" s="7" t="s">
        <v>280</v>
      </c>
      <c r="D110" s="7" t="s">
        <v>450</v>
      </c>
      <c r="E110" s="7" t="s">
        <v>161</v>
      </c>
      <c r="F110" s="49">
        <v>4</v>
      </c>
      <c r="G110" s="49">
        <v>4</v>
      </c>
      <c r="H110" s="49">
        <v>4</v>
      </c>
      <c r="I110" s="49"/>
      <c r="J110" s="7"/>
      <c r="K110" s="59">
        <f t="shared" si="8"/>
        <v>4</v>
      </c>
      <c r="L110" s="49"/>
      <c r="M110" s="49">
        <v>4</v>
      </c>
      <c r="N110" s="49">
        <v>4</v>
      </c>
      <c r="O110" s="49"/>
      <c r="P110" s="49"/>
      <c r="Q110" s="59">
        <f t="shared" si="9"/>
        <v>4</v>
      </c>
      <c r="R110" s="49"/>
      <c r="S110" s="49">
        <v>2</v>
      </c>
      <c r="T110" s="7"/>
      <c r="U110" s="49"/>
      <c r="V110" s="7"/>
      <c r="W110" s="59">
        <f t="shared" si="10"/>
        <v>2</v>
      </c>
      <c r="X110" s="49"/>
      <c r="Y110" s="49"/>
      <c r="Z110" s="7"/>
      <c r="AA110" s="7"/>
      <c r="AB110" s="7"/>
      <c r="AC110" s="59" t="str">
        <f t="shared" si="11"/>
        <v>0</v>
      </c>
      <c r="AD110" s="49"/>
      <c r="AE110" s="7"/>
      <c r="AF110" s="49"/>
      <c r="AG110" s="7"/>
      <c r="AH110" s="7"/>
      <c r="AI110" s="59" t="str">
        <f t="shared" si="12"/>
        <v>0</v>
      </c>
      <c r="AJ110" s="49">
        <v>4</v>
      </c>
      <c r="AK110" s="49">
        <v>4</v>
      </c>
      <c r="AL110" s="49">
        <v>4</v>
      </c>
      <c r="AM110" s="49">
        <v>4</v>
      </c>
      <c r="AN110" s="7"/>
      <c r="AO110" s="59">
        <f t="shared" si="13"/>
        <v>4</v>
      </c>
      <c r="AP110" s="49"/>
      <c r="AQ110" s="49"/>
      <c r="AR110" s="49"/>
      <c r="AS110" s="7"/>
      <c r="AT110" s="7"/>
      <c r="AU110" s="59" t="str">
        <f t="shared" si="14"/>
        <v>0</v>
      </c>
      <c r="AV110" s="7"/>
      <c r="AW110" s="7"/>
      <c r="AX110" s="49"/>
      <c r="AY110" s="49">
        <v>4</v>
      </c>
      <c r="AZ110" s="49"/>
      <c r="BA110" s="59">
        <f t="shared" si="15"/>
        <v>4</v>
      </c>
    </row>
    <row r="111" spans="1:53" ht="23.1" customHeight="1" x14ac:dyDescent="0.3">
      <c r="A111" s="49">
        <v>109</v>
      </c>
      <c r="B111" s="49" t="s">
        <v>168</v>
      </c>
      <c r="C111" s="49" t="s">
        <v>169</v>
      </c>
      <c r="D111" s="49" t="s">
        <v>450</v>
      </c>
      <c r="E111" s="49" t="s">
        <v>161</v>
      </c>
      <c r="F111" s="49">
        <v>3</v>
      </c>
      <c r="G111" s="49">
        <v>5</v>
      </c>
      <c r="H111" s="49">
        <v>3</v>
      </c>
      <c r="I111" s="49"/>
      <c r="J111" s="49"/>
      <c r="K111" s="59">
        <f t="shared" si="8"/>
        <v>3.6666666666666665</v>
      </c>
      <c r="L111" s="49"/>
      <c r="M111" s="49">
        <v>4</v>
      </c>
      <c r="N111" s="49">
        <v>5</v>
      </c>
      <c r="O111" s="49"/>
      <c r="P111" s="49"/>
      <c r="Q111" s="59">
        <f t="shared" si="9"/>
        <v>4.5</v>
      </c>
      <c r="R111" s="49"/>
      <c r="S111" s="49">
        <v>4</v>
      </c>
      <c r="T111" s="49"/>
      <c r="U111" s="49"/>
      <c r="V111" s="49"/>
      <c r="W111" s="59">
        <f t="shared" si="10"/>
        <v>4</v>
      </c>
      <c r="X111" s="49"/>
      <c r="Y111" s="49"/>
      <c r="Z111" s="49"/>
      <c r="AA111" s="49"/>
      <c r="AB111" s="49"/>
      <c r="AC111" s="59" t="str">
        <f t="shared" si="11"/>
        <v>0</v>
      </c>
      <c r="AD111" s="49"/>
      <c r="AE111" s="49"/>
      <c r="AF111" s="49"/>
      <c r="AG111" s="49"/>
      <c r="AH111" s="49"/>
      <c r="AI111" s="59" t="str">
        <f t="shared" si="12"/>
        <v>0</v>
      </c>
      <c r="AJ111" s="49">
        <v>4</v>
      </c>
      <c r="AK111" s="49">
        <v>4</v>
      </c>
      <c r="AL111" s="49">
        <v>4</v>
      </c>
      <c r="AM111" s="49">
        <v>4</v>
      </c>
      <c r="AN111" s="49"/>
      <c r="AO111" s="59">
        <f t="shared" si="13"/>
        <v>4</v>
      </c>
      <c r="AP111" s="49"/>
      <c r="AQ111" s="49"/>
      <c r="AR111" s="49"/>
      <c r="AS111" s="49"/>
      <c r="AT111" s="49"/>
      <c r="AU111" s="59" t="str">
        <f t="shared" si="14"/>
        <v>0</v>
      </c>
      <c r="AV111" s="49"/>
      <c r="AW111" s="49"/>
      <c r="AX111" s="49"/>
      <c r="AY111" s="49">
        <v>3</v>
      </c>
      <c r="AZ111" s="49"/>
      <c r="BA111" s="59">
        <f t="shared" si="15"/>
        <v>3</v>
      </c>
    </row>
    <row r="112" spans="1:53" ht="23.1" customHeight="1" x14ac:dyDescent="0.3">
      <c r="A112" s="7">
        <v>110</v>
      </c>
      <c r="B112" s="7" t="s">
        <v>186</v>
      </c>
      <c r="C112" s="7" t="s">
        <v>187</v>
      </c>
      <c r="D112" s="7" t="s">
        <v>450</v>
      </c>
      <c r="E112" s="7" t="s">
        <v>161</v>
      </c>
      <c r="F112" s="49" t="s">
        <v>581</v>
      </c>
      <c r="G112" s="49" t="s">
        <v>581</v>
      </c>
      <c r="H112" s="49" t="s">
        <v>581</v>
      </c>
      <c r="I112" s="49"/>
      <c r="J112" s="7"/>
      <c r="K112" s="59" t="str">
        <f t="shared" si="8"/>
        <v>0</v>
      </c>
      <c r="L112" s="49"/>
      <c r="M112" s="49" t="s">
        <v>581</v>
      </c>
      <c r="N112" s="49" t="s">
        <v>581</v>
      </c>
      <c r="O112" s="49"/>
      <c r="P112" s="49"/>
      <c r="Q112" s="59" t="str">
        <f t="shared" si="9"/>
        <v>0</v>
      </c>
      <c r="R112" s="49"/>
      <c r="S112" s="49">
        <v>2</v>
      </c>
      <c r="T112" s="7"/>
      <c r="U112" s="49"/>
      <c r="V112" s="7"/>
      <c r="W112" s="59">
        <f t="shared" si="10"/>
        <v>2</v>
      </c>
      <c r="X112" s="49"/>
      <c r="Y112" s="49"/>
      <c r="Z112" s="7"/>
      <c r="AA112" s="7"/>
      <c r="AB112" s="7"/>
      <c r="AC112" s="59" t="str">
        <f t="shared" si="11"/>
        <v>0</v>
      </c>
      <c r="AD112" s="49"/>
      <c r="AE112" s="7"/>
      <c r="AF112" s="49"/>
      <c r="AG112" s="7"/>
      <c r="AH112" s="7"/>
      <c r="AI112" s="59" t="str">
        <f t="shared" si="12"/>
        <v>0</v>
      </c>
      <c r="AJ112" s="49" t="s">
        <v>581</v>
      </c>
      <c r="AK112" s="49" t="s">
        <v>581</v>
      </c>
      <c r="AL112" s="49" t="s">
        <v>581</v>
      </c>
      <c r="AM112" s="49" t="s">
        <v>581</v>
      </c>
      <c r="AN112" s="7"/>
      <c r="AO112" s="59" t="str">
        <f t="shared" si="13"/>
        <v>0</v>
      </c>
      <c r="AP112" s="49"/>
      <c r="AQ112" s="49"/>
      <c r="AR112" s="49"/>
      <c r="AS112" s="7"/>
      <c r="AT112" s="7"/>
      <c r="AU112" s="59" t="str">
        <f t="shared" si="14"/>
        <v>0</v>
      </c>
      <c r="AV112" s="7"/>
      <c r="AW112" s="7"/>
      <c r="AX112" s="49"/>
      <c r="AY112" s="49" t="s">
        <v>581</v>
      </c>
      <c r="AZ112" s="49"/>
      <c r="BA112" s="59" t="str">
        <f t="shared" si="15"/>
        <v>0</v>
      </c>
    </row>
    <row r="113" spans="1:53" ht="23.1" customHeight="1" x14ac:dyDescent="0.3">
      <c r="A113" s="49">
        <v>111</v>
      </c>
      <c r="B113" s="49" t="s">
        <v>233</v>
      </c>
      <c r="C113" s="49" t="s">
        <v>234</v>
      </c>
      <c r="D113" s="49" t="s">
        <v>450</v>
      </c>
      <c r="E113" s="49" t="s">
        <v>161</v>
      </c>
      <c r="F113" s="49">
        <v>4</v>
      </c>
      <c r="G113" s="49">
        <v>4</v>
      </c>
      <c r="H113" s="49">
        <v>4</v>
      </c>
      <c r="I113" s="49"/>
      <c r="J113" s="49"/>
      <c r="K113" s="59">
        <f t="shared" si="8"/>
        <v>4</v>
      </c>
      <c r="L113" s="49"/>
      <c r="M113" s="49">
        <v>4</v>
      </c>
      <c r="N113" s="49">
        <v>4</v>
      </c>
      <c r="O113" s="49"/>
      <c r="P113" s="49"/>
      <c r="Q113" s="59">
        <f t="shared" si="9"/>
        <v>4</v>
      </c>
      <c r="R113" s="49"/>
      <c r="S113" s="49">
        <v>2</v>
      </c>
      <c r="T113" s="49"/>
      <c r="U113" s="49"/>
      <c r="V113" s="49"/>
      <c r="W113" s="59">
        <f t="shared" si="10"/>
        <v>2</v>
      </c>
      <c r="X113" s="49"/>
      <c r="Y113" s="49"/>
      <c r="Z113" s="49"/>
      <c r="AA113" s="49"/>
      <c r="AB113" s="49"/>
      <c r="AC113" s="59" t="str">
        <f t="shared" si="11"/>
        <v>0</v>
      </c>
      <c r="AD113" s="49"/>
      <c r="AE113" s="49"/>
      <c r="AF113" s="49"/>
      <c r="AG113" s="49"/>
      <c r="AH113" s="49"/>
      <c r="AI113" s="59" t="str">
        <f t="shared" si="12"/>
        <v>0</v>
      </c>
      <c r="AJ113" s="49">
        <v>4</v>
      </c>
      <c r="AK113" s="49">
        <v>4</v>
      </c>
      <c r="AL113" s="49">
        <v>4</v>
      </c>
      <c r="AM113" s="49">
        <v>4</v>
      </c>
      <c r="AN113" s="49"/>
      <c r="AO113" s="59">
        <f t="shared" si="13"/>
        <v>4</v>
      </c>
      <c r="AP113" s="49"/>
      <c r="AQ113" s="49"/>
      <c r="AR113" s="49"/>
      <c r="AS113" s="49"/>
      <c r="AT113" s="49"/>
      <c r="AU113" s="59" t="str">
        <f t="shared" si="14"/>
        <v>0</v>
      </c>
      <c r="AV113" s="49"/>
      <c r="AW113" s="49"/>
      <c r="AX113" s="49"/>
      <c r="AY113" s="49">
        <v>5</v>
      </c>
      <c r="AZ113" s="49"/>
      <c r="BA113" s="59">
        <f t="shared" si="15"/>
        <v>5</v>
      </c>
    </row>
    <row r="114" spans="1:53" ht="23.1" customHeight="1" x14ac:dyDescent="0.3">
      <c r="A114" s="7">
        <v>112</v>
      </c>
      <c r="B114" s="7" t="s">
        <v>146</v>
      </c>
      <c r="C114" s="7" t="s">
        <v>147</v>
      </c>
      <c r="D114" s="7" t="s">
        <v>450</v>
      </c>
      <c r="E114" s="7" t="s">
        <v>35</v>
      </c>
      <c r="F114" s="49">
        <v>4</v>
      </c>
      <c r="G114" s="49">
        <v>4</v>
      </c>
      <c r="H114" s="49">
        <v>5</v>
      </c>
      <c r="I114" s="49"/>
      <c r="J114" s="7"/>
      <c r="K114" s="59">
        <f t="shared" si="8"/>
        <v>4.333333333333333</v>
      </c>
      <c r="L114" s="49"/>
      <c r="M114" s="49">
        <v>5</v>
      </c>
      <c r="N114" s="49">
        <v>5</v>
      </c>
      <c r="O114" s="49"/>
      <c r="P114" s="49"/>
      <c r="Q114" s="59">
        <f t="shared" si="9"/>
        <v>5</v>
      </c>
      <c r="R114" s="49"/>
      <c r="S114" s="49">
        <v>3</v>
      </c>
      <c r="T114" s="7"/>
      <c r="U114" s="49"/>
      <c r="V114" s="7"/>
      <c r="W114" s="59">
        <f t="shared" si="10"/>
        <v>3</v>
      </c>
      <c r="X114" s="49"/>
      <c r="Y114" s="49"/>
      <c r="Z114" s="7"/>
      <c r="AA114" s="7"/>
      <c r="AB114" s="7"/>
      <c r="AC114" s="59" t="str">
        <f t="shared" si="11"/>
        <v>0</v>
      </c>
      <c r="AD114" s="49"/>
      <c r="AE114" s="7"/>
      <c r="AF114" s="49"/>
      <c r="AG114" s="7"/>
      <c r="AH114" s="7"/>
      <c r="AI114" s="59" t="str">
        <f t="shared" si="12"/>
        <v>0</v>
      </c>
      <c r="AJ114" s="49">
        <v>4</v>
      </c>
      <c r="AK114" s="49">
        <v>5</v>
      </c>
      <c r="AL114" s="49">
        <v>5</v>
      </c>
      <c r="AM114" s="49">
        <v>5</v>
      </c>
      <c r="AN114" s="7"/>
      <c r="AO114" s="59">
        <f t="shared" si="13"/>
        <v>4.75</v>
      </c>
      <c r="AP114" s="49"/>
      <c r="AQ114" s="49"/>
      <c r="AR114" s="49"/>
      <c r="AS114" s="7"/>
      <c r="AT114" s="7"/>
      <c r="AU114" s="59" t="str">
        <f t="shared" si="14"/>
        <v>0</v>
      </c>
      <c r="AV114" s="7"/>
      <c r="AW114" s="7"/>
      <c r="AX114" s="49"/>
      <c r="AY114" s="49">
        <v>4</v>
      </c>
      <c r="AZ114" s="49"/>
      <c r="BA114" s="59">
        <f t="shared" si="15"/>
        <v>4</v>
      </c>
    </row>
    <row r="115" spans="1:53" ht="23.1" customHeight="1" x14ac:dyDescent="0.3">
      <c r="A115" s="49">
        <v>113</v>
      </c>
      <c r="B115" s="49" t="s">
        <v>201</v>
      </c>
      <c r="C115" s="49" t="s">
        <v>202</v>
      </c>
      <c r="D115" s="49" t="s">
        <v>450</v>
      </c>
      <c r="E115" s="49" t="s">
        <v>161</v>
      </c>
      <c r="F115" s="49">
        <v>3</v>
      </c>
      <c r="G115" s="49">
        <v>3</v>
      </c>
      <c r="H115" s="49">
        <v>2</v>
      </c>
      <c r="I115" s="49"/>
      <c r="J115" s="49"/>
      <c r="K115" s="59">
        <f t="shared" si="8"/>
        <v>2.6666666666666665</v>
      </c>
      <c r="L115" s="49"/>
      <c r="M115" s="49">
        <v>3</v>
      </c>
      <c r="N115" s="49">
        <v>4</v>
      </c>
      <c r="O115" s="49"/>
      <c r="P115" s="49"/>
      <c r="Q115" s="59">
        <f t="shared" si="9"/>
        <v>3.5</v>
      </c>
      <c r="R115" s="49"/>
      <c r="S115" s="49">
        <v>3</v>
      </c>
      <c r="T115" s="49"/>
      <c r="U115" s="49"/>
      <c r="V115" s="49"/>
      <c r="W115" s="59">
        <f t="shared" si="10"/>
        <v>3</v>
      </c>
      <c r="X115" s="49"/>
      <c r="Y115" s="49"/>
      <c r="Z115" s="49"/>
      <c r="AA115" s="49"/>
      <c r="AB115" s="49"/>
      <c r="AC115" s="59" t="str">
        <f t="shared" si="11"/>
        <v>0</v>
      </c>
      <c r="AD115" s="49"/>
      <c r="AE115" s="49"/>
      <c r="AF115" s="49"/>
      <c r="AG115" s="49"/>
      <c r="AH115" s="49"/>
      <c r="AI115" s="59" t="str">
        <f t="shared" si="12"/>
        <v>0</v>
      </c>
      <c r="AJ115" s="49">
        <v>3</v>
      </c>
      <c r="AK115" s="49">
        <v>3</v>
      </c>
      <c r="AL115" s="49">
        <v>2</v>
      </c>
      <c r="AM115" s="49">
        <v>4</v>
      </c>
      <c r="AN115" s="49"/>
      <c r="AO115" s="59">
        <f t="shared" si="13"/>
        <v>3</v>
      </c>
      <c r="AP115" s="49"/>
      <c r="AQ115" s="49"/>
      <c r="AR115" s="49"/>
      <c r="AS115" s="49"/>
      <c r="AT115" s="49"/>
      <c r="AU115" s="59" t="str">
        <f t="shared" si="14"/>
        <v>0</v>
      </c>
      <c r="AV115" s="49"/>
      <c r="AW115" s="49"/>
      <c r="AX115" s="49"/>
      <c r="AY115" s="49">
        <v>3</v>
      </c>
      <c r="AZ115" s="49"/>
      <c r="BA115" s="59">
        <f t="shared" si="15"/>
        <v>3</v>
      </c>
    </row>
    <row r="116" spans="1:53" ht="23.1" customHeight="1" x14ac:dyDescent="0.3">
      <c r="A116" s="7">
        <v>114</v>
      </c>
      <c r="B116" s="7" t="s">
        <v>217</v>
      </c>
      <c r="C116" s="7" t="s">
        <v>218</v>
      </c>
      <c r="D116" s="7" t="s">
        <v>450</v>
      </c>
      <c r="E116" s="7" t="s">
        <v>161</v>
      </c>
      <c r="F116" s="49">
        <v>2</v>
      </c>
      <c r="G116" s="49">
        <v>2</v>
      </c>
      <c r="H116" s="49">
        <v>2</v>
      </c>
      <c r="I116" s="49"/>
      <c r="J116" s="7"/>
      <c r="K116" s="59">
        <f t="shared" si="8"/>
        <v>2</v>
      </c>
      <c r="L116" s="49"/>
      <c r="M116" s="49">
        <v>2</v>
      </c>
      <c r="N116" s="49">
        <v>2</v>
      </c>
      <c r="O116" s="49"/>
      <c r="P116" s="49"/>
      <c r="Q116" s="59">
        <f t="shared" si="9"/>
        <v>2</v>
      </c>
      <c r="R116" s="49"/>
      <c r="S116" s="49">
        <v>2</v>
      </c>
      <c r="T116" s="7"/>
      <c r="U116" s="49"/>
      <c r="V116" s="7"/>
      <c r="W116" s="59">
        <f t="shared" si="10"/>
        <v>2</v>
      </c>
      <c r="X116" s="49"/>
      <c r="Y116" s="49"/>
      <c r="Z116" s="7"/>
      <c r="AA116" s="7"/>
      <c r="AB116" s="7"/>
      <c r="AC116" s="59" t="str">
        <f t="shared" si="11"/>
        <v>0</v>
      </c>
      <c r="AD116" s="49"/>
      <c r="AE116" s="7"/>
      <c r="AF116" s="49"/>
      <c r="AG116" s="7"/>
      <c r="AH116" s="7"/>
      <c r="AI116" s="59" t="str">
        <f t="shared" si="12"/>
        <v>0</v>
      </c>
      <c r="AJ116" s="49">
        <v>2</v>
      </c>
      <c r="AK116" s="49">
        <v>2</v>
      </c>
      <c r="AL116" s="49">
        <v>2</v>
      </c>
      <c r="AM116" s="49">
        <v>2</v>
      </c>
      <c r="AN116" s="7"/>
      <c r="AO116" s="59">
        <f t="shared" si="13"/>
        <v>2</v>
      </c>
      <c r="AP116" s="49"/>
      <c r="AQ116" s="49"/>
      <c r="AR116" s="49"/>
      <c r="AS116" s="7"/>
      <c r="AT116" s="7"/>
      <c r="AU116" s="59" t="str">
        <f t="shared" si="14"/>
        <v>0</v>
      </c>
      <c r="AV116" s="7"/>
      <c r="AW116" s="7"/>
      <c r="AX116" s="49"/>
      <c r="AY116" s="49">
        <v>3</v>
      </c>
      <c r="AZ116" s="49"/>
      <c r="BA116" s="59">
        <f t="shared" si="15"/>
        <v>3</v>
      </c>
    </row>
    <row r="117" spans="1:53" ht="23.1" customHeight="1" x14ac:dyDescent="0.3">
      <c r="A117" s="49">
        <v>115</v>
      </c>
      <c r="B117" s="49" t="s">
        <v>235</v>
      </c>
      <c r="C117" s="49" t="s">
        <v>236</v>
      </c>
      <c r="D117" s="49" t="s">
        <v>450</v>
      </c>
      <c r="E117" s="49" t="s">
        <v>161</v>
      </c>
      <c r="F117" s="49">
        <v>3</v>
      </c>
      <c r="G117" s="49">
        <v>4</v>
      </c>
      <c r="H117" s="49">
        <v>5</v>
      </c>
      <c r="I117" s="49"/>
      <c r="J117" s="49"/>
      <c r="K117" s="59">
        <f t="shared" si="8"/>
        <v>4</v>
      </c>
      <c r="L117" s="49"/>
      <c r="M117" s="49">
        <v>2.5</v>
      </c>
      <c r="N117" s="49">
        <v>2.5</v>
      </c>
      <c r="O117" s="49"/>
      <c r="P117" s="49"/>
      <c r="Q117" s="59">
        <f t="shared" si="9"/>
        <v>2.5</v>
      </c>
      <c r="R117" s="49"/>
      <c r="S117" s="49">
        <v>2.5</v>
      </c>
      <c r="T117" s="49"/>
      <c r="U117" s="49"/>
      <c r="V117" s="49"/>
      <c r="W117" s="59">
        <f t="shared" si="10"/>
        <v>2.5</v>
      </c>
      <c r="X117" s="49"/>
      <c r="Y117" s="49"/>
      <c r="Z117" s="49"/>
      <c r="AA117" s="49"/>
      <c r="AB117" s="49"/>
      <c r="AC117" s="59" t="str">
        <f t="shared" si="11"/>
        <v>0</v>
      </c>
      <c r="AD117" s="49"/>
      <c r="AE117" s="49"/>
      <c r="AF117" s="49"/>
      <c r="AG117" s="49"/>
      <c r="AH117" s="49"/>
      <c r="AI117" s="59" t="str">
        <f t="shared" si="12"/>
        <v>0</v>
      </c>
      <c r="AJ117" s="49">
        <v>3</v>
      </c>
      <c r="AK117" s="49">
        <v>3</v>
      </c>
      <c r="AL117" s="49">
        <v>4</v>
      </c>
      <c r="AM117" s="49">
        <v>3</v>
      </c>
      <c r="AN117" s="49"/>
      <c r="AO117" s="59">
        <f t="shared" si="13"/>
        <v>3.25</v>
      </c>
      <c r="AP117" s="49"/>
      <c r="AQ117" s="49"/>
      <c r="AR117" s="49"/>
      <c r="AS117" s="49"/>
      <c r="AT117" s="49"/>
      <c r="AU117" s="59" t="str">
        <f t="shared" si="14"/>
        <v>0</v>
      </c>
      <c r="AV117" s="49"/>
      <c r="AW117" s="49"/>
      <c r="AX117" s="49"/>
      <c r="AY117" s="49">
        <v>2.5</v>
      </c>
      <c r="AZ117" s="49"/>
      <c r="BA117" s="59">
        <f t="shared" si="15"/>
        <v>2.5</v>
      </c>
    </row>
    <row r="118" spans="1:53" ht="23.1" customHeight="1" x14ac:dyDescent="0.3">
      <c r="A118" s="7">
        <v>116</v>
      </c>
      <c r="B118" s="7" t="s">
        <v>354</v>
      </c>
      <c r="C118" s="7" t="s">
        <v>355</v>
      </c>
      <c r="D118" s="7" t="s">
        <v>544</v>
      </c>
      <c r="E118" s="7" t="s">
        <v>493</v>
      </c>
      <c r="F118" s="49">
        <v>3</v>
      </c>
      <c r="G118" s="49">
        <v>3</v>
      </c>
      <c r="H118" s="49">
        <v>4</v>
      </c>
      <c r="I118" s="49"/>
      <c r="J118" s="7"/>
      <c r="K118" s="59">
        <f t="shared" si="8"/>
        <v>3.3333333333333335</v>
      </c>
      <c r="L118" s="49"/>
      <c r="M118" s="49">
        <v>4</v>
      </c>
      <c r="N118" s="49">
        <v>4</v>
      </c>
      <c r="O118" s="49"/>
      <c r="P118" s="49"/>
      <c r="Q118" s="59">
        <f t="shared" si="9"/>
        <v>4</v>
      </c>
      <c r="R118" s="49"/>
      <c r="S118" s="49">
        <v>4</v>
      </c>
      <c r="T118" s="7"/>
      <c r="U118" s="49"/>
      <c r="V118" s="7"/>
      <c r="W118" s="59">
        <f t="shared" si="10"/>
        <v>4</v>
      </c>
      <c r="X118" s="49"/>
      <c r="Y118" s="49"/>
      <c r="Z118" s="7"/>
      <c r="AA118" s="7"/>
      <c r="AB118" s="7"/>
      <c r="AC118" s="59" t="str">
        <f t="shared" si="11"/>
        <v>0</v>
      </c>
      <c r="AD118" s="49"/>
      <c r="AE118" s="7"/>
      <c r="AF118" s="49"/>
      <c r="AG118" s="7"/>
      <c r="AH118" s="7"/>
      <c r="AI118" s="59" t="str">
        <f t="shared" si="12"/>
        <v>0</v>
      </c>
      <c r="AJ118" s="49">
        <v>4</v>
      </c>
      <c r="AK118" s="49">
        <v>4</v>
      </c>
      <c r="AL118" s="49">
        <v>4</v>
      </c>
      <c r="AM118" s="49">
        <v>4</v>
      </c>
      <c r="AN118" s="7"/>
      <c r="AO118" s="59">
        <f t="shared" si="13"/>
        <v>4</v>
      </c>
      <c r="AP118" s="49"/>
      <c r="AQ118" s="49"/>
      <c r="AR118" s="49"/>
      <c r="AS118" s="7"/>
      <c r="AT118" s="7"/>
      <c r="AU118" s="59" t="str">
        <f t="shared" si="14"/>
        <v>0</v>
      </c>
      <c r="AV118" s="7"/>
      <c r="AW118" s="7"/>
      <c r="AX118" s="49"/>
      <c r="AY118" s="49">
        <v>4</v>
      </c>
      <c r="AZ118" s="49"/>
      <c r="BA118" s="59">
        <f t="shared" si="15"/>
        <v>4</v>
      </c>
    </row>
    <row r="119" spans="1:53" ht="23.1" customHeight="1" x14ac:dyDescent="0.3">
      <c r="A119" s="49">
        <v>117</v>
      </c>
      <c r="B119" s="49" t="s">
        <v>203</v>
      </c>
      <c r="C119" s="49" t="s">
        <v>204</v>
      </c>
      <c r="D119" s="49" t="s">
        <v>542</v>
      </c>
      <c r="E119" s="49" t="s">
        <v>161</v>
      </c>
      <c r="F119" s="49">
        <v>4</v>
      </c>
      <c r="G119" s="49">
        <v>5</v>
      </c>
      <c r="H119" s="49">
        <v>4</v>
      </c>
      <c r="I119" s="49"/>
      <c r="J119" s="49"/>
      <c r="K119" s="59">
        <f t="shared" si="8"/>
        <v>4.333333333333333</v>
      </c>
      <c r="L119" s="49"/>
      <c r="M119" s="49">
        <v>4</v>
      </c>
      <c r="N119" s="49">
        <v>4</v>
      </c>
      <c r="O119" s="49"/>
      <c r="P119" s="49"/>
      <c r="Q119" s="59">
        <f t="shared" si="9"/>
        <v>4</v>
      </c>
      <c r="R119" s="49"/>
      <c r="S119" s="49">
        <v>4</v>
      </c>
      <c r="T119" s="49"/>
      <c r="U119" s="49"/>
      <c r="V119" s="49"/>
      <c r="W119" s="59">
        <f t="shared" si="10"/>
        <v>4</v>
      </c>
      <c r="X119" s="49"/>
      <c r="Y119" s="49"/>
      <c r="Z119" s="49"/>
      <c r="AA119" s="49"/>
      <c r="AB119" s="49"/>
      <c r="AC119" s="59" t="str">
        <f t="shared" si="11"/>
        <v>0</v>
      </c>
      <c r="AD119" s="49"/>
      <c r="AE119" s="49"/>
      <c r="AF119" s="49"/>
      <c r="AG119" s="49"/>
      <c r="AH119" s="49"/>
      <c r="AI119" s="59" t="str">
        <f t="shared" si="12"/>
        <v>0</v>
      </c>
      <c r="AJ119" s="49">
        <v>4</v>
      </c>
      <c r="AK119" s="49">
        <v>5</v>
      </c>
      <c r="AL119" s="49">
        <v>4</v>
      </c>
      <c r="AM119" s="49">
        <v>4</v>
      </c>
      <c r="AN119" s="49"/>
      <c r="AO119" s="59">
        <f t="shared" si="13"/>
        <v>4.25</v>
      </c>
      <c r="AP119" s="49"/>
      <c r="AQ119" s="49"/>
      <c r="AR119" s="49"/>
      <c r="AS119" s="49"/>
      <c r="AT119" s="49"/>
      <c r="AU119" s="59" t="str">
        <f t="shared" si="14"/>
        <v>0</v>
      </c>
      <c r="AV119" s="49"/>
      <c r="AW119" s="49"/>
      <c r="AX119" s="49"/>
      <c r="AY119" s="49">
        <v>5</v>
      </c>
      <c r="AZ119" s="49"/>
      <c r="BA119" s="59">
        <f t="shared" si="15"/>
        <v>5</v>
      </c>
    </row>
    <row r="120" spans="1:53" ht="23.1" customHeight="1" x14ac:dyDescent="0.3">
      <c r="A120" s="7">
        <v>118</v>
      </c>
      <c r="B120" s="7" t="s">
        <v>356</v>
      </c>
      <c r="C120" s="7" t="s">
        <v>357</v>
      </c>
      <c r="D120" s="7" t="s">
        <v>542</v>
      </c>
      <c r="E120" s="7" t="s">
        <v>493</v>
      </c>
      <c r="F120" s="49">
        <v>3</v>
      </c>
      <c r="G120" s="49">
        <v>3</v>
      </c>
      <c r="H120" s="49">
        <v>3</v>
      </c>
      <c r="I120" s="49"/>
      <c r="J120" s="7"/>
      <c r="K120" s="59">
        <f t="shared" si="8"/>
        <v>3</v>
      </c>
      <c r="L120" s="49"/>
      <c r="M120" s="49">
        <v>3</v>
      </c>
      <c r="N120" s="49">
        <v>3</v>
      </c>
      <c r="O120" s="49"/>
      <c r="P120" s="49"/>
      <c r="Q120" s="59">
        <f t="shared" si="9"/>
        <v>3</v>
      </c>
      <c r="R120" s="49"/>
      <c r="S120" s="49">
        <v>2</v>
      </c>
      <c r="T120" s="7"/>
      <c r="U120" s="49"/>
      <c r="V120" s="7"/>
      <c r="W120" s="59">
        <f t="shared" si="10"/>
        <v>2</v>
      </c>
      <c r="X120" s="49"/>
      <c r="Y120" s="49"/>
      <c r="Z120" s="7"/>
      <c r="AA120" s="7"/>
      <c r="AB120" s="7"/>
      <c r="AC120" s="59" t="str">
        <f t="shared" si="11"/>
        <v>0</v>
      </c>
      <c r="AD120" s="49"/>
      <c r="AE120" s="7"/>
      <c r="AF120" s="49"/>
      <c r="AG120" s="7"/>
      <c r="AH120" s="7"/>
      <c r="AI120" s="59" t="str">
        <f t="shared" si="12"/>
        <v>0</v>
      </c>
      <c r="AJ120" s="49">
        <v>3</v>
      </c>
      <c r="AK120" s="49">
        <v>3</v>
      </c>
      <c r="AL120" s="49">
        <v>3</v>
      </c>
      <c r="AM120" s="49">
        <v>3</v>
      </c>
      <c r="AN120" s="7"/>
      <c r="AO120" s="59">
        <f t="shared" si="13"/>
        <v>3</v>
      </c>
      <c r="AP120" s="49"/>
      <c r="AQ120" s="49"/>
      <c r="AR120" s="49"/>
      <c r="AS120" s="7"/>
      <c r="AT120" s="7"/>
      <c r="AU120" s="59" t="str">
        <f t="shared" si="14"/>
        <v>0</v>
      </c>
      <c r="AV120" s="7"/>
      <c r="AW120" s="7"/>
      <c r="AX120" s="49"/>
      <c r="AY120" s="49">
        <v>3</v>
      </c>
      <c r="AZ120" s="49"/>
      <c r="BA120" s="59">
        <f t="shared" si="15"/>
        <v>3</v>
      </c>
    </row>
    <row r="121" spans="1:53" ht="23.1" customHeight="1" x14ac:dyDescent="0.3">
      <c r="A121" s="49">
        <v>119</v>
      </c>
      <c r="B121" s="49" t="s">
        <v>358</v>
      </c>
      <c r="C121" s="49" t="s">
        <v>359</v>
      </c>
      <c r="D121" s="49" t="s">
        <v>542</v>
      </c>
      <c r="E121" s="49" t="s">
        <v>493</v>
      </c>
      <c r="F121" s="49">
        <v>4</v>
      </c>
      <c r="G121" s="49">
        <v>4</v>
      </c>
      <c r="H121" s="49">
        <v>4</v>
      </c>
      <c r="I121" s="49"/>
      <c r="J121" s="49"/>
      <c r="K121" s="59">
        <f t="shared" si="8"/>
        <v>4</v>
      </c>
      <c r="L121" s="49"/>
      <c r="M121" s="49">
        <v>4</v>
      </c>
      <c r="N121" s="49">
        <v>3.5</v>
      </c>
      <c r="O121" s="49"/>
      <c r="P121" s="49"/>
      <c r="Q121" s="59">
        <f t="shared" si="9"/>
        <v>3.75</v>
      </c>
      <c r="R121" s="49"/>
      <c r="S121" s="49">
        <v>4</v>
      </c>
      <c r="T121" s="49"/>
      <c r="U121" s="49"/>
      <c r="V121" s="49"/>
      <c r="W121" s="59">
        <f t="shared" si="10"/>
        <v>4</v>
      </c>
      <c r="X121" s="49"/>
      <c r="Y121" s="49"/>
      <c r="Z121" s="49"/>
      <c r="AA121" s="49"/>
      <c r="AB121" s="49"/>
      <c r="AC121" s="59" t="str">
        <f t="shared" si="11"/>
        <v>0</v>
      </c>
      <c r="AD121" s="49"/>
      <c r="AE121" s="49"/>
      <c r="AF121" s="49"/>
      <c r="AG121" s="49"/>
      <c r="AH121" s="49"/>
      <c r="AI121" s="59" t="str">
        <f t="shared" si="12"/>
        <v>0</v>
      </c>
      <c r="AJ121" s="49">
        <v>4</v>
      </c>
      <c r="AK121" s="49">
        <v>4</v>
      </c>
      <c r="AL121" s="49">
        <v>4</v>
      </c>
      <c r="AM121" s="49">
        <v>4</v>
      </c>
      <c r="AN121" s="49"/>
      <c r="AO121" s="59">
        <f t="shared" si="13"/>
        <v>4</v>
      </c>
      <c r="AP121" s="49"/>
      <c r="AQ121" s="49"/>
      <c r="AR121" s="49"/>
      <c r="AS121" s="49"/>
      <c r="AT121" s="49"/>
      <c r="AU121" s="59" t="str">
        <f t="shared" si="14"/>
        <v>0</v>
      </c>
      <c r="AV121" s="49"/>
      <c r="AW121" s="49"/>
      <c r="AX121" s="49"/>
      <c r="AY121" s="49">
        <v>3.5</v>
      </c>
      <c r="AZ121" s="49"/>
      <c r="BA121" s="59">
        <f t="shared" si="15"/>
        <v>3.5</v>
      </c>
    </row>
    <row r="122" spans="1:53" ht="23.1" customHeight="1" x14ac:dyDescent="0.3">
      <c r="A122" s="7">
        <v>120</v>
      </c>
      <c r="B122" s="7" t="s">
        <v>150</v>
      </c>
      <c r="C122" s="7" t="s">
        <v>151</v>
      </c>
      <c r="D122" s="7" t="s">
        <v>450</v>
      </c>
      <c r="E122" s="7" t="s">
        <v>35</v>
      </c>
      <c r="F122" s="49">
        <v>3</v>
      </c>
      <c r="G122" s="49">
        <v>2</v>
      </c>
      <c r="H122" s="49">
        <v>2</v>
      </c>
      <c r="I122" s="49"/>
      <c r="J122" s="7"/>
      <c r="K122" s="59">
        <f t="shared" si="8"/>
        <v>2.3333333333333335</v>
      </c>
      <c r="L122" s="49"/>
      <c r="M122" s="49">
        <v>4</v>
      </c>
      <c r="N122" s="49">
        <v>3</v>
      </c>
      <c r="O122" s="49"/>
      <c r="P122" s="49"/>
      <c r="Q122" s="59">
        <f t="shared" si="9"/>
        <v>3.5</v>
      </c>
      <c r="R122" s="49"/>
      <c r="S122" s="49">
        <v>2</v>
      </c>
      <c r="T122" s="7"/>
      <c r="U122" s="49"/>
      <c r="V122" s="7"/>
      <c r="W122" s="59">
        <f t="shared" si="10"/>
        <v>2</v>
      </c>
      <c r="X122" s="49"/>
      <c r="Y122" s="49"/>
      <c r="Z122" s="7"/>
      <c r="AA122" s="7"/>
      <c r="AB122" s="7"/>
      <c r="AC122" s="59" t="str">
        <f t="shared" si="11"/>
        <v>0</v>
      </c>
      <c r="AD122" s="49"/>
      <c r="AE122" s="7"/>
      <c r="AF122" s="49"/>
      <c r="AG122" s="7"/>
      <c r="AH122" s="7"/>
      <c r="AI122" s="59" t="str">
        <f t="shared" si="12"/>
        <v>0</v>
      </c>
      <c r="AJ122" s="49">
        <v>3</v>
      </c>
      <c r="AK122" s="49">
        <v>2</v>
      </c>
      <c r="AL122" s="49">
        <v>2</v>
      </c>
      <c r="AM122" s="49">
        <v>2</v>
      </c>
      <c r="AN122" s="7"/>
      <c r="AO122" s="59">
        <f t="shared" si="13"/>
        <v>2.25</v>
      </c>
      <c r="AP122" s="49"/>
      <c r="AQ122" s="49"/>
      <c r="AR122" s="49"/>
      <c r="AS122" s="7"/>
      <c r="AT122" s="7"/>
      <c r="AU122" s="59" t="str">
        <f t="shared" si="14"/>
        <v>0</v>
      </c>
      <c r="AV122" s="7"/>
      <c r="AW122" s="7"/>
      <c r="AX122" s="49"/>
      <c r="AY122" s="49">
        <v>3</v>
      </c>
      <c r="AZ122" s="49"/>
      <c r="BA122" s="59">
        <f t="shared" si="15"/>
        <v>3</v>
      </c>
    </row>
    <row r="123" spans="1:53" ht="23.1" customHeight="1" x14ac:dyDescent="0.3">
      <c r="A123" s="49">
        <v>121</v>
      </c>
      <c r="B123" s="49" t="s">
        <v>360</v>
      </c>
      <c r="C123" s="49" t="s">
        <v>361</v>
      </c>
      <c r="D123" s="49" t="s">
        <v>450</v>
      </c>
      <c r="E123" s="49" t="s">
        <v>493</v>
      </c>
      <c r="F123" s="49">
        <v>2</v>
      </c>
      <c r="G123" s="49">
        <v>2</v>
      </c>
      <c r="H123" s="49">
        <v>2</v>
      </c>
      <c r="I123" s="49"/>
      <c r="J123" s="49"/>
      <c r="K123" s="59">
        <f t="shared" si="8"/>
        <v>2</v>
      </c>
      <c r="L123" s="49"/>
      <c r="M123" s="49">
        <v>3</v>
      </c>
      <c r="N123" s="49">
        <v>2</v>
      </c>
      <c r="O123" s="49"/>
      <c r="P123" s="49"/>
      <c r="Q123" s="59">
        <f t="shared" si="9"/>
        <v>2.5</v>
      </c>
      <c r="R123" s="49"/>
      <c r="S123" s="49">
        <v>1</v>
      </c>
      <c r="T123" s="49"/>
      <c r="U123" s="49"/>
      <c r="V123" s="49"/>
      <c r="W123" s="59">
        <f t="shared" si="10"/>
        <v>1</v>
      </c>
      <c r="X123" s="49"/>
      <c r="Y123" s="49"/>
      <c r="Z123" s="49"/>
      <c r="AA123" s="49"/>
      <c r="AB123" s="49"/>
      <c r="AC123" s="59" t="str">
        <f t="shared" si="11"/>
        <v>0</v>
      </c>
      <c r="AD123" s="49"/>
      <c r="AE123" s="49"/>
      <c r="AF123" s="49"/>
      <c r="AG123" s="49"/>
      <c r="AH123" s="49"/>
      <c r="AI123" s="59" t="str">
        <f t="shared" si="12"/>
        <v>0</v>
      </c>
      <c r="AJ123" s="49">
        <v>2</v>
      </c>
      <c r="AK123" s="49">
        <v>3</v>
      </c>
      <c r="AL123" s="49">
        <v>2</v>
      </c>
      <c r="AM123" s="49">
        <v>2</v>
      </c>
      <c r="AN123" s="49"/>
      <c r="AO123" s="59">
        <f t="shared" si="13"/>
        <v>2.25</v>
      </c>
      <c r="AP123" s="49"/>
      <c r="AQ123" s="49"/>
      <c r="AR123" s="49"/>
      <c r="AS123" s="49"/>
      <c r="AT123" s="49"/>
      <c r="AU123" s="59" t="str">
        <f t="shared" si="14"/>
        <v>0</v>
      </c>
      <c r="AV123" s="49"/>
      <c r="AW123" s="49"/>
      <c r="AX123" s="49"/>
      <c r="AY123" s="49">
        <v>3</v>
      </c>
      <c r="AZ123" s="49"/>
      <c r="BA123" s="59">
        <f t="shared" si="15"/>
        <v>3</v>
      </c>
    </row>
    <row r="124" spans="1:53" ht="23.1" customHeight="1" x14ac:dyDescent="0.3">
      <c r="A124" s="7">
        <v>122</v>
      </c>
      <c r="B124" s="7" t="s">
        <v>362</v>
      </c>
      <c r="C124" s="7" t="s">
        <v>363</v>
      </c>
      <c r="D124" s="7" t="s">
        <v>450</v>
      </c>
      <c r="E124" s="7" t="s">
        <v>493</v>
      </c>
      <c r="F124" s="49">
        <v>2.5</v>
      </c>
      <c r="G124" s="49">
        <v>3.5</v>
      </c>
      <c r="H124" s="49">
        <v>2</v>
      </c>
      <c r="I124" s="49"/>
      <c r="J124" s="7"/>
      <c r="K124" s="59">
        <f t="shared" si="8"/>
        <v>2.6666666666666665</v>
      </c>
      <c r="L124" s="49"/>
      <c r="M124" s="49">
        <v>4</v>
      </c>
      <c r="N124" s="49">
        <v>4</v>
      </c>
      <c r="O124" s="49"/>
      <c r="P124" s="49"/>
      <c r="Q124" s="59">
        <f t="shared" si="9"/>
        <v>4</v>
      </c>
      <c r="R124" s="49"/>
      <c r="S124" s="49">
        <v>4</v>
      </c>
      <c r="T124" s="7"/>
      <c r="U124" s="49"/>
      <c r="V124" s="7"/>
      <c r="W124" s="59">
        <f t="shared" si="10"/>
        <v>4</v>
      </c>
      <c r="X124" s="49"/>
      <c r="Y124" s="49"/>
      <c r="Z124" s="7"/>
      <c r="AA124" s="7"/>
      <c r="AB124" s="7"/>
      <c r="AC124" s="59" t="str">
        <f t="shared" si="11"/>
        <v>0</v>
      </c>
      <c r="AD124" s="49"/>
      <c r="AE124" s="7"/>
      <c r="AF124" s="49"/>
      <c r="AG124" s="7"/>
      <c r="AH124" s="7"/>
      <c r="AI124" s="59" t="str">
        <f t="shared" si="12"/>
        <v>0</v>
      </c>
      <c r="AJ124" s="49">
        <v>3</v>
      </c>
      <c r="AK124" s="49">
        <v>3</v>
      </c>
      <c r="AL124" s="49">
        <v>2.5</v>
      </c>
      <c r="AM124" s="49">
        <v>2.5</v>
      </c>
      <c r="AN124" s="7"/>
      <c r="AO124" s="59">
        <f t="shared" si="13"/>
        <v>2.75</v>
      </c>
      <c r="AP124" s="49"/>
      <c r="AQ124" s="49"/>
      <c r="AR124" s="49"/>
      <c r="AS124" s="7"/>
      <c r="AT124" s="7"/>
      <c r="AU124" s="59" t="str">
        <f t="shared" si="14"/>
        <v>0</v>
      </c>
      <c r="AV124" s="7"/>
      <c r="AW124" s="7"/>
      <c r="AX124" s="49"/>
      <c r="AY124" s="49">
        <v>3.5</v>
      </c>
      <c r="AZ124" s="49"/>
      <c r="BA124" s="59">
        <f t="shared" si="15"/>
        <v>3.5</v>
      </c>
    </row>
    <row r="125" spans="1:53" ht="23.1" customHeight="1" x14ac:dyDescent="0.3">
      <c r="A125" s="49">
        <v>123</v>
      </c>
      <c r="B125" s="49" t="s">
        <v>364</v>
      </c>
      <c r="C125" s="49" t="s">
        <v>365</v>
      </c>
      <c r="D125" s="49" t="s">
        <v>450</v>
      </c>
      <c r="E125" s="49" t="s">
        <v>493</v>
      </c>
      <c r="F125" s="49">
        <v>5</v>
      </c>
      <c r="G125" s="49">
        <v>5</v>
      </c>
      <c r="H125" s="49">
        <v>5</v>
      </c>
      <c r="I125" s="49"/>
      <c r="J125" s="49"/>
      <c r="K125" s="59">
        <f t="shared" si="8"/>
        <v>5</v>
      </c>
      <c r="L125" s="49"/>
      <c r="M125" s="49">
        <v>4</v>
      </c>
      <c r="N125" s="49">
        <v>3</v>
      </c>
      <c r="O125" s="49"/>
      <c r="P125" s="49"/>
      <c r="Q125" s="59">
        <f t="shared" si="9"/>
        <v>3.5</v>
      </c>
      <c r="R125" s="49"/>
      <c r="S125" s="49">
        <v>4</v>
      </c>
      <c r="T125" s="49"/>
      <c r="U125" s="49"/>
      <c r="V125" s="49"/>
      <c r="W125" s="59">
        <f t="shared" si="10"/>
        <v>4</v>
      </c>
      <c r="X125" s="49"/>
      <c r="Y125" s="49"/>
      <c r="Z125" s="49"/>
      <c r="AA125" s="49"/>
      <c r="AB125" s="49"/>
      <c r="AC125" s="59" t="str">
        <f t="shared" si="11"/>
        <v>0</v>
      </c>
      <c r="AD125" s="49"/>
      <c r="AE125" s="49"/>
      <c r="AF125" s="49"/>
      <c r="AG125" s="49"/>
      <c r="AH125" s="49"/>
      <c r="AI125" s="59" t="str">
        <f t="shared" si="12"/>
        <v>0</v>
      </c>
      <c r="AJ125" s="49">
        <v>4</v>
      </c>
      <c r="AK125" s="49">
        <v>4</v>
      </c>
      <c r="AL125" s="49">
        <v>5</v>
      </c>
      <c r="AM125" s="49">
        <v>5</v>
      </c>
      <c r="AN125" s="49"/>
      <c r="AO125" s="59">
        <f t="shared" si="13"/>
        <v>4.5</v>
      </c>
      <c r="AP125" s="49"/>
      <c r="AQ125" s="49"/>
      <c r="AR125" s="49"/>
      <c r="AS125" s="49"/>
      <c r="AT125" s="49"/>
      <c r="AU125" s="59" t="str">
        <f t="shared" si="14"/>
        <v>0</v>
      </c>
      <c r="AV125" s="49"/>
      <c r="AW125" s="49"/>
      <c r="AX125" s="49"/>
      <c r="AY125" s="49">
        <v>3</v>
      </c>
      <c r="AZ125" s="49"/>
      <c r="BA125" s="59">
        <f t="shared" si="15"/>
        <v>3</v>
      </c>
    </row>
    <row r="126" spans="1:53" ht="23.1" customHeight="1" x14ac:dyDescent="0.3">
      <c r="A126" s="7">
        <v>124</v>
      </c>
      <c r="B126" s="7" t="s">
        <v>54</v>
      </c>
      <c r="C126" s="7" t="s">
        <v>55</v>
      </c>
      <c r="D126" s="7" t="s">
        <v>450</v>
      </c>
      <c r="E126" s="7" t="s">
        <v>35</v>
      </c>
      <c r="F126" s="49">
        <v>3</v>
      </c>
      <c r="G126" s="49">
        <v>4</v>
      </c>
      <c r="H126" s="49">
        <v>5</v>
      </c>
      <c r="I126" s="49"/>
      <c r="J126" s="7"/>
      <c r="K126" s="59">
        <f t="shared" si="8"/>
        <v>4</v>
      </c>
      <c r="L126" s="49"/>
      <c r="M126" s="49">
        <v>3.5</v>
      </c>
      <c r="N126" s="49">
        <v>3.5</v>
      </c>
      <c r="O126" s="49"/>
      <c r="P126" s="49"/>
      <c r="Q126" s="59">
        <f t="shared" si="9"/>
        <v>3.5</v>
      </c>
      <c r="R126" s="49"/>
      <c r="S126" s="49">
        <v>3</v>
      </c>
      <c r="T126" s="7"/>
      <c r="U126" s="49"/>
      <c r="V126" s="7"/>
      <c r="W126" s="59">
        <f t="shared" si="10"/>
        <v>3</v>
      </c>
      <c r="X126" s="49"/>
      <c r="Y126" s="49"/>
      <c r="Z126" s="7"/>
      <c r="AA126" s="7"/>
      <c r="AB126" s="7"/>
      <c r="AC126" s="59" t="str">
        <f t="shared" si="11"/>
        <v>0</v>
      </c>
      <c r="AD126" s="49"/>
      <c r="AE126" s="7"/>
      <c r="AF126" s="49"/>
      <c r="AG126" s="7"/>
      <c r="AH126" s="7"/>
      <c r="AI126" s="59" t="str">
        <f t="shared" si="12"/>
        <v>0</v>
      </c>
      <c r="AJ126" s="49">
        <v>3</v>
      </c>
      <c r="AK126" s="49">
        <v>3</v>
      </c>
      <c r="AL126" s="49">
        <v>4</v>
      </c>
      <c r="AM126" s="49">
        <v>3</v>
      </c>
      <c r="AN126" s="7"/>
      <c r="AO126" s="59">
        <f t="shared" si="13"/>
        <v>3.25</v>
      </c>
      <c r="AP126" s="49"/>
      <c r="AQ126" s="49"/>
      <c r="AR126" s="49"/>
      <c r="AS126" s="7"/>
      <c r="AT126" s="7"/>
      <c r="AU126" s="59" t="str">
        <f t="shared" si="14"/>
        <v>0</v>
      </c>
      <c r="AV126" s="7"/>
      <c r="AW126" s="7"/>
      <c r="AX126" s="49"/>
      <c r="AY126" s="49">
        <v>3</v>
      </c>
      <c r="AZ126" s="49"/>
      <c r="BA126" s="59">
        <f t="shared" si="15"/>
        <v>3</v>
      </c>
    </row>
    <row r="127" spans="1:53" ht="23.1" customHeight="1" x14ac:dyDescent="0.3">
      <c r="A127" s="49">
        <v>125</v>
      </c>
      <c r="B127" s="49" t="s">
        <v>219</v>
      </c>
      <c r="C127" s="49" t="s">
        <v>220</v>
      </c>
      <c r="D127" s="49" t="s">
        <v>542</v>
      </c>
      <c r="E127" s="49" t="s">
        <v>161</v>
      </c>
      <c r="F127" s="49">
        <v>4</v>
      </c>
      <c r="G127" s="49">
        <v>4</v>
      </c>
      <c r="H127" s="49">
        <v>4</v>
      </c>
      <c r="I127" s="49"/>
      <c r="J127" s="49"/>
      <c r="K127" s="59">
        <f t="shared" si="8"/>
        <v>4</v>
      </c>
      <c r="L127" s="49"/>
      <c r="M127" s="49">
        <v>3.5</v>
      </c>
      <c r="N127" s="49">
        <v>3.5</v>
      </c>
      <c r="O127" s="49"/>
      <c r="P127" s="49"/>
      <c r="Q127" s="59">
        <f t="shared" si="9"/>
        <v>3.5</v>
      </c>
      <c r="R127" s="49"/>
      <c r="S127" s="49">
        <v>3.5</v>
      </c>
      <c r="T127" s="49"/>
      <c r="U127" s="49"/>
      <c r="V127" s="49"/>
      <c r="W127" s="59">
        <f t="shared" si="10"/>
        <v>3.5</v>
      </c>
      <c r="X127" s="49"/>
      <c r="Y127" s="49"/>
      <c r="Z127" s="49"/>
      <c r="AA127" s="49"/>
      <c r="AB127" s="49"/>
      <c r="AC127" s="59" t="str">
        <f t="shared" si="11"/>
        <v>0</v>
      </c>
      <c r="AD127" s="49"/>
      <c r="AE127" s="49"/>
      <c r="AF127" s="49"/>
      <c r="AG127" s="49"/>
      <c r="AH127" s="49"/>
      <c r="AI127" s="59" t="str">
        <f t="shared" si="12"/>
        <v>0</v>
      </c>
      <c r="AJ127" s="49">
        <v>4</v>
      </c>
      <c r="AK127" s="49">
        <v>4</v>
      </c>
      <c r="AL127" s="49">
        <v>4</v>
      </c>
      <c r="AM127" s="49">
        <v>4</v>
      </c>
      <c r="AN127" s="49"/>
      <c r="AO127" s="59">
        <f t="shared" si="13"/>
        <v>4</v>
      </c>
      <c r="AP127" s="49"/>
      <c r="AQ127" s="49"/>
      <c r="AR127" s="49"/>
      <c r="AS127" s="49"/>
      <c r="AT127" s="49"/>
      <c r="AU127" s="59" t="str">
        <f t="shared" si="14"/>
        <v>0</v>
      </c>
      <c r="AV127" s="49"/>
      <c r="AW127" s="49"/>
      <c r="AX127" s="49"/>
      <c r="AY127" s="49">
        <v>3</v>
      </c>
      <c r="AZ127" s="49"/>
      <c r="BA127" s="59">
        <f t="shared" si="15"/>
        <v>3</v>
      </c>
    </row>
    <row r="128" spans="1:53" ht="23.1" customHeight="1" x14ac:dyDescent="0.3">
      <c r="A128" s="7">
        <v>126</v>
      </c>
      <c r="B128" s="7" t="s">
        <v>237</v>
      </c>
      <c r="C128" s="7" t="s">
        <v>238</v>
      </c>
      <c r="D128" s="7" t="s">
        <v>542</v>
      </c>
      <c r="E128" s="7" t="s">
        <v>161</v>
      </c>
      <c r="F128" s="49" t="s">
        <v>581</v>
      </c>
      <c r="G128" s="49" t="s">
        <v>581</v>
      </c>
      <c r="H128" s="49" t="s">
        <v>581</v>
      </c>
      <c r="I128" s="49"/>
      <c r="J128" s="7"/>
      <c r="K128" s="59" t="str">
        <f t="shared" si="8"/>
        <v>0</v>
      </c>
      <c r="L128" s="49"/>
      <c r="M128" s="49" t="s">
        <v>581</v>
      </c>
      <c r="N128" s="49" t="s">
        <v>581</v>
      </c>
      <c r="O128" s="49"/>
      <c r="P128" s="49"/>
      <c r="Q128" s="59" t="str">
        <f t="shared" si="9"/>
        <v>0</v>
      </c>
      <c r="R128" s="49"/>
      <c r="S128" s="49">
        <v>2</v>
      </c>
      <c r="T128" s="7"/>
      <c r="U128" s="49"/>
      <c r="V128" s="7"/>
      <c r="W128" s="59">
        <f t="shared" si="10"/>
        <v>2</v>
      </c>
      <c r="X128" s="49"/>
      <c r="Y128" s="49"/>
      <c r="Z128" s="7"/>
      <c r="AA128" s="7"/>
      <c r="AB128" s="7"/>
      <c r="AC128" s="59" t="str">
        <f t="shared" si="11"/>
        <v>0</v>
      </c>
      <c r="AD128" s="49"/>
      <c r="AE128" s="7"/>
      <c r="AF128" s="49"/>
      <c r="AG128" s="7"/>
      <c r="AH128" s="7"/>
      <c r="AI128" s="59" t="str">
        <f t="shared" si="12"/>
        <v>0</v>
      </c>
      <c r="AJ128" s="49" t="s">
        <v>581</v>
      </c>
      <c r="AK128" s="49" t="s">
        <v>581</v>
      </c>
      <c r="AL128" s="49" t="s">
        <v>581</v>
      </c>
      <c r="AM128" s="49" t="s">
        <v>581</v>
      </c>
      <c r="AN128" s="7"/>
      <c r="AO128" s="59" t="str">
        <f t="shared" si="13"/>
        <v>0</v>
      </c>
      <c r="AP128" s="49"/>
      <c r="AQ128" s="49"/>
      <c r="AR128" s="49"/>
      <c r="AS128" s="7"/>
      <c r="AT128" s="7"/>
      <c r="AU128" s="59" t="str">
        <f t="shared" si="14"/>
        <v>0</v>
      </c>
      <c r="AV128" s="7"/>
      <c r="AW128" s="7"/>
      <c r="AX128" s="49"/>
      <c r="AY128" s="49" t="s">
        <v>581</v>
      </c>
      <c r="AZ128" s="49"/>
      <c r="BA128" s="59" t="str">
        <f t="shared" si="15"/>
        <v>0</v>
      </c>
    </row>
    <row r="129" spans="1:53" ht="23.1" customHeight="1" x14ac:dyDescent="0.3">
      <c r="A129" s="49">
        <v>127</v>
      </c>
      <c r="B129" s="49" t="s">
        <v>366</v>
      </c>
      <c r="C129" s="49" t="s">
        <v>367</v>
      </c>
      <c r="D129" s="49" t="s">
        <v>542</v>
      </c>
      <c r="E129" s="49" t="s">
        <v>493</v>
      </c>
      <c r="F129" s="49">
        <v>3</v>
      </c>
      <c r="G129" s="49">
        <v>4</v>
      </c>
      <c r="H129" s="49">
        <v>3</v>
      </c>
      <c r="I129" s="49"/>
      <c r="J129" s="49"/>
      <c r="K129" s="59">
        <f t="shared" si="8"/>
        <v>3.3333333333333335</v>
      </c>
      <c r="L129" s="49"/>
      <c r="M129" s="49">
        <v>2</v>
      </c>
      <c r="N129" s="49">
        <v>2</v>
      </c>
      <c r="O129" s="49"/>
      <c r="P129" s="49"/>
      <c r="Q129" s="59">
        <f t="shared" si="9"/>
        <v>2</v>
      </c>
      <c r="R129" s="49"/>
      <c r="S129" s="49">
        <v>2.5</v>
      </c>
      <c r="T129" s="49"/>
      <c r="U129" s="49"/>
      <c r="V129" s="49"/>
      <c r="W129" s="59">
        <f t="shared" si="10"/>
        <v>2.5</v>
      </c>
      <c r="X129" s="49"/>
      <c r="Y129" s="49"/>
      <c r="Z129" s="49"/>
      <c r="AA129" s="49"/>
      <c r="AB129" s="49"/>
      <c r="AC129" s="59" t="str">
        <f t="shared" si="11"/>
        <v>0</v>
      </c>
      <c r="AD129" s="49"/>
      <c r="AE129" s="49"/>
      <c r="AF129" s="49"/>
      <c r="AG129" s="49"/>
      <c r="AH129" s="49"/>
      <c r="AI129" s="59" t="str">
        <f t="shared" si="12"/>
        <v>0</v>
      </c>
      <c r="AJ129" s="49">
        <v>4</v>
      </c>
      <c r="AK129" s="49">
        <v>4</v>
      </c>
      <c r="AL129" s="49">
        <v>3</v>
      </c>
      <c r="AM129" s="49">
        <v>3</v>
      </c>
      <c r="AN129" s="49"/>
      <c r="AO129" s="59">
        <f t="shared" si="13"/>
        <v>3.5</v>
      </c>
      <c r="AP129" s="49"/>
      <c r="AQ129" s="49"/>
      <c r="AR129" s="49"/>
      <c r="AS129" s="49"/>
      <c r="AT129" s="49"/>
      <c r="AU129" s="59" t="str">
        <f t="shared" si="14"/>
        <v>0</v>
      </c>
      <c r="AV129" s="49"/>
      <c r="AW129" s="49"/>
      <c r="AX129" s="49"/>
      <c r="AY129" s="49">
        <v>2.5</v>
      </c>
      <c r="AZ129" s="49"/>
      <c r="BA129" s="59">
        <f t="shared" si="15"/>
        <v>2.5</v>
      </c>
    </row>
    <row r="130" spans="1:53" ht="23.1" customHeight="1" x14ac:dyDescent="0.3">
      <c r="A130" s="7">
        <v>128</v>
      </c>
      <c r="B130" s="7" t="s">
        <v>368</v>
      </c>
      <c r="C130" s="7" t="s">
        <v>369</v>
      </c>
      <c r="D130" s="7" t="s">
        <v>450</v>
      </c>
      <c r="E130" s="7" t="s">
        <v>493</v>
      </c>
      <c r="F130" s="49">
        <v>2</v>
      </c>
      <c r="G130" s="49">
        <v>2</v>
      </c>
      <c r="H130" s="49">
        <v>2</v>
      </c>
      <c r="I130" s="49"/>
      <c r="J130" s="7"/>
      <c r="K130" s="59">
        <f t="shared" si="8"/>
        <v>2</v>
      </c>
      <c r="L130" s="49"/>
      <c r="M130" s="49">
        <v>3</v>
      </c>
      <c r="N130" s="49">
        <v>2</v>
      </c>
      <c r="O130" s="49"/>
      <c r="P130" s="49"/>
      <c r="Q130" s="59">
        <f t="shared" si="9"/>
        <v>2.5</v>
      </c>
      <c r="R130" s="49"/>
      <c r="S130" s="49">
        <v>3</v>
      </c>
      <c r="T130" s="7"/>
      <c r="U130" s="49"/>
      <c r="V130" s="7"/>
      <c r="W130" s="59">
        <f t="shared" si="10"/>
        <v>3</v>
      </c>
      <c r="X130" s="49"/>
      <c r="Y130" s="49"/>
      <c r="Z130" s="7"/>
      <c r="AA130" s="7"/>
      <c r="AB130" s="7"/>
      <c r="AC130" s="59" t="str">
        <f t="shared" si="11"/>
        <v>0</v>
      </c>
      <c r="AD130" s="49"/>
      <c r="AE130" s="7"/>
      <c r="AF130" s="49"/>
      <c r="AG130" s="7"/>
      <c r="AH130" s="7"/>
      <c r="AI130" s="59" t="str">
        <f t="shared" si="12"/>
        <v>0</v>
      </c>
      <c r="AJ130" s="49">
        <v>3</v>
      </c>
      <c r="AK130" s="49">
        <v>3</v>
      </c>
      <c r="AL130" s="49">
        <v>2</v>
      </c>
      <c r="AM130" s="49">
        <v>2</v>
      </c>
      <c r="AN130" s="7"/>
      <c r="AO130" s="59">
        <f t="shared" si="13"/>
        <v>2.5</v>
      </c>
      <c r="AP130" s="49"/>
      <c r="AQ130" s="49"/>
      <c r="AR130" s="49"/>
      <c r="AS130" s="7"/>
      <c r="AT130" s="7"/>
      <c r="AU130" s="59" t="str">
        <f t="shared" si="14"/>
        <v>0</v>
      </c>
      <c r="AV130" s="7"/>
      <c r="AW130" s="7"/>
      <c r="AX130" s="49"/>
      <c r="AY130" s="49">
        <v>2</v>
      </c>
      <c r="AZ130" s="49"/>
      <c r="BA130" s="59">
        <f t="shared" si="15"/>
        <v>2</v>
      </c>
    </row>
    <row r="131" spans="1:53" ht="23.1" customHeight="1" x14ac:dyDescent="0.3">
      <c r="A131" s="49">
        <v>129</v>
      </c>
      <c r="B131" s="49" t="s">
        <v>251</v>
      </c>
      <c r="C131" s="49" t="s">
        <v>252</v>
      </c>
      <c r="D131" s="49" t="s">
        <v>542</v>
      </c>
      <c r="E131" s="49" t="s">
        <v>161</v>
      </c>
      <c r="F131" s="49">
        <v>4</v>
      </c>
      <c r="G131" s="49">
        <v>4</v>
      </c>
      <c r="H131" s="49">
        <v>4</v>
      </c>
      <c r="I131" s="49"/>
      <c r="J131" s="49"/>
      <c r="K131" s="59">
        <f t="shared" si="8"/>
        <v>4</v>
      </c>
      <c r="L131" s="49"/>
      <c r="M131" s="49">
        <v>4</v>
      </c>
      <c r="N131" s="49">
        <v>4</v>
      </c>
      <c r="O131" s="49"/>
      <c r="P131" s="49"/>
      <c r="Q131" s="59">
        <f t="shared" si="9"/>
        <v>4</v>
      </c>
      <c r="R131" s="49"/>
      <c r="S131" s="49">
        <v>3</v>
      </c>
      <c r="T131" s="49"/>
      <c r="U131" s="49"/>
      <c r="V131" s="49"/>
      <c r="W131" s="59">
        <f t="shared" si="10"/>
        <v>3</v>
      </c>
      <c r="X131" s="49"/>
      <c r="Y131" s="49"/>
      <c r="Z131" s="49"/>
      <c r="AA131" s="49"/>
      <c r="AB131" s="49"/>
      <c r="AC131" s="59" t="str">
        <f t="shared" si="11"/>
        <v>0</v>
      </c>
      <c r="AD131" s="49"/>
      <c r="AE131" s="49"/>
      <c r="AF131" s="49"/>
      <c r="AG131" s="49"/>
      <c r="AH131" s="49"/>
      <c r="AI131" s="59" t="str">
        <f t="shared" si="12"/>
        <v>0</v>
      </c>
      <c r="AJ131" s="49">
        <v>5</v>
      </c>
      <c r="AK131" s="49">
        <v>5</v>
      </c>
      <c r="AL131" s="49">
        <v>4</v>
      </c>
      <c r="AM131" s="49">
        <v>4</v>
      </c>
      <c r="AN131" s="49"/>
      <c r="AO131" s="59">
        <f t="shared" si="13"/>
        <v>4.5</v>
      </c>
      <c r="AP131" s="49"/>
      <c r="AQ131" s="49"/>
      <c r="AR131" s="49"/>
      <c r="AS131" s="49"/>
      <c r="AT131" s="49"/>
      <c r="AU131" s="59" t="str">
        <f t="shared" si="14"/>
        <v>0</v>
      </c>
      <c r="AV131" s="49"/>
      <c r="AW131" s="49"/>
      <c r="AX131" s="49"/>
      <c r="AY131" s="49">
        <v>4</v>
      </c>
      <c r="AZ131" s="49"/>
      <c r="BA131" s="59">
        <f t="shared" si="15"/>
        <v>4</v>
      </c>
    </row>
    <row r="132" spans="1:53" ht="23.1" customHeight="1" x14ac:dyDescent="0.3">
      <c r="A132" s="7">
        <v>130</v>
      </c>
      <c r="B132" s="7" t="s">
        <v>56</v>
      </c>
      <c r="C132" s="7" t="s">
        <v>57</v>
      </c>
      <c r="D132" s="7" t="s">
        <v>450</v>
      </c>
      <c r="E132" s="7" t="s">
        <v>35</v>
      </c>
      <c r="F132" s="49">
        <v>3</v>
      </c>
      <c r="G132" s="49">
        <v>4</v>
      </c>
      <c r="H132" s="49">
        <v>3</v>
      </c>
      <c r="I132" s="49"/>
      <c r="J132" s="7"/>
      <c r="K132" s="59">
        <f t="shared" ref="K132:K195" si="16">IFERROR(AVERAGE(F132,G132,H132,I132,J132),"0")</f>
        <v>3.3333333333333335</v>
      </c>
      <c r="L132" s="49"/>
      <c r="M132" s="49">
        <v>3.5</v>
      </c>
      <c r="N132" s="49">
        <v>3.5</v>
      </c>
      <c r="O132" s="49"/>
      <c r="P132" s="49"/>
      <c r="Q132" s="59">
        <f t="shared" ref="Q132:Q195" si="17">IFERROR(AVERAGE(L132,M132,N132,O132,P132),"0")</f>
        <v>3.5</v>
      </c>
      <c r="R132" s="49"/>
      <c r="S132" s="49">
        <v>3.5</v>
      </c>
      <c r="T132" s="7"/>
      <c r="U132" s="49"/>
      <c r="V132" s="7"/>
      <c r="W132" s="59">
        <f t="shared" ref="W132:W195" si="18">IFERROR(AVERAGE(R132,S132,T132,U132,V132),"0")</f>
        <v>3.5</v>
      </c>
      <c r="X132" s="49"/>
      <c r="Y132" s="49"/>
      <c r="Z132" s="7"/>
      <c r="AA132" s="7"/>
      <c r="AB132" s="7"/>
      <c r="AC132" s="59" t="str">
        <f t="shared" ref="AC132:AC195" si="19">IFERROR(AVERAGE(X132,Y132,Z132,AA132,AB132),"0")</f>
        <v>0</v>
      </c>
      <c r="AD132" s="49"/>
      <c r="AE132" s="7"/>
      <c r="AF132" s="49"/>
      <c r="AG132" s="7"/>
      <c r="AH132" s="7"/>
      <c r="AI132" s="59" t="str">
        <f t="shared" ref="AI132:AI195" si="20">IFERROR(AVERAGE(AD132,AE132,AF132,AG132,AH132),"0")</f>
        <v>0</v>
      </c>
      <c r="AJ132" s="49">
        <v>4</v>
      </c>
      <c r="AK132" s="49">
        <v>4</v>
      </c>
      <c r="AL132" s="49">
        <v>3</v>
      </c>
      <c r="AM132" s="49">
        <v>3</v>
      </c>
      <c r="AN132" s="7"/>
      <c r="AO132" s="59">
        <f t="shared" ref="AO132:AO195" si="21">IFERROR(AVERAGE(AJ132,AK132,AL132,AM132,AN132),"0")</f>
        <v>3.5</v>
      </c>
      <c r="AP132" s="49"/>
      <c r="AQ132" s="49"/>
      <c r="AR132" s="49"/>
      <c r="AS132" s="7"/>
      <c r="AT132" s="7"/>
      <c r="AU132" s="59" t="str">
        <f t="shared" ref="AU132:AU195" si="22">IFERROR(AVERAGE(AP132,AQ132,AR132,AS132,AT132),"0")</f>
        <v>0</v>
      </c>
      <c r="AV132" s="7"/>
      <c r="AW132" s="7"/>
      <c r="AX132" s="49"/>
      <c r="AY132" s="49">
        <v>3.5</v>
      </c>
      <c r="AZ132" s="49"/>
      <c r="BA132" s="59">
        <f t="shared" ref="BA132:BA195" si="23">IFERROR(AVERAGE(AV132,AW132,AX132,AY132,AZ132),"0")</f>
        <v>3.5</v>
      </c>
    </row>
    <row r="133" spans="1:53" ht="23.1" customHeight="1" x14ac:dyDescent="0.3">
      <c r="A133" s="49">
        <v>131</v>
      </c>
      <c r="B133" s="49" t="s">
        <v>265</v>
      </c>
      <c r="C133" s="49" t="s">
        <v>266</v>
      </c>
      <c r="D133" s="49" t="s">
        <v>542</v>
      </c>
      <c r="E133" s="49" t="s">
        <v>161</v>
      </c>
      <c r="F133" s="49">
        <v>3</v>
      </c>
      <c r="G133" s="49">
        <v>3</v>
      </c>
      <c r="H133" s="49">
        <v>3</v>
      </c>
      <c r="I133" s="49"/>
      <c r="J133" s="49"/>
      <c r="K133" s="59">
        <f t="shared" si="16"/>
        <v>3</v>
      </c>
      <c r="L133" s="49"/>
      <c r="M133" s="49">
        <v>4</v>
      </c>
      <c r="N133" s="49">
        <v>4</v>
      </c>
      <c r="O133" s="49"/>
      <c r="P133" s="49"/>
      <c r="Q133" s="59">
        <f t="shared" si="17"/>
        <v>4</v>
      </c>
      <c r="R133" s="49"/>
      <c r="S133" s="49">
        <v>4</v>
      </c>
      <c r="T133" s="49"/>
      <c r="U133" s="49"/>
      <c r="V133" s="49"/>
      <c r="W133" s="59">
        <f t="shared" si="18"/>
        <v>4</v>
      </c>
      <c r="X133" s="49"/>
      <c r="Y133" s="49"/>
      <c r="Z133" s="49"/>
      <c r="AA133" s="49"/>
      <c r="AB133" s="49"/>
      <c r="AC133" s="59" t="str">
        <f t="shared" si="19"/>
        <v>0</v>
      </c>
      <c r="AD133" s="49"/>
      <c r="AE133" s="49"/>
      <c r="AF133" s="49"/>
      <c r="AG133" s="49"/>
      <c r="AH133" s="49"/>
      <c r="AI133" s="59" t="str">
        <f t="shared" si="20"/>
        <v>0</v>
      </c>
      <c r="AJ133" s="49">
        <v>3</v>
      </c>
      <c r="AK133" s="49">
        <v>3</v>
      </c>
      <c r="AL133" s="49">
        <v>4</v>
      </c>
      <c r="AM133" s="49">
        <v>4</v>
      </c>
      <c r="AN133" s="49"/>
      <c r="AO133" s="59">
        <f t="shared" si="21"/>
        <v>3.5</v>
      </c>
      <c r="AP133" s="49"/>
      <c r="AQ133" s="49"/>
      <c r="AR133" s="49"/>
      <c r="AS133" s="49"/>
      <c r="AT133" s="49"/>
      <c r="AU133" s="59" t="str">
        <f t="shared" si="22"/>
        <v>0</v>
      </c>
      <c r="AV133" s="49"/>
      <c r="AW133" s="49"/>
      <c r="AX133" s="49"/>
      <c r="AY133" s="49">
        <v>5</v>
      </c>
      <c r="AZ133" s="49"/>
      <c r="BA133" s="59">
        <f t="shared" si="23"/>
        <v>5</v>
      </c>
    </row>
    <row r="134" spans="1:53" ht="23.1" customHeight="1" x14ac:dyDescent="0.3">
      <c r="A134" s="7">
        <v>132</v>
      </c>
      <c r="B134" s="7" t="s">
        <v>79</v>
      </c>
      <c r="C134" s="7" t="s">
        <v>80</v>
      </c>
      <c r="D134" s="7" t="s">
        <v>542</v>
      </c>
      <c r="E134" s="7" t="s">
        <v>35</v>
      </c>
      <c r="F134" s="49">
        <v>2</v>
      </c>
      <c r="G134" s="49">
        <v>1</v>
      </c>
      <c r="H134" s="49">
        <v>2</v>
      </c>
      <c r="I134" s="49"/>
      <c r="J134" s="7"/>
      <c r="K134" s="59">
        <f t="shared" si="16"/>
        <v>1.6666666666666667</v>
      </c>
      <c r="L134" s="49"/>
      <c r="M134" s="49">
        <v>3</v>
      </c>
      <c r="N134" s="49">
        <v>3</v>
      </c>
      <c r="O134" s="49"/>
      <c r="P134" s="49"/>
      <c r="Q134" s="59">
        <f t="shared" si="17"/>
        <v>3</v>
      </c>
      <c r="R134" s="49"/>
      <c r="S134" s="49">
        <v>0</v>
      </c>
      <c r="T134" s="7"/>
      <c r="U134" s="49"/>
      <c r="V134" s="7"/>
      <c r="W134" s="59">
        <f t="shared" si="18"/>
        <v>0</v>
      </c>
      <c r="X134" s="49"/>
      <c r="Y134" s="49"/>
      <c r="Z134" s="7"/>
      <c r="AA134" s="7"/>
      <c r="AB134" s="7"/>
      <c r="AC134" s="59" t="str">
        <f t="shared" si="19"/>
        <v>0</v>
      </c>
      <c r="AD134" s="49"/>
      <c r="AE134" s="7"/>
      <c r="AF134" s="49"/>
      <c r="AG134" s="7"/>
      <c r="AH134" s="7"/>
      <c r="AI134" s="59" t="str">
        <f t="shared" si="20"/>
        <v>0</v>
      </c>
      <c r="AJ134" s="49">
        <v>2</v>
      </c>
      <c r="AK134" s="49">
        <v>2</v>
      </c>
      <c r="AL134" s="49">
        <v>1</v>
      </c>
      <c r="AM134" s="49">
        <v>2</v>
      </c>
      <c r="AN134" s="7"/>
      <c r="AO134" s="59">
        <f t="shared" si="21"/>
        <v>1.75</v>
      </c>
      <c r="AP134" s="49"/>
      <c r="AQ134" s="49"/>
      <c r="AR134" s="49"/>
      <c r="AS134" s="7"/>
      <c r="AT134" s="7"/>
      <c r="AU134" s="59" t="str">
        <f t="shared" si="22"/>
        <v>0</v>
      </c>
      <c r="AV134" s="7"/>
      <c r="AW134" s="7"/>
      <c r="AX134" s="49"/>
      <c r="AY134" s="49">
        <v>2</v>
      </c>
      <c r="AZ134" s="49"/>
      <c r="BA134" s="59">
        <f t="shared" si="23"/>
        <v>2</v>
      </c>
    </row>
    <row r="135" spans="1:53" ht="23.1" customHeight="1" x14ac:dyDescent="0.3">
      <c r="A135" s="49">
        <v>133</v>
      </c>
      <c r="B135" s="49" t="s">
        <v>85</v>
      </c>
      <c r="C135" s="49" t="s">
        <v>86</v>
      </c>
      <c r="D135" s="49" t="s">
        <v>450</v>
      </c>
      <c r="E135" s="49" t="s">
        <v>35</v>
      </c>
      <c r="F135" s="49">
        <v>3</v>
      </c>
      <c r="G135" s="49">
        <v>3</v>
      </c>
      <c r="H135" s="49">
        <v>3</v>
      </c>
      <c r="I135" s="49"/>
      <c r="J135" s="49"/>
      <c r="K135" s="59">
        <f t="shared" si="16"/>
        <v>3</v>
      </c>
      <c r="L135" s="49"/>
      <c r="M135" s="49">
        <v>2.5</v>
      </c>
      <c r="N135" s="49">
        <v>2</v>
      </c>
      <c r="O135" s="49"/>
      <c r="P135" s="49"/>
      <c r="Q135" s="59">
        <f t="shared" si="17"/>
        <v>2.25</v>
      </c>
      <c r="R135" s="49"/>
      <c r="S135" s="49">
        <v>2.5</v>
      </c>
      <c r="T135" s="49"/>
      <c r="U135" s="49"/>
      <c r="V135" s="49"/>
      <c r="W135" s="59">
        <f t="shared" si="18"/>
        <v>2.5</v>
      </c>
      <c r="X135" s="49"/>
      <c r="Y135" s="49"/>
      <c r="Z135" s="49"/>
      <c r="AA135" s="49"/>
      <c r="AB135" s="49"/>
      <c r="AC135" s="59" t="str">
        <f t="shared" si="19"/>
        <v>0</v>
      </c>
      <c r="AD135" s="49"/>
      <c r="AE135" s="49"/>
      <c r="AF135" s="49"/>
      <c r="AG135" s="49"/>
      <c r="AH135" s="49"/>
      <c r="AI135" s="59" t="str">
        <f t="shared" si="20"/>
        <v>0</v>
      </c>
      <c r="AJ135" s="49">
        <v>3</v>
      </c>
      <c r="AK135" s="49">
        <v>3</v>
      </c>
      <c r="AL135" s="49">
        <v>4</v>
      </c>
      <c r="AM135" s="49">
        <v>3</v>
      </c>
      <c r="AN135" s="49"/>
      <c r="AO135" s="59">
        <f t="shared" si="21"/>
        <v>3.25</v>
      </c>
      <c r="AP135" s="49"/>
      <c r="AQ135" s="49"/>
      <c r="AR135" s="49"/>
      <c r="AS135" s="49"/>
      <c r="AT135" s="49"/>
      <c r="AU135" s="59" t="str">
        <f t="shared" si="22"/>
        <v>0</v>
      </c>
      <c r="AV135" s="49"/>
      <c r="AW135" s="49"/>
      <c r="AX135" s="49"/>
      <c r="AY135" s="49">
        <v>2.5</v>
      </c>
      <c r="AZ135" s="49"/>
      <c r="BA135" s="59">
        <f t="shared" si="23"/>
        <v>2.5</v>
      </c>
    </row>
    <row r="136" spans="1:53" ht="23.1" customHeight="1" x14ac:dyDescent="0.3">
      <c r="A136" s="7">
        <v>134</v>
      </c>
      <c r="B136" s="7" t="s">
        <v>253</v>
      </c>
      <c r="C136" s="7" t="s">
        <v>254</v>
      </c>
      <c r="D136" s="7" t="s">
        <v>450</v>
      </c>
      <c r="E136" s="7" t="s">
        <v>161</v>
      </c>
      <c r="F136" s="49">
        <v>4</v>
      </c>
      <c r="G136" s="49">
        <v>4</v>
      </c>
      <c r="H136" s="49">
        <v>4</v>
      </c>
      <c r="I136" s="49"/>
      <c r="J136" s="7"/>
      <c r="K136" s="59">
        <f t="shared" si="16"/>
        <v>4</v>
      </c>
      <c r="L136" s="49"/>
      <c r="M136" s="49">
        <v>4</v>
      </c>
      <c r="N136" s="49">
        <v>4</v>
      </c>
      <c r="O136" s="49"/>
      <c r="P136" s="49"/>
      <c r="Q136" s="59">
        <f t="shared" si="17"/>
        <v>4</v>
      </c>
      <c r="R136" s="49"/>
      <c r="S136" s="49">
        <v>3</v>
      </c>
      <c r="T136" s="7"/>
      <c r="U136" s="49"/>
      <c r="V136" s="7"/>
      <c r="W136" s="59">
        <f t="shared" si="18"/>
        <v>3</v>
      </c>
      <c r="X136" s="49"/>
      <c r="Y136" s="49"/>
      <c r="Z136" s="7"/>
      <c r="AA136" s="7"/>
      <c r="AB136" s="7"/>
      <c r="AC136" s="59" t="str">
        <f t="shared" si="19"/>
        <v>0</v>
      </c>
      <c r="AD136" s="49"/>
      <c r="AE136" s="7"/>
      <c r="AF136" s="49"/>
      <c r="AG136" s="7"/>
      <c r="AH136" s="7"/>
      <c r="AI136" s="59" t="str">
        <f t="shared" si="20"/>
        <v>0</v>
      </c>
      <c r="AJ136" s="49">
        <v>4</v>
      </c>
      <c r="AK136" s="49">
        <v>4</v>
      </c>
      <c r="AL136" s="49">
        <v>3</v>
      </c>
      <c r="AM136" s="49">
        <v>4</v>
      </c>
      <c r="AN136" s="7"/>
      <c r="AO136" s="59">
        <f t="shared" si="21"/>
        <v>3.75</v>
      </c>
      <c r="AP136" s="49"/>
      <c r="AQ136" s="49"/>
      <c r="AR136" s="49"/>
      <c r="AS136" s="7"/>
      <c r="AT136" s="7"/>
      <c r="AU136" s="59" t="str">
        <f t="shared" si="22"/>
        <v>0</v>
      </c>
      <c r="AV136" s="7"/>
      <c r="AW136" s="7"/>
      <c r="AX136" s="49"/>
      <c r="AY136" s="49">
        <v>5</v>
      </c>
      <c r="AZ136" s="49"/>
      <c r="BA136" s="59">
        <f t="shared" si="23"/>
        <v>5</v>
      </c>
    </row>
    <row r="137" spans="1:53" ht="23.1" customHeight="1" x14ac:dyDescent="0.3">
      <c r="A137" s="49">
        <v>135</v>
      </c>
      <c r="B137" s="49" t="s">
        <v>370</v>
      </c>
      <c r="C137" s="49" t="s">
        <v>371</v>
      </c>
      <c r="D137" s="49" t="s">
        <v>450</v>
      </c>
      <c r="E137" s="49" t="s">
        <v>493</v>
      </c>
      <c r="F137" s="49">
        <v>3</v>
      </c>
      <c r="G137" s="49">
        <v>3</v>
      </c>
      <c r="H137" s="49">
        <v>3</v>
      </c>
      <c r="I137" s="49"/>
      <c r="J137" s="49"/>
      <c r="K137" s="59">
        <f t="shared" si="16"/>
        <v>3</v>
      </c>
      <c r="L137" s="49"/>
      <c r="M137" s="49">
        <v>3</v>
      </c>
      <c r="N137" s="49">
        <v>3</v>
      </c>
      <c r="O137" s="49"/>
      <c r="P137" s="49"/>
      <c r="Q137" s="59">
        <f t="shared" si="17"/>
        <v>3</v>
      </c>
      <c r="R137" s="49"/>
      <c r="S137" s="49">
        <v>2</v>
      </c>
      <c r="T137" s="49"/>
      <c r="U137" s="49"/>
      <c r="V137" s="49"/>
      <c r="W137" s="59">
        <f t="shared" si="18"/>
        <v>2</v>
      </c>
      <c r="X137" s="49"/>
      <c r="Y137" s="49"/>
      <c r="Z137" s="49"/>
      <c r="AA137" s="49"/>
      <c r="AB137" s="49"/>
      <c r="AC137" s="59" t="str">
        <f t="shared" si="19"/>
        <v>0</v>
      </c>
      <c r="AD137" s="49"/>
      <c r="AE137" s="49"/>
      <c r="AF137" s="49"/>
      <c r="AG137" s="49"/>
      <c r="AH137" s="49"/>
      <c r="AI137" s="59" t="str">
        <f t="shared" si="20"/>
        <v>0</v>
      </c>
      <c r="AJ137" s="49">
        <v>3</v>
      </c>
      <c r="AK137" s="49">
        <v>3</v>
      </c>
      <c r="AL137" s="49">
        <v>3</v>
      </c>
      <c r="AM137" s="49">
        <v>3</v>
      </c>
      <c r="AN137" s="49"/>
      <c r="AO137" s="59">
        <f t="shared" si="21"/>
        <v>3</v>
      </c>
      <c r="AP137" s="49"/>
      <c r="AQ137" s="49"/>
      <c r="AR137" s="49"/>
      <c r="AS137" s="49"/>
      <c r="AT137" s="49"/>
      <c r="AU137" s="59" t="str">
        <f t="shared" si="22"/>
        <v>0</v>
      </c>
      <c r="AV137" s="49"/>
      <c r="AW137" s="49"/>
      <c r="AX137" s="49"/>
      <c r="AY137" s="49">
        <v>3</v>
      </c>
      <c r="AZ137" s="49"/>
      <c r="BA137" s="59">
        <f t="shared" si="23"/>
        <v>3</v>
      </c>
    </row>
    <row r="138" spans="1:53" ht="23.1" customHeight="1" x14ac:dyDescent="0.3">
      <c r="A138" s="7">
        <v>136</v>
      </c>
      <c r="B138" s="7" t="s">
        <v>372</v>
      </c>
      <c r="C138" s="7" t="s">
        <v>373</v>
      </c>
      <c r="D138" s="7" t="s">
        <v>542</v>
      </c>
      <c r="E138" s="7" t="s">
        <v>493</v>
      </c>
      <c r="F138" s="49">
        <v>2</v>
      </c>
      <c r="G138" s="49">
        <v>1</v>
      </c>
      <c r="H138" s="49">
        <v>2</v>
      </c>
      <c r="I138" s="49"/>
      <c r="J138" s="7"/>
      <c r="K138" s="59">
        <f t="shared" si="16"/>
        <v>1.6666666666666667</v>
      </c>
      <c r="L138" s="49"/>
      <c r="M138" s="49">
        <v>3</v>
      </c>
      <c r="N138" s="49">
        <v>2</v>
      </c>
      <c r="O138" s="49"/>
      <c r="P138" s="49"/>
      <c r="Q138" s="59">
        <f t="shared" si="17"/>
        <v>2.5</v>
      </c>
      <c r="R138" s="49"/>
      <c r="S138" s="49">
        <v>2</v>
      </c>
      <c r="T138" s="7"/>
      <c r="U138" s="49"/>
      <c r="V138" s="7"/>
      <c r="W138" s="59">
        <f t="shared" si="18"/>
        <v>2</v>
      </c>
      <c r="X138" s="49"/>
      <c r="Y138" s="49"/>
      <c r="Z138" s="7"/>
      <c r="AA138" s="7"/>
      <c r="AB138" s="7"/>
      <c r="AC138" s="59" t="str">
        <f t="shared" si="19"/>
        <v>0</v>
      </c>
      <c r="AD138" s="49"/>
      <c r="AE138" s="7"/>
      <c r="AF138" s="49"/>
      <c r="AG138" s="7"/>
      <c r="AH138" s="7"/>
      <c r="AI138" s="59" t="str">
        <f t="shared" si="20"/>
        <v>0</v>
      </c>
      <c r="AJ138" s="49">
        <v>2</v>
      </c>
      <c r="AK138" s="49">
        <v>1</v>
      </c>
      <c r="AL138" s="49">
        <v>2</v>
      </c>
      <c r="AM138" s="49">
        <v>2</v>
      </c>
      <c r="AN138" s="7"/>
      <c r="AO138" s="59">
        <f t="shared" si="21"/>
        <v>1.75</v>
      </c>
      <c r="AP138" s="49"/>
      <c r="AQ138" s="49"/>
      <c r="AR138" s="49"/>
      <c r="AS138" s="7"/>
      <c r="AT138" s="7"/>
      <c r="AU138" s="59" t="str">
        <f t="shared" si="22"/>
        <v>0</v>
      </c>
      <c r="AV138" s="7"/>
      <c r="AW138" s="7"/>
      <c r="AX138" s="49"/>
      <c r="AY138" s="49">
        <v>2</v>
      </c>
      <c r="AZ138" s="49"/>
      <c r="BA138" s="59">
        <f t="shared" si="23"/>
        <v>2</v>
      </c>
    </row>
    <row r="139" spans="1:53" ht="23.1" customHeight="1" x14ac:dyDescent="0.3">
      <c r="A139" s="49">
        <v>137</v>
      </c>
      <c r="B139" s="49" t="s">
        <v>267</v>
      </c>
      <c r="C139" s="49" t="s">
        <v>268</v>
      </c>
      <c r="D139" s="49" t="s">
        <v>542</v>
      </c>
      <c r="E139" s="49" t="s">
        <v>161</v>
      </c>
      <c r="F139" s="49">
        <v>4</v>
      </c>
      <c r="G139" s="49">
        <v>4</v>
      </c>
      <c r="H139" s="49">
        <v>4</v>
      </c>
      <c r="I139" s="49"/>
      <c r="J139" s="49"/>
      <c r="K139" s="59">
        <f t="shared" si="16"/>
        <v>4</v>
      </c>
      <c r="L139" s="49"/>
      <c r="M139" s="49">
        <v>4</v>
      </c>
      <c r="N139" s="49">
        <v>4</v>
      </c>
      <c r="O139" s="49"/>
      <c r="P139" s="49"/>
      <c r="Q139" s="59">
        <f t="shared" si="17"/>
        <v>4</v>
      </c>
      <c r="R139" s="49"/>
      <c r="S139" s="49">
        <v>0</v>
      </c>
      <c r="T139" s="49"/>
      <c r="U139" s="49"/>
      <c r="V139" s="49"/>
      <c r="W139" s="59">
        <f t="shared" si="18"/>
        <v>0</v>
      </c>
      <c r="X139" s="49"/>
      <c r="Y139" s="49"/>
      <c r="Z139" s="49"/>
      <c r="AA139" s="49"/>
      <c r="AB139" s="49"/>
      <c r="AC139" s="59" t="str">
        <f t="shared" si="19"/>
        <v>0</v>
      </c>
      <c r="AD139" s="49"/>
      <c r="AE139" s="49"/>
      <c r="AF139" s="49"/>
      <c r="AG139" s="49"/>
      <c r="AH139" s="49"/>
      <c r="AI139" s="59" t="str">
        <f t="shared" si="20"/>
        <v>0</v>
      </c>
      <c r="AJ139" s="49">
        <v>4</v>
      </c>
      <c r="AK139" s="49">
        <v>3</v>
      </c>
      <c r="AL139" s="49">
        <v>4</v>
      </c>
      <c r="AM139" s="49">
        <v>4</v>
      </c>
      <c r="AN139" s="49"/>
      <c r="AO139" s="59">
        <f t="shared" si="21"/>
        <v>3.75</v>
      </c>
      <c r="AP139" s="49"/>
      <c r="AQ139" s="49"/>
      <c r="AR139" s="49"/>
      <c r="AS139" s="49"/>
      <c r="AT139" s="49"/>
      <c r="AU139" s="59" t="str">
        <f t="shared" si="22"/>
        <v>0</v>
      </c>
      <c r="AV139" s="49"/>
      <c r="AW139" s="49"/>
      <c r="AX139" s="49"/>
      <c r="AY139" s="49">
        <v>4</v>
      </c>
      <c r="AZ139" s="49"/>
      <c r="BA139" s="59">
        <f t="shared" si="23"/>
        <v>4</v>
      </c>
    </row>
    <row r="140" spans="1:53" ht="23.1" customHeight="1" x14ac:dyDescent="0.3">
      <c r="A140" s="7">
        <v>138</v>
      </c>
      <c r="B140" s="7" t="s">
        <v>281</v>
      </c>
      <c r="C140" s="7" t="s">
        <v>282</v>
      </c>
      <c r="D140" s="7" t="s">
        <v>542</v>
      </c>
      <c r="E140" s="7" t="s">
        <v>161</v>
      </c>
      <c r="F140" s="49">
        <v>2</v>
      </c>
      <c r="G140" s="49">
        <v>2</v>
      </c>
      <c r="H140" s="49">
        <v>2</v>
      </c>
      <c r="I140" s="49"/>
      <c r="J140" s="7"/>
      <c r="K140" s="59">
        <f t="shared" si="16"/>
        <v>2</v>
      </c>
      <c r="L140" s="49"/>
      <c r="M140" s="49">
        <v>3</v>
      </c>
      <c r="N140" s="49">
        <v>3</v>
      </c>
      <c r="O140" s="49"/>
      <c r="P140" s="49"/>
      <c r="Q140" s="59">
        <f t="shared" si="17"/>
        <v>3</v>
      </c>
      <c r="R140" s="49"/>
      <c r="S140" s="49">
        <v>2</v>
      </c>
      <c r="T140" s="7"/>
      <c r="U140" s="49"/>
      <c r="V140" s="7"/>
      <c r="W140" s="59">
        <f t="shared" si="18"/>
        <v>2</v>
      </c>
      <c r="X140" s="49"/>
      <c r="Y140" s="49"/>
      <c r="Z140" s="7"/>
      <c r="AA140" s="7"/>
      <c r="AB140" s="7"/>
      <c r="AC140" s="59" t="str">
        <f t="shared" si="19"/>
        <v>0</v>
      </c>
      <c r="AD140" s="49"/>
      <c r="AE140" s="7"/>
      <c r="AF140" s="49"/>
      <c r="AG140" s="7"/>
      <c r="AH140" s="7"/>
      <c r="AI140" s="59" t="str">
        <f t="shared" si="20"/>
        <v>0</v>
      </c>
      <c r="AJ140" s="49">
        <v>3</v>
      </c>
      <c r="AK140" s="49">
        <v>3</v>
      </c>
      <c r="AL140" s="49">
        <v>2</v>
      </c>
      <c r="AM140" s="49">
        <v>2</v>
      </c>
      <c r="AN140" s="7"/>
      <c r="AO140" s="59">
        <f t="shared" si="21"/>
        <v>2.5</v>
      </c>
      <c r="AP140" s="49"/>
      <c r="AQ140" s="49"/>
      <c r="AR140" s="49"/>
      <c r="AS140" s="7"/>
      <c r="AT140" s="7"/>
      <c r="AU140" s="59" t="str">
        <f t="shared" si="22"/>
        <v>0</v>
      </c>
      <c r="AV140" s="7"/>
      <c r="AW140" s="7"/>
      <c r="AX140" s="49"/>
      <c r="AY140" s="49">
        <v>2</v>
      </c>
      <c r="AZ140" s="49"/>
      <c r="BA140" s="59">
        <f t="shared" si="23"/>
        <v>2</v>
      </c>
    </row>
    <row r="141" spans="1:53" ht="23.1" customHeight="1" x14ac:dyDescent="0.3">
      <c r="A141" s="49">
        <v>139</v>
      </c>
      <c r="B141" s="49" t="s">
        <v>152</v>
      </c>
      <c r="C141" s="49" t="s">
        <v>153</v>
      </c>
      <c r="D141" s="49" t="s">
        <v>450</v>
      </c>
      <c r="E141" s="49" t="s">
        <v>35</v>
      </c>
      <c r="F141" s="49">
        <v>3</v>
      </c>
      <c r="G141" s="49">
        <v>3</v>
      </c>
      <c r="H141" s="49">
        <v>3</v>
      </c>
      <c r="I141" s="49"/>
      <c r="J141" s="49"/>
      <c r="K141" s="59">
        <f t="shared" si="16"/>
        <v>3</v>
      </c>
      <c r="L141" s="49"/>
      <c r="M141" s="49">
        <v>3</v>
      </c>
      <c r="N141" s="49">
        <v>3.5</v>
      </c>
      <c r="O141" s="49"/>
      <c r="P141" s="49"/>
      <c r="Q141" s="59">
        <f t="shared" si="17"/>
        <v>3.25</v>
      </c>
      <c r="R141" s="49"/>
      <c r="S141" s="49">
        <v>2</v>
      </c>
      <c r="T141" s="49"/>
      <c r="U141" s="49"/>
      <c r="V141" s="49"/>
      <c r="W141" s="59">
        <f t="shared" si="18"/>
        <v>2</v>
      </c>
      <c r="X141" s="49"/>
      <c r="Y141" s="49"/>
      <c r="Z141" s="49"/>
      <c r="AA141" s="49"/>
      <c r="AB141" s="49"/>
      <c r="AC141" s="59" t="str">
        <f t="shared" si="19"/>
        <v>0</v>
      </c>
      <c r="AD141" s="49"/>
      <c r="AE141" s="49"/>
      <c r="AF141" s="49"/>
      <c r="AG141" s="49"/>
      <c r="AH141" s="49"/>
      <c r="AI141" s="59" t="str">
        <f t="shared" si="20"/>
        <v>0</v>
      </c>
      <c r="AJ141" s="49">
        <v>3</v>
      </c>
      <c r="AK141" s="49">
        <v>3</v>
      </c>
      <c r="AL141" s="49">
        <v>3</v>
      </c>
      <c r="AM141" s="49">
        <v>3</v>
      </c>
      <c r="AN141" s="49"/>
      <c r="AO141" s="59">
        <f t="shared" si="21"/>
        <v>3</v>
      </c>
      <c r="AP141" s="49"/>
      <c r="AQ141" s="49"/>
      <c r="AR141" s="49"/>
      <c r="AS141" s="49"/>
      <c r="AT141" s="49"/>
      <c r="AU141" s="59" t="str">
        <f t="shared" si="22"/>
        <v>0</v>
      </c>
      <c r="AV141" s="49"/>
      <c r="AW141" s="49"/>
      <c r="AX141" s="49"/>
      <c r="AY141" s="49">
        <v>3.5</v>
      </c>
      <c r="AZ141" s="49"/>
      <c r="BA141" s="59">
        <f t="shared" si="23"/>
        <v>3.5</v>
      </c>
    </row>
    <row r="142" spans="1:53" ht="23.1" customHeight="1" x14ac:dyDescent="0.3">
      <c r="A142" s="7">
        <v>140</v>
      </c>
      <c r="B142" s="7" t="s">
        <v>374</v>
      </c>
      <c r="C142" s="7" t="s">
        <v>375</v>
      </c>
      <c r="D142" s="7" t="s">
        <v>450</v>
      </c>
      <c r="E142" s="7" t="s">
        <v>493</v>
      </c>
      <c r="F142" s="49">
        <v>2</v>
      </c>
      <c r="G142" s="49">
        <v>2</v>
      </c>
      <c r="H142" s="49">
        <v>3</v>
      </c>
      <c r="I142" s="49"/>
      <c r="J142" s="7"/>
      <c r="K142" s="59">
        <f t="shared" si="16"/>
        <v>2.3333333333333335</v>
      </c>
      <c r="L142" s="49"/>
      <c r="M142" s="49">
        <v>4</v>
      </c>
      <c r="N142" s="49">
        <v>4</v>
      </c>
      <c r="O142" s="49"/>
      <c r="P142" s="49"/>
      <c r="Q142" s="59">
        <f t="shared" si="17"/>
        <v>4</v>
      </c>
      <c r="R142" s="49"/>
      <c r="S142" s="49">
        <v>2</v>
      </c>
      <c r="T142" s="7"/>
      <c r="U142" s="49"/>
      <c r="V142" s="7"/>
      <c r="W142" s="59">
        <f t="shared" si="18"/>
        <v>2</v>
      </c>
      <c r="X142" s="49"/>
      <c r="Y142" s="49"/>
      <c r="Z142" s="7"/>
      <c r="AA142" s="7"/>
      <c r="AB142" s="7"/>
      <c r="AC142" s="59" t="str">
        <f t="shared" si="19"/>
        <v>0</v>
      </c>
      <c r="AD142" s="49"/>
      <c r="AE142" s="7"/>
      <c r="AF142" s="49"/>
      <c r="AG142" s="7"/>
      <c r="AH142" s="7"/>
      <c r="AI142" s="59" t="str">
        <f t="shared" si="20"/>
        <v>0</v>
      </c>
      <c r="AJ142" s="49">
        <v>3</v>
      </c>
      <c r="AK142" s="49">
        <v>3</v>
      </c>
      <c r="AL142" s="49">
        <v>2</v>
      </c>
      <c r="AM142" s="49">
        <v>2</v>
      </c>
      <c r="AN142" s="7"/>
      <c r="AO142" s="59">
        <f t="shared" si="21"/>
        <v>2.5</v>
      </c>
      <c r="AP142" s="49"/>
      <c r="AQ142" s="49"/>
      <c r="AR142" s="49"/>
      <c r="AS142" s="7"/>
      <c r="AT142" s="7"/>
      <c r="AU142" s="59" t="str">
        <f t="shared" si="22"/>
        <v>0</v>
      </c>
      <c r="AV142" s="7"/>
      <c r="AW142" s="7"/>
      <c r="AX142" s="49"/>
      <c r="AY142" s="49">
        <v>3</v>
      </c>
      <c r="AZ142" s="49"/>
      <c r="BA142" s="59">
        <f t="shared" si="23"/>
        <v>3</v>
      </c>
    </row>
    <row r="143" spans="1:53" ht="23.1" customHeight="1" x14ac:dyDescent="0.3">
      <c r="A143" s="49">
        <v>141</v>
      </c>
      <c r="B143" s="49" t="s">
        <v>269</v>
      </c>
      <c r="C143" s="49" t="s">
        <v>270</v>
      </c>
      <c r="D143" s="49" t="s">
        <v>450</v>
      </c>
      <c r="E143" s="49" t="s">
        <v>161</v>
      </c>
      <c r="F143" s="49">
        <v>4</v>
      </c>
      <c r="G143" s="49">
        <v>4</v>
      </c>
      <c r="H143" s="49">
        <v>4</v>
      </c>
      <c r="I143" s="49"/>
      <c r="J143" s="49"/>
      <c r="K143" s="59">
        <f t="shared" si="16"/>
        <v>4</v>
      </c>
      <c r="L143" s="49"/>
      <c r="M143" s="49">
        <v>3.5</v>
      </c>
      <c r="N143" s="49">
        <v>3</v>
      </c>
      <c r="O143" s="49"/>
      <c r="P143" s="49"/>
      <c r="Q143" s="59">
        <f t="shared" si="17"/>
        <v>3.25</v>
      </c>
      <c r="R143" s="49"/>
      <c r="S143" s="49">
        <v>3</v>
      </c>
      <c r="T143" s="49"/>
      <c r="U143" s="49"/>
      <c r="V143" s="49"/>
      <c r="W143" s="59">
        <f t="shared" si="18"/>
        <v>3</v>
      </c>
      <c r="X143" s="49"/>
      <c r="Y143" s="49"/>
      <c r="Z143" s="49"/>
      <c r="AA143" s="49"/>
      <c r="AB143" s="49"/>
      <c r="AC143" s="59" t="str">
        <f t="shared" si="19"/>
        <v>0</v>
      </c>
      <c r="AD143" s="49"/>
      <c r="AE143" s="49"/>
      <c r="AF143" s="49"/>
      <c r="AG143" s="49"/>
      <c r="AH143" s="49"/>
      <c r="AI143" s="59" t="str">
        <f t="shared" si="20"/>
        <v>0</v>
      </c>
      <c r="AJ143" s="49">
        <v>4</v>
      </c>
      <c r="AK143" s="49">
        <v>4</v>
      </c>
      <c r="AL143" s="49">
        <v>4</v>
      </c>
      <c r="AM143" s="49">
        <v>4</v>
      </c>
      <c r="AN143" s="49"/>
      <c r="AO143" s="59">
        <f t="shared" si="21"/>
        <v>4</v>
      </c>
      <c r="AP143" s="49"/>
      <c r="AQ143" s="49"/>
      <c r="AR143" s="49"/>
      <c r="AS143" s="49"/>
      <c r="AT143" s="49"/>
      <c r="AU143" s="59" t="str">
        <f t="shared" si="22"/>
        <v>0</v>
      </c>
      <c r="AV143" s="49"/>
      <c r="AW143" s="49"/>
      <c r="AX143" s="49"/>
      <c r="AY143" s="49">
        <v>2.5</v>
      </c>
      <c r="AZ143" s="49"/>
      <c r="BA143" s="59">
        <f t="shared" si="23"/>
        <v>2.5</v>
      </c>
    </row>
    <row r="144" spans="1:53" ht="23.1" customHeight="1" x14ac:dyDescent="0.3">
      <c r="A144" s="7">
        <v>142</v>
      </c>
      <c r="B144" s="7" t="s">
        <v>170</v>
      </c>
      <c r="C144" s="7" t="s">
        <v>171</v>
      </c>
      <c r="D144" s="7" t="s">
        <v>542</v>
      </c>
      <c r="E144" s="7" t="s">
        <v>161</v>
      </c>
      <c r="F144" s="49">
        <v>4</v>
      </c>
      <c r="G144" s="49">
        <v>4</v>
      </c>
      <c r="H144" s="49">
        <v>4</v>
      </c>
      <c r="I144" s="49"/>
      <c r="J144" s="7"/>
      <c r="K144" s="59">
        <f t="shared" si="16"/>
        <v>4</v>
      </c>
      <c r="L144" s="49"/>
      <c r="M144" s="49">
        <v>4</v>
      </c>
      <c r="N144" s="49">
        <v>4</v>
      </c>
      <c r="O144" s="49"/>
      <c r="P144" s="49"/>
      <c r="Q144" s="59">
        <f t="shared" si="17"/>
        <v>4</v>
      </c>
      <c r="R144" s="49"/>
      <c r="S144" s="49">
        <v>3</v>
      </c>
      <c r="T144" s="7"/>
      <c r="U144" s="49"/>
      <c r="V144" s="7"/>
      <c r="W144" s="59">
        <f t="shared" si="18"/>
        <v>3</v>
      </c>
      <c r="X144" s="49"/>
      <c r="Y144" s="49"/>
      <c r="Z144" s="7"/>
      <c r="AA144" s="7"/>
      <c r="AB144" s="7"/>
      <c r="AC144" s="59" t="str">
        <f t="shared" si="19"/>
        <v>0</v>
      </c>
      <c r="AD144" s="49"/>
      <c r="AE144" s="7"/>
      <c r="AF144" s="49"/>
      <c r="AG144" s="7"/>
      <c r="AH144" s="7"/>
      <c r="AI144" s="59" t="str">
        <f t="shared" si="20"/>
        <v>0</v>
      </c>
      <c r="AJ144" s="49">
        <v>4</v>
      </c>
      <c r="AK144" s="49">
        <v>4</v>
      </c>
      <c r="AL144" s="49">
        <v>4</v>
      </c>
      <c r="AM144" s="49">
        <v>4</v>
      </c>
      <c r="AN144" s="7"/>
      <c r="AO144" s="59">
        <f t="shared" si="21"/>
        <v>4</v>
      </c>
      <c r="AP144" s="49"/>
      <c r="AQ144" s="49"/>
      <c r="AR144" s="49"/>
      <c r="AS144" s="7"/>
      <c r="AT144" s="7"/>
      <c r="AU144" s="59" t="str">
        <f t="shared" si="22"/>
        <v>0</v>
      </c>
      <c r="AV144" s="7"/>
      <c r="AW144" s="7"/>
      <c r="AX144" s="49"/>
      <c r="AY144" s="49">
        <v>5</v>
      </c>
      <c r="AZ144" s="49"/>
      <c r="BA144" s="59">
        <f t="shared" si="23"/>
        <v>5</v>
      </c>
    </row>
    <row r="145" spans="1:53" ht="23.1" customHeight="1" x14ac:dyDescent="0.3">
      <c r="A145" s="49">
        <v>143</v>
      </c>
      <c r="B145" s="49" t="s">
        <v>283</v>
      </c>
      <c r="C145" s="49" t="s">
        <v>284</v>
      </c>
      <c r="D145" s="49" t="s">
        <v>450</v>
      </c>
      <c r="E145" s="49" t="s">
        <v>161</v>
      </c>
      <c r="F145" s="49">
        <v>3</v>
      </c>
      <c r="G145" s="49">
        <v>3</v>
      </c>
      <c r="H145" s="49">
        <v>3</v>
      </c>
      <c r="I145" s="49"/>
      <c r="J145" s="49"/>
      <c r="K145" s="59">
        <f t="shared" si="16"/>
        <v>3</v>
      </c>
      <c r="L145" s="49"/>
      <c r="M145" s="49">
        <v>2</v>
      </c>
      <c r="N145" s="49">
        <v>2.5</v>
      </c>
      <c r="O145" s="49"/>
      <c r="P145" s="49"/>
      <c r="Q145" s="59">
        <f t="shared" si="17"/>
        <v>2.25</v>
      </c>
      <c r="R145" s="49"/>
      <c r="S145" s="49">
        <v>3</v>
      </c>
      <c r="T145" s="49"/>
      <c r="U145" s="49"/>
      <c r="V145" s="49"/>
      <c r="W145" s="59">
        <f t="shared" si="18"/>
        <v>3</v>
      </c>
      <c r="X145" s="49"/>
      <c r="Y145" s="49"/>
      <c r="Z145" s="49"/>
      <c r="AA145" s="49"/>
      <c r="AB145" s="49"/>
      <c r="AC145" s="59" t="str">
        <f t="shared" si="19"/>
        <v>0</v>
      </c>
      <c r="AD145" s="49"/>
      <c r="AE145" s="49"/>
      <c r="AF145" s="49"/>
      <c r="AG145" s="49"/>
      <c r="AH145" s="49"/>
      <c r="AI145" s="59" t="str">
        <f t="shared" si="20"/>
        <v>0</v>
      </c>
      <c r="AJ145" s="49">
        <v>3</v>
      </c>
      <c r="AK145" s="49">
        <v>3</v>
      </c>
      <c r="AL145" s="49">
        <v>3</v>
      </c>
      <c r="AM145" s="49">
        <v>3</v>
      </c>
      <c r="AN145" s="49"/>
      <c r="AO145" s="59">
        <f t="shared" si="21"/>
        <v>3</v>
      </c>
      <c r="AP145" s="49"/>
      <c r="AQ145" s="49"/>
      <c r="AR145" s="49"/>
      <c r="AS145" s="49"/>
      <c r="AT145" s="49"/>
      <c r="AU145" s="59" t="str">
        <f t="shared" si="22"/>
        <v>0</v>
      </c>
      <c r="AV145" s="49"/>
      <c r="AW145" s="49"/>
      <c r="AX145" s="49"/>
      <c r="AY145" s="49">
        <v>2.5</v>
      </c>
      <c r="AZ145" s="49"/>
      <c r="BA145" s="59">
        <f t="shared" si="23"/>
        <v>2.5</v>
      </c>
    </row>
    <row r="146" spans="1:53" ht="23.1" customHeight="1" x14ac:dyDescent="0.3">
      <c r="A146" s="7">
        <v>144</v>
      </c>
      <c r="B146" s="7" t="s">
        <v>172</v>
      </c>
      <c r="C146" s="7" t="s">
        <v>173</v>
      </c>
      <c r="D146" s="7" t="s">
        <v>450</v>
      </c>
      <c r="E146" s="7" t="s">
        <v>161</v>
      </c>
      <c r="F146" s="49">
        <v>3</v>
      </c>
      <c r="G146" s="49">
        <v>3</v>
      </c>
      <c r="H146" s="49">
        <v>3</v>
      </c>
      <c r="I146" s="49"/>
      <c r="J146" s="7"/>
      <c r="K146" s="59">
        <f t="shared" si="16"/>
        <v>3</v>
      </c>
      <c r="L146" s="49"/>
      <c r="M146" s="49">
        <v>3</v>
      </c>
      <c r="N146" s="49">
        <v>3</v>
      </c>
      <c r="O146" s="49"/>
      <c r="P146" s="49"/>
      <c r="Q146" s="59">
        <f t="shared" si="17"/>
        <v>3</v>
      </c>
      <c r="R146" s="49"/>
      <c r="S146" s="49">
        <v>3</v>
      </c>
      <c r="T146" s="7"/>
      <c r="U146" s="49"/>
      <c r="V146" s="7"/>
      <c r="W146" s="59">
        <f t="shared" si="18"/>
        <v>3</v>
      </c>
      <c r="X146" s="49"/>
      <c r="Y146" s="49"/>
      <c r="Z146" s="7"/>
      <c r="AA146" s="7"/>
      <c r="AB146" s="7"/>
      <c r="AC146" s="59" t="str">
        <f t="shared" si="19"/>
        <v>0</v>
      </c>
      <c r="AD146" s="49"/>
      <c r="AE146" s="7"/>
      <c r="AF146" s="49"/>
      <c r="AG146" s="7"/>
      <c r="AH146" s="7"/>
      <c r="AI146" s="59" t="str">
        <f t="shared" si="20"/>
        <v>0</v>
      </c>
      <c r="AJ146" s="49">
        <v>3</v>
      </c>
      <c r="AK146" s="49">
        <v>3</v>
      </c>
      <c r="AL146" s="49">
        <v>3</v>
      </c>
      <c r="AM146" s="49">
        <v>3</v>
      </c>
      <c r="AN146" s="7"/>
      <c r="AO146" s="59">
        <f t="shared" si="21"/>
        <v>3</v>
      </c>
      <c r="AP146" s="49"/>
      <c r="AQ146" s="49"/>
      <c r="AR146" s="49"/>
      <c r="AS146" s="7"/>
      <c r="AT146" s="7"/>
      <c r="AU146" s="59" t="str">
        <f t="shared" si="22"/>
        <v>0</v>
      </c>
      <c r="AV146" s="7"/>
      <c r="AW146" s="7"/>
      <c r="AX146" s="49"/>
      <c r="AY146" s="49">
        <v>3</v>
      </c>
      <c r="AZ146" s="49"/>
      <c r="BA146" s="59">
        <f t="shared" si="23"/>
        <v>3</v>
      </c>
    </row>
    <row r="147" spans="1:53" ht="23.1" customHeight="1" x14ac:dyDescent="0.3">
      <c r="A147" s="49">
        <v>145</v>
      </c>
      <c r="B147" s="49" t="s">
        <v>376</v>
      </c>
      <c r="C147" s="49" t="s">
        <v>377</v>
      </c>
      <c r="D147" s="49" t="s">
        <v>542</v>
      </c>
      <c r="E147" s="49" t="s">
        <v>493</v>
      </c>
      <c r="F147" s="49">
        <v>3</v>
      </c>
      <c r="G147" s="49">
        <v>3</v>
      </c>
      <c r="H147" s="49">
        <v>3</v>
      </c>
      <c r="I147" s="49"/>
      <c r="J147" s="49"/>
      <c r="K147" s="59">
        <f t="shared" si="16"/>
        <v>3</v>
      </c>
      <c r="L147" s="49"/>
      <c r="M147" s="49">
        <v>3</v>
      </c>
      <c r="N147" s="49">
        <v>2.5</v>
      </c>
      <c r="O147" s="49"/>
      <c r="P147" s="49"/>
      <c r="Q147" s="59">
        <f t="shared" si="17"/>
        <v>2.75</v>
      </c>
      <c r="R147" s="49"/>
      <c r="S147" s="49">
        <v>3</v>
      </c>
      <c r="T147" s="49"/>
      <c r="U147" s="49"/>
      <c r="V147" s="49"/>
      <c r="W147" s="59">
        <f t="shared" si="18"/>
        <v>3</v>
      </c>
      <c r="X147" s="49"/>
      <c r="Y147" s="49"/>
      <c r="Z147" s="49"/>
      <c r="AA147" s="49"/>
      <c r="AB147" s="49"/>
      <c r="AC147" s="59" t="str">
        <f t="shared" si="19"/>
        <v>0</v>
      </c>
      <c r="AD147" s="49"/>
      <c r="AE147" s="49"/>
      <c r="AF147" s="49"/>
      <c r="AG147" s="49"/>
      <c r="AH147" s="49"/>
      <c r="AI147" s="59" t="str">
        <f t="shared" si="20"/>
        <v>0</v>
      </c>
      <c r="AJ147" s="49">
        <v>3</v>
      </c>
      <c r="AK147" s="49">
        <v>3</v>
      </c>
      <c r="AL147" s="49">
        <v>4</v>
      </c>
      <c r="AM147" s="49">
        <v>3</v>
      </c>
      <c r="AN147" s="49"/>
      <c r="AO147" s="59">
        <f t="shared" si="21"/>
        <v>3.25</v>
      </c>
      <c r="AP147" s="49"/>
      <c r="AQ147" s="49"/>
      <c r="AR147" s="49"/>
      <c r="AS147" s="49"/>
      <c r="AT147" s="49"/>
      <c r="AU147" s="59" t="str">
        <f t="shared" si="22"/>
        <v>0</v>
      </c>
      <c r="AV147" s="49"/>
      <c r="AW147" s="49"/>
      <c r="AX147" s="49"/>
      <c r="AY147" s="49">
        <v>3</v>
      </c>
      <c r="AZ147" s="49"/>
      <c r="BA147" s="59">
        <f t="shared" si="23"/>
        <v>3</v>
      </c>
    </row>
    <row r="148" spans="1:53" ht="23.1" customHeight="1" x14ac:dyDescent="0.3">
      <c r="A148" s="7">
        <v>146</v>
      </c>
      <c r="B148" s="7" t="s">
        <v>378</v>
      </c>
      <c r="C148" s="7" t="s">
        <v>379</v>
      </c>
      <c r="D148" s="7" t="s">
        <v>542</v>
      </c>
      <c r="E148" s="7" t="s">
        <v>493</v>
      </c>
      <c r="F148" s="49">
        <v>5</v>
      </c>
      <c r="G148" s="49">
        <v>5</v>
      </c>
      <c r="H148" s="49">
        <v>5</v>
      </c>
      <c r="I148" s="49"/>
      <c r="J148" s="7"/>
      <c r="K148" s="59">
        <f t="shared" si="16"/>
        <v>5</v>
      </c>
      <c r="L148" s="49"/>
      <c r="M148" s="49">
        <v>5</v>
      </c>
      <c r="N148" s="49">
        <v>5</v>
      </c>
      <c r="O148" s="49"/>
      <c r="P148" s="49"/>
      <c r="Q148" s="59">
        <f t="shared" si="17"/>
        <v>5</v>
      </c>
      <c r="R148" s="49"/>
      <c r="S148" s="49">
        <v>4</v>
      </c>
      <c r="T148" s="7"/>
      <c r="U148" s="49"/>
      <c r="V148" s="7"/>
      <c r="W148" s="59">
        <f t="shared" si="18"/>
        <v>4</v>
      </c>
      <c r="X148" s="49"/>
      <c r="Y148" s="49"/>
      <c r="Z148" s="7"/>
      <c r="AA148" s="7"/>
      <c r="AB148" s="7"/>
      <c r="AC148" s="59" t="str">
        <f t="shared" si="19"/>
        <v>0</v>
      </c>
      <c r="AD148" s="49"/>
      <c r="AE148" s="7"/>
      <c r="AF148" s="49"/>
      <c r="AG148" s="7"/>
      <c r="AH148" s="7"/>
      <c r="AI148" s="59" t="str">
        <f t="shared" si="20"/>
        <v>0</v>
      </c>
      <c r="AJ148" s="49">
        <v>4</v>
      </c>
      <c r="AK148" s="49">
        <v>4</v>
      </c>
      <c r="AL148" s="49">
        <v>5</v>
      </c>
      <c r="AM148" s="49">
        <v>5</v>
      </c>
      <c r="AN148" s="7"/>
      <c r="AO148" s="59">
        <f t="shared" si="21"/>
        <v>4.5</v>
      </c>
      <c r="AP148" s="49"/>
      <c r="AQ148" s="49"/>
      <c r="AR148" s="49"/>
      <c r="AS148" s="7"/>
      <c r="AT148" s="7"/>
      <c r="AU148" s="59" t="str">
        <f t="shared" si="22"/>
        <v>0</v>
      </c>
      <c r="AV148" s="7"/>
      <c r="AW148" s="7"/>
      <c r="AX148" s="49"/>
      <c r="AY148" s="49">
        <v>5</v>
      </c>
      <c r="AZ148" s="49"/>
      <c r="BA148" s="59">
        <f t="shared" si="23"/>
        <v>5</v>
      </c>
    </row>
    <row r="149" spans="1:53" ht="23.1" customHeight="1" x14ac:dyDescent="0.3">
      <c r="A149" s="49">
        <v>147</v>
      </c>
      <c r="B149" s="49" t="s">
        <v>154</v>
      </c>
      <c r="C149" s="49" t="s">
        <v>155</v>
      </c>
      <c r="D149" s="49" t="s">
        <v>450</v>
      </c>
      <c r="E149" s="49" t="s">
        <v>35</v>
      </c>
      <c r="F149" s="49">
        <v>4</v>
      </c>
      <c r="G149" s="49">
        <v>4</v>
      </c>
      <c r="H149" s="49">
        <v>4</v>
      </c>
      <c r="I149" s="49"/>
      <c r="J149" s="49"/>
      <c r="K149" s="59">
        <f t="shared" si="16"/>
        <v>4</v>
      </c>
      <c r="L149" s="49"/>
      <c r="M149" s="49">
        <v>4</v>
      </c>
      <c r="N149" s="49">
        <v>4</v>
      </c>
      <c r="O149" s="49"/>
      <c r="P149" s="49"/>
      <c r="Q149" s="59">
        <f t="shared" si="17"/>
        <v>4</v>
      </c>
      <c r="R149" s="49"/>
      <c r="S149" s="49">
        <v>3</v>
      </c>
      <c r="T149" s="49"/>
      <c r="U149" s="49"/>
      <c r="V149" s="49"/>
      <c r="W149" s="59">
        <f t="shared" si="18"/>
        <v>3</v>
      </c>
      <c r="X149" s="49"/>
      <c r="Y149" s="49"/>
      <c r="Z149" s="49"/>
      <c r="AA149" s="49"/>
      <c r="AB149" s="49"/>
      <c r="AC149" s="59" t="str">
        <f t="shared" si="19"/>
        <v>0</v>
      </c>
      <c r="AD149" s="49"/>
      <c r="AE149" s="49"/>
      <c r="AF149" s="49"/>
      <c r="AG149" s="49"/>
      <c r="AH149" s="49"/>
      <c r="AI149" s="59" t="str">
        <f t="shared" si="20"/>
        <v>0</v>
      </c>
      <c r="AJ149" s="49">
        <v>4</v>
      </c>
      <c r="AK149" s="49">
        <v>4</v>
      </c>
      <c r="AL149" s="49">
        <v>4</v>
      </c>
      <c r="AM149" s="49">
        <v>4</v>
      </c>
      <c r="AN149" s="49"/>
      <c r="AO149" s="59">
        <f t="shared" si="21"/>
        <v>4</v>
      </c>
      <c r="AP149" s="49"/>
      <c r="AQ149" s="49"/>
      <c r="AR149" s="49"/>
      <c r="AS149" s="49"/>
      <c r="AT149" s="49"/>
      <c r="AU149" s="59" t="str">
        <f t="shared" si="22"/>
        <v>0</v>
      </c>
      <c r="AV149" s="49"/>
      <c r="AW149" s="49"/>
      <c r="AX149" s="49"/>
      <c r="AY149" s="49">
        <v>4</v>
      </c>
      <c r="AZ149" s="49"/>
      <c r="BA149" s="59">
        <f t="shared" si="23"/>
        <v>4</v>
      </c>
    </row>
    <row r="150" spans="1:53" ht="23.1" customHeight="1" x14ac:dyDescent="0.3">
      <c r="A150" s="7">
        <v>148</v>
      </c>
      <c r="B150" s="7" t="s">
        <v>380</v>
      </c>
      <c r="C150" s="7" t="s">
        <v>381</v>
      </c>
      <c r="D150" s="7" t="s">
        <v>450</v>
      </c>
      <c r="E150" s="7" t="s">
        <v>493</v>
      </c>
      <c r="F150" s="49">
        <v>4</v>
      </c>
      <c r="G150" s="49">
        <v>4</v>
      </c>
      <c r="H150" s="49">
        <v>3</v>
      </c>
      <c r="I150" s="49"/>
      <c r="J150" s="7"/>
      <c r="K150" s="59">
        <f t="shared" si="16"/>
        <v>3.6666666666666665</v>
      </c>
      <c r="L150" s="49"/>
      <c r="M150" s="49">
        <v>3</v>
      </c>
      <c r="N150" s="49">
        <v>4</v>
      </c>
      <c r="O150" s="49"/>
      <c r="P150" s="49"/>
      <c r="Q150" s="59">
        <f t="shared" si="17"/>
        <v>3.5</v>
      </c>
      <c r="R150" s="49"/>
      <c r="S150" s="49">
        <v>2</v>
      </c>
      <c r="T150" s="7"/>
      <c r="U150" s="49"/>
      <c r="V150" s="7"/>
      <c r="W150" s="59">
        <f t="shared" si="18"/>
        <v>2</v>
      </c>
      <c r="X150" s="49"/>
      <c r="Y150" s="49"/>
      <c r="Z150" s="7"/>
      <c r="AA150" s="7"/>
      <c r="AB150" s="7"/>
      <c r="AC150" s="59" t="str">
        <f t="shared" si="19"/>
        <v>0</v>
      </c>
      <c r="AD150" s="49"/>
      <c r="AE150" s="7"/>
      <c r="AF150" s="49"/>
      <c r="AG150" s="7"/>
      <c r="AH150" s="7"/>
      <c r="AI150" s="59" t="str">
        <f t="shared" si="20"/>
        <v>0</v>
      </c>
      <c r="AJ150" s="49">
        <v>3</v>
      </c>
      <c r="AK150" s="49">
        <v>3</v>
      </c>
      <c r="AL150" s="49">
        <v>4</v>
      </c>
      <c r="AM150" s="49">
        <v>3</v>
      </c>
      <c r="AN150" s="7"/>
      <c r="AO150" s="59">
        <f t="shared" si="21"/>
        <v>3.25</v>
      </c>
      <c r="AP150" s="49"/>
      <c r="AQ150" s="49"/>
      <c r="AR150" s="49"/>
      <c r="AS150" s="7"/>
      <c r="AT150" s="7"/>
      <c r="AU150" s="59" t="str">
        <f t="shared" si="22"/>
        <v>0</v>
      </c>
      <c r="AV150" s="7"/>
      <c r="AW150" s="7"/>
      <c r="AX150" s="49"/>
      <c r="AY150" s="49">
        <v>3</v>
      </c>
      <c r="AZ150" s="49"/>
      <c r="BA150" s="59">
        <f t="shared" si="23"/>
        <v>3</v>
      </c>
    </row>
    <row r="151" spans="1:53" ht="23.1" customHeight="1" x14ac:dyDescent="0.3">
      <c r="A151" s="49">
        <v>149</v>
      </c>
      <c r="B151" s="49" t="s">
        <v>156</v>
      </c>
      <c r="C151" s="49" t="s">
        <v>382</v>
      </c>
      <c r="D151" s="49" t="s">
        <v>450</v>
      </c>
      <c r="E151" s="49" t="s">
        <v>35</v>
      </c>
      <c r="F151" s="49">
        <v>3.5</v>
      </c>
      <c r="G151" s="49">
        <v>3.5</v>
      </c>
      <c r="H151" s="49">
        <v>2.5</v>
      </c>
      <c r="I151" s="49"/>
      <c r="J151" s="49"/>
      <c r="K151" s="59">
        <f t="shared" si="16"/>
        <v>3.1666666666666665</v>
      </c>
      <c r="L151" s="49"/>
      <c r="M151" s="49">
        <v>3.5</v>
      </c>
      <c r="N151" s="49">
        <v>3</v>
      </c>
      <c r="O151" s="49"/>
      <c r="P151" s="49"/>
      <c r="Q151" s="59">
        <f t="shared" si="17"/>
        <v>3.25</v>
      </c>
      <c r="R151" s="49"/>
      <c r="S151" s="49">
        <v>2</v>
      </c>
      <c r="T151" s="49"/>
      <c r="U151" s="49"/>
      <c r="V151" s="49"/>
      <c r="W151" s="59">
        <f t="shared" si="18"/>
        <v>2</v>
      </c>
      <c r="X151" s="49"/>
      <c r="Y151" s="49"/>
      <c r="Z151" s="49"/>
      <c r="AA151" s="49"/>
      <c r="AB151" s="49"/>
      <c r="AC151" s="59" t="str">
        <f t="shared" si="19"/>
        <v>0</v>
      </c>
      <c r="AD151" s="49"/>
      <c r="AE151" s="49"/>
      <c r="AF151" s="49"/>
      <c r="AG151" s="49"/>
      <c r="AH151" s="49"/>
      <c r="AI151" s="59" t="str">
        <f t="shared" si="20"/>
        <v>0</v>
      </c>
      <c r="AJ151" s="49">
        <v>2.5</v>
      </c>
      <c r="AK151" s="49">
        <v>3</v>
      </c>
      <c r="AL151" s="49">
        <v>3</v>
      </c>
      <c r="AM151" s="49">
        <v>3</v>
      </c>
      <c r="AN151" s="49"/>
      <c r="AO151" s="59">
        <f t="shared" si="21"/>
        <v>2.875</v>
      </c>
      <c r="AP151" s="49"/>
      <c r="AQ151" s="49"/>
      <c r="AR151" s="49"/>
      <c r="AS151" s="49"/>
      <c r="AT151" s="49"/>
      <c r="AU151" s="59" t="str">
        <f t="shared" si="22"/>
        <v>0</v>
      </c>
      <c r="AV151" s="49"/>
      <c r="AW151" s="49"/>
      <c r="AX151" s="49"/>
      <c r="AY151" s="49">
        <v>3.5</v>
      </c>
      <c r="AZ151" s="49"/>
      <c r="BA151" s="59">
        <f t="shared" si="23"/>
        <v>3.5</v>
      </c>
    </row>
    <row r="152" spans="1:53" ht="23.1" customHeight="1" x14ac:dyDescent="0.3">
      <c r="A152" s="7">
        <v>150</v>
      </c>
      <c r="B152" s="7" t="s">
        <v>383</v>
      </c>
      <c r="C152" s="7" t="s">
        <v>384</v>
      </c>
      <c r="D152" s="7" t="s">
        <v>542</v>
      </c>
      <c r="E152" s="7" t="s">
        <v>493</v>
      </c>
      <c r="F152" s="49">
        <v>4</v>
      </c>
      <c r="G152" s="49">
        <v>3</v>
      </c>
      <c r="H152" s="49">
        <v>4</v>
      </c>
      <c r="I152" s="49"/>
      <c r="J152" s="7"/>
      <c r="K152" s="59">
        <f t="shared" si="16"/>
        <v>3.6666666666666665</v>
      </c>
      <c r="L152" s="49"/>
      <c r="M152" s="49">
        <v>4</v>
      </c>
      <c r="N152" s="49">
        <v>4</v>
      </c>
      <c r="O152" s="49"/>
      <c r="P152" s="49"/>
      <c r="Q152" s="59">
        <f t="shared" si="17"/>
        <v>4</v>
      </c>
      <c r="R152" s="49"/>
      <c r="S152" s="49">
        <v>3</v>
      </c>
      <c r="T152" s="7"/>
      <c r="U152" s="49"/>
      <c r="V152" s="7"/>
      <c r="W152" s="59">
        <f t="shared" si="18"/>
        <v>3</v>
      </c>
      <c r="X152" s="49"/>
      <c r="Y152" s="49"/>
      <c r="Z152" s="7"/>
      <c r="AA152" s="7"/>
      <c r="AB152" s="7"/>
      <c r="AC152" s="59" t="str">
        <f t="shared" si="19"/>
        <v>0</v>
      </c>
      <c r="AD152" s="49"/>
      <c r="AE152" s="7"/>
      <c r="AF152" s="49"/>
      <c r="AG152" s="7"/>
      <c r="AH152" s="7"/>
      <c r="AI152" s="59" t="str">
        <f t="shared" si="20"/>
        <v>0</v>
      </c>
      <c r="AJ152" s="49">
        <v>4</v>
      </c>
      <c r="AK152" s="49">
        <v>4</v>
      </c>
      <c r="AL152" s="49">
        <v>4</v>
      </c>
      <c r="AM152" s="49">
        <v>4</v>
      </c>
      <c r="AN152" s="7"/>
      <c r="AO152" s="59">
        <f t="shared" si="21"/>
        <v>4</v>
      </c>
      <c r="AP152" s="49"/>
      <c r="AQ152" s="49"/>
      <c r="AR152" s="49"/>
      <c r="AS152" s="7"/>
      <c r="AT152" s="7"/>
      <c r="AU152" s="59" t="str">
        <f t="shared" si="22"/>
        <v>0</v>
      </c>
      <c r="AV152" s="7"/>
      <c r="AW152" s="7"/>
      <c r="AX152" s="49"/>
      <c r="AY152" s="49">
        <v>5</v>
      </c>
      <c r="AZ152" s="49"/>
      <c r="BA152" s="59">
        <f t="shared" si="23"/>
        <v>5</v>
      </c>
    </row>
    <row r="153" spans="1:53" ht="23.1" customHeight="1" x14ac:dyDescent="0.3">
      <c r="A153" s="49">
        <v>151</v>
      </c>
      <c r="B153" s="49" t="s">
        <v>46</v>
      </c>
      <c r="C153" s="49" t="s">
        <v>47</v>
      </c>
      <c r="D153" s="49" t="s">
        <v>450</v>
      </c>
      <c r="E153" s="49" t="s">
        <v>35</v>
      </c>
      <c r="F153" s="49">
        <v>1</v>
      </c>
      <c r="G153" s="49">
        <v>1</v>
      </c>
      <c r="H153" s="49">
        <v>1</v>
      </c>
      <c r="I153" s="49"/>
      <c r="J153" s="49"/>
      <c r="K153" s="59">
        <f t="shared" si="16"/>
        <v>1</v>
      </c>
      <c r="L153" s="49"/>
      <c r="M153" s="49">
        <v>1</v>
      </c>
      <c r="N153" s="49">
        <v>1</v>
      </c>
      <c r="O153" s="49"/>
      <c r="P153" s="49"/>
      <c r="Q153" s="59">
        <f t="shared" si="17"/>
        <v>1</v>
      </c>
      <c r="R153" s="49"/>
      <c r="S153" s="49">
        <v>3</v>
      </c>
      <c r="T153" s="49"/>
      <c r="U153" s="49"/>
      <c r="V153" s="49"/>
      <c r="W153" s="59">
        <f t="shared" si="18"/>
        <v>3</v>
      </c>
      <c r="X153" s="49"/>
      <c r="Y153" s="49"/>
      <c r="Z153" s="49"/>
      <c r="AA153" s="49"/>
      <c r="AB153" s="49"/>
      <c r="AC153" s="59" t="str">
        <f t="shared" si="19"/>
        <v>0</v>
      </c>
      <c r="AD153" s="49"/>
      <c r="AE153" s="49"/>
      <c r="AF153" s="49"/>
      <c r="AG153" s="49"/>
      <c r="AH153" s="49"/>
      <c r="AI153" s="59" t="str">
        <f t="shared" si="20"/>
        <v>0</v>
      </c>
      <c r="AJ153" s="49">
        <v>1</v>
      </c>
      <c r="AK153" s="49">
        <v>1</v>
      </c>
      <c r="AL153" s="49">
        <v>2</v>
      </c>
      <c r="AM153" s="49">
        <v>2</v>
      </c>
      <c r="AN153" s="49"/>
      <c r="AO153" s="59">
        <f t="shared" si="21"/>
        <v>1.5</v>
      </c>
      <c r="AP153" s="49"/>
      <c r="AQ153" s="49"/>
      <c r="AR153" s="49"/>
      <c r="AS153" s="49"/>
      <c r="AT153" s="49"/>
      <c r="AU153" s="59" t="str">
        <f t="shared" si="22"/>
        <v>0</v>
      </c>
      <c r="AV153" s="49"/>
      <c r="AW153" s="49"/>
      <c r="AX153" s="49"/>
      <c r="AY153" s="49">
        <v>1</v>
      </c>
      <c r="AZ153" s="49"/>
      <c r="BA153" s="59">
        <f t="shared" si="23"/>
        <v>1</v>
      </c>
    </row>
    <row r="154" spans="1:53" ht="23.1" customHeight="1" x14ac:dyDescent="0.3">
      <c r="A154" s="7">
        <v>152</v>
      </c>
      <c r="B154" s="7" t="s">
        <v>83</v>
      </c>
      <c r="C154" s="7" t="s">
        <v>84</v>
      </c>
      <c r="D154" s="7" t="s">
        <v>450</v>
      </c>
      <c r="E154" s="7" t="s">
        <v>35</v>
      </c>
      <c r="F154" s="49">
        <v>1</v>
      </c>
      <c r="G154" s="49">
        <v>1</v>
      </c>
      <c r="H154" s="49">
        <v>1</v>
      </c>
      <c r="I154" s="49"/>
      <c r="J154" s="7"/>
      <c r="K154" s="59">
        <f t="shared" si="16"/>
        <v>1</v>
      </c>
      <c r="L154" s="49"/>
      <c r="M154" s="49">
        <v>2</v>
      </c>
      <c r="N154" s="49">
        <v>2</v>
      </c>
      <c r="O154" s="49"/>
      <c r="P154" s="49"/>
      <c r="Q154" s="59">
        <f t="shared" si="17"/>
        <v>2</v>
      </c>
      <c r="R154" s="49"/>
      <c r="S154" s="49">
        <v>4</v>
      </c>
      <c r="T154" s="7"/>
      <c r="U154" s="49"/>
      <c r="V154" s="7"/>
      <c r="W154" s="59">
        <f t="shared" si="18"/>
        <v>4</v>
      </c>
      <c r="X154" s="49"/>
      <c r="Y154" s="49"/>
      <c r="Z154" s="7"/>
      <c r="AA154" s="7"/>
      <c r="AB154" s="7"/>
      <c r="AC154" s="59" t="str">
        <f t="shared" si="19"/>
        <v>0</v>
      </c>
      <c r="AD154" s="49"/>
      <c r="AE154" s="7"/>
      <c r="AF154" s="49"/>
      <c r="AG154" s="7"/>
      <c r="AH154" s="7"/>
      <c r="AI154" s="59" t="str">
        <f t="shared" si="20"/>
        <v>0</v>
      </c>
      <c r="AJ154" s="49">
        <v>1</v>
      </c>
      <c r="AK154" s="49">
        <v>1</v>
      </c>
      <c r="AL154" s="49">
        <v>2</v>
      </c>
      <c r="AM154" s="49">
        <v>2</v>
      </c>
      <c r="AN154" s="7"/>
      <c r="AO154" s="59">
        <f t="shared" si="21"/>
        <v>1.5</v>
      </c>
      <c r="AP154" s="49"/>
      <c r="AQ154" s="49"/>
      <c r="AR154" s="49"/>
      <c r="AS154" s="7"/>
      <c r="AT154" s="7"/>
      <c r="AU154" s="59" t="str">
        <f t="shared" si="22"/>
        <v>0</v>
      </c>
      <c r="AV154" s="7"/>
      <c r="AW154" s="7"/>
      <c r="AX154" s="49"/>
      <c r="AY154" s="49">
        <v>2</v>
      </c>
      <c r="AZ154" s="49"/>
      <c r="BA154" s="59">
        <f t="shared" si="23"/>
        <v>2</v>
      </c>
    </row>
    <row r="155" spans="1:53" ht="23.1" customHeight="1" x14ac:dyDescent="0.3">
      <c r="A155" s="49">
        <v>153</v>
      </c>
      <c r="B155" s="49" t="s">
        <v>385</v>
      </c>
      <c r="C155" s="49" t="s">
        <v>386</v>
      </c>
      <c r="D155" s="49" t="s">
        <v>450</v>
      </c>
      <c r="E155" s="49" t="s">
        <v>493</v>
      </c>
      <c r="F155" s="49">
        <v>3</v>
      </c>
      <c r="G155" s="49">
        <v>3</v>
      </c>
      <c r="H155" s="49">
        <v>3</v>
      </c>
      <c r="I155" s="49"/>
      <c r="J155" s="49"/>
      <c r="K155" s="59">
        <f t="shared" si="16"/>
        <v>3</v>
      </c>
      <c r="L155" s="49"/>
      <c r="M155" s="49">
        <v>2.5</v>
      </c>
      <c r="N155" s="49">
        <v>2.5</v>
      </c>
      <c r="O155" s="49"/>
      <c r="P155" s="49"/>
      <c r="Q155" s="59">
        <f t="shared" si="17"/>
        <v>2.5</v>
      </c>
      <c r="R155" s="49"/>
      <c r="S155" s="49">
        <v>2</v>
      </c>
      <c r="T155" s="49"/>
      <c r="U155" s="49"/>
      <c r="V155" s="49"/>
      <c r="W155" s="59">
        <f t="shared" si="18"/>
        <v>2</v>
      </c>
      <c r="X155" s="49"/>
      <c r="Y155" s="49"/>
      <c r="Z155" s="49"/>
      <c r="AA155" s="49"/>
      <c r="AB155" s="49"/>
      <c r="AC155" s="59" t="str">
        <f t="shared" si="19"/>
        <v>0</v>
      </c>
      <c r="AD155" s="49"/>
      <c r="AE155" s="49"/>
      <c r="AF155" s="49"/>
      <c r="AG155" s="49"/>
      <c r="AH155" s="49"/>
      <c r="AI155" s="59" t="str">
        <f t="shared" si="20"/>
        <v>0</v>
      </c>
      <c r="AJ155" s="49">
        <v>3</v>
      </c>
      <c r="AK155" s="49">
        <v>3</v>
      </c>
      <c r="AL155" s="49">
        <v>3</v>
      </c>
      <c r="AM155" s="49">
        <v>3</v>
      </c>
      <c r="AN155" s="49"/>
      <c r="AO155" s="59">
        <f t="shared" si="21"/>
        <v>3</v>
      </c>
      <c r="AP155" s="49"/>
      <c r="AQ155" s="49"/>
      <c r="AR155" s="49"/>
      <c r="AS155" s="49"/>
      <c r="AT155" s="49"/>
      <c r="AU155" s="59" t="str">
        <f t="shared" si="22"/>
        <v>0</v>
      </c>
      <c r="AV155" s="49"/>
      <c r="AW155" s="49"/>
      <c r="AX155" s="49"/>
      <c r="AY155" s="49">
        <v>2.5</v>
      </c>
      <c r="AZ155" s="49"/>
      <c r="BA155" s="59">
        <f t="shared" si="23"/>
        <v>2.5</v>
      </c>
    </row>
    <row r="156" spans="1:53" ht="23.1" customHeight="1" x14ac:dyDescent="0.3">
      <c r="A156" s="7">
        <v>154</v>
      </c>
      <c r="B156" s="7" t="s">
        <v>93</v>
      </c>
      <c r="C156" s="7" t="s">
        <v>94</v>
      </c>
      <c r="D156" s="7" t="s">
        <v>542</v>
      </c>
      <c r="E156" s="7" t="s">
        <v>35</v>
      </c>
      <c r="F156" s="49">
        <v>4</v>
      </c>
      <c r="G156" s="49">
        <v>4</v>
      </c>
      <c r="H156" s="49">
        <v>4</v>
      </c>
      <c r="I156" s="49"/>
      <c r="J156" s="7"/>
      <c r="K156" s="59">
        <f t="shared" si="16"/>
        <v>4</v>
      </c>
      <c r="L156" s="49"/>
      <c r="M156" s="49">
        <v>4</v>
      </c>
      <c r="N156" s="49">
        <v>4</v>
      </c>
      <c r="O156" s="49"/>
      <c r="P156" s="49"/>
      <c r="Q156" s="59">
        <f t="shared" si="17"/>
        <v>4</v>
      </c>
      <c r="R156" s="49"/>
      <c r="S156" s="49">
        <v>4</v>
      </c>
      <c r="T156" s="7"/>
      <c r="U156" s="49"/>
      <c r="V156" s="7"/>
      <c r="W156" s="59">
        <f t="shared" si="18"/>
        <v>4</v>
      </c>
      <c r="X156" s="49"/>
      <c r="Y156" s="49"/>
      <c r="Z156" s="7"/>
      <c r="AA156" s="7"/>
      <c r="AB156" s="7"/>
      <c r="AC156" s="59" t="str">
        <f t="shared" si="19"/>
        <v>0</v>
      </c>
      <c r="AD156" s="49"/>
      <c r="AE156" s="7"/>
      <c r="AF156" s="49"/>
      <c r="AG156" s="7"/>
      <c r="AH156" s="7"/>
      <c r="AI156" s="59" t="str">
        <f t="shared" si="20"/>
        <v>0</v>
      </c>
      <c r="AJ156" s="49">
        <v>4</v>
      </c>
      <c r="AK156" s="49">
        <v>4</v>
      </c>
      <c r="AL156" s="49">
        <v>4</v>
      </c>
      <c r="AM156" s="49">
        <v>4</v>
      </c>
      <c r="AN156" s="7"/>
      <c r="AO156" s="59">
        <f t="shared" si="21"/>
        <v>4</v>
      </c>
      <c r="AP156" s="49"/>
      <c r="AQ156" s="49"/>
      <c r="AR156" s="49"/>
      <c r="AS156" s="7"/>
      <c r="AT156" s="7"/>
      <c r="AU156" s="59" t="str">
        <f t="shared" si="22"/>
        <v>0</v>
      </c>
      <c r="AV156" s="7"/>
      <c r="AW156" s="7"/>
      <c r="AX156" s="49"/>
      <c r="AY156" s="49">
        <v>5</v>
      </c>
      <c r="AZ156" s="49"/>
      <c r="BA156" s="59">
        <f t="shared" si="23"/>
        <v>5</v>
      </c>
    </row>
    <row r="157" spans="1:53" ht="23.1" customHeight="1" x14ac:dyDescent="0.3">
      <c r="A157" s="49">
        <v>155</v>
      </c>
      <c r="B157" s="49" t="s">
        <v>188</v>
      </c>
      <c r="C157" s="49" t="s">
        <v>189</v>
      </c>
      <c r="D157" s="49" t="s">
        <v>542</v>
      </c>
      <c r="E157" s="49" t="s">
        <v>161</v>
      </c>
      <c r="F157" s="49">
        <v>4</v>
      </c>
      <c r="G157" s="49">
        <v>4</v>
      </c>
      <c r="H157" s="49">
        <v>4</v>
      </c>
      <c r="I157" s="49"/>
      <c r="J157" s="49"/>
      <c r="K157" s="59">
        <f t="shared" si="16"/>
        <v>4</v>
      </c>
      <c r="L157" s="49"/>
      <c r="M157" s="49">
        <v>5</v>
      </c>
      <c r="N157" s="49">
        <v>4</v>
      </c>
      <c r="O157" s="49"/>
      <c r="P157" s="49"/>
      <c r="Q157" s="59">
        <f t="shared" si="17"/>
        <v>4.5</v>
      </c>
      <c r="R157" s="49"/>
      <c r="S157" s="49">
        <v>3</v>
      </c>
      <c r="T157" s="49"/>
      <c r="U157" s="49"/>
      <c r="V157" s="49"/>
      <c r="W157" s="59">
        <f t="shared" si="18"/>
        <v>3</v>
      </c>
      <c r="X157" s="49"/>
      <c r="Y157" s="49"/>
      <c r="Z157" s="49"/>
      <c r="AA157" s="49"/>
      <c r="AB157" s="49"/>
      <c r="AC157" s="59" t="str">
        <f t="shared" si="19"/>
        <v>0</v>
      </c>
      <c r="AD157" s="49"/>
      <c r="AE157" s="49"/>
      <c r="AF157" s="49"/>
      <c r="AG157" s="49"/>
      <c r="AH157" s="49"/>
      <c r="AI157" s="59" t="str">
        <f t="shared" si="20"/>
        <v>0</v>
      </c>
      <c r="AJ157" s="49">
        <v>4</v>
      </c>
      <c r="AK157" s="49">
        <v>4</v>
      </c>
      <c r="AL157" s="49">
        <v>3</v>
      </c>
      <c r="AM157" s="49">
        <v>4</v>
      </c>
      <c r="AN157" s="49"/>
      <c r="AO157" s="59">
        <f t="shared" si="21"/>
        <v>3.75</v>
      </c>
      <c r="AP157" s="49"/>
      <c r="AQ157" s="49"/>
      <c r="AR157" s="49"/>
      <c r="AS157" s="49"/>
      <c r="AT157" s="49"/>
      <c r="AU157" s="59" t="str">
        <f t="shared" si="22"/>
        <v>0</v>
      </c>
      <c r="AV157" s="49"/>
      <c r="AW157" s="49"/>
      <c r="AX157" s="49"/>
      <c r="AY157" s="49">
        <v>5</v>
      </c>
      <c r="AZ157" s="49"/>
      <c r="BA157" s="59">
        <f t="shared" si="23"/>
        <v>5</v>
      </c>
    </row>
    <row r="158" spans="1:53" ht="23.1" customHeight="1" x14ac:dyDescent="0.3">
      <c r="A158" s="7">
        <v>156</v>
      </c>
      <c r="B158" s="7" t="s">
        <v>174</v>
      </c>
      <c r="C158" s="7" t="s">
        <v>175</v>
      </c>
      <c r="D158" s="7" t="s">
        <v>450</v>
      </c>
      <c r="E158" s="7" t="s">
        <v>161</v>
      </c>
      <c r="F158" s="49">
        <v>3</v>
      </c>
      <c r="G158" s="49">
        <v>3.5</v>
      </c>
      <c r="H158" s="49">
        <v>2.5</v>
      </c>
      <c r="I158" s="49"/>
      <c r="J158" s="7"/>
      <c r="K158" s="59">
        <f t="shared" si="16"/>
        <v>3</v>
      </c>
      <c r="L158" s="49"/>
      <c r="M158" s="49">
        <v>2.5</v>
      </c>
      <c r="N158" s="49">
        <v>2</v>
      </c>
      <c r="O158" s="49"/>
      <c r="P158" s="49"/>
      <c r="Q158" s="59">
        <f t="shared" si="17"/>
        <v>2.25</v>
      </c>
      <c r="R158" s="49"/>
      <c r="S158" s="49">
        <v>4</v>
      </c>
      <c r="T158" s="7"/>
      <c r="U158" s="49"/>
      <c r="V158" s="7"/>
      <c r="W158" s="59">
        <f t="shared" si="18"/>
        <v>4</v>
      </c>
      <c r="X158" s="49"/>
      <c r="Y158" s="49"/>
      <c r="Z158" s="7"/>
      <c r="AA158" s="7"/>
      <c r="AB158" s="7"/>
      <c r="AC158" s="59" t="str">
        <f t="shared" si="19"/>
        <v>0</v>
      </c>
      <c r="AD158" s="49"/>
      <c r="AE158" s="7"/>
      <c r="AF158" s="49"/>
      <c r="AG158" s="7"/>
      <c r="AH158" s="7"/>
      <c r="AI158" s="59" t="str">
        <f t="shared" si="20"/>
        <v>0</v>
      </c>
      <c r="AJ158" s="49">
        <v>3</v>
      </c>
      <c r="AK158" s="49">
        <v>3</v>
      </c>
      <c r="AL158" s="49">
        <v>2.5</v>
      </c>
      <c r="AM158" s="49">
        <v>2.5</v>
      </c>
      <c r="AN158" s="7"/>
      <c r="AO158" s="59">
        <f t="shared" si="21"/>
        <v>2.75</v>
      </c>
      <c r="AP158" s="49"/>
      <c r="AQ158" s="49"/>
      <c r="AR158" s="49"/>
      <c r="AS158" s="7"/>
      <c r="AT158" s="7"/>
      <c r="AU158" s="59" t="str">
        <f t="shared" si="22"/>
        <v>0</v>
      </c>
      <c r="AV158" s="7"/>
      <c r="AW158" s="7"/>
      <c r="AX158" s="49"/>
      <c r="AY158" s="49">
        <v>3</v>
      </c>
      <c r="AZ158" s="49"/>
      <c r="BA158" s="59">
        <f t="shared" si="23"/>
        <v>3</v>
      </c>
    </row>
    <row r="159" spans="1:53" ht="23.1" customHeight="1" x14ac:dyDescent="0.3">
      <c r="A159" s="49">
        <v>157</v>
      </c>
      <c r="B159" s="49" t="s">
        <v>205</v>
      </c>
      <c r="C159" s="49" t="s">
        <v>206</v>
      </c>
      <c r="D159" s="49" t="s">
        <v>450</v>
      </c>
      <c r="E159" s="49" t="s">
        <v>161</v>
      </c>
      <c r="F159" s="49">
        <v>4</v>
      </c>
      <c r="G159" s="49">
        <v>4</v>
      </c>
      <c r="H159" s="49">
        <v>4</v>
      </c>
      <c r="I159" s="49"/>
      <c r="J159" s="49"/>
      <c r="K159" s="59">
        <f t="shared" si="16"/>
        <v>4</v>
      </c>
      <c r="L159" s="49"/>
      <c r="M159" s="49">
        <v>4</v>
      </c>
      <c r="N159" s="49">
        <v>4</v>
      </c>
      <c r="O159" s="49"/>
      <c r="P159" s="49"/>
      <c r="Q159" s="59">
        <f t="shared" si="17"/>
        <v>4</v>
      </c>
      <c r="R159" s="49"/>
      <c r="S159" s="49">
        <v>1</v>
      </c>
      <c r="T159" s="49"/>
      <c r="U159" s="49"/>
      <c r="V159" s="49"/>
      <c r="W159" s="59">
        <f t="shared" si="18"/>
        <v>1</v>
      </c>
      <c r="X159" s="49"/>
      <c r="Y159" s="49"/>
      <c r="Z159" s="49"/>
      <c r="AA159" s="49"/>
      <c r="AB159" s="49"/>
      <c r="AC159" s="59" t="str">
        <f t="shared" si="19"/>
        <v>0</v>
      </c>
      <c r="AD159" s="49"/>
      <c r="AE159" s="49"/>
      <c r="AF159" s="49"/>
      <c r="AG159" s="49"/>
      <c r="AH159" s="49"/>
      <c r="AI159" s="59" t="str">
        <f t="shared" si="20"/>
        <v>0</v>
      </c>
      <c r="AJ159" s="49">
        <v>4</v>
      </c>
      <c r="AK159" s="49">
        <v>4</v>
      </c>
      <c r="AL159" s="49">
        <v>4</v>
      </c>
      <c r="AM159" s="49">
        <v>4</v>
      </c>
      <c r="AN159" s="49"/>
      <c r="AO159" s="59">
        <f t="shared" si="21"/>
        <v>4</v>
      </c>
      <c r="AP159" s="49"/>
      <c r="AQ159" s="49"/>
      <c r="AR159" s="49"/>
      <c r="AS159" s="49"/>
      <c r="AT159" s="49"/>
      <c r="AU159" s="59" t="str">
        <f t="shared" si="22"/>
        <v>0</v>
      </c>
      <c r="AV159" s="49"/>
      <c r="AW159" s="49"/>
      <c r="AX159" s="49"/>
      <c r="AY159" s="49">
        <v>4</v>
      </c>
      <c r="AZ159" s="49"/>
      <c r="BA159" s="59">
        <f t="shared" si="23"/>
        <v>4</v>
      </c>
    </row>
    <row r="160" spans="1:53" ht="23.1" customHeight="1" x14ac:dyDescent="0.3">
      <c r="A160" s="7">
        <v>158</v>
      </c>
      <c r="B160" s="7" t="s">
        <v>387</v>
      </c>
      <c r="C160" s="7" t="s">
        <v>388</v>
      </c>
      <c r="D160" s="7" t="s">
        <v>450</v>
      </c>
      <c r="E160" s="7" t="s">
        <v>493</v>
      </c>
      <c r="F160" s="49">
        <v>4</v>
      </c>
      <c r="G160" s="49">
        <v>4</v>
      </c>
      <c r="H160" s="49">
        <v>4</v>
      </c>
      <c r="I160" s="49"/>
      <c r="J160" s="7"/>
      <c r="K160" s="59">
        <f t="shared" si="16"/>
        <v>4</v>
      </c>
      <c r="L160" s="49"/>
      <c r="M160" s="49">
        <v>4</v>
      </c>
      <c r="N160" s="49">
        <v>4</v>
      </c>
      <c r="O160" s="49"/>
      <c r="P160" s="49"/>
      <c r="Q160" s="59">
        <f t="shared" si="17"/>
        <v>4</v>
      </c>
      <c r="R160" s="49"/>
      <c r="S160" s="49">
        <v>1</v>
      </c>
      <c r="T160" s="7"/>
      <c r="U160" s="49"/>
      <c r="V160" s="7"/>
      <c r="W160" s="59">
        <f t="shared" si="18"/>
        <v>1</v>
      </c>
      <c r="X160" s="49"/>
      <c r="Y160" s="49"/>
      <c r="Z160" s="7"/>
      <c r="AA160" s="7"/>
      <c r="AB160" s="7"/>
      <c r="AC160" s="59" t="str">
        <f t="shared" si="19"/>
        <v>0</v>
      </c>
      <c r="AD160" s="49"/>
      <c r="AE160" s="7"/>
      <c r="AF160" s="49"/>
      <c r="AG160" s="7"/>
      <c r="AH160" s="7"/>
      <c r="AI160" s="59" t="str">
        <f t="shared" si="20"/>
        <v>0</v>
      </c>
      <c r="AJ160" s="49">
        <v>4</v>
      </c>
      <c r="AK160" s="49">
        <v>3</v>
      </c>
      <c r="AL160" s="49">
        <v>4</v>
      </c>
      <c r="AM160" s="49">
        <v>4</v>
      </c>
      <c r="AN160" s="7"/>
      <c r="AO160" s="59">
        <f t="shared" si="21"/>
        <v>3.75</v>
      </c>
      <c r="AP160" s="49"/>
      <c r="AQ160" s="49"/>
      <c r="AR160" s="49"/>
      <c r="AS160" s="7"/>
      <c r="AT160" s="7"/>
      <c r="AU160" s="59" t="str">
        <f t="shared" si="22"/>
        <v>0</v>
      </c>
      <c r="AV160" s="7"/>
      <c r="AW160" s="7"/>
      <c r="AX160" s="49"/>
      <c r="AY160" s="49">
        <v>4</v>
      </c>
      <c r="AZ160" s="49"/>
      <c r="BA160" s="59">
        <f t="shared" si="23"/>
        <v>4</v>
      </c>
    </row>
    <row r="161" spans="1:53" ht="23.1" customHeight="1" x14ac:dyDescent="0.3">
      <c r="A161" s="49">
        <v>159</v>
      </c>
      <c r="B161" s="49" t="s">
        <v>190</v>
      </c>
      <c r="C161" s="49" t="s">
        <v>191</v>
      </c>
      <c r="D161" s="49" t="s">
        <v>450</v>
      </c>
      <c r="E161" s="49" t="s">
        <v>161</v>
      </c>
      <c r="F161" s="49">
        <v>4</v>
      </c>
      <c r="G161" s="49">
        <v>4</v>
      </c>
      <c r="H161" s="49">
        <v>5</v>
      </c>
      <c r="I161" s="49"/>
      <c r="J161" s="49"/>
      <c r="K161" s="59">
        <f t="shared" si="16"/>
        <v>4.333333333333333</v>
      </c>
      <c r="L161" s="49"/>
      <c r="M161" s="49">
        <v>4</v>
      </c>
      <c r="N161" s="49">
        <v>4</v>
      </c>
      <c r="O161" s="49"/>
      <c r="P161" s="49"/>
      <c r="Q161" s="59">
        <f t="shared" si="17"/>
        <v>4</v>
      </c>
      <c r="R161" s="49"/>
      <c r="S161" s="49">
        <v>3</v>
      </c>
      <c r="T161" s="49"/>
      <c r="U161" s="49"/>
      <c r="V161" s="49"/>
      <c r="W161" s="59">
        <f t="shared" si="18"/>
        <v>3</v>
      </c>
      <c r="X161" s="49"/>
      <c r="Y161" s="49"/>
      <c r="Z161" s="49"/>
      <c r="AA161" s="49"/>
      <c r="AB161" s="49"/>
      <c r="AC161" s="59" t="str">
        <f t="shared" si="19"/>
        <v>0</v>
      </c>
      <c r="AD161" s="49"/>
      <c r="AE161" s="49"/>
      <c r="AF161" s="49"/>
      <c r="AG161" s="49"/>
      <c r="AH161" s="49"/>
      <c r="AI161" s="59" t="str">
        <f t="shared" si="20"/>
        <v>0</v>
      </c>
      <c r="AJ161" s="49">
        <v>5</v>
      </c>
      <c r="AK161" s="49">
        <v>4</v>
      </c>
      <c r="AL161" s="49">
        <v>4</v>
      </c>
      <c r="AM161" s="49">
        <v>4</v>
      </c>
      <c r="AN161" s="49"/>
      <c r="AO161" s="59">
        <f t="shared" si="21"/>
        <v>4.25</v>
      </c>
      <c r="AP161" s="49"/>
      <c r="AQ161" s="49"/>
      <c r="AR161" s="49"/>
      <c r="AS161" s="49"/>
      <c r="AT161" s="49"/>
      <c r="AU161" s="59" t="str">
        <f t="shared" si="22"/>
        <v>0</v>
      </c>
      <c r="AV161" s="49"/>
      <c r="AW161" s="49"/>
      <c r="AX161" s="49"/>
      <c r="AY161" s="49">
        <v>5</v>
      </c>
      <c r="AZ161" s="49"/>
      <c r="BA161" s="59">
        <f t="shared" si="23"/>
        <v>5</v>
      </c>
    </row>
    <row r="162" spans="1:53" ht="23.1" customHeight="1" x14ac:dyDescent="0.3">
      <c r="A162" s="7">
        <v>160</v>
      </c>
      <c r="B162" s="7" t="s">
        <v>157</v>
      </c>
      <c r="C162" s="7" t="s">
        <v>158</v>
      </c>
      <c r="D162" s="7" t="s">
        <v>542</v>
      </c>
      <c r="E162" s="7" t="s">
        <v>35</v>
      </c>
      <c r="F162" s="49">
        <v>4</v>
      </c>
      <c r="G162" s="49">
        <v>4</v>
      </c>
      <c r="H162" s="49">
        <v>4</v>
      </c>
      <c r="I162" s="49"/>
      <c r="J162" s="7"/>
      <c r="K162" s="59">
        <f t="shared" si="16"/>
        <v>4</v>
      </c>
      <c r="L162" s="49"/>
      <c r="M162" s="49">
        <v>2.5</v>
      </c>
      <c r="N162" s="49">
        <v>2.5</v>
      </c>
      <c r="O162" s="49"/>
      <c r="P162" s="49"/>
      <c r="Q162" s="59">
        <f t="shared" si="17"/>
        <v>2.5</v>
      </c>
      <c r="R162" s="49"/>
      <c r="S162" s="49">
        <v>3</v>
      </c>
      <c r="T162" s="7"/>
      <c r="U162" s="49"/>
      <c r="V162" s="7"/>
      <c r="W162" s="59">
        <f t="shared" si="18"/>
        <v>3</v>
      </c>
      <c r="X162" s="49"/>
      <c r="Y162" s="49"/>
      <c r="Z162" s="7"/>
      <c r="AA162" s="7"/>
      <c r="AB162" s="7"/>
      <c r="AC162" s="59" t="str">
        <f t="shared" si="19"/>
        <v>0</v>
      </c>
      <c r="AD162" s="49"/>
      <c r="AE162" s="7"/>
      <c r="AF162" s="49"/>
      <c r="AG162" s="7"/>
      <c r="AH162" s="7"/>
      <c r="AI162" s="59" t="str">
        <f t="shared" si="20"/>
        <v>0</v>
      </c>
      <c r="AJ162" s="49">
        <v>4</v>
      </c>
      <c r="AK162" s="49">
        <v>4</v>
      </c>
      <c r="AL162" s="49">
        <v>4</v>
      </c>
      <c r="AM162" s="49">
        <v>4</v>
      </c>
      <c r="AN162" s="7"/>
      <c r="AO162" s="59">
        <f t="shared" si="21"/>
        <v>4</v>
      </c>
      <c r="AP162" s="49"/>
      <c r="AQ162" s="49"/>
      <c r="AR162" s="49"/>
      <c r="AS162" s="7"/>
      <c r="AT162" s="7"/>
      <c r="AU162" s="59" t="str">
        <f t="shared" si="22"/>
        <v>0</v>
      </c>
      <c r="AV162" s="7"/>
      <c r="AW162" s="7"/>
      <c r="AX162" s="49"/>
      <c r="AY162" s="49">
        <v>2.5</v>
      </c>
      <c r="AZ162" s="49"/>
      <c r="BA162" s="59">
        <f t="shared" si="23"/>
        <v>2.5</v>
      </c>
    </row>
    <row r="163" spans="1:53" ht="23.1" customHeight="1" x14ac:dyDescent="0.3">
      <c r="A163" s="49">
        <v>161</v>
      </c>
      <c r="B163" s="49" t="s">
        <v>389</v>
      </c>
      <c r="C163" s="49" t="s">
        <v>390</v>
      </c>
      <c r="D163" s="49" t="s">
        <v>450</v>
      </c>
      <c r="E163" s="49" t="s">
        <v>493</v>
      </c>
      <c r="F163" s="49" t="s">
        <v>581</v>
      </c>
      <c r="G163" s="49" t="s">
        <v>581</v>
      </c>
      <c r="H163" s="49" t="s">
        <v>581</v>
      </c>
      <c r="I163" s="49"/>
      <c r="J163" s="49"/>
      <c r="K163" s="59" t="str">
        <f t="shared" si="16"/>
        <v>0</v>
      </c>
      <c r="L163" s="49"/>
      <c r="M163" s="49" t="s">
        <v>581</v>
      </c>
      <c r="N163" s="49" t="s">
        <v>581</v>
      </c>
      <c r="O163" s="49"/>
      <c r="P163" s="49"/>
      <c r="Q163" s="59" t="str">
        <f t="shared" si="17"/>
        <v>0</v>
      </c>
      <c r="R163" s="49"/>
      <c r="S163" s="49">
        <v>3</v>
      </c>
      <c r="T163" s="49"/>
      <c r="U163" s="49"/>
      <c r="V163" s="49"/>
      <c r="W163" s="59">
        <f t="shared" si="18"/>
        <v>3</v>
      </c>
      <c r="X163" s="49"/>
      <c r="Y163" s="49"/>
      <c r="Z163" s="49"/>
      <c r="AA163" s="49"/>
      <c r="AB163" s="49"/>
      <c r="AC163" s="59" t="str">
        <f t="shared" si="19"/>
        <v>0</v>
      </c>
      <c r="AD163" s="49"/>
      <c r="AE163" s="49"/>
      <c r="AF163" s="49"/>
      <c r="AG163" s="49"/>
      <c r="AH163" s="49"/>
      <c r="AI163" s="59" t="str">
        <f t="shared" si="20"/>
        <v>0</v>
      </c>
      <c r="AJ163" s="49" t="s">
        <v>581</v>
      </c>
      <c r="AK163" s="49" t="s">
        <v>581</v>
      </c>
      <c r="AL163" s="49" t="s">
        <v>581</v>
      </c>
      <c r="AM163" s="49" t="s">
        <v>581</v>
      </c>
      <c r="AN163" s="49"/>
      <c r="AO163" s="59" t="str">
        <f t="shared" si="21"/>
        <v>0</v>
      </c>
      <c r="AP163" s="49"/>
      <c r="AQ163" s="49"/>
      <c r="AR163" s="49"/>
      <c r="AS163" s="49"/>
      <c r="AT163" s="49"/>
      <c r="AU163" s="59" t="str">
        <f t="shared" si="22"/>
        <v>0</v>
      </c>
      <c r="AV163" s="49"/>
      <c r="AW163" s="49"/>
      <c r="AX163" s="49"/>
      <c r="AY163" s="49" t="s">
        <v>581</v>
      </c>
      <c r="AZ163" s="49"/>
      <c r="BA163" s="59" t="str">
        <f t="shared" si="23"/>
        <v>0</v>
      </c>
    </row>
    <row r="164" spans="1:53" ht="23.1" customHeight="1" x14ac:dyDescent="0.3">
      <c r="A164" s="7">
        <v>162</v>
      </c>
      <c r="B164" s="7" t="s">
        <v>391</v>
      </c>
      <c r="C164" s="7" t="s">
        <v>392</v>
      </c>
      <c r="D164" s="7" t="s">
        <v>450</v>
      </c>
      <c r="E164" s="7" t="s">
        <v>493</v>
      </c>
      <c r="F164" s="49">
        <v>4</v>
      </c>
      <c r="G164" s="49">
        <v>4</v>
      </c>
      <c r="H164" s="49">
        <v>4</v>
      </c>
      <c r="I164" s="49"/>
      <c r="J164" s="7"/>
      <c r="K164" s="59">
        <f t="shared" si="16"/>
        <v>4</v>
      </c>
      <c r="L164" s="49"/>
      <c r="M164" s="49">
        <v>3</v>
      </c>
      <c r="N164" s="49">
        <v>4</v>
      </c>
      <c r="O164" s="49"/>
      <c r="P164" s="49"/>
      <c r="Q164" s="59">
        <f t="shared" si="17"/>
        <v>3.5</v>
      </c>
      <c r="R164" s="49"/>
      <c r="S164" s="49">
        <v>2</v>
      </c>
      <c r="T164" s="7"/>
      <c r="U164" s="49"/>
      <c r="V164" s="7"/>
      <c r="W164" s="59">
        <f t="shared" si="18"/>
        <v>2</v>
      </c>
      <c r="X164" s="49"/>
      <c r="Y164" s="49"/>
      <c r="Z164" s="7"/>
      <c r="AA164" s="7"/>
      <c r="AB164" s="7"/>
      <c r="AC164" s="59" t="str">
        <f t="shared" si="19"/>
        <v>0</v>
      </c>
      <c r="AD164" s="49"/>
      <c r="AE164" s="7"/>
      <c r="AF164" s="49"/>
      <c r="AG164" s="7"/>
      <c r="AH164" s="7"/>
      <c r="AI164" s="59" t="str">
        <f t="shared" si="20"/>
        <v>0</v>
      </c>
      <c r="AJ164" s="49">
        <v>4</v>
      </c>
      <c r="AK164" s="49">
        <v>4</v>
      </c>
      <c r="AL164" s="49">
        <v>4</v>
      </c>
      <c r="AM164" s="49">
        <v>4</v>
      </c>
      <c r="AN164" s="7"/>
      <c r="AO164" s="59">
        <f t="shared" si="21"/>
        <v>4</v>
      </c>
      <c r="AP164" s="49"/>
      <c r="AQ164" s="49"/>
      <c r="AR164" s="49"/>
      <c r="AS164" s="7"/>
      <c r="AT164" s="7"/>
      <c r="AU164" s="59" t="str">
        <f t="shared" si="22"/>
        <v>0</v>
      </c>
      <c r="AV164" s="7"/>
      <c r="AW164" s="7"/>
      <c r="AX164" s="49"/>
      <c r="AY164" s="49">
        <v>3</v>
      </c>
      <c r="AZ164" s="49"/>
      <c r="BA164" s="59">
        <f t="shared" si="23"/>
        <v>3</v>
      </c>
    </row>
    <row r="165" spans="1:53" ht="23.1" customHeight="1" x14ac:dyDescent="0.3">
      <c r="A165" s="49">
        <v>163</v>
      </c>
      <c r="B165" s="49" t="s">
        <v>221</v>
      </c>
      <c r="C165" s="49" t="s">
        <v>222</v>
      </c>
      <c r="D165" s="49" t="s">
        <v>450</v>
      </c>
      <c r="E165" s="49" t="s">
        <v>161</v>
      </c>
      <c r="F165" s="49">
        <v>3</v>
      </c>
      <c r="G165" s="49">
        <v>3</v>
      </c>
      <c r="H165" s="49">
        <v>3</v>
      </c>
      <c r="I165" s="49"/>
      <c r="J165" s="49"/>
      <c r="K165" s="59">
        <f t="shared" si="16"/>
        <v>3</v>
      </c>
      <c r="L165" s="49"/>
      <c r="M165" s="49">
        <v>3</v>
      </c>
      <c r="N165" s="49">
        <v>3</v>
      </c>
      <c r="O165" s="49"/>
      <c r="P165" s="49"/>
      <c r="Q165" s="59">
        <f t="shared" si="17"/>
        <v>3</v>
      </c>
      <c r="R165" s="49"/>
      <c r="S165" s="49">
        <v>3</v>
      </c>
      <c r="T165" s="49"/>
      <c r="U165" s="49"/>
      <c r="V165" s="49"/>
      <c r="W165" s="59">
        <f t="shared" si="18"/>
        <v>3</v>
      </c>
      <c r="X165" s="49"/>
      <c r="Y165" s="49"/>
      <c r="Z165" s="49"/>
      <c r="AA165" s="49"/>
      <c r="AB165" s="49"/>
      <c r="AC165" s="59" t="str">
        <f t="shared" si="19"/>
        <v>0</v>
      </c>
      <c r="AD165" s="49"/>
      <c r="AE165" s="49"/>
      <c r="AF165" s="49"/>
      <c r="AG165" s="49"/>
      <c r="AH165" s="49"/>
      <c r="AI165" s="59" t="str">
        <f t="shared" si="20"/>
        <v>0</v>
      </c>
      <c r="AJ165" s="49">
        <v>3</v>
      </c>
      <c r="AK165" s="49">
        <v>3</v>
      </c>
      <c r="AL165" s="49">
        <v>4</v>
      </c>
      <c r="AM165" s="49">
        <v>4</v>
      </c>
      <c r="AN165" s="49"/>
      <c r="AO165" s="59">
        <f t="shared" si="21"/>
        <v>3.5</v>
      </c>
      <c r="AP165" s="49"/>
      <c r="AQ165" s="49"/>
      <c r="AR165" s="49"/>
      <c r="AS165" s="49"/>
      <c r="AT165" s="49"/>
      <c r="AU165" s="59" t="str">
        <f t="shared" si="22"/>
        <v>0</v>
      </c>
      <c r="AV165" s="49"/>
      <c r="AW165" s="49"/>
      <c r="AX165" s="49"/>
      <c r="AY165" s="49">
        <v>4</v>
      </c>
      <c r="AZ165" s="49"/>
      <c r="BA165" s="59">
        <f t="shared" si="23"/>
        <v>4</v>
      </c>
    </row>
    <row r="166" spans="1:53" ht="23.1" customHeight="1" x14ac:dyDescent="0.3">
      <c r="A166" s="7">
        <v>164</v>
      </c>
      <c r="B166" s="7" t="s">
        <v>207</v>
      </c>
      <c r="C166" s="7" t="s">
        <v>208</v>
      </c>
      <c r="D166" s="7" t="s">
        <v>542</v>
      </c>
      <c r="E166" s="7" t="s">
        <v>161</v>
      </c>
      <c r="F166" s="49">
        <v>2</v>
      </c>
      <c r="G166" s="49">
        <v>2</v>
      </c>
      <c r="H166" s="49">
        <v>2.5</v>
      </c>
      <c r="I166" s="49"/>
      <c r="J166" s="7"/>
      <c r="K166" s="59">
        <f t="shared" si="16"/>
        <v>2.1666666666666665</v>
      </c>
      <c r="L166" s="49"/>
      <c r="M166" s="49">
        <v>3</v>
      </c>
      <c r="N166" s="49">
        <v>3</v>
      </c>
      <c r="O166" s="49"/>
      <c r="P166" s="49"/>
      <c r="Q166" s="59">
        <f t="shared" si="17"/>
        <v>3</v>
      </c>
      <c r="R166" s="49"/>
      <c r="S166" s="49">
        <v>3</v>
      </c>
      <c r="T166" s="7"/>
      <c r="U166" s="49"/>
      <c r="V166" s="7"/>
      <c r="W166" s="59">
        <f t="shared" si="18"/>
        <v>3</v>
      </c>
      <c r="X166" s="49"/>
      <c r="Y166" s="49"/>
      <c r="Z166" s="7"/>
      <c r="AA166" s="7"/>
      <c r="AB166" s="7"/>
      <c r="AC166" s="59" t="str">
        <f t="shared" si="19"/>
        <v>0</v>
      </c>
      <c r="AD166" s="49"/>
      <c r="AE166" s="7"/>
      <c r="AF166" s="49"/>
      <c r="AG166" s="7"/>
      <c r="AH166" s="7"/>
      <c r="AI166" s="59" t="str">
        <f t="shared" si="20"/>
        <v>0</v>
      </c>
      <c r="AJ166" s="49">
        <v>2.5</v>
      </c>
      <c r="AK166" s="49">
        <v>2</v>
      </c>
      <c r="AL166" s="49">
        <v>2</v>
      </c>
      <c r="AM166" s="49">
        <v>2</v>
      </c>
      <c r="AN166" s="7"/>
      <c r="AO166" s="59">
        <f t="shared" si="21"/>
        <v>2.125</v>
      </c>
      <c r="AP166" s="49"/>
      <c r="AQ166" s="49"/>
      <c r="AR166" s="49"/>
      <c r="AS166" s="7"/>
      <c r="AT166" s="7"/>
      <c r="AU166" s="59" t="str">
        <f t="shared" si="22"/>
        <v>0</v>
      </c>
      <c r="AV166" s="7"/>
      <c r="AW166" s="7"/>
      <c r="AX166" s="49"/>
      <c r="AY166" s="49">
        <v>2.5</v>
      </c>
      <c r="AZ166" s="49"/>
      <c r="BA166" s="59">
        <f t="shared" si="23"/>
        <v>2.5</v>
      </c>
    </row>
    <row r="167" spans="1:53" ht="23.1" customHeight="1" x14ac:dyDescent="0.3">
      <c r="A167" s="49">
        <v>165</v>
      </c>
      <c r="B167" s="49" t="s">
        <v>48</v>
      </c>
      <c r="C167" s="49" t="s">
        <v>49</v>
      </c>
      <c r="D167" s="49" t="s">
        <v>450</v>
      </c>
      <c r="E167" s="49" t="s">
        <v>35</v>
      </c>
      <c r="F167" s="49">
        <v>3</v>
      </c>
      <c r="G167" s="49">
        <v>3</v>
      </c>
      <c r="H167" s="49">
        <v>3</v>
      </c>
      <c r="I167" s="49"/>
      <c r="J167" s="49"/>
      <c r="K167" s="59">
        <f t="shared" si="16"/>
        <v>3</v>
      </c>
      <c r="L167" s="49"/>
      <c r="M167" s="49">
        <v>2.5</v>
      </c>
      <c r="N167" s="49">
        <v>2.5</v>
      </c>
      <c r="O167" s="49"/>
      <c r="P167" s="49"/>
      <c r="Q167" s="59">
        <f t="shared" si="17"/>
        <v>2.5</v>
      </c>
      <c r="R167" s="49"/>
      <c r="S167" s="49">
        <v>3</v>
      </c>
      <c r="T167" s="49"/>
      <c r="U167" s="49"/>
      <c r="V167" s="49"/>
      <c r="W167" s="59">
        <f t="shared" si="18"/>
        <v>3</v>
      </c>
      <c r="X167" s="49"/>
      <c r="Y167" s="49"/>
      <c r="Z167" s="49"/>
      <c r="AA167" s="49"/>
      <c r="AB167" s="49"/>
      <c r="AC167" s="59" t="str">
        <f t="shared" si="19"/>
        <v>0</v>
      </c>
      <c r="AD167" s="49"/>
      <c r="AE167" s="49"/>
      <c r="AF167" s="49"/>
      <c r="AG167" s="49"/>
      <c r="AH167" s="49"/>
      <c r="AI167" s="59" t="str">
        <f t="shared" si="20"/>
        <v>0</v>
      </c>
      <c r="AJ167" s="49">
        <v>3</v>
      </c>
      <c r="AK167" s="49">
        <v>3</v>
      </c>
      <c r="AL167" s="49">
        <v>4</v>
      </c>
      <c r="AM167" s="49">
        <v>3</v>
      </c>
      <c r="AN167" s="49"/>
      <c r="AO167" s="59">
        <f t="shared" si="21"/>
        <v>3.25</v>
      </c>
      <c r="AP167" s="49"/>
      <c r="AQ167" s="49"/>
      <c r="AR167" s="49"/>
      <c r="AS167" s="49"/>
      <c r="AT167" s="49"/>
      <c r="AU167" s="59" t="str">
        <f t="shared" si="22"/>
        <v>0</v>
      </c>
      <c r="AV167" s="49"/>
      <c r="AW167" s="49"/>
      <c r="AX167" s="49"/>
      <c r="AY167" s="49">
        <v>3</v>
      </c>
      <c r="AZ167" s="49"/>
      <c r="BA167" s="59">
        <f t="shared" si="23"/>
        <v>3</v>
      </c>
    </row>
    <row r="168" spans="1:53" ht="23.1" customHeight="1" x14ac:dyDescent="0.3">
      <c r="A168" s="7">
        <v>166</v>
      </c>
      <c r="B168" s="7" t="s">
        <v>159</v>
      </c>
      <c r="C168" s="7" t="s">
        <v>160</v>
      </c>
      <c r="D168" s="7" t="s">
        <v>450</v>
      </c>
      <c r="E168" s="7" t="s">
        <v>35</v>
      </c>
      <c r="F168" s="49">
        <v>4</v>
      </c>
      <c r="G168" s="49">
        <v>3</v>
      </c>
      <c r="H168" s="49">
        <v>4</v>
      </c>
      <c r="I168" s="49"/>
      <c r="J168" s="7"/>
      <c r="K168" s="59">
        <f t="shared" si="16"/>
        <v>3.6666666666666665</v>
      </c>
      <c r="L168" s="49"/>
      <c r="M168" s="49">
        <v>4</v>
      </c>
      <c r="N168" s="49">
        <v>3</v>
      </c>
      <c r="O168" s="49"/>
      <c r="P168" s="49"/>
      <c r="Q168" s="59">
        <f t="shared" si="17"/>
        <v>3.5</v>
      </c>
      <c r="R168" s="49"/>
      <c r="S168" s="49">
        <v>3</v>
      </c>
      <c r="T168" s="7"/>
      <c r="U168" s="49"/>
      <c r="V168" s="7"/>
      <c r="W168" s="59">
        <f t="shared" si="18"/>
        <v>3</v>
      </c>
      <c r="X168" s="49"/>
      <c r="Y168" s="49"/>
      <c r="Z168" s="7"/>
      <c r="AA168" s="7"/>
      <c r="AB168" s="7"/>
      <c r="AC168" s="59" t="str">
        <f t="shared" si="19"/>
        <v>0</v>
      </c>
      <c r="AD168" s="49"/>
      <c r="AE168" s="7"/>
      <c r="AF168" s="49"/>
      <c r="AG168" s="7"/>
      <c r="AH168" s="7"/>
      <c r="AI168" s="59" t="str">
        <f t="shared" si="20"/>
        <v>0</v>
      </c>
      <c r="AJ168" s="49">
        <v>4</v>
      </c>
      <c r="AK168" s="49">
        <v>3</v>
      </c>
      <c r="AL168" s="49">
        <v>3</v>
      </c>
      <c r="AM168" s="49">
        <v>4</v>
      </c>
      <c r="AN168" s="7"/>
      <c r="AO168" s="59">
        <f t="shared" si="21"/>
        <v>3.5</v>
      </c>
      <c r="AP168" s="49"/>
      <c r="AQ168" s="49"/>
      <c r="AR168" s="49"/>
      <c r="AS168" s="7"/>
      <c r="AT168" s="7"/>
      <c r="AU168" s="59" t="str">
        <f t="shared" si="22"/>
        <v>0</v>
      </c>
      <c r="AV168" s="7"/>
      <c r="AW168" s="7"/>
      <c r="AX168" s="49"/>
      <c r="AY168" s="49">
        <v>3</v>
      </c>
      <c r="AZ168" s="49"/>
      <c r="BA168" s="59">
        <f t="shared" si="23"/>
        <v>3</v>
      </c>
    </row>
    <row r="169" spans="1:53" ht="23.1" customHeight="1" x14ac:dyDescent="0.3">
      <c r="A169" s="49">
        <v>167</v>
      </c>
      <c r="B169" s="49" t="s">
        <v>192</v>
      </c>
      <c r="C169" s="49" t="s">
        <v>193</v>
      </c>
      <c r="D169" s="49" t="s">
        <v>450</v>
      </c>
      <c r="E169" s="49" t="s">
        <v>161</v>
      </c>
      <c r="F169" s="49">
        <v>4</v>
      </c>
      <c r="G169" s="49">
        <v>4</v>
      </c>
      <c r="H169" s="49">
        <v>4</v>
      </c>
      <c r="I169" s="49"/>
      <c r="J169" s="49"/>
      <c r="K169" s="59">
        <f t="shared" si="16"/>
        <v>4</v>
      </c>
      <c r="L169" s="49"/>
      <c r="M169" s="49">
        <v>4</v>
      </c>
      <c r="N169" s="49">
        <v>3</v>
      </c>
      <c r="O169" s="49"/>
      <c r="P169" s="49"/>
      <c r="Q169" s="59">
        <f t="shared" si="17"/>
        <v>3.5</v>
      </c>
      <c r="R169" s="49"/>
      <c r="S169" s="49">
        <v>2</v>
      </c>
      <c r="T169" s="49"/>
      <c r="U169" s="49"/>
      <c r="V169" s="49"/>
      <c r="W169" s="59">
        <f t="shared" si="18"/>
        <v>2</v>
      </c>
      <c r="X169" s="49"/>
      <c r="Y169" s="49"/>
      <c r="Z169" s="49"/>
      <c r="AA169" s="49"/>
      <c r="AB169" s="49"/>
      <c r="AC169" s="59" t="str">
        <f t="shared" si="19"/>
        <v>0</v>
      </c>
      <c r="AD169" s="49"/>
      <c r="AE169" s="49"/>
      <c r="AF169" s="49"/>
      <c r="AG169" s="49"/>
      <c r="AH169" s="49"/>
      <c r="AI169" s="59" t="str">
        <f t="shared" si="20"/>
        <v>0</v>
      </c>
      <c r="AJ169" s="49">
        <v>5</v>
      </c>
      <c r="AK169" s="49">
        <v>5</v>
      </c>
      <c r="AL169" s="49">
        <v>4</v>
      </c>
      <c r="AM169" s="49">
        <v>4</v>
      </c>
      <c r="AN169" s="49"/>
      <c r="AO169" s="59">
        <f t="shared" si="21"/>
        <v>4.5</v>
      </c>
      <c r="AP169" s="49"/>
      <c r="AQ169" s="49"/>
      <c r="AR169" s="49"/>
      <c r="AS169" s="49"/>
      <c r="AT169" s="49"/>
      <c r="AU169" s="59" t="str">
        <f t="shared" si="22"/>
        <v>0</v>
      </c>
      <c r="AV169" s="49"/>
      <c r="AW169" s="49"/>
      <c r="AX169" s="49"/>
      <c r="AY169" s="49">
        <v>3</v>
      </c>
      <c r="AZ169" s="49"/>
      <c r="BA169" s="59">
        <f t="shared" si="23"/>
        <v>3</v>
      </c>
    </row>
    <row r="170" spans="1:53" ht="23.1" customHeight="1" x14ac:dyDescent="0.3">
      <c r="A170" s="7">
        <v>168</v>
      </c>
      <c r="B170" s="7" t="s">
        <v>223</v>
      </c>
      <c r="C170" s="7" t="s">
        <v>224</v>
      </c>
      <c r="D170" s="7" t="s">
        <v>542</v>
      </c>
      <c r="E170" s="7" t="s">
        <v>161</v>
      </c>
      <c r="F170" s="49">
        <v>4</v>
      </c>
      <c r="G170" s="49">
        <v>4</v>
      </c>
      <c r="H170" s="49">
        <v>5</v>
      </c>
      <c r="I170" s="49"/>
      <c r="J170" s="7"/>
      <c r="K170" s="59">
        <f t="shared" si="16"/>
        <v>4.333333333333333</v>
      </c>
      <c r="L170" s="49"/>
      <c r="M170" s="49">
        <v>4</v>
      </c>
      <c r="N170" s="49">
        <v>5</v>
      </c>
      <c r="O170" s="49"/>
      <c r="P170" s="49"/>
      <c r="Q170" s="59">
        <f t="shared" si="17"/>
        <v>4.5</v>
      </c>
      <c r="R170" s="49"/>
      <c r="S170" s="49">
        <v>3</v>
      </c>
      <c r="T170" s="7"/>
      <c r="U170" s="49"/>
      <c r="V170" s="7"/>
      <c r="W170" s="59">
        <f t="shared" si="18"/>
        <v>3</v>
      </c>
      <c r="X170" s="49"/>
      <c r="Y170" s="49"/>
      <c r="Z170" s="7"/>
      <c r="AA170" s="7"/>
      <c r="AB170" s="7"/>
      <c r="AC170" s="59" t="str">
        <f t="shared" si="19"/>
        <v>0</v>
      </c>
      <c r="AD170" s="49"/>
      <c r="AE170" s="7"/>
      <c r="AF170" s="49"/>
      <c r="AG170" s="7"/>
      <c r="AH170" s="7"/>
      <c r="AI170" s="59" t="str">
        <f t="shared" si="20"/>
        <v>0</v>
      </c>
      <c r="AJ170" s="49">
        <v>5</v>
      </c>
      <c r="AK170" s="49">
        <v>4</v>
      </c>
      <c r="AL170" s="49">
        <v>4</v>
      </c>
      <c r="AM170" s="49">
        <v>4</v>
      </c>
      <c r="AN170" s="7"/>
      <c r="AO170" s="59">
        <f t="shared" si="21"/>
        <v>4.25</v>
      </c>
      <c r="AP170" s="49"/>
      <c r="AQ170" s="49"/>
      <c r="AR170" s="49"/>
      <c r="AS170" s="7"/>
      <c r="AT170" s="7"/>
      <c r="AU170" s="59" t="str">
        <f t="shared" si="22"/>
        <v>0</v>
      </c>
      <c r="AV170" s="7"/>
      <c r="AW170" s="7"/>
      <c r="AX170" s="49"/>
      <c r="AY170" s="49">
        <v>5</v>
      </c>
      <c r="AZ170" s="49"/>
      <c r="BA170" s="59">
        <f t="shared" si="23"/>
        <v>5</v>
      </c>
    </row>
    <row r="171" spans="1:53" ht="23.1" customHeight="1" x14ac:dyDescent="0.3">
      <c r="A171" s="49">
        <v>169</v>
      </c>
      <c r="B171" s="49" t="s">
        <v>393</v>
      </c>
      <c r="C171" s="49" t="s">
        <v>394</v>
      </c>
      <c r="D171" s="49" t="s">
        <v>450</v>
      </c>
      <c r="E171" s="49" t="s">
        <v>493</v>
      </c>
      <c r="F171" s="49">
        <v>4</v>
      </c>
      <c r="G171" s="49">
        <v>4</v>
      </c>
      <c r="H171" s="49">
        <v>4</v>
      </c>
      <c r="I171" s="49"/>
      <c r="J171" s="49"/>
      <c r="K171" s="59">
        <f t="shared" si="16"/>
        <v>4</v>
      </c>
      <c r="L171" s="49"/>
      <c r="M171" s="49">
        <v>4</v>
      </c>
      <c r="N171" s="49">
        <v>4</v>
      </c>
      <c r="O171" s="49"/>
      <c r="P171" s="49"/>
      <c r="Q171" s="59">
        <f t="shared" si="17"/>
        <v>4</v>
      </c>
      <c r="R171" s="49"/>
      <c r="S171" s="49">
        <v>2</v>
      </c>
      <c r="T171" s="49"/>
      <c r="U171" s="49"/>
      <c r="V171" s="49"/>
      <c r="W171" s="59">
        <f t="shared" si="18"/>
        <v>2</v>
      </c>
      <c r="X171" s="49"/>
      <c r="Y171" s="49"/>
      <c r="Z171" s="49"/>
      <c r="AA171" s="49"/>
      <c r="AB171" s="49"/>
      <c r="AC171" s="59" t="str">
        <f t="shared" si="19"/>
        <v>0</v>
      </c>
      <c r="AD171" s="49"/>
      <c r="AE171" s="49"/>
      <c r="AF171" s="49"/>
      <c r="AG171" s="49"/>
      <c r="AH171" s="49"/>
      <c r="AI171" s="59" t="str">
        <f t="shared" si="20"/>
        <v>0</v>
      </c>
      <c r="AJ171" s="49">
        <v>4</v>
      </c>
      <c r="AK171" s="49">
        <v>4</v>
      </c>
      <c r="AL171" s="49">
        <v>4</v>
      </c>
      <c r="AM171" s="49">
        <v>4</v>
      </c>
      <c r="AN171" s="49"/>
      <c r="AO171" s="59">
        <f t="shared" si="21"/>
        <v>4</v>
      </c>
      <c r="AP171" s="49"/>
      <c r="AQ171" s="49"/>
      <c r="AR171" s="49"/>
      <c r="AS171" s="49"/>
      <c r="AT171" s="49"/>
      <c r="AU171" s="59" t="str">
        <f t="shared" si="22"/>
        <v>0</v>
      </c>
      <c r="AV171" s="49"/>
      <c r="AW171" s="49"/>
      <c r="AX171" s="49"/>
      <c r="AY171" s="49">
        <v>4</v>
      </c>
      <c r="AZ171" s="49"/>
      <c r="BA171" s="59">
        <f t="shared" si="23"/>
        <v>4</v>
      </c>
    </row>
    <row r="172" spans="1:53" ht="23.1" customHeight="1" x14ac:dyDescent="0.3">
      <c r="A172" s="7">
        <v>170</v>
      </c>
      <c r="B172" s="7" t="s">
        <v>395</v>
      </c>
      <c r="C172" s="7" t="s">
        <v>396</v>
      </c>
      <c r="D172" s="7" t="s">
        <v>542</v>
      </c>
      <c r="E172" s="7" t="s">
        <v>493</v>
      </c>
      <c r="F172" s="49">
        <v>4</v>
      </c>
      <c r="G172" s="49">
        <v>3</v>
      </c>
      <c r="H172" s="49">
        <v>3</v>
      </c>
      <c r="I172" s="49"/>
      <c r="J172" s="7"/>
      <c r="K172" s="59">
        <f t="shared" si="16"/>
        <v>3.3333333333333335</v>
      </c>
      <c r="L172" s="49"/>
      <c r="M172" s="49">
        <v>5</v>
      </c>
      <c r="N172" s="49">
        <v>5</v>
      </c>
      <c r="O172" s="49"/>
      <c r="P172" s="49"/>
      <c r="Q172" s="59">
        <f t="shared" si="17"/>
        <v>5</v>
      </c>
      <c r="R172" s="49"/>
      <c r="S172" s="49">
        <v>3</v>
      </c>
      <c r="T172" s="7"/>
      <c r="U172" s="49"/>
      <c r="V172" s="7"/>
      <c r="W172" s="59">
        <f t="shared" si="18"/>
        <v>3</v>
      </c>
      <c r="X172" s="49"/>
      <c r="Y172" s="49"/>
      <c r="Z172" s="7"/>
      <c r="AA172" s="7"/>
      <c r="AB172" s="7"/>
      <c r="AC172" s="59" t="str">
        <f t="shared" si="19"/>
        <v>0</v>
      </c>
      <c r="AD172" s="49"/>
      <c r="AE172" s="7"/>
      <c r="AF172" s="49"/>
      <c r="AG172" s="7"/>
      <c r="AH172" s="7"/>
      <c r="AI172" s="59" t="str">
        <f t="shared" si="20"/>
        <v>0</v>
      </c>
      <c r="AJ172" s="49">
        <v>2</v>
      </c>
      <c r="AK172" s="49">
        <v>3</v>
      </c>
      <c r="AL172" s="49">
        <v>3</v>
      </c>
      <c r="AM172" s="49">
        <v>3</v>
      </c>
      <c r="AN172" s="7"/>
      <c r="AO172" s="59">
        <f t="shared" si="21"/>
        <v>2.75</v>
      </c>
      <c r="AP172" s="49"/>
      <c r="AQ172" s="49"/>
      <c r="AR172" s="49"/>
      <c r="AS172" s="7"/>
      <c r="AT172" s="7"/>
      <c r="AU172" s="59" t="str">
        <f t="shared" si="22"/>
        <v>0</v>
      </c>
      <c r="AV172" s="7"/>
      <c r="AW172" s="7"/>
      <c r="AX172" s="49"/>
      <c r="AY172" s="49">
        <v>3</v>
      </c>
      <c r="AZ172" s="49"/>
      <c r="BA172" s="59">
        <f t="shared" si="23"/>
        <v>3</v>
      </c>
    </row>
    <row r="173" spans="1:53" ht="23.1" customHeight="1" x14ac:dyDescent="0.3">
      <c r="A173" s="49">
        <v>171</v>
      </c>
      <c r="B173" s="49" t="s">
        <v>285</v>
      </c>
      <c r="C173" s="49" t="s">
        <v>286</v>
      </c>
      <c r="D173" s="49" t="s">
        <v>542</v>
      </c>
      <c r="E173" s="49" t="s">
        <v>161</v>
      </c>
      <c r="F173" s="49">
        <v>3</v>
      </c>
      <c r="G173" s="49">
        <v>2</v>
      </c>
      <c r="H173" s="49">
        <v>3</v>
      </c>
      <c r="I173" s="49"/>
      <c r="J173" s="49"/>
      <c r="K173" s="59">
        <f t="shared" si="16"/>
        <v>2.6666666666666665</v>
      </c>
      <c r="L173" s="49"/>
      <c r="M173" s="49">
        <v>4</v>
      </c>
      <c r="N173" s="49">
        <v>4</v>
      </c>
      <c r="O173" s="49"/>
      <c r="P173" s="49"/>
      <c r="Q173" s="59">
        <f t="shared" si="17"/>
        <v>4</v>
      </c>
      <c r="R173" s="49"/>
      <c r="S173" s="49">
        <v>2</v>
      </c>
      <c r="T173" s="49"/>
      <c r="U173" s="49"/>
      <c r="V173" s="49"/>
      <c r="W173" s="59">
        <f t="shared" si="18"/>
        <v>2</v>
      </c>
      <c r="X173" s="49"/>
      <c r="Y173" s="49"/>
      <c r="Z173" s="49"/>
      <c r="AA173" s="49"/>
      <c r="AB173" s="49"/>
      <c r="AC173" s="59" t="str">
        <f t="shared" si="19"/>
        <v>0</v>
      </c>
      <c r="AD173" s="49"/>
      <c r="AE173" s="49"/>
      <c r="AF173" s="49"/>
      <c r="AG173" s="49"/>
      <c r="AH173" s="49"/>
      <c r="AI173" s="59" t="str">
        <f t="shared" si="20"/>
        <v>0</v>
      </c>
      <c r="AJ173" s="49">
        <v>4</v>
      </c>
      <c r="AK173" s="49">
        <v>3</v>
      </c>
      <c r="AL173" s="49">
        <v>3</v>
      </c>
      <c r="AM173" s="49">
        <v>4</v>
      </c>
      <c r="AN173" s="49"/>
      <c r="AO173" s="59">
        <f t="shared" si="21"/>
        <v>3.5</v>
      </c>
      <c r="AP173" s="49"/>
      <c r="AQ173" s="49"/>
      <c r="AR173" s="49"/>
      <c r="AS173" s="49"/>
      <c r="AT173" s="49"/>
      <c r="AU173" s="59" t="str">
        <f t="shared" si="22"/>
        <v>0</v>
      </c>
      <c r="AV173" s="49"/>
      <c r="AW173" s="49"/>
      <c r="AX173" s="49"/>
      <c r="AY173" s="49">
        <v>5</v>
      </c>
      <c r="AZ173" s="49"/>
      <c r="BA173" s="59">
        <f t="shared" si="23"/>
        <v>5</v>
      </c>
    </row>
    <row r="174" spans="1:53" ht="23.1" customHeight="1" x14ac:dyDescent="0.3">
      <c r="A174" s="7">
        <v>172</v>
      </c>
      <c r="B174" s="7" t="s">
        <v>397</v>
      </c>
      <c r="C174" s="7" t="s">
        <v>539</v>
      </c>
      <c r="D174" s="7" t="s">
        <v>542</v>
      </c>
      <c r="E174" s="7" t="s">
        <v>289</v>
      </c>
      <c r="F174" s="49">
        <v>3</v>
      </c>
      <c r="G174" s="49">
        <v>3</v>
      </c>
      <c r="H174" s="49">
        <v>3</v>
      </c>
      <c r="I174" s="49"/>
      <c r="J174" s="7"/>
      <c r="K174" s="59">
        <f t="shared" si="16"/>
        <v>3</v>
      </c>
      <c r="L174" s="49"/>
      <c r="M174" s="49">
        <v>3</v>
      </c>
      <c r="N174" s="49">
        <v>3</v>
      </c>
      <c r="O174" s="49"/>
      <c r="P174" s="49"/>
      <c r="Q174" s="59">
        <f t="shared" si="17"/>
        <v>3</v>
      </c>
      <c r="R174" s="49"/>
      <c r="S174" s="49">
        <v>2</v>
      </c>
      <c r="T174" s="7"/>
      <c r="U174" s="49"/>
      <c r="V174" s="7"/>
      <c r="W174" s="59">
        <f t="shared" si="18"/>
        <v>2</v>
      </c>
      <c r="X174" s="49"/>
      <c r="Y174" s="49"/>
      <c r="Z174" s="7"/>
      <c r="AA174" s="7"/>
      <c r="AB174" s="7"/>
      <c r="AC174" s="59" t="str">
        <f t="shared" si="19"/>
        <v>0</v>
      </c>
      <c r="AD174" s="49"/>
      <c r="AE174" s="7"/>
      <c r="AF174" s="49"/>
      <c r="AG174" s="7"/>
      <c r="AH174" s="7"/>
      <c r="AI174" s="59" t="str">
        <f t="shared" si="20"/>
        <v>0</v>
      </c>
      <c r="AJ174" s="49">
        <v>3</v>
      </c>
      <c r="AK174" s="49">
        <v>3</v>
      </c>
      <c r="AL174" s="49">
        <v>3</v>
      </c>
      <c r="AM174" s="49">
        <v>3</v>
      </c>
      <c r="AN174" s="7"/>
      <c r="AO174" s="59">
        <f t="shared" si="21"/>
        <v>3</v>
      </c>
      <c r="AP174" s="49"/>
      <c r="AQ174" s="49"/>
      <c r="AR174" s="49"/>
      <c r="AS174" s="7"/>
      <c r="AT174" s="7"/>
      <c r="AU174" s="59" t="str">
        <f t="shared" si="22"/>
        <v>0</v>
      </c>
      <c r="AV174" s="7"/>
      <c r="AW174" s="7"/>
      <c r="AX174" s="49"/>
      <c r="AY174" s="49">
        <v>3</v>
      </c>
      <c r="AZ174" s="49"/>
      <c r="BA174" s="59">
        <f t="shared" si="23"/>
        <v>3</v>
      </c>
    </row>
    <row r="175" spans="1:53" ht="23.1" customHeight="1" x14ac:dyDescent="0.3">
      <c r="A175" s="49">
        <v>173</v>
      </c>
      <c r="B175" s="49" t="s">
        <v>398</v>
      </c>
      <c r="C175" s="49" t="s">
        <v>399</v>
      </c>
      <c r="D175" s="49" t="s">
        <v>542</v>
      </c>
      <c r="E175" s="49" t="s">
        <v>493</v>
      </c>
      <c r="F175" s="49">
        <v>4</v>
      </c>
      <c r="G175" s="49">
        <v>4</v>
      </c>
      <c r="H175" s="49">
        <v>3</v>
      </c>
      <c r="I175" s="49"/>
      <c r="J175" s="49"/>
      <c r="K175" s="59">
        <f t="shared" si="16"/>
        <v>3.6666666666666665</v>
      </c>
      <c r="L175" s="49"/>
      <c r="M175" s="49">
        <v>3</v>
      </c>
      <c r="N175" s="49">
        <v>3</v>
      </c>
      <c r="O175" s="49"/>
      <c r="P175" s="49"/>
      <c r="Q175" s="59">
        <f t="shared" si="17"/>
        <v>3</v>
      </c>
      <c r="R175" s="49"/>
      <c r="S175" s="49">
        <v>1</v>
      </c>
      <c r="T175" s="49"/>
      <c r="U175" s="49"/>
      <c r="V175" s="49"/>
      <c r="W175" s="59">
        <f t="shared" si="18"/>
        <v>1</v>
      </c>
      <c r="X175" s="49"/>
      <c r="Y175" s="49"/>
      <c r="Z175" s="49"/>
      <c r="AA175" s="49"/>
      <c r="AB175" s="49"/>
      <c r="AC175" s="59" t="str">
        <f t="shared" si="19"/>
        <v>0</v>
      </c>
      <c r="AD175" s="49"/>
      <c r="AE175" s="49"/>
      <c r="AF175" s="49"/>
      <c r="AG175" s="49"/>
      <c r="AH175" s="49"/>
      <c r="AI175" s="59" t="str">
        <f t="shared" si="20"/>
        <v>0</v>
      </c>
      <c r="AJ175" s="49">
        <v>3</v>
      </c>
      <c r="AK175" s="49">
        <v>3</v>
      </c>
      <c r="AL175" s="49">
        <v>4</v>
      </c>
      <c r="AM175" s="49">
        <v>3</v>
      </c>
      <c r="AN175" s="49"/>
      <c r="AO175" s="59">
        <f t="shared" si="21"/>
        <v>3.25</v>
      </c>
      <c r="AP175" s="49"/>
      <c r="AQ175" s="49"/>
      <c r="AR175" s="49"/>
      <c r="AS175" s="49"/>
      <c r="AT175" s="49"/>
      <c r="AU175" s="59" t="str">
        <f t="shared" si="22"/>
        <v>0</v>
      </c>
      <c r="AV175" s="49"/>
      <c r="AW175" s="49"/>
      <c r="AX175" s="49"/>
      <c r="AY175" s="49">
        <v>4</v>
      </c>
      <c r="AZ175" s="49"/>
      <c r="BA175" s="59">
        <f t="shared" si="23"/>
        <v>4</v>
      </c>
    </row>
    <row r="176" spans="1:53" ht="23.1" customHeight="1" x14ac:dyDescent="0.3">
      <c r="A176" s="7">
        <v>174</v>
      </c>
      <c r="B176" s="7" t="s">
        <v>400</v>
      </c>
      <c r="C176" s="7" t="s">
        <v>401</v>
      </c>
      <c r="D176" s="7" t="s">
        <v>542</v>
      </c>
      <c r="E176" s="7" t="s">
        <v>493</v>
      </c>
      <c r="F176" s="49">
        <v>3</v>
      </c>
      <c r="G176" s="49">
        <v>3</v>
      </c>
      <c r="H176" s="49">
        <v>3</v>
      </c>
      <c r="I176" s="49"/>
      <c r="J176" s="7"/>
      <c r="K176" s="59">
        <f t="shared" si="16"/>
        <v>3</v>
      </c>
      <c r="L176" s="49"/>
      <c r="M176" s="49">
        <v>3</v>
      </c>
      <c r="N176" s="49">
        <v>3</v>
      </c>
      <c r="O176" s="49"/>
      <c r="P176" s="49"/>
      <c r="Q176" s="59">
        <f t="shared" si="17"/>
        <v>3</v>
      </c>
      <c r="R176" s="49"/>
      <c r="S176" s="49">
        <v>3</v>
      </c>
      <c r="T176" s="7"/>
      <c r="U176" s="49"/>
      <c r="V176" s="7"/>
      <c r="W176" s="59">
        <f t="shared" si="18"/>
        <v>3</v>
      </c>
      <c r="X176" s="49"/>
      <c r="Y176" s="49"/>
      <c r="Z176" s="7"/>
      <c r="AA176" s="7"/>
      <c r="AB176" s="7"/>
      <c r="AC176" s="59" t="str">
        <f t="shared" si="19"/>
        <v>0</v>
      </c>
      <c r="AD176" s="49"/>
      <c r="AE176" s="7"/>
      <c r="AF176" s="49"/>
      <c r="AG176" s="7"/>
      <c r="AH176" s="7"/>
      <c r="AI176" s="59" t="str">
        <f t="shared" si="20"/>
        <v>0</v>
      </c>
      <c r="AJ176" s="49">
        <v>3</v>
      </c>
      <c r="AK176" s="49">
        <v>3</v>
      </c>
      <c r="AL176" s="49">
        <v>3</v>
      </c>
      <c r="AM176" s="49">
        <v>3</v>
      </c>
      <c r="AN176" s="7"/>
      <c r="AO176" s="59">
        <f t="shared" si="21"/>
        <v>3</v>
      </c>
      <c r="AP176" s="49"/>
      <c r="AQ176" s="49"/>
      <c r="AR176" s="49"/>
      <c r="AS176" s="7"/>
      <c r="AT176" s="7"/>
      <c r="AU176" s="59" t="str">
        <f t="shared" si="22"/>
        <v>0</v>
      </c>
      <c r="AV176" s="7"/>
      <c r="AW176" s="7"/>
      <c r="AX176" s="49"/>
      <c r="AY176" s="49">
        <v>3</v>
      </c>
      <c r="AZ176" s="49"/>
      <c r="BA176" s="59">
        <f t="shared" si="23"/>
        <v>3</v>
      </c>
    </row>
    <row r="177" spans="1:53" ht="23.1" customHeight="1" x14ac:dyDescent="0.3">
      <c r="A177" s="49">
        <v>175</v>
      </c>
      <c r="B177" s="49" t="s">
        <v>120</v>
      </c>
      <c r="C177" s="49" t="s">
        <v>121</v>
      </c>
      <c r="D177" s="49" t="s">
        <v>450</v>
      </c>
      <c r="E177" s="49" t="s">
        <v>35</v>
      </c>
      <c r="F177" s="49">
        <v>2</v>
      </c>
      <c r="G177" s="49">
        <v>1</v>
      </c>
      <c r="H177" s="49">
        <v>2</v>
      </c>
      <c r="I177" s="49"/>
      <c r="J177" s="49"/>
      <c r="K177" s="59">
        <f t="shared" si="16"/>
        <v>1.6666666666666667</v>
      </c>
      <c r="L177" s="49"/>
      <c r="M177" s="49">
        <v>2</v>
      </c>
      <c r="N177" s="49">
        <v>2</v>
      </c>
      <c r="O177" s="49"/>
      <c r="P177" s="49"/>
      <c r="Q177" s="59">
        <f t="shared" si="17"/>
        <v>2</v>
      </c>
      <c r="R177" s="49"/>
      <c r="S177" s="49">
        <v>2</v>
      </c>
      <c r="T177" s="49"/>
      <c r="U177" s="49"/>
      <c r="V177" s="49"/>
      <c r="W177" s="59">
        <f t="shared" si="18"/>
        <v>2</v>
      </c>
      <c r="X177" s="49"/>
      <c r="Y177" s="49"/>
      <c r="Z177" s="49"/>
      <c r="AA177" s="49"/>
      <c r="AB177" s="49"/>
      <c r="AC177" s="59" t="str">
        <f t="shared" si="19"/>
        <v>0</v>
      </c>
      <c r="AD177" s="49"/>
      <c r="AE177" s="49"/>
      <c r="AF177" s="49"/>
      <c r="AG177" s="49"/>
      <c r="AH177" s="49"/>
      <c r="AI177" s="59" t="str">
        <f t="shared" si="20"/>
        <v>0</v>
      </c>
      <c r="AJ177" s="49">
        <v>2</v>
      </c>
      <c r="AK177" s="49">
        <v>1</v>
      </c>
      <c r="AL177" s="49">
        <v>2</v>
      </c>
      <c r="AM177" s="49">
        <v>2</v>
      </c>
      <c r="AN177" s="49"/>
      <c r="AO177" s="59">
        <f t="shared" si="21"/>
        <v>1.75</v>
      </c>
      <c r="AP177" s="49"/>
      <c r="AQ177" s="49"/>
      <c r="AR177" s="49"/>
      <c r="AS177" s="49"/>
      <c r="AT177" s="49"/>
      <c r="AU177" s="59" t="str">
        <f t="shared" si="22"/>
        <v>0</v>
      </c>
      <c r="AV177" s="49"/>
      <c r="AW177" s="49"/>
      <c r="AX177" s="49"/>
      <c r="AY177" s="49">
        <v>2</v>
      </c>
      <c r="AZ177" s="49"/>
      <c r="BA177" s="59">
        <f t="shared" si="23"/>
        <v>2</v>
      </c>
    </row>
    <row r="178" spans="1:53" ht="23.1" customHeight="1" x14ac:dyDescent="0.3">
      <c r="A178" s="7">
        <v>176</v>
      </c>
      <c r="B178" s="7" t="s">
        <v>402</v>
      </c>
      <c r="C178" s="7" t="s">
        <v>403</v>
      </c>
      <c r="D178" s="7" t="s">
        <v>450</v>
      </c>
      <c r="E178" s="7" t="s">
        <v>493</v>
      </c>
      <c r="F178" s="49">
        <v>3</v>
      </c>
      <c r="G178" s="49">
        <v>3</v>
      </c>
      <c r="H178" s="49">
        <v>3</v>
      </c>
      <c r="I178" s="49"/>
      <c r="J178" s="7"/>
      <c r="K178" s="59">
        <f t="shared" si="16"/>
        <v>3</v>
      </c>
      <c r="L178" s="49"/>
      <c r="M178" s="49">
        <v>2</v>
      </c>
      <c r="N178" s="49">
        <v>2.5</v>
      </c>
      <c r="O178" s="49"/>
      <c r="P178" s="49"/>
      <c r="Q178" s="59">
        <f t="shared" si="17"/>
        <v>2.25</v>
      </c>
      <c r="R178" s="49"/>
      <c r="S178" s="49">
        <v>2.5</v>
      </c>
      <c r="T178" s="7"/>
      <c r="U178" s="49"/>
      <c r="V178" s="7"/>
      <c r="W178" s="59">
        <f t="shared" si="18"/>
        <v>2.5</v>
      </c>
      <c r="X178" s="49"/>
      <c r="Y178" s="49"/>
      <c r="Z178" s="7"/>
      <c r="AA178" s="7"/>
      <c r="AB178" s="7"/>
      <c r="AC178" s="59" t="str">
        <f t="shared" si="19"/>
        <v>0</v>
      </c>
      <c r="AD178" s="49"/>
      <c r="AE178" s="7"/>
      <c r="AF178" s="49"/>
      <c r="AG178" s="7"/>
      <c r="AH178" s="7"/>
      <c r="AI178" s="59" t="str">
        <f t="shared" si="20"/>
        <v>0</v>
      </c>
      <c r="AJ178" s="49">
        <v>3</v>
      </c>
      <c r="AK178" s="49">
        <v>3</v>
      </c>
      <c r="AL178" s="49">
        <v>4</v>
      </c>
      <c r="AM178" s="49">
        <v>3</v>
      </c>
      <c r="AN178" s="7"/>
      <c r="AO178" s="59">
        <f t="shared" si="21"/>
        <v>3.25</v>
      </c>
      <c r="AP178" s="49"/>
      <c r="AQ178" s="49"/>
      <c r="AR178" s="49"/>
      <c r="AS178" s="7"/>
      <c r="AT178" s="7"/>
      <c r="AU178" s="59" t="str">
        <f t="shared" si="22"/>
        <v>0</v>
      </c>
      <c r="AV178" s="7"/>
      <c r="AW178" s="7"/>
      <c r="AX178" s="49"/>
      <c r="AY178" s="49">
        <v>2</v>
      </c>
      <c r="AZ178" s="49"/>
      <c r="BA178" s="59">
        <f t="shared" si="23"/>
        <v>2</v>
      </c>
    </row>
    <row r="179" spans="1:53" ht="23.1" customHeight="1" x14ac:dyDescent="0.3">
      <c r="A179" s="49">
        <v>177</v>
      </c>
      <c r="B179" s="49" t="s">
        <v>271</v>
      </c>
      <c r="C179" s="49" t="s">
        <v>272</v>
      </c>
      <c r="D179" s="49" t="s">
        <v>450</v>
      </c>
      <c r="E179" s="49" t="s">
        <v>161</v>
      </c>
      <c r="F179" s="49">
        <v>3</v>
      </c>
      <c r="G179" s="49">
        <v>3</v>
      </c>
      <c r="H179" s="49">
        <v>3</v>
      </c>
      <c r="I179" s="49"/>
      <c r="J179" s="49"/>
      <c r="K179" s="59">
        <f t="shared" si="16"/>
        <v>3</v>
      </c>
      <c r="L179" s="49"/>
      <c r="M179" s="49">
        <v>3</v>
      </c>
      <c r="N179" s="49">
        <v>2</v>
      </c>
      <c r="O179" s="49"/>
      <c r="P179" s="49"/>
      <c r="Q179" s="59">
        <f t="shared" si="17"/>
        <v>2.5</v>
      </c>
      <c r="R179" s="49"/>
      <c r="S179" s="49">
        <v>3</v>
      </c>
      <c r="T179" s="49"/>
      <c r="U179" s="49"/>
      <c r="V179" s="49"/>
      <c r="W179" s="59">
        <f t="shared" si="18"/>
        <v>3</v>
      </c>
      <c r="X179" s="49"/>
      <c r="Y179" s="49"/>
      <c r="Z179" s="49"/>
      <c r="AA179" s="49"/>
      <c r="AB179" s="49"/>
      <c r="AC179" s="59" t="str">
        <f t="shared" si="19"/>
        <v>0</v>
      </c>
      <c r="AD179" s="49"/>
      <c r="AE179" s="49"/>
      <c r="AF179" s="49"/>
      <c r="AG179" s="49"/>
      <c r="AH179" s="49"/>
      <c r="AI179" s="59" t="str">
        <f t="shared" si="20"/>
        <v>0</v>
      </c>
      <c r="AJ179" s="49">
        <v>2</v>
      </c>
      <c r="AK179" s="49">
        <v>2</v>
      </c>
      <c r="AL179" s="49">
        <v>3</v>
      </c>
      <c r="AM179" s="49">
        <v>2</v>
      </c>
      <c r="AN179" s="49"/>
      <c r="AO179" s="59">
        <f t="shared" si="21"/>
        <v>2.25</v>
      </c>
      <c r="AP179" s="49"/>
      <c r="AQ179" s="49"/>
      <c r="AR179" s="49"/>
      <c r="AS179" s="49"/>
      <c r="AT179" s="49"/>
      <c r="AU179" s="59" t="str">
        <f t="shared" si="22"/>
        <v>0</v>
      </c>
      <c r="AV179" s="49"/>
      <c r="AW179" s="49"/>
      <c r="AX179" s="49"/>
      <c r="AY179" s="49">
        <v>3</v>
      </c>
      <c r="AZ179" s="49"/>
      <c r="BA179" s="59">
        <f t="shared" si="23"/>
        <v>3</v>
      </c>
    </row>
    <row r="180" spans="1:53" ht="23.1" customHeight="1" x14ac:dyDescent="0.3">
      <c r="A180" s="7">
        <v>178</v>
      </c>
      <c r="B180" s="7" t="s">
        <v>52</v>
      </c>
      <c r="C180" s="7" t="s">
        <v>53</v>
      </c>
      <c r="D180" s="7" t="s">
        <v>542</v>
      </c>
      <c r="E180" s="7" t="s">
        <v>35</v>
      </c>
      <c r="F180" s="49">
        <v>2.5</v>
      </c>
      <c r="G180" s="49">
        <v>2</v>
      </c>
      <c r="H180" s="49">
        <v>4.5</v>
      </c>
      <c r="I180" s="49"/>
      <c r="J180" s="7"/>
      <c r="K180" s="59">
        <f t="shared" si="16"/>
        <v>3</v>
      </c>
      <c r="L180" s="49"/>
      <c r="M180" s="49">
        <v>3.5</v>
      </c>
      <c r="N180" s="49">
        <v>3</v>
      </c>
      <c r="O180" s="49"/>
      <c r="P180" s="49"/>
      <c r="Q180" s="59">
        <f t="shared" si="17"/>
        <v>3.25</v>
      </c>
      <c r="R180" s="49"/>
      <c r="S180" s="49">
        <v>3</v>
      </c>
      <c r="T180" s="7"/>
      <c r="U180" s="49"/>
      <c r="V180" s="7"/>
      <c r="W180" s="59">
        <f t="shared" si="18"/>
        <v>3</v>
      </c>
      <c r="X180" s="49"/>
      <c r="Y180" s="49"/>
      <c r="Z180" s="7"/>
      <c r="AA180" s="7"/>
      <c r="AB180" s="7"/>
      <c r="AC180" s="59" t="str">
        <f t="shared" si="19"/>
        <v>0</v>
      </c>
      <c r="AD180" s="49"/>
      <c r="AE180" s="7"/>
      <c r="AF180" s="49"/>
      <c r="AG180" s="7"/>
      <c r="AH180" s="7"/>
      <c r="AI180" s="59" t="str">
        <f t="shared" si="20"/>
        <v>0</v>
      </c>
      <c r="AJ180" s="49">
        <v>4</v>
      </c>
      <c r="AK180" s="49">
        <v>4</v>
      </c>
      <c r="AL180" s="49">
        <v>3</v>
      </c>
      <c r="AM180" s="49">
        <v>3</v>
      </c>
      <c r="AN180" s="7"/>
      <c r="AO180" s="59">
        <f t="shared" si="21"/>
        <v>3.5</v>
      </c>
      <c r="AP180" s="49"/>
      <c r="AQ180" s="49"/>
      <c r="AR180" s="49"/>
      <c r="AS180" s="7"/>
      <c r="AT180" s="7"/>
      <c r="AU180" s="59" t="str">
        <f t="shared" si="22"/>
        <v>0</v>
      </c>
      <c r="AV180" s="7"/>
      <c r="AW180" s="7"/>
      <c r="AX180" s="49"/>
      <c r="AY180" s="49">
        <v>2</v>
      </c>
      <c r="AZ180" s="49"/>
      <c r="BA180" s="59">
        <f t="shared" si="23"/>
        <v>2</v>
      </c>
    </row>
    <row r="181" spans="1:53" ht="23.1" customHeight="1" x14ac:dyDescent="0.3">
      <c r="A181" s="49">
        <v>179</v>
      </c>
      <c r="B181" s="49" t="s">
        <v>239</v>
      </c>
      <c r="C181" s="49" t="s">
        <v>240</v>
      </c>
      <c r="D181" s="49" t="s">
        <v>542</v>
      </c>
      <c r="E181" s="49" t="s">
        <v>161</v>
      </c>
      <c r="F181" s="49">
        <v>2</v>
      </c>
      <c r="G181" s="49">
        <v>2</v>
      </c>
      <c r="H181" s="49">
        <v>2</v>
      </c>
      <c r="I181" s="49"/>
      <c r="J181" s="49"/>
      <c r="K181" s="59">
        <f t="shared" si="16"/>
        <v>2</v>
      </c>
      <c r="L181" s="49"/>
      <c r="M181" s="49">
        <v>3</v>
      </c>
      <c r="N181" s="49">
        <v>3</v>
      </c>
      <c r="O181" s="49"/>
      <c r="P181" s="49"/>
      <c r="Q181" s="59">
        <f t="shared" si="17"/>
        <v>3</v>
      </c>
      <c r="R181" s="49"/>
      <c r="S181" s="49">
        <v>3</v>
      </c>
      <c r="T181" s="49"/>
      <c r="U181" s="49"/>
      <c r="V181" s="49"/>
      <c r="W181" s="59">
        <f t="shared" si="18"/>
        <v>3</v>
      </c>
      <c r="X181" s="49"/>
      <c r="Y181" s="49"/>
      <c r="Z181" s="49"/>
      <c r="AA181" s="49"/>
      <c r="AB181" s="49"/>
      <c r="AC181" s="59" t="str">
        <f t="shared" si="19"/>
        <v>0</v>
      </c>
      <c r="AD181" s="49"/>
      <c r="AE181" s="49"/>
      <c r="AF181" s="49"/>
      <c r="AG181" s="49"/>
      <c r="AH181" s="49"/>
      <c r="AI181" s="59" t="str">
        <f t="shared" si="20"/>
        <v>0</v>
      </c>
      <c r="AJ181" s="49">
        <v>2</v>
      </c>
      <c r="AK181" s="49">
        <v>2</v>
      </c>
      <c r="AL181" s="49">
        <v>2</v>
      </c>
      <c r="AM181" s="49">
        <v>2</v>
      </c>
      <c r="AN181" s="49"/>
      <c r="AO181" s="59">
        <f t="shared" si="21"/>
        <v>2</v>
      </c>
      <c r="AP181" s="49"/>
      <c r="AQ181" s="49"/>
      <c r="AR181" s="49"/>
      <c r="AS181" s="49"/>
      <c r="AT181" s="49"/>
      <c r="AU181" s="59" t="str">
        <f t="shared" si="22"/>
        <v>0</v>
      </c>
      <c r="AV181" s="49"/>
      <c r="AW181" s="49"/>
      <c r="AX181" s="49"/>
      <c r="AY181" s="49">
        <v>3</v>
      </c>
      <c r="AZ181" s="49"/>
      <c r="BA181" s="59">
        <f t="shared" si="23"/>
        <v>3</v>
      </c>
    </row>
    <row r="182" spans="1:53" ht="23.1" customHeight="1" x14ac:dyDescent="0.3">
      <c r="A182" s="7">
        <v>180</v>
      </c>
      <c r="B182" s="7" t="s">
        <v>255</v>
      </c>
      <c r="C182" s="7" t="s">
        <v>256</v>
      </c>
      <c r="D182" s="7" t="s">
        <v>450</v>
      </c>
      <c r="E182" s="7" t="s">
        <v>161</v>
      </c>
      <c r="F182" s="49">
        <v>5</v>
      </c>
      <c r="G182" s="49">
        <v>5</v>
      </c>
      <c r="H182" s="49">
        <v>5</v>
      </c>
      <c r="I182" s="49"/>
      <c r="J182" s="7"/>
      <c r="K182" s="59">
        <f t="shared" si="16"/>
        <v>5</v>
      </c>
      <c r="L182" s="49"/>
      <c r="M182" s="49">
        <v>5</v>
      </c>
      <c r="N182" s="49">
        <v>5</v>
      </c>
      <c r="O182" s="49"/>
      <c r="P182" s="49"/>
      <c r="Q182" s="59">
        <f t="shared" si="17"/>
        <v>5</v>
      </c>
      <c r="R182" s="49"/>
      <c r="S182" s="49">
        <v>2</v>
      </c>
      <c r="T182" s="7"/>
      <c r="U182" s="49"/>
      <c r="V182" s="7"/>
      <c r="W182" s="59">
        <f t="shared" si="18"/>
        <v>2</v>
      </c>
      <c r="X182" s="49"/>
      <c r="Y182" s="49"/>
      <c r="Z182" s="7"/>
      <c r="AA182" s="7"/>
      <c r="AB182" s="7"/>
      <c r="AC182" s="59" t="str">
        <f t="shared" si="19"/>
        <v>0</v>
      </c>
      <c r="AD182" s="49"/>
      <c r="AE182" s="7"/>
      <c r="AF182" s="49"/>
      <c r="AG182" s="7"/>
      <c r="AH182" s="7"/>
      <c r="AI182" s="59" t="str">
        <f t="shared" si="20"/>
        <v>0</v>
      </c>
      <c r="AJ182" s="49">
        <v>5</v>
      </c>
      <c r="AK182" s="49">
        <v>5</v>
      </c>
      <c r="AL182" s="49">
        <v>5</v>
      </c>
      <c r="AM182" s="49">
        <v>5</v>
      </c>
      <c r="AN182" s="7"/>
      <c r="AO182" s="59">
        <f t="shared" si="21"/>
        <v>5</v>
      </c>
      <c r="AP182" s="49"/>
      <c r="AQ182" s="49"/>
      <c r="AR182" s="49"/>
      <c r="AS182" s="7"/>
      <c r="AT182" s="7"/>
      <c r="AU182" s="59" t="str">
        <f t="shared" si="22"/>
        <v>0</v>
      </c>
      <c r="AV182" s="7"/>
      <c r="AW182" s="7"/>
      <c r="AX182" s="49"/>
      <c r="AY182" s="49">
        <v>5</v>
      </c>
      <c r="AZ182" s="49"/>
      <c r="BA182" s="59">
        <f t="shared" si="23"/>
        <v>5</v>
      </c>
    </row>
    <row r="183" spans="1:53" ht="23.1" customHeight="1" x14ac:dyDescent="0.3">
      <c r="A183" s="49">
        <v>181</v>
      </c>
      <c r="B183" s="49" t="s">
        <v>404</v>
      </c>
      <c r="C183" s="49" t="s">
        <v>405</v>
      </c>
      <c r="D183" s="49" t="s">
        <v>450</v>
      </c>
      <c r="E183" s="49" t="s">
        <v>493</v>
      </c>
      <c r="F183" s="49">
        <v>2.5</v>
      </c>
      <c r="G183" s="49">
        <v>3.5</v>
      </c>
      <c r="H183" s="49">
        <v>2</v>
      </c>
      <c r="I183" s="49"/>
      <c r="J183" s="49"/>
      <c r="K183" s="59">
        <f t="shared" si="16"/>
        <v>2.6666666666666665</v>
      </c>
      <c r="L183" s="49"/>
      <c r="M183" s="49">
        <v>3</v>
      </c>
      <c r="N183" s="49">
        <v>3</v>
      </c>
      <c r="O183" s="49"/>
      <c r="P183" s="49"/>
      <c r="Q183" s="59">
        <f t="shared" si="17"/>
        <v>3</v>
      </c>
      <c r="R183" s="49"/>
      <c r="S183" s="49">
        <v>3</v>
      </c>
      <c r="T183" s="49"/>
      <c r="U183" s="49"/>
      <c r="V183" s="49"/>
      <c r="W183" s="59">
        <f t="shared" si="18"/>
        <v>3</v>
      </c>
      <c r="X183" s="49"/>
      <c r="Y183" s="49"/>
      <c r="Z183" s="49"/>
      <c r="AA183" s="49"/>
      <c r="AB183" s="49"/>
      <c r="AC183" s="59" t="str">
        <f t="shared" si="19"/>
        <v>0</v>
      </c>
      <c r="AD183" s="49"/>
      <c r="AE183" s="49"/>
      <c r="AF183" s="49"/>
      <c r="AG183" s="49"/>
      <c r="AH183" s="49"/>
      <c r="AI183" s="59" t="str">
        <f t="shared" si="20"/>
        <v>0</v>
      </c>
      <c r="AJ183" s="49">
        <v>3</v>
      </c>
      <c r="AK183" s="49">
        <v>3</v>
      </c>
      <c r="AL183" s="49">
        <v>2.5</v>
      </c>
      <c r="AM183" s="49">
        <v>2.5</v>
      </c>
      <c r="AN183" s="49"/>
      <c r="AO183" s="59">
        <f t="shared" si="21"/>
        <v>2.75</v>
      </c>
      <c r="AP183" s="49"/>
      <c r="AQ183" s="49"/>
      <c r="AR183" s="49"/>
      <c r="AS183" s="49"/>
      <c r="AT183" s="49"/>
      <c r="AU183" s="59" t="str">
        <f t="shared" si="22"/>
        <v>0</v>
      </c>
      <c r="AV183" s="49"/>
      <c r="AW183" s="49"/>
      <c r="AX183" s="49"/>
      <c r="AY183" s="49">
        <v>3.5</v>
      </c>
      <c r="AZ183" s="49"/>
      <c r="BA183" s="59">
        <f t="shared" si="23"/>
        <v>3.5</v>
      </c>
    </row>
    <row r="184" spans="1:53" ht="23.1" customHeight="1" x14ac:dyDescent="0.3">
      <c r="A184" s="7">
        <v>182</v>
      </c>
      <c r="B184" s="7" t="s">
        <v>44</v>
      </c>
      <c r="C184" s="7" t="s">
        <v>45</v>
      </c>
      <c r="D184" s="7" t="s">
        <v>450</v>
      </c>
      <c r="E184" s="7" t="s">
        <v>35</v>
      </c>
      <c r="F184" s="49">
        <v>4</v>
      </c>
      <c r="G184" s="49">
        <v>3</v>
      </c>
      <c r="H184" s="49">
        <v>4</v>
      </c>
      <c r="I184" s="49"/>
      <c r="J184" s="7"/>
      <c r="K184" s="59">
        <f t="shared" si="16"/>
        <v>3.6666666666666665</v>
      </c>
      <c r="L184" s="49"/>
      <c r="M184" s="49">
        <v>3</v>
      </c>
      <c r="N184" s="49">
        <v>4</v>
      </c>
      <c r="O184" s="49"/>
      <c r="P184" s="49"/>
      <c r="Q184" s="59">
        <f t="shared" si="17"/>
        <v>3.5</v>
      </c>
      <c r="R184" s="49"/>
      <c r="S184" s="49">
        <v>4</v>
      </c>
      <c r="T184" s="7"/>
      <c r="U184" s="49"/>
      <c r="V184" s="7"/>
      <c r="W184" s="59">
        <f t="shared" si="18"/>
        <v>4</v>
      </c>
      <c r="X184" s="49"/>
      <c r="Y184" s="49"/>
      <c r="Z184" s="7"/>
      <c r="AA184" s="7"/>
      <c r="AB184" s="7"/>
      <c r="AC184" s="59" t="str">
        <f t="shared" si="19"/>
        <v>0</v>
      </c>
      <c r="AD184" s="49"/>
      <c r="AE184" s="7"/>
      <c r="AF184" s="49"/>
      <c r="AG184" s="7"/>
      <c r="AH184" s="7"/>
      <c r="AI184" s="59" t="str">
        <f t="shared" si="20"/>
        <v>0</v>
      </c>
      <c r="AJ184" s="49">
        <v>4</v>
      </c>
      <c r="AK184" s="49">
        <v>3</v>
      </c>
      <c r="AL184" s="49">
        <v>3</v>
      </c>
      <c r="AM184" s="49">
        <v>4</v>
      </c>
      <c r="AN184" s="7"/>
      <c r="AO184" s="59">
        <f t="shared" si="21"/>
        <v>3.5</v>
      </c>
      <c r="AP184" s="49"/>
      <c r="AQ184" s="49"/>
      <c r="AR184" s="49"/>
      <c r="AS184" s="7"/>
      <c r="AT184" s="7"/>
      <c r="AU184" s="59" t="str">
        <f t="shared" si="22"/>
        <v>0</v>
      </c>
      <c r="AV184" s="7"/>
      <c r="AW184" s="7"/>
      <c r="AX184" s="49"/>
      <c r="AY184" s="49">
        <v>4</v>
      </c>
      <c r="AZ184" s="49"/>
      <c r="BA184" s="59">
        <f t="shared" si="23"/>
        <v>4</v>
      </c>
    </row>
    <row r="185" spans="1:53" ht="23.1" customHeight="1" x14ac:dyDescent="0.3">
      <c r="A185" s="49">
        <v>183</v>
      </c>
      <c r="B185" s="49" t="s">
        <v>406</v>
      </c>
      <c r="C185" s="49" t="s">
        <v>407</v>
      </c>
      <c r="D185" s="49" t="s">
        <v>450</v>
      </c>
      <c r="E185" s="49" t="s">
        <v>493</v>
      </c>
      <c r="F185" s="49">
        <v>5</v>
      </c>
      <c r="G185" s="49">
        <v>4</v>
      </c>
      <c r="H185" s="49">
        <v>4</v>
      </c>
      <c r="I185" s="49"/>
      <c r="J185" s="49"/>
      <c r="K185" s="59">
        <f t="shared" si="16"/>
        <v>4.333333333333333</v>
      </c>
      <c r="L185" s="49"/>
      <c r="M185" s="49">
        <v>4</v>
      </c>
      <c r="N185" s="49">
        <v>4</v>
      </c>
      <c r="O185" s="49"/>
      <c r="P185" s="49"/>
      <c r="Q185" s="59">
        <f t="shared" si="17"/>
        <v>4</v>
      </c>
      <c r="R185" s="49"/>
      <c r="S185" s="49">
        <v>2</v>
      </c>
      <c r="T185" s="49"/>
      <c r="U185" s="49"/>
      <c r="V185" s="49"/>
      <c r="W185" s="59">
        <f t="shared" si="18"/>
        <v>2</v>
      </c>
      <c r="X185" s="49"/>
      <c r="Y185" s="49"/>
      <c r="Z185" s="49"/>
      <c r="AA185" s="49"/>
      <c r="AB185" s="49"/>
      <c r="AC185" s="59" t="str">
        <f t="shared" si="19"/>
        <v>0</v>
      </c>
      <c r="AD185" s="49"/>
      <c r="AE185" s="49"/>
      <c r="AF185" s="49"/>
      <c r="AG185" s="49"/>
      <c r="AH185" s="49"/>
      <c r="AI185" s="59" t="str">
        <f t="shared" si="20"/>
        <v>0</v>
      </c>
      <c r="AJ185" s="49">
        <v>4</v>
      </c>
      <c r="AK185" s="49">
        <v>4</v>
      </c>
      <c r="AL185" s="49">
        <v>5</v>
      </c>
      <c r="AM185" s="49">
        <v>5</v>
      </c>
      <c r="AN185" s="49"/>
      <c r="AO185" s="59">
        <f t="shared" si="21"/>
        <v>4.5</v>
      </c>
      <c r="AP185" s="49"/>
      <c r="AQ185" s="49"/>
      <c r="AR185" s="49"/>
      <c r="AS185" s="49"/>
      <c r="AT185" s="49"/>
      <c r="AU185" s="59" t="str">
        <f t="shared" si="22"/>
        <v>0</v>
      </c>
      <c r="AV185" s="49"/>
      <c r="AW185" s="49"/>
      <c r="AX185" s="49"/>
      <c r="AY185" s="49">
        <v>4</v>
      </c>
      <c r="AZ185" s="49"/>
      <c r="BA185" s="59">
        <f t="shared" si="23"/>
        <v>4</v>
      </c>
    </row>
    <row r="186" spans="1:53" ht="23.1" customHeight="1" x14ac:dyDescent="0.3">
      <c r="A186" s="7">
        <v>184</v>
      </c>
      <c r="B186" s="7" t="s">
        <v>287</v>
      </c>
      <c r="C186" s="7" t="s">
        <v>288</v>
      </c>
      <c r="D186" s="7" t="s">
        <v>450</v>
      </c>
      <c r="E186" s="7" t="s">
        <v>161</v>
      </c>
      <c r="F186" s="49">
        <v>3</v>
      </c>
      <c r="G186" s="49">
        <v>2</v>
      </c>
      <c r="H186" s="49">
        <v>2</v>
      </c>
      <c r="I186" s="49"/>
      <c r="J186" s="7"/>
      <c r="K186" s="59">
        <f t="shared" si="16"/>
        <v>2.3333333333333335</v>
      </c>
      <c r="L186" s="49"/>
      <c r="M186" s="49">
        <v>4</v>
      </c>
      <c r="N186" s="49">
        <v>3</v>
      </c>
      <c r="O186" s="49"/>
      <c r="P186" s="49"/>
      <c r="Q186" s="59">
        <f t="shared" si="17"/>
        <v>3.5</v>
      </c>
      <c r="R186" s="49"/>
      <c r="S186" s="49">
        <v>4</v>
      </c>
      <c r="T186" s="7"/>
      <c r="U186" s="49"/>
      <c r="V186" s="7"/>
      <c r="W186" s="59">
        <f t="shared" si="18"/>
        <v>4</v>
      </c>
      <c r="X186" s="49"/>
      <c r="Y186" s="49"/>
      <c r="Z186" s="7"/>
      <c r="AA186" s="7"/>
      <c r="AB186" s="7"/>
      <c r="AC186" s="59" t="str">
        <f t="shared" si="19"/>
        <v>0</v>
      </c>
      <c r="AD186" s="49"/>
      <c r="AE186" s="7"/>
      <c r="AF186" s="49"/>
      <c r="AG186" s="7"/>
      <c r="AH186" s="7"/>
      <c r="AI186" s="59" t="str">
        <f t="shared" si="20"/>
        <v>0</v>
      </c>
      <c r="AJ186" s="49">
        <v>2</v>
      </c>
      <c r="AK186" s="49">
        <v>2</v>
      </c>
      <c r="AL186" s="49">
        <v>2</v>
      </c>
      <c r="AM186" s="49">
        <v>2</v>
      </c>
      <c r="AN186" s="7"/>
      <c r="AO186" s="59">
        <f t="shared" si="21"/>
        <v>2</v>
      </c>
      <c r="AP186" s="49"/>
      <c r="AQ186" s="49"/>
      <c r="AR186" s="49"/>
      <c r="AS186" s="7"/>
      <c r="AT186" s="7"/>
      <c r="AU186" s="59" t="str">
        <f t="shared" si="22"/>
        <v>0</v>
      </c>
      <c r="AV186" s="7"/>
      <c r="AW186" s="7"/>
      <c r="AX186" s="49"/>
      <c r="AY186" s="49">
        <v>3</v>
      </c>
      <c r="AZ186" s="49"/>
      <c r="BA186" s="59">
        <f t="shared" si="23"/>
        <v>3</v>
      </c>
    </row>
    <row r="187" spans="1:53" ht="23.1" customHeight="1" x14ac:dyDescent="0.3">
      <c r="A187" s="49">
        <v>185</v>
      </c>
      <c r="B187" s="49" t="s">
        <v>408</v>
      </c>
      <c r="C187" s="49" t="s">
        <v>409</v>
      </c>
      <c r="D187" s="49" t="s">
        <v>450</v>
      </c>
      <c r="E187" s="49" t="s">
        <v>493</v>
      </c>
      <c r="F187" s="49">
        <v>3</v>
      </c>
      <c r="G187" s="49">
        <v>2</v>
      </c>
      <c r="H187" s="49">
        <v>3</v>
      </c>
      <c r="I187" s="49"/>
      <c r="J187" s="49"/>
      <c r="K187" s="59">
        <f t="shared" si="16"/>
        <v>2.6666666666666665</v>
      </c>
      <c r="L187" s="49"/>
      <c r="M187" s="49">
        <v>3</v>
      </c>
      <c r="N187" s="49">
        <v>2</v>
      </c>
      <c r="O187" s="49"/>
      <c r="P187" s="49"/>
      <c r="Q187" s="59">
        <f t="shared" si="17"/>
        <v>2.5</v>
      </c>
      <c r="R187" s="49"/>
      <c r="S187" s="49">
        <v>2</v>
      </c>
      <c r="T187" s="49"/>
      <c r="U187" s="49"/>
      <c r="V187" s="49"/>
      <c r="W187" s="59">
        <f t="shared" si="18"/>
        <v>2</v>
      </c>
      <c r="X187" s="49"/>
      <c r="Y187" s="49"/>
      <c r="Z187" s="49"/>
      <c r="AA187" s="49"/>
      <c r="AB187" s="49"/>
      <c r="AC187" s="59" t="str">
        <f t="shared" si="19"/>
        <v>0</v>
      </c>
      <c r="AD187" s="49"/>
      <c r="AE187" s="49"/>
      <c r="AF187" s="49"/>
      <c r="AG187" s="49"/>
      <c r="AH187" s="49"/>
      <c r="AI187" s="59" t="str">
        <f t="shared" si="20"/>
        <v>0</v>
      </c>
      <c r="AJ187" s="49">
        <v>3</v>
      </c>
      <c r="AK187" s="49">
        <v>3</v>
      </c>
      <c r="AL187" s="49">
        <v>3</v>
      </c>
      <c r="AM187" s="49">
        <v>3</v>
      </c>
      <c r="AN187" s="49"/>
      <c r="AO187" s="59">
        <f t="shared" si="21"/>
        <v>3</v>
      </c>
      <c r="AP187" s="49"/>
      <c r="AQ187" s="49"/>
      <c r="AR187" s="49"/>
      <c r="AS187" s="49"/>
      <c r="AT187" s="49"/>
      <c r="AU187" s="59" t="str">
        <f t="shared" si="22"/>
        <v>0</v>
      </c>
      <c r="AV187" s="49"/>
      <c r="AW187" s="49"/>
      <c r="AX187" s="49"/>
      <c r="AY187" s="49">
        <v>3</v>
      </c>
      <c r="AZ187" s="49"/>
      <c r="BA187" s="59">
        <f t="shared" si="23"/>
        <v>3</v>
      </c>
    </row>
    <row r="188" spans="1:53" ht="23.1" customHeight="1" x14ac:dyDescent="0.3">
      <c r="A188" s="7">
        <v>186</v>
      </c>
      <c r="B188" s="7" t="s">
        <v>410</v>
      </c>
      <c r="C188" s="7" t="s">
        <v>411</v>
      </c>
      <c r="D188" s="7" t="s">
        <v>450</v>
      </c>
      <c r="E188" s="7" t="s">
        <v>493</v>
      </c>
      <c r="F188" s="49">
        <v>2</v>
      </c>
      <c r="G188" s="49">
        <v>1</v>
      </c>
      <c r="H188" s="49">
        <v>2</v>
      </c>
      <c r="I188" s="49"/>
      <c r="J188" s="7"/>
      <c r="K188" s="59">
        <f t="shared" si="16"/>
        <v>1.6666666666666667</v>
      </c>
      <c r="L188" s="49"/>
      <c r="M188" s="49">
        <v>3</v>
      </c>
      <c r="N188" s="49">
        <v>3</v>
      </c>
      <c r="O188" s="49"/>
      <c r="P188" s="49"/>
      <c r="Q188" s="59">
        <f t="shared" si="17"/>
        <v>3</v>
      </c>
      <c r="R188" s="49"/>
      <c r="S188" s="49">
        <v>2</v>
      </c>
      <c r="T188" s="7"/>
      <c r="U188" s="49"/>
      <c r="V188" s="7"/>
      <c r="W188" s="59">
        <f t="shared" si="18"/>
        <v>2</v>
      </c>
      <c r="X188" s="49"/>
      <c r="Y188" s="49"/>
      <c r="Z188" s="7"/>
      <c r="AA188" s="7"/>
      <c r="AB188" s="7"/>
      <c r="AC188" s="59" t="str">
        <f t="shared" si="19"/>
        <v>0</v>
      </c>
      <c r="AD188" s="49"/>
      <c r="AE188" s="7"/>
      <c r="AF188" s="49"/>
      <c r="AG188" s="7"/>
      <c r="AH188" s="7"/>
      <c r="AI188" s="59" t="str">
        <f t="shared" si="20"/>
        <v>0</v>
      </c>
      <c r="AJ188" s="49">
        <v>2</v>
      </c>
      <c r="AK188" s="49">
        <v>2</v>
      </c>
      <c r="AL188" s="49">
        <v>1</v>
      </c>
      <c r="AM188" s="49">
        <v>2</v>
      </c>
      <c r="AN188" s="7"/>
      <c r="AO188" s="59">
        <f t="shared" si="21"/>
        <v>1.75</v>
      </c>
      <c r="AP188" s="49"/>
      <c r="AQ188" s="49"/>
      <c r="AR188" s="49"/>
      <c r="AS188" s="7"/>
      <c r="AT188" s="7"/>
      <c r="AU188" s="59" t="str">
        <f t="shared" si="22"/>
        <v>0</v>
      </c>
      <c r="AV188" s="7"/>
      <c r="AW188" s="7"/>
      <c r="AX188" s="49"/>
      <c r="AY188" s="49">
        <v>2</v>
      </c>
      <c r="AZ188" s="49"/>
      <c r="BA188" s="59">
        <f t="shared" si="23"/>
        <v>2</v>
      </c>
    </row>
    <row r="189" spans="1:53" ht="23.1" customHeight="1" x14ac:dyDescent="0.3">
      <c r="A189" s="49">
        <v>187</v>
      </c>
      <c r="B189" s="49" t="s">
        <v>412</v>
      </c>
      <c r="C189" s="49" t="s">
        <v>413</v>
      </c>
      <c r="D189" s="49" t="s">
        <v>542</v>
      </c>
      <c r="E189" s="49" t="s">
        <v>493</v>
      </c>
      <c r="F189" s="49">
        <v>3</v>
      </c>
      <c r="G189" s="49">
        <v>4</v>
      </c>
      <c r="H189" s="49">
        <v>4</v>
      </c>
      <c r="I189" s="49"/>
      <c r="J189" s="49"/>
      <c r="K189" s="59">
        <f t="shared" si="16"/>
        <v>3.6666666666666665</v>
      </c>
      <c r="L189" s="49"/>
      <c r="M189" s="49">
        <v>4</v>
      </c>
      <c r="N189" s="49">
        <v>4</v>
      </c>
      <c r="O189" s="49"/>
      <c r="P189" s="49"/>
      <c r="Q189" s="59">
        <f t="shared" si="17"/>
        <v>4</v>
      </c>
      <c r="R189" s="49"/>
      <c r="S189" s="49">
        <v>3</v>
      </c>
      <c r="T189" s="49"/>
      <c r="U189" s="49"/>
      <c r="V189" s="49"/>
      <c r="W189" s="59">
        <f t="shared" si="18"/>
        <v>3</v>
      </c>
      <c r="X189" s="49"/>
      <c r="Y189" s="49"/>
      <c r="Z189" s="49"/>
      <c r="AA189" s="49"/>
      <c r="AB189" s="49"/>
      <c r="AC189" s="59" t="str">
        <f t="shared" si="19"/>
        <v>0</v>
      </c>
      <c r="AD189" s="49"/>
      <c r="AE189" s="49"/>
      <c r="AF189" s="49"/>
      <c r="AG189" s="49"/>
      <c r="AH189" s="49"/>
      <c r="AI189" s="59" t="str">
        <f t="shared" si="20"/>
        <v>0</v>
      </c>
      <c r="AJ189" s="49">
        <v>4</v>
      </c>
      <c r="AK189" s="49">
        <v>3</v>
      </c>
      <c r="AL189" s="49">
        <v>4</v>
      </c>
      <c r="AM189" s="49">
        <v>3</v>
      </c>
      <c r="AN189" s="49"/>
      <c r="AO189" s="59">
        <f t="shared" si="21"/>
        <v>3.5</v>
      </c>
      <c r="AP189" s="49"/>
      <c r="AQ189" s="49"/>
      <c r="AR189" s="49"/>
      <c r="AS189" s="49"/>
      <c r="AT189" s="49"/>
      <c r="AU189" s="59" t="str">
        <f t="shared" si="22"/>
        <v>0</v>
      </c>
      <c r="AV189" s="49"/>
      <c r="AW189" s="49"/>
      <c r="AX189" s="49"/>
      <c r="AY189" s="49">
        <v>3</v>
      </c>
      <c r="AZ189" s="49"/>
      <c r="BA189" s="59">
        <f t="shared" si="23"/>
        <v>3</v>
      </c>
    </row>
    <row r="190" spans="1:53" ht="23.1" customHeight="1" x14ac:dyDescent="0.3">
      <c r="A190" s="7">
        <v>188</v>
      </c>
      <c r="B190" s="7" t="s">
        <v>148</v>
      </c>
      <c r="C190" s="7" t="s">
        <v>149</v>
      </c>
      <c r="D190" s="7" t="s">
        <v>542</v>
      </c>
      <c r="E190" s="7" t="s">
        <v>35</v>
      </c>
      <c r="F190" s="49">
        <v>4</v>
      </c>
      <c r="G190" s="49">
        <v>4</v>
      </c>
      <c r="H190" s="49">
        <v>4</v>
      </c>
      <c r="I190" s="49"/>
      <c r="J190" s="7"/>
      <c r="K190" s="59">
        <f t="shared" si="16"/>
        <v>4</v>
      </c>
      <c r="L190" s="49"/>
      <c r="M190" s="49">
        <v>4</v>
      </c>
      <c r="N190" s="49">
        <v>4</v>
      </c>
      <c r="O190" s="49"/>
      <c r="P190" s="49"/>
      <c r="Q190" s="59">
        <f t="shared" si="17"/>
        <v>4</v>
      </c>
      <c r="R190" s="49"/>
      <c r="S190" s="49">
        <v>2</v>
      </c>
      <c r="T190" s="7"/>
      <c r="U190" s="49"/>
      <c r="V190" s="7"/>
      <c r="W190" s="59">
        <f t="shared" si="18"/>
        <v>2</v>
      </c>
      <c r="X190" s="49"/>
      <c r="Y190" s="49"/>
      <c r="Z190" s="7"/>
      <c r="AA190" s="7"/>
      <c r="AB190" s="7"/>
      <c r="AC190" s="59" t="str">
        <f t="shared" si="19"/>
        <v>0</v>
      </c>
      <c r="AD190" s="49"/>
      <c r="AE190" s="7"/>
      <c r="AF190" s="49"/>
      <c r="AG190" s="7"/>
      <c r="AH190" s="7"/>
      <c r="AI190" s="59" t="str">
        <f t="shared" si="20"/>
        <v>0</v>
      </c>
      <c r="AJ190" s="49">
        <v>4</v>
      </c>
      <c r="AK190" s="49">
        <v>4</v>
      </c>
      <c r="AL190" s="49">
        <v>4</v>
      </c>
      <c r="AM190" s="49">
        <v>4</v>
      </c>
      <c r="AN190" s="7"/>
      <c r="AO190" s="59">
        <f t="shared" si="21"/>
        <v>4</v>
      </c>
      <c r="AP190" s="49"/>
      <c r="AQ190" s="49"/>
      <c r="AR190" s="49"/>
      <c r="AS190" s="7"/>
      <c r="AT190" s="7"/>
      <c r="AU190" s="59" t="str">
        <f t="shared" si="22"/>
        <v>0</v>
      </c>
      <c r="AV190" s="7"/>
      <c r="AW190" s="7"/>
      <c r="AX190" s="49"/>
      <c r="AY190" s="49">
        <v>4</v>
      </c>
      <c r="AZ190" s="49"/>
      <c r="BA190" s="59">
        <f t="shared" si="23"/>
        <v>4</v>
      </c>
    </row>
    <row r="191" spans="1:53" ht="23.1" customHeight="1" x14ac:dyDescent="0.3">
      <c r="A191" s="49">
        <v>189</v>
      </c>
      <c r="B191" s="49" t="s">
        <v>414</v>
      </c>
      <c r="C191" s="49" t="s">
        <v>415</v>
      </c>
      <c r="D191" s="49" t="s">
        <v>450</v>
      </c>
      <c r="E191" s="49" t="s">
        <v>493</v>
      </c>
      <c r="F191" s="49">
        <v>4</v>
      </c>
      <c r="G191" s="49">
        <v>4</v>
      </c>
      <c r="H191" s="49">
        <v>4</v>
      </c>
      <c r="I191" s="49"/>
      <c r="J191" s="49"/>
      <c r="K191" s="59">
        <f t="shared" si="16"/>
        <v>4</v>
      </c>
      <c r="L191" s="49"/>
      <c r="M191" s="49">
        <v>4</v>
      </c>
      <c r="N191" s="49">
        <v>4</v>
      </c>
      <c r="O191" s="49"/>
      <c r="P191" s="49"/>
      <c r="Q191" s="59">
        <f t="shared" si="17"/>
        <v>4</v>
      </c>
      <c r="R191" s="49"/>
      <c r="S191" s="49">
        <v>3</v>
      </c>
      <c r="T191" s="49"/>
      <c r="U191" s="49"/>
      <c r="V191" s="49"/>
      <c r="W191" s="59">
        <f t="shared" si="18"/>
        <v>3</v>
      </c>
      <c r="X191" s="49"/>
      <c r="Y191" s="49"/>
      <c r="Z191" s="49"/>
      <c r="AA191" s="49"/>
      <c r="AB191" s="49"/>
      <c r="AC191" s="59" t="str">
        <f t="shared" si="19"/>
        <v>0</v>
      </c>
      <c r="AD191" s="49"/>
      <c r="AE191" s="49"/>
      <c r="AF191" s="49"/>
      <c r="AG191" s="49"/>
      <c r="AH191" s="49"/>
      <c r="AI191" s="59" t="str">
        <f t="shared" si="20"/>
        <v>0</v>
      </c>
      <c r="AJ191" s="49">
        <v>4</v>
      </c>
      <c r="AK191" s="49">
        <v>4</v>
      </c>
      <c r="AL191" s="49">
        <v>4</v>
      </c>
      <c r="AM191" s="49">
        <v>4</v>
      </c>
      <c r="AN191" s="49"/>
      <c r="AO191" s="59">
        <f t="shared" si="21"/>
        <v>4</v>
      </c>
      <c r="AP191" s="49"/>
      <c r="AQ191" s="49"/>
      <c r="AR191" s="49"/>
      <c r="AS191" s="49"/>
      <c r="AT191" s="49"/>
      <c r="AU191" s="59" t="str">
        <f t="shared" si="22"/>
        <v>0</v>
      </c>
      <c r="AV191" s="49"/>
      <c r="AW191" s="49"/>
      <c r="AX191" s="49"/>
      <c r="AY191" s="49">
        <v>4</v>
      </c>
      <c r="AZ191" s="49"/>
      <c r="BA191" s="59">
        <f t="shared" si="23"/>
        <v>4</v>
      </c>
    </row>
    <row r="192" spans="1:53" ht="23.1" customHeight="1" x14ac:dyDescent="0.3">
      <c r="A192" s="7">
        <v>190</v>
      </c>
      <c r="B192" s="7" t="s">
        <v>416</v>
      </c>
      <c r="C192" s="7" t="s">
        <v>417</v>
      </c>
      <c r="D192" s="7" t="s">
        <v>542</v>
      </c>
      <c r="E192" s="7" t="s">
        <v>289</v>
      </c>
      <c r="F192" s="49">
        <v>4</v>
      </c>
      <c r="G192" s="49">
        <v>3</v>
      </c>
      <c r="H192" s="49">
        <v>3</v>
      </c>
      <c r="I192" s="49"/>
      <c r="J192" s="7"/>
      <c r="K192" s="59">
        <f t="shared" si="16"/>
        <v>3.3333333333333335</v>
      </c>
      <c r="L192" s="49"/>
      <c r="M192" s="49">
        <v>2.5</v>
      </c>
      <c r="N192" s="49">
        <v>2</v>
      </c>
      <c r="O192" s="49"/>
      <c r="P192" s="49"/>
      <c r="Q192" s="59">
        <f t="shared" si="17"/>
        <v>2.25</v>
      </c>
      <c r="R192" s="49"/>
      <c r="S192" s="49">
        <v>2.5</v>
      </c>
      <c r="T192" s="7"/>
      <c r="U192" s="49"/>
      <c r="V192" s="7"/>
      <c r="W192" s="59">
        <f t="shared" si="18"/>
        <v>2.5</v>
      </c>
      <c r="X192" s="49"/>
      <c r="Y192" s="49"/>
      <c r="Z192" s="7"/>
      <c r="AA192" s="7"/>
      <c r="AB192" s="7"/>
      <c r="AC192" s="59" t="str">
        <f t="shared" si="19"/>
        <v>0</v>
      </c>
      <c r="AD192" s="49"/>
      <c r="AE192" s="7"/>
      <c r="AF192" s="49"/>
      <c r="AG192" s="7"/>
      <c r="AH192" s="7"/>
      <c r="AI192" s="59" t="str">
        <f t="shared" si="20"/>
        <v>0</v>
      </c>
      <c r="AJ192" s="49">
        <v>4</v>
      </c>
      <c r="AK192" s="49">
        <v>3</v>
      </c>
      <c r="AL192" s="49">
        <v>3</v>
      </c>
      <c r="AM192" s="49">
        <v>3</v>
      </c>
      <c r="AN192" s="7"/>
      <c r="AO192" s="59">
        <f t="shared" si="21"/>
        <v>3.25</v>
      </c>
      <c r="AP192" s="49"/>
      <c r="AQ192" s="49"/>
      <c r="AR192" s="49"/>
      <c r="AS192" s="7"/>
      <c r="AT192" s="7"/>
      <c r="AU192" s="59" t="str">
        <f t="shared" si="22"/>
        <v>0</v>
      </c>
      <c r="AV192" s="7"/>
      <c r="AW192" s="7"/>
      <c r="AX192" s="49"/>
      <c r="AY192" s="49">
        <v>2</v>
      </c>
      <c r="AZ192" s="49"/>
      <c r="BA192" s="59">
        <f t="shared" si="23"/>
        <v>2</v>
      </c>
    </row>
    <row r="193" spans="1:53" ht="23.1" customHeight="1" x14ac:dyDescent="0.3">
      <c r="A193" s="49">
        <v>191</v>
      </c>
      <c r="B193" s="49" t="s">
        <v>418</v>
      </c>
      <c r="C193" s="49" t="s">
        <v>419</v>
      </c>
      <c r="D193" s="49" t="s">
        <v>450</v>
      </c>
      <c r="E193" s="49" t="s">
        <v>493</v>
      </c>
      <c r="F193" s="49">
        <v>4</v>
      </c>
      <c r="G193" s="49">
        <v>4</v>
      </c>
      <c r="H193" s="49">
        <v>4</v>
      </c>
      <c r="I193" s="49"/>
      <c r="J193" s="49"/>
      <c r="K193" s="59">
        <f t="shared" si="16"/>
        <v>4</v>
      </c>
      <c r="L193" s="49"/>
      <c r="M193" s="49">
        <v>4</v>
      </c>
      <c r="N193" s="49">
        <v>4</v>
      </c>
      <c r="O193" s="49"/>
      <c r="P193" s="49"/>
      <c r="Q193" s="59">
        <f t="shared" si="17"/>
        <v>4</v>
      </c>
      <c r="R193" s="49"/>
      <c r="S193" s="49">
        <v>2</v>
      </c>
      <c r="T193" s="49"/>
      <c r="U193" s="49"/>
      <c r="V193" s="49"/>
      <c r="W193" s="59">
        <f t="shared" si="18"/>
        <v>2</v>
      </c>
      <c r="X193" s="49"/>
      <c r="Y193" s="49"/>
      <c r="Z193" s="49"/>
      <c r="AA193" s="49"/>
      <c r="AB193" s="49"/>
      <c r="AC193" s="59" t="str">
        <f t="shared" si="19"/>
        <v>0</v>
      </c>
      <c r="AD193" s="49"/>
      <c r="AE193" s="49"/>
      <c r="AF193" s="49"/>
      <c r="AG193" s="49"/>
      <c r="AH193" s="49"/>
      <c r="AI193" s="59" t="str">
        <f t="shared" si="20"/>
        <v>0</v>
      </c>
      <c r="AJ193" s="49">
        <v>4</v>
      </c>
      <c r="AK193" s="49">
        <v>4</v>
      </c>
      <c r="AL193" s="49">
        <v>4</v>
      </c>
      <c r="AM193" s="49">
        <v>4</v>
      </c>
      <c r="AN193" s="49"/>
      <c r="AO193" s="59">
        <f t="shared" si="21"/>
        <v>4</v>
      </c>
      <c r="AP193" s="49"/>
      <c r="AQ193" s="49"/>
      <c r="AR193" s="49"/>
      <c r="AS193" s="49"/>
      <c r="AT193" s="49"/>
      <c r="AU193" s="59" t="str">
        <f t="shared" si="22"/>
        <v>0</v>
      </c>
      <c r="AV193" s="49"/>
      <c r="AW193" s="49"/>
      <c r="AX193" s="49"/>
      <c r="AY193" s="49">
        <v>4</v>
      </c>
      <c r="AZ193" s="49"/>
      <c r="BA193" s="59">
        <f t="shared" si="23"/>
        <v>4</v>
      </c>
    </row>
    <row r="194" spans="1:53" ht="23.1" customHeight="1" x14ac:dyDescent="0.3">
      <c r="A194" s="7">
        <v>192</v>
      </c>
      <c r="B194" s="7" t="s">
        <v>420</v>
      </c>
      <c r="C194" s="7" t="s">
        <v>421</v>
      </c>
      <c r="D194" s="7" t="s">
        <v>450</v>
      </c>
      <c r="E194" s="7" t="s">
        <v>493</v>
      </c>
      <c r="F194" s="49">
        <v>4</v>
      </c>
      <c r="G194" s="49">
        <v>3</v>
      </c>
      <c r="H194" s="49">
        <v>3</v>
      </c>
      <c r="I194" s="49"/>
      <c r="J194" s="7"/>
      <c r="K194" s="59">
        <f t="shared" si="16"/>
        <v>3.3333333333333335</v>
      </c>
      <c r="L194" s="49"/>
      <c r="M194" s="49">
        <v>2.5</v>
      </c>
      <c r="N194" s="49">
        <v>2</v>
      </c>
      <c r="O194" s="49"/>
      <c r="P194" s="49"/>
      <c r="Q194" s="59">
        <f t="shared" si="17"/>
        <v>2.25</v>
      </c>
      <c r="R194" s="49"/>
      <c r="S194" s="49">
        <v>2</v>
      </c>
      <c r="T194" s="7"/>
      <c r="U194" s="49"/>
      <c r="V194" s="7"/>
      <c r="W194" s="59">
        <f t="shared" si="18"/>
        <v>2</v>
      </c>
      <c r="X194" s="49"/>
      <c r="Y194" s="49"/>
      <c r="Z194" s="7"/>
      <c r="AA194" s="7"/>
      <c r="AB194" s="7"/>
      <c r="AC194" s="59" t="str">
        <f t="shared" si="19"/>
        <v>0</v>
      </c>
      <c r="AD194" s="49"/>
      <c r="AE194" s="7"/>
      <c r="AF194" s="49"/>
      <c r="AG194" s="7"/>
      <c r="AH194" s="7"/>
      <c r="AI194" s="59" t="str">
        <f t="shared" si="20"/>
        <v>0</v>
      </c>
      <c r="AJ194" s="49">
        <v>4</v>
      </c>
      <c r="AK194" s="49">
        <v>3</v>
      </c>
      <c r="AL194" s="49">
        <v>3</v>
      </c>
      <c r="AM194" s="49">
        <v>3</v>
      </c>
      <c r="AN194" s="7"/>
      <c r="AO194" s="59">
        <f t="shared" si="21"/>
        <v>3.25</v>
      </c>
      <c r="AP194" s="49"/>
      <c r="AQ194" s="49"/>
      <c r="AR194" s="49"/>
      <c r="AS194" s="7"/>
      <c r="AT194" s="7"/>
      <c r="AU194" s="59" t="str">
        <f t="shared" si="22"/>
        <v>0</v>
      </c>
      <c r="AV194" s="7"/>
      <c r="AW194" s="7"/>
      <c r="AX194" s="49"/>
      <c r="AY194" s="49">
        <v>2</v>
      </c>
      <c r="AZ194" s="49"/>
      <c r="BA194" s="59">
        <f t="shared" si="23"/>
        <v>2</v>
      </c>
    </row>
    <row r="195" spans="1:53" ht="23.1" customHeight="1" x14ac:dyDescent="0.3">
      <c r="A195" s="49">
        <v>193</v>
      </c>
      <c r="B195" s="49" t="s">
        <v>422</v>
      </c>
      <c r="C195" s="49" t="s">
        <v>423</v>
      </c>
      <c r="D195" s="49" t="s">
        <v>450</v>
      </c>
      <c r="E195" s="49" t="s">
        <v>493</v>
      </c>
      <c r="F195" s="49">
        <v>4</v>
      </c>
      <c r="G195" s="49">
        <v>4</v>
      </c>
      <c r="H195" s="49">
        <v>3</v>
      </c>
      <c r="I195" s="49"/>
      <c r="J195" s="49"/>
      <c r="K195" s="59">
        <f t="shared" si="16"/>
        <v>3.6666666666666665</v>
      </c>
      <c r="L195" s="49"/>
      <c r="M195" s="49">
        <v>3</v>
      </c>
      <c r="N195" s="49">
        <v>4</v>
      </c>
      <c r="O195" s="49"/>
      <c r="P195" s="49"/>
      <c r="Q195" s="59">
        <f t="shared" si="17"/>
        <v>3.5</v>
      </c>
      <c r="R195" s="49"/>
      <c r="S195" s="49">
        <v>3</v>
      </c>
      <c r="T195" s="49"/>
      <c r="U195" s="49"/>
      <c r="V195" s="49"/>
      <c r="W195" s="59">
        <f t="shared" si="18"/>
        <v>3</v>
      </c>
      <c r="X195" s="49"/>
      <c r="Y195" s="49"/>
      <c r="Z195" s="49"/>
      <c r="AA195" s="49"/>
      <c r="AB195" s="49"/>
      <c r="AC195" s="59" t="str">
        <f t="shared" si="19"/>
        <v>0</v>
      </c>
      <c r="AD195" s="49"/>
      <c r="AE195" s="49"/>
      <c r="AF195" s="49"/>
      <c r="AG195" s="49"/>
      <c r="AH195" s="49"/>
      <c r="AI195" s="59" t="str">
        <f t="shared" si="20"/>
        <v>0</v>
      </c>
      <c r="AJ195" s="49">
        <v>3</v>
      </c>
      <c r="AK195" s="49">
        <v>4</v>
      </c>
      <c r="AL195" s="49">
        <v>3</v>
      </c>
      <c r="AM195" s="49">
        <v>3</v>
      </c>
      <c r="AN195" s="49"/>
      <c r="AO195" s="59">
        <f t="shared" si="21"/>
        <v>3.25</v>
      </c>
      <c r="AP195" s="49"/>
      <c r="AQ195" s="49"/>
      <c r="AR195" s="49"/>
      <c r="AS195" s="49"/>
      <c r="AT195" s="49"/>
      <c r="AU195" s="59" t="str">
        <f t="shared" si="22"/>
        <v>0</v>
      </c>
      <c r="AV195" s="49"/>
      <c r="AW195" s="49"/>
      <c r="AX195" s="49"/>
      <c r="AY195" s="49">
        <v>4</v>
      </c>
      <c r="AZ195" s="49"/>
      <c r="BA195" s="59">
        <f t="shared" si="23"/>
        <v>4</v>
      </c>
    </row>
    <row r="196" spans="1:53" ht="23.1" customHeight="1" x14ac:dyDescent="0.3">
      <c r="A196" s="7">
        <v>194</v>
      </c>
      <c r="B196" s="7" t="s">
        <v>424</v>
      </c>
      <c r="C196" s="7" t="s">
        <v>425</v>
      </c>
      <c r="D196" s="7" t="s">
        <v>450</v>
      </c>
      <c r="E196" s="7" t="s">
        <v>493</v>
      </c>
      <c r="F196" s="49">
        <v>4</v>
      </c>
      <c r="G196" s="49">
        <v>4</v>
      </c>
      <c r="H196" s="49">
        <v>4</v>
      </c>
      <c r="I196" s="49"/>
      <c r="J196" s="7"/>
      <c r="K196" s="59">
        <f t="shared" ref="K196:K230" si="24">IFERROR(AVERAGE(F196,G196,H196,I196,J196),"0")</f>
        <v>4</v>
      </c>
      <c r="L196" s="49"/>
      <c r="M196" s="49">
        <v>5</v>
      </c>
      <c r="N196" s="49">
        <v>5</v>
      </c>
      <c r="O196" s="49"/>
      <c r="P196" s="49"/>
      <c r="Q196" s="59">
        <f t="shared" ref="Q196:Q230" si="25">IFERROR(AVERAGE(L196,M196,N196,O196,P196),"0")</f>
        <v>5</v>
      </c>
      <c r="R196" s="49"/>
      <c r="S196" s="49">
        <v>3</v>
      </c>
      <c r="T196" s="7"/>
      <c r="U196" s="49"/>
      <c r="V196" s="7"/>
      <c r="W196" s="59">
        <f t="shared" ref="W196:W230" si="26">IFERROR(AVERAGE(R196,S196,T196,U196,V196),"0")</f>
        <v>3</v>
      </c>
      <c r="X196" s="49"/>
      <c r="Y196" s="49"/>
      <c r="Z196" s="7"/>
      <c r="AA196" s="7"/>
      <c r="AB196" s="7"/>
      <c r="AC196" s="59" t="str">
        <f t="shared" ref="AC196:AC230" si="27">IFERROR(AVERAGE(X196,Y196,Z196,AA196,AB196),"0")</f>
        <v>0</v>
      </c>
      <c r="AD196" s="49"/>
      <c r="AE196" s="7"/>
      <c r="AF196" s="49"/>
      <c r="AG196" s="7"/>
      <c r="AH196" s="7"/>
      <c r="AI196" s="59" t="str">
        <f t="shared" ref="AI196:AI230" si="28">IFERROR(AVERAGE(AD196,AE196,AF196,AG196,AH196),"0")</f>
        <v>0</v>
      </c>
      <c r="AJ196" s="49">
        <v>4</v>
      </c>
      <c r="AK196" s="49">
        <v>4</v>
      </c>
      <c r="AL196" s="49">
        <v>4</v>
      </c>
      <c r="AM196" s="49">
        <v>4</v>
      </c>
      <c r="AN196" s="7"/>
      <c r="AO196" s="59">
        <f t="shared" ref="AO196:AO230" si="29">IFERROR(AVERAGE(AJ196,AK196,AL196,AM196,AN196),"0")</f>
        <v>4</v>
      </c>
      <c r="AP196" s="49"/>
      <c r="AQ196" s="49"/>
      <c r="AR196" s="49"/>
      <c r="AS196" s="7"/>
      <c r="AT196" s="7"/>
      <c r="AU196" s="59" t="str">
        <f t="shared" ref="AU196:AU230" si="30">IFERROR(AVERAGE(AP196,AQ196,AR196,AS196,AT196),"0")</f>
        <v>0</v>
      </c>
      <c r="AV196" s="7"/>
      <c r="AW196" s="7"/>
      <c r="AX196" s="49"/>
      <c r="AY196" s="49">
        <v>5</v>
      </c>
      <c r="AZ196" s="49"/>
      <c r="BA196" s="59">
        <f t="shared" ref="BA196:BA230" si="31">IFERROR(AVERAGE(AV196,AW196,AX196,AY196,AZ196),"0")</f>
        <v>5</v>
      </c>
    </row>
    <row r="197" spans="1:53" ht="23.1" customHeight="1" x14ac:dyDescent="0.3">
      <c r="A197" s="49">
        <v>195</v>
      </c>
      <c r="B197" s="49" t="s">
        <v>426</v>
      </c>
      <c r="C197" s="49" t="s">
        <v>427</v>
      </c>
      <c r="D197" s="49" t="s">
        <v>450</v>
      </c>
      <c r="E197" s="49" t="s">
        <v>289</v>
      </c>
      <c r="F197" s="49">
        <v>3</v>
      </c>
      <c r="G197" s="49">
        <v>4</v>
      </c>
      <c r="H197" s="49">
        <v>4</v>
      </c>
      <c r="I197" s="49"/>
      <c r="J197" s="49"/>
      <c r="K197" s="59">
        <f t="shared" si="24"/>
        <v>3.6666666666666665</v>
      </c>
      <c r="L197" s="49"/>
      <c r="M197" s="49">
        <v>3</v>
      </c>
      <c r="N197" s="49">
        <v>3</v>
      </c>
      <c r="O197" s="49"/>
      <c r="P197" s="49"/>
      <c r="Q197" s="59">
        <f t="shared" si="25"/>
        <v>3</v>
      </c>
      <c r="R197" s="49"/>
      <c r="S197" s="49">
        <v>2</v>
      </c>
      <c r="T197" s="49"/>
      <c r="U197" s="49"/>
      <c r="V197" s="49"/>
      <c r="W197" s="59">
        <f t="shared" si="26"/>
        <v>2</v>
      </c>
      <c r="X197" s="49"/>
      <c r="Y197" s="49"/>
      <c r="Z197" s="49"/>
      <c r="AA197" s="49"/>
      <c r="AB197" s="49"/>
      <c r="AC197" s="59" t="str">
        <f t="shared" si="27"/>
        <v>0</v>
      </c>
      <c r="AD197" s="49"/>
      <c r="AE197" s="49"/>
      <c r="AF197" s="49"/>
      <c r="AG197" s="49"/>
      <c r="AH197" s="49"/>
      <c r="AI197" s="59" t="str">
        <f t="shared" si="28"/>
        <v>0</v>
      </c>
      <c r="AJ197" s="49">
        <v>3</v>
      </c>
      <c r="AK197" s="49">
        <v>5</v>
      </c>
      <c r="AL197" s="49">
        <v>5</v>
      </c>
      <c r="AM197" s="49">
        <v>4</v>
      </c>
      <c r="AN197" s="49"/>
      <c r="AO197" s="59">
        <f t="shared" si="29"/>
        <v>4.25</v>
      </c>
      <c r="AP197" s="49"/>
      <c r="AQ197" s="49"/>
      <c r="AR197" s="49"/>
      <c r="AS197" s="49"/>
      <c r="AT197" s="49"/>
      <c r="AU197" s="59" t="str">
        <f t="shared" si="30"/>
        <v>0</v>
      </c>
      <c r="AV197" s="49"/>
      <c r="AW197" s="49"/>
      <c r="AX197" s="49"/>
      <c r="AY197" s="49">
        <v>3</v>
      </c>
      <c r="AZ197" s="49"/>
      <c r="BA197" s="59">
        <f t="shared" si="31"/>
        <v>3</v>
      </c>
    </row>
    <row r="198" spans="1:53" ht="23.1" customHeight="1" x14ac:dyDescent="0.3">
      <c r="A198" s="7">
        <v>196</v>
      </c>
      <c r="B198" s="7" t="s">
        <v>428</v>
      </c>
      <c r="C198" s="7" t="s">
        <v>429</v>
      </c>
      <c r="D198" s="7" t="s">
        <v>450</v>
      </c>
      <c r="E198" s="7" t="s">
        <v>493</v>
      </c>
      <c r="F198" s="49">
        <v>2</v>
      </c>
      <c r="G198" s="49">
        <v>2</v>
      </c>
      <c r="H198" s="49">
        <v>3</v>
      </c>
      <c r="I198" s="49"/>
      <c r="J198" s="7"/>
      <c r="K198" s="59">
        <f t="shared" si="24"/>
        <v>2.3333333333333335</v>
      </c>
      <c r="L198" s="49"/>
      <c r="M198" s="49">
        <v>5</v>
      </c>
      <c r="N198" s="49">
        <v>4</v>
      </c>
      <c r="O198" s="49"/>
      <c r="P198" s="49"/>
      <c r="Q198" s="59">
        <f t="shared" si="25"/>
        <v>4.5</v>
      </c>
      <c r="R198" s="49"/>
      <c r="S198" s="49">
        <v>3</v>
      </c>
      <c r="T198" s="7"/>
      <c r="U198" s="49"/>
      <c r="V198" s="7"/>
      <c r="W198" s="59">
        <f t="shared" si="26"/>
        <v>3</v>
      </c>
      <c r="X198" s="49"/>
      <c r="Y198" s="49"/>
      <c r="Z198" s="7"/>
      <c r="AA198" s="7"/>
      <c r="AB198" s="7"/>
      <c r="AC198" s="59" t="str">
        <f t="shared" si="27"/>
        <v>0</v>
      </c>
      <c r="AD198" s="49"/>
      <c r="AE198" s="7"/>
      <c r="AF198" s="49"/>
      <c r="AG198" s="7"/>
      <c r="AH198" s="7"/>
      <c r="AI198" s="59" t="str">
        <f t="shared" si="28"/>
        <v>0</v>
      </c>
      <c r="AJ198" s="49">
        <v>3</v>
      </c>
      <c r="AK198" s="49">
        <v>3</v>
      </c>
      <c r="AL198" s="49">
        <v>2</v>
      </c>
      <c r="AM198" s="49">
        <v>2</v>
      </c>
      <c r="AN198" s="7"/>
      <c r="AO198" s="59">
        <f t="shared" si="29"/>
        <v>2.5</v>
      </c>
      <c r="AP198" s="49"/>
      <c r="AQ198" s="49"/>
      <c r="AR198" s="49"/>
      <c r="AS198" s="7"/>
      <c r="AT198" s="7"/>
      <c r="AU198" s="59" t="str">
        <f t="shared" si="30"/>
        <v>0</v>
      </c>
      <c r="AV198" s="7"/>
      <c r="AW198" s="7"/>
      <c r="AX198" s="49"/>
      <c r="AY198" s="49">
        <v>4</v>
      </c>
      <c r="AZ198" s="49"/>
      <c r="BA198" s="59">
        <f t="shared" si="31"/>
        <v>4</v>
      </c>
    </row>
    <row r="199" spans="1:53" ht="23.1" customHeight="1" x14ac:dyDescent="0.3">
      <c r="A199" s="49">
        <v>197</v>
      </c>
      <c r="B199" s="49" t="s">
        <v>430</v>
      </c>
      <c r="C199" s="49" t="s">
        <v>431</v>
      </c>
      <c r="D199" s="49" t="s">
        <v>542</v>
      </c>
      <c r="E199" s="49" t="s">
        <v>493</v>
      </c>
      <c r="F199" s="49">
        <v>3</v>
      </c>
      <c r="G199" s="49">
        <v>3</v>
      </c>
      <c r="H199" s="49">
        <v>3</v>
      </c>
      <c r="I199" s="49"/>
      <c r="J199" s="49"/>
      <c r="K199" s="59">
        <f t="shared" si="24"/>
        <v>3</v>
      </c>
      <c r="L199" s="49"/>
      <c r="M199" s="49">
        <v>4</v>
      </c>
      <c r="N199" s="49">
        <v>4</v>
      </c>
      <c r="O199" s="49"/>
      <c r="P199" s="49"/>
      <c r="Q199" s="59">
        <f t="shared" si="25"/>
        <v>4</v>
      </c>
      <c r="R199" s="49"/>
      <c r="S199" s="49">
        <v>2</v>
      </c>
      <c r="T199" s="49"/>
      <c r="U199" s="49"/>
      <c r="V199" s="49"/>
      <c r="W199" s="59">
        <f t="shared" si="26"/>
        <v>2</v>
      </c>
      <c r="X199" s="49"/>
      <c r="Y199" s="49"/>
      <c r="Z199" s="49"/>
      <c r="AA199" s="49"/>
      <c r="AB199" s="49"/>
      <c r="AC199" s="59" t="str">
        <f t="shared" si="27"/>
        <v>0</v>
      </c>
      <c r="AD199" s="49"/>
      <c r="AE199" s="49"/>
      <c r="AF199" s="49"/>
      <c r="AG199" s="49"/>
      <c r="AH199" s="49"/>
      <c r="AI199" s="59" t="str">
        <f t="shared" si="28"/>
        <v>0</v>
      </c>
      <c r="AJ199" s="49">
        <v>3</v>
      </c>
      <c r="AK199" s="49">
        <v>3</v>
      </c>
      <c r="AL199" s="49">
        <v>4</v>
      </c>
      <c r="AM199" s="49">
        <v>4</v>
      </c>
      <c r="AN199" s="49"/>
      <c r="AO199" s="59">
        <f t="shared" si="29"/>
        <v>3.5</v>
      </c>
      <c r="AP199" s="49"/>
      <c r="AQ199" s="49"/>
      <c r="AR199" s="49"/>
      <c r="AS199" s="49"/>
      <c r="AT199" s="49"/>
      <c r="AU199" s="59" t="str">
        <f t="shared" si="30"/>
        <v>0</v>
      </c>
      <c r="AV199" s="49"/>
      <c r="AW199" s="49"/>
      <c r="AX199" s="49"/>
      <c r="AY199" s="49">
        <v>4</v>
      </c>
      <c r="AZ199" s="49"/>
      <c r="BA199" s="59">
        <f t="shared" si="31"/>
        <v>4</v>
      </c>
    </row>
    <row r="200" spans="1:53" ht="23.1" customHeight="1" x14ac:dyDescent="0.3">
      <c r="A200" s="7">
        <v>198</v>
      </c>
      <c r="B200" s="7" t="s">
        <v>176</v>
      </c>
      <c r="C200" s="7" t="s">
        <v>177</v>
      </c>
      <c r="D200" s="7" t="s">
        <v>542</v>
      </c>
      <c r="E200" s="7" t="s">
        <v>161</v>
      </c>
      <c r="F200" s="49">
        <v>3</v>
      </c>
      <c r="G200" s="49">
        <v>2</v>
      </c>
      <c r="H200" s="49">
        <v>3</v>
      </c>
      <c r="I200" s="49"/>
      <c r="J200" s="7"/>
      <c r="K200" s="59">
        <f t="shared" si="24"/>
        <v>2.6666666666666665</v>
      </c>
      <c r="L200" s="49"/>
      <c r="M200" s="49">
        <v>3</v>
      </c>
      <c r="N200" s="49">
        <v>3</v>
      </c>
      <c r="O200" s="49"/>
      <c r="P200" s="49"/>
      <c r="Q200" s="59">
        <f t="shared" si="25"/>
        <v>3</v>
      </c>
      <c r="R200" s="49"/>
      <c r="S200" s="49">
        <v>3</v>
      </c>
      <c r="T200" s="7"/>
      <c r="U200" s="49"/>
      <c r="V200" s="7"/>
      <c r="W200" s="59">
        <f t="shared" si="26"/>
        <v>3</v>
      </c>
      <c r="X200" s="49"/>
      <c r="Y200" s="49"/>
      <c r="Z200" s="7"/>
      <c r="AA200" s="7"/>
      <c r="AB200" s="7"/>
      <c r="AC200" s="59" t="str">
        <f t="shared" si="27"/>
        <v>0</v>
      </c>
      <c r="AD200" s="49"/>
      <c r="AE200" s="7"/>
      <c r="AF200" s="49"/>
      <c r="AG200" s="7"/>
      <c r="AH200" s="7"/>
      <c r="AI200" s="59" t="str">
        <f t="shared" si="28"/>
        <v>0</v>
      </c>
      <c r="AJ200" s="49">
        <v>3</v>
      </c>
      <c r="AK200" s="49">
        <v>3</v>
      </c>
      <c r="AL200" s="49">
        <v>3</v>
      </c>
      <c r="AM200" s="49">
        <v>3</v>
      </c>
      <c r="AN200" s="7"/>
      <c r="AO200" s="59">
        <f t="shared" si="29"/>
        <v>3</v>
      </c>
      <c r="AP200" s="49"/>
      <c r="AQ200" s="49"/>
      <c r="AR200" s="49"/>
      <c r="AS200" s="7"/>
      <c r="AT200" s="7"/>
      <c r="AU200" s="59" t="str">
        <f t="shared" si="30"/>
        <v>0</v>
      </c>
      <c r="AV200" s="7"/>
      <c r="AW200" s="7"/>
      <c r="AX200" s="49"/>
      <c r="AY200" s="49">
        <v>3</v>
      </c>
      <c r="AZ200" s="49"/>
      <c r="BA200" s="59">
        <f t="shared" si="31"/>
        <v>3</v>
      </c>
    </row>
    <row r="201" spans="1:53" ht="23.1" customHeight="1" x14ac:dyDescent="0.3">
      <c r="A201" s="49">
        <v>199</v>
      </c>
      <c r="B201" s="49" t="s">
        <v>432</v>
      </c>
      <c r="C201" s="49" t="s">
        <v>433</v>
      </c>
      <c r="D201" s="49" t="s">
        <v>542</v>
      </c>
      <c r="E201" s="49" t="s">
        <v>289</v>
      </c>
      <c r="F201" s="49">
        <v>3</v>
      </c>
      <c r="G201" s="49">
        <v>4</v>
      </c>
      <c r="H201" s="49">
        <v>4</v>
      </c>
      <c r="I201" s="49"/>
      <c r="J201" s="49"/>
      <c r="K201" s="59">
        <f t="shared" si="24"/>
        <v>3.6666666666666665</v>
      </c>
      <c r="L201" s="49"/>
      <c r="M201" s="49">
        <v>4</v>
      </c>
      <c r="N201" s="49">
        <v>3</v>
      </c>
      <c r="O201" s="49"/>
      <c r="P201" s="49"/>
      <c r="Q201" s="59">
        <f t="shared" si="25"/>
        <v>3.5</v>
      </c>
      <c r="R201" s="49"/>
      <c r="S201" s="49">
        <v>2</v>
      </c>
      <c r="T201" s="49"/>
      <c r="U201" s="49"/>
      <c r="V201" s="49"/>
      <c r="W201" s="59">
        <f t="shared" si="26"/>
        <v>2</v>
      </c>
      <c r="X201" s="49"/>
      <c r="Y201" s="49"/>
      <c r="Z201" s="49"/>
      <c r="AA201" s="49"/>
      <c r="AB201" s="49"/>
      <c r="AC201" s="59" t="str">
        <f t="shared" si="27"/>
        <v>0</v>
      </c>
      <c r="AD201" s="49"/>
      <c r="AE201" s="49"/>
      <c r="AF201" s="49"/>
      <c r="AG201" s="49"/>
      <c r="AH201" s="49"/>
      <c r="AI201" s="59" t="str">
        <f t="shared" si="28"/>
        <v>0</v>
      </c>
      <c r="AJ201" s="49">
        <v>3</v>
      </c>
      <c r="AK201" s="49">
        <v>5</v>
      </c>
      <c r="AL201" s="49">
        <v>5</v>
      </c>
      <c r="AM201" s="49">
        <v>4</v>
      </c>
      <c r="AN201" s="49"/>
      <c r="AO201" s="59">
        <f t="shared" si="29"/>
        <v>4.25</v>
      </c>
      <c r="AP201" s="49"/>
      <c r="AQ201" s="49"/>
      <c r="AR201" s="49"/>
      <c r="AS201" s="49"/>
      <c r="AT201" s="49"/>
      <c r="AU201" s="59" t="str">
        <f t="shared" si="30"/>
        <v>0</v>
      </c>
      <c r="AV201" s="49"/>
      <c r="AW201" s="49"/>
      <c r="AX201" s="49"/>
      <c r="AY201" s="49">
        <v>4</v>
      </c>
      <c r="AZ201" s="49"/>
      <c r="BA201" s="59">
        <f t="shared" si="31"/>
        <v>4</v>
      </c>
    </row>
    <row r="202" spans="1:53" ht="23.1" customHeight="1" x14ac:dyDescent="0.3">
      <c r="A202" s="7">
        <v>200</v>
      </c>
      <c r="B202" s="7" t="s">
        <v>434</v>
      </c>
      <c r="C202" s="7" t="s">
        <v>435</v>
      </c>
      <c r="D202" s="7" t="s">
        <v>450</v>
      </c>
      <c r="E202" s="7" t="s">
        <v>493</v>
      </c>
      <c r="F202" s="49">
        <v>4</v>
      </c>
      <c r="G202" s="49">
        <v>3</v>
      </c>
      <c r="H202" s="49">
        <v>4</v>
      </c>
      <c r="I202" s="49"/>
      <c r="J202" s="7"/>
      <c r="K202" s="59">
        <f t="shared" si="24"/>
        <v>3.6666666666666665</v>
      </c>
      <c r="L202" s="49"/>
      <c r="M202" s="49">
        <v>3</v>
      </c>
      <c r="N202" s="49">
        <v>3</v>
      </c>
      <c r="O202" s="49"/>
      <c r="P202" s="49"/>
      <c r="Q202" s="59">
        <f t="shared" si="25"/>
        <v>3</v>
      </c>
      <c r="R202" s="49"/>
      <c r="S202" s="49">
        <v>2</v>
      </c>
      <c r="T202" s="7"/>
      <c r="U202" s="49"/>
      <c r="V202" s="7"/>
      <c r="W202" s="59">
        <f t="shared" si="26"/>
        <v>2</v>
      </c>
      <c r="X202" s="49"/>
      <c r="Y202" s="49"/>
      <c r="Z202" s="7"/>
      <c r="AA202" s="7"/>
      <c r="AB202" s="7"/>
      <c r="AC202" s="59" t="str">
        <f t="shared" si="27"/>
        <v>0</v>
      </c>
      <c r="AD202" s="49"/>
      <c r="AE202" s="7"/>
      <c r="AF202" s="49"/>
      <c r="AG202" s="7"/>
      <c r="AH202" s="7"/>
      <c r="AI202" s="59" t="str">
        <f t="shared" si="28"/>
        <v>0</v>
      </c>
      <c r="AJ202" s="49">
        <v>4</v>
      </c>
      <c r="AK202" s="49">
        <v>4</v>
      </c>
      <c r="AL202" s="49">
        <v>4</v>
      </c>
      <c r="AM202" s="49">
        <v>4</v>
      </c>
      <c r="AN202" s="7"/>
      <c r="AO202" s="59">
        <f t="shared" si="29"/>
        <v>4</v>
      </c>
      <c r="AP202" s="49"/>
      <c r="AQ202" s="49"/>
      <c r="AR202" s="49"/>
      <c r="AS202" s="7"/>
      <c r="AT202" s="7"/>
      <c r="AU202" s="59" t="str">
        <f t="shared" si="30"/>
        <v>0</v>
      </c>
      <c r="AV202" s="7"/>
      <c r="AW202" s="7"/>
      <c r="AX202" s="49"/>
      <c r="AY202" s="49">
        <v>3</v>
      </c>
      <c r="AZ202" s="49"/>
      <c r="BA202" s="59">
        <f t="shared" si="31"/>
        <v>3</v>
      </c>
    </row>
    <row r="203" spans="1:53" ht="23.1" customHeight="1" x14ac:dyDescent="0.3">
      <c r="A203" s="49">
        <v>201</v>
      </c>
      <c r="B203" s="49" t="s">
        <v>436</v>
      </c>
      <c r="C203" s="49" t="s">
        <v>437</v>
      </c>
      <c r="D203" s="49" t="s">
        <v>450</v>
      </c>
      <c r="E203" s="49" t="s">
        <v>493</v>
      </c>
      <c r="F203" s="49">
        <v>4</v>
      </c>
      <c r="G203" s="49">
        <v>4</v>
      </c>
      <c r="H203" s="49">
        <v>3</v>
      </c>
      <c r="I203" s="49"/>
      <c r="J203" s="49"/>
      <c r="K203" s="59">
        <f t="shared" si="24"/>
        <v>3.6666666666666665</v>
      </c>
      <c r="L203" s="49"/>
      <c r="M203" s="49">
        <v>2</v>
      </c>
      <c r="N203" s="49">
        <v>2.5</v>
      </c>
      <c r="O203" s="49"/>
      <c r="P203" s="49"/>
      <c r="Q203" s="59">
        <f t="shared" si="25"/>
        <v>2.25</v>
      </c>
      <c r="R203" s="49"/>
      <c r="S203" s="49">
        <v>2.5</v>
      </c>
      <c r="T203" s="49"/>
      <c r="U203" s="49"/>
      <c r="V203" s="49"/>
      <c r="W203" s="59">
        <f t="shared" si="26"/>
        <v>2.5</v>
      </c>
      <c r="X203" s="49"/>
      <c r="Y203" s="49"/>
      <c r="Z203" s="49"/>
      <c r="AA203" s="49"/>
      <c r="AB203" s="49"/>
      <c r="AC203" s="59" t="str">
        <f t="shared" si="27"/>
        <v>0</v>
      </c>
      <c r="AD203" s="49"/>
      <c r="AE203" s="49"/>
      <c r="AF203" s="49"/>
      <c r="AG203" s="49"/>
      <c r="AH203" s="49"/>
      <c r="AI203" s="59" t="str">
        <f t="shared" si="28"/>
        <v>0</v>
      </c>
      <c r="AJ203" s="49">
        <v>3</v>
      </c>
      <c r="AK203" s="49">
        <v>4</v>
      </c>
      <c r="AL203" s="49">
        <v>3</v>
      </c>
      <c r="AM203" s="49">
        <v>3</v>
      </c>
      <c r="AN203" s="49"/>
      <c r="AO203" s="59">
        <f t="shared" si="29"/>
        <v>3.25</v>
      </c>
      <c r="AP203" s="49"/>
      <c r="AQ203" s="49"/>
      <c r="AR203" s="49"/>
      <c r="AS203" s="49"/>
      <c r="AT203" s="49"/>
      <c r="AU203" s="59" t="str">
        <f t="shared" si="30"/>
        <v>0</v>
      </c>
      <c r="AV203" s="49"/>
      <c r="AW203" s="49"/>
      <c r="AX203" s="49"/>
      <c r="AY203" s="49">
        <v>2</v>
      </c>
      <c r="AZ203" s="49"/>
      <c r="BA203" s="59">
        <f t="shared" si="31"/>
        <v>2</v>
      </c>
    </row>
    <row r="204" spans="1:53" ht="23.1" customHeight="1" x14ac:dyDescent="0.3">
      <c r="A204" s="7">
        <v>202</v>
      </c>
      <c r="B204" s="7" t="s">
        <v>438</v>
      </c>
      <c r="C204" s="7" t="s">
        <v>439</v>
      </c>
      <c r="D204" s="7" t="s">
        <v>450</v>
      </c>
      <c r="E204" s="7" t="s">
        <v>289</v>
      </c>
      <c r="F204" s="49">
        <v>3.5</v>
      </c>
      <c r="G204" s="49">
        <v>3.5</v>
      </c>
      <c r="H204" s="49">
        <v>2.5</v>
      </c>
      <c r="I204" s="49"/>
      <c r="J204" s="7"/>
      <c r="K204" s="59">
        <f t="shared" si="24"/>
        <v>3.1666666666666665</v>
      </c>
      <c r="L204" s="49"/>
      <c r="M204" s="49">
        <v>3.5</v>
      </c>
      <c r="N204" s="49">
        <v>3</v>
      </c>
      <c r="O204" s="49"/>
      <c r="P204" s="49"/>
      <c r="Q204" s="59">
        <f t="shared" si="25"/>
        <v>3.25</v>
      </c>
      <c r="R204" s="49"/>
      <c r="S204" s="49">
        <v>1</v>
      </c>
      <c r="T204" s="7"/>
      <c r="U204" s="49"/>
      <c r="V204" s="7"/>
      <c r="W204" s="59">
        <f t="shared" si="26"/>
        <v>1</v>
      </c>
      <c r="X204" s="49"/>
      <c r="Y204" s="49"/>
      <c r="Z204" s="7"/>
      <c r="AA204" s="7"/>
      <c r="AB204" s="7"/>
      <c r="AC204" s="59" t="str">
        <f t="shared" si="27"/>
        <v>0</v>
      </c>
      <c r="AD204" s="49"/>
      <c r="AE204" s="7"/>
      <c r="AF204" s="49"/>
      <c r="AG204" s="7"/>
      <c r="AH204" s="7"/>
      <c r="AI204" s="59" t="str">
        <f t="shared" si="28"/>
        <v>0</v>
      </c>
      <c r="AJ204" s="49">
        <v>2.5</v>
      </c>
      <c r="AK204" s="49">
        <v>3</v>
      </c>
      <c r="AL204" s="49">
        <v>3</v>
      </c>
      <c r="AM204" s="49">
        <v>3</v>
      </c>
      <c r="AN204" s="7"/>
      <c r="AO204" s="59">
        <f t="shared" si="29"/>
        <v>2.875</v>
      </c>
      <c r="AP204" s="49"/>
      <c r="AQ204" s="49"/>
      <c r="AR204" s="49"/>
      <c r="AS204" s="7"/>
      <c r="AT204" s="7"/>
      <c r="AU204" s="59" t="str">
        <f t="shared" si="30"/>
        <v>0</v>
      </c>
      <c r="AV204" s="7"/>
      <c r="AW204" s="7"/>
      <c r="AX204" s="49"/>
      <c r="AY204" s="49">
        <v>3.5</v>
      </c>
      <c r="AZ204" s="49"/>
      <c r="BA204" s="59">
        <f t="shared" si="31"/>
        <v>3.5</v>
      </c>
    </row>
    <row r="205" spans="1:53" ht="23.1" customHeight="1" x14ac:dyDescent="0.3">
      <c r="A205" s="49">
        <v>203</v>
      </c>
      <c r="B205" s="49" t="s">
        <v>440</v>
      </c>
      <c r="C205" s="49" t="s">
        <v>441</v>
      </c>
      <c r="D205" s="49" t="s">
        <v>450</v>
      </c>
      <c r="E205" s="49" t="s">
        <v>289</v>
      </c>
      <c r="F205" s="49">
        <v>3</v>
      </c>
      <c r="G205" s="49">
        <v>3</v>
      </c>
      <c r="H205" s="49">
        <v>2</v>
      </c>
      <c r="I205" s="49"/>
      <c r="J205" s="49"/>
      <c r="K205" s="59">
        <f t="shared" si="24"/>
        <v>2.6666666666666665</v>
      </c>
      <c r="L205" s="49"/>
      <c r="M205" s="49">
        <v>3</v>
      </c>
      <c r="N205" s="49">
        <v>3</v>
      </c>
      <c r="O205" s="49"/>
      <c r="P205" s="49"/>
      <c r="Q205" s="59">
        <f t="shared" si="25"/>
        <v>3</v>
      </c>
      <c r="R205" s="49"/>
      <c r="S205" s="49">
        <v>3</v>
      </c>
      <c r="T205" s="49"/>
      <c r="U205" s="49"/>
      <c r="V205" s="49"/>
      <c r="W205" s="59">
        <f t="shared" si="26"/>
        <v>3</v>
      </c>
      <c r="X205" s="49"/>
      <c r="Y205" s="49"/>
      <c r="Z205" s="49"/>
      <c r="AA205" s="49"/>
      <c r="AB205" s="49"/>
      <c r="AC205" s="59" t="str">
        <f t="shared" si="27"/>
        <v>0</v>
      </c>
      <c r="AD205" s="49"/>
      <c r="AE205" s="49"/>
      <c r="AF205" s="49"/>
      <c r="AG205" s="49"/>
      <c r="AH205" s="49"/>
      <c r="AI205" s="59" t="str">
        <f t="shared" si="28"/>
        <v>0</v>
      </c>
      <c r="AJ205" s="49">
        <v>3</v>
      </c>
      <c r="AK205" s="49">
        <v>3</v>
      </c>
      <c r="AL205" s="49">
        <v>2</v>
      </c>
      <c r="AM205" s="49">
        <v>4</v>
      </c>
      <c r="AN205" s="49"/>
      <c r="AO205" s="59">
        <f t="shared" si="29"/>
        <v>3</v>
      </c>
      <c r="AP205" s="49"/>
      <c r="AQ205" s="49"/>
      <c r="AR205" s="49"/>
      <c r="AS205" s="49"/>
      <c r="AT205" s="49"/>
      <c r="AU205" s="59" t="str">
        <f t="shared" si="30"/>
        <v>0</v>
      </c>
      <c r="AV205" s="49"/>
      <c r="AW205" s="49"/>
      <c r="AX205" s="49"/>
      <c r="AY205" s="49">
        <v>3</v>
      </c>
      <c r="AZ205" s="49"/>
      <c r="BA205" s="59">
        <f t="shared" si="31"/>
        <v>3</v>
      </c>
    </row>
    <row r="206" spans="1:53" ht="23.1" customHeight="1" x14ac:dyDescent="0.3">
      <c r="A206" s="7">
        <v>204</v>
      </c>
      <c r="B206" s="7" t="s">
        <v>442</v>
      </c>
      <c r="C206" s="7" t="s">
        <v>443</v>
      </c>
      <c r="D206" s="7" t="s">
        <v>450</v>
      </c>
      <c r="E206" s="7" t="s">
        <v>289</v>
      </c>
      <c r="F206" s="49">
        <v>4</v>
      </c>
      <c r="G206" s="49">
        <v>4</v>
      </c>
      <c r="H206" s="49">
        <v>4</v>
      </c>
      <c r="I206" s="49"/>
      <c r="J206" s="7"/>
      <c r="K206" s="59">
        <f t="shared" si="24"/>
        <v>4</v>
      </c>
      <c r="L206" s="49"/>
      <c r="M206" s="49">
        <v>4</v>
      </c>
      <c r="N206" s="49">
        <v>4</v>
      </c>
      <c r="O206" s="49"/>
      <c r="P206" s="49"/>
      <c r="Q206" s="59">
        <f t="shared" si="25"/>
        <v>4</v>
      </c>
      <c r="R206" s="49"/>
      <c r="S206" s="49">
        <v>2</v>
      </c>
      <c r="T206" s="7"/>
      <c r="U206" s="49"/>
      <c r="V206" s="7"/>
      <c r="W206" s="59">
        <f t="shared" si="26"/>
        <v>2</v>
      </c>
      <c r="X206" s="49"/>
      <c r="Y206" s="49"/>
      <c r="Z206" s="7"/>
      <c r="AA206" s="7"/>
      <c r="AB206" s="7"/>
      <c r="AC206" s="59" t="str">
        <f t="shared" si="27"/>
        <v>0</v>
      </c>
      <c r="AD206" s="49"/>
      <c r="AE206" s="7"/>
      <c r="AF206" s="49"/>
      <c r="AG206" s="7"/>
      <c r="AH206" s="7"/>
      <c r="AI206" s="59" t="str">
        <f t="shared" si="28"/>
        <v>0</v>
      </c>
      <c r="AJ206" s="49">
        <v>4</v>
      </c>
      <c r="AK206" s="49">
        <v>4</v>
      </c>
      <c r="AL206" s="49">
        <v>4</v>
      </c>
      <c r="AM206" s="49">
        <v>4</v>
      </c>
      <c r="AN206" s="7"/>
      <c r="AO206" s="59">
        <f t="shared" si="29"/>
        <v>4</v>
      </c>
      <c r="AP206" s="49"/>
      <c r="AQ206" s="49"/>
      <c r="AR206" s="49"/>
      <c r="AS206" s="7"/>
      <c r="AT206" s="7"/>
      <c r="AU206" s="59" t="str">
        <f t="shared" si="30"/>
        <v>0</v>
      </c>
      <c r="AV206" s="7"/>
      <c r="AW206" s="7"/>
      <c r="AX206" s="49"/>
      <c r="AY206" s="49">
        <v>4</v>
      </c>
      <c r="AZ206" s="49"/>
      <c r="BA206" s="59">
        <f t="shared" si="31"/>
        <v>4</v>
      </c>
    </row>
    <row r="207" spans="1:53" ht="23.1" customHeight="1" x14ac:dyDescent="0.3">
      <c r="A207" s="49">
        <v>205</v>
      </c>
      <c r="B207" s="49" t="s">
        <v>444</v>
      </c>
      <c r="C207" s="49" t="s">
        <v>445</v>
      </c>
      <c r="D207" s="49" t="s">
        <v>450</v>
      </c>
      <c r="E207" s="49" t="s">
        <v>289</v>
      </c>
      <c r="F207" s="49">
        <v>4</v>
      </c>
      <c r="G207" s="49">
        <v>4</v>
      </c>
      <c r="H207" s="49">
        <v>4</v>
      </c>
      <c r="I207" s="49"/>
      <c r="J207" s="49"/>
      <c r="K207" s="59">
        <f t="shared" si="24"/>
        <v>4</v>
      </c>
      <c r="L207" s="49"/>
      <c r="M207" s="49">
        <v>4</v>
      </c>
      <c r="N207" s="49">
        <v>4</v>
      </c>
      <c r="O207" s="49"/>
      <c r="P207" s="49"/>
      <c r="Q207" s="59">
        <f t="shared" si="25"/>
        <v>4</v>
      </c>
      <c r="R207" s="49"/>
      <c r="S207" s="49">
        <v>3</v>
      </c>
      <c r="T207" s="49"/>
      <c r="U207" s="49"/>
      <c r="V207" s="49"/>
      <c r="W207" s="59">
        <f t="shared" si="26"/>
        <v>3</v>
      </c>
      <c r="X207" s="49"/>
      <c r="Y207" s="49"/>
      <c r="Z207" s="49"/>
      <c r="AA207" s="49"/>
      <c r="AB207" s="49"/>
      <c r="AC207" s="59" t="str">
        <f t="shared" si="27"/>
        <v>0</v>
      </c>
      <c r="AD207" s="49"/>
      <c r="AE207" s="49"/>
      <c r="AF207" s="49"/>
      <c r="AG207" s="49"/>
      <c r="AH207" s="49"/>
      <c r="AI207" s="59" t="str">
        <f t="shared" si="28"/>
        <v>0</v>
      </c>
      <c r="AJ207" s="49">
        <v>4</v>
      </c>
      <c r="AK207" s="49">
        <v>4</v>
      </c>
      <c r="AL207" s="49">
        <v>4</v>
      </c>
      <c r="AM207" s="49">
        <v>4</v>
      </c>
      <c r="AN207" s="49"/>
      <c r="AO207" s="59">
        <f t="shared" si="29"/>
        <v>4</v>
      </c>
      <c r="AP207" s="49"/>
      <c r="AQ207" s="49"/>
      <c r="AR207" s="49"/>
      <c r="AS207" s="49"/>
      <c r="AT207" s="49"/>
      <c r="AU207" s="59" t="str">
        <f t="shared" si="30"/>
        <v>0</v>
      </c>
      <c r="AV207" s="49"/>
      <c r="AW207" s="49"/>
      <c r="AX207" s="49"/>
      <c r="AY207" s="49">
        <v>4</v>
      </c>
      <c r="AZ207" s="49"/>
      <c r="BA207" s="59">
        <f t="shared" si="31"/>
        <v>4</v>
      </c>
    </row>
    <row r="208" spans="1:53" ht="23.1" customHeight="1" x14ac:dyDescent="0.3">
      <c r="A208" s="7">
        <v>206</v>
      </c>
      <c r="B208" s="7" t="s">
        <v>446</v>
      </c>
      <c r="C208" s="7" t="s">
        <v>447</v>
      </c>
      <c r="D208" s="7" t="s">
        <v>450</v>
      </c>
      <c r="E208" s="7" t="s">
        <v>289</v>
      </c>
      <c r="F208" s="49">
        <v>4</v>
      </c>
      <c r="G208" s="49">
        <v>4</v>
      </c>
      <c r="H208" s="49">
        <v>4</v>
      </c>
      <c r="I208" s="49"/>
      <c r="J208" s="7"/>
      <c r="K208" s="59">
        <f t="shared" si="24"/>
        <v>4</v>
      </c>
      <c r="L208" s="49"/>
      <c r="M208" s="49">
        <v>4</v>
      </c>
      <c r="N208" s="49">
        <v>4</v>
      </c>
      <c r="O208" s="49"/>
      <c r="P208" s="49"/>
      <c r="Q208" s="59">
        <f t="shared" si="25"/>
        <v>4</v>
      </c>
      <c r="R208" s="49"/>
      <c r="S208" s="49">
        <v>1</v>
      </c>
      <c r="T208" s="7"/>
      <c r="U208" s="49"/>
      <c r="V208" s="7"/>
      <c r="W208" s="59">
        <f t="shared" si="26"/>
        <v>1</v>
      </c>
      <c r="X208" s="49"/>
      <c r="Y208" s="49"/>
      <c r="Z208" s="7"/>
      <c r="AA208" s="7"/>
      <c r="AB208" s="7"/>
      <c r="AC208" s="59" t="str">
        <f t="shared" si="27"/>
        <v>0</v>
      </c>
      <c r="AD208" s="49"/>
      <c r="AE208" s="7"/>
      <c r="AF208" s="49"/>
      <c r="AG208" s="7"/>
      <c r="AH208" s="7"/>
      <c r="AI208" s="59" t="str">
        <f t="shared" si="28"/>
        <v>0</v>
      </c>
      <c r="AJ208" s="49">
        <v>4</v>
      </c>
      <c r="AK208" s="49">
        <v>4</v>
      </c>
      <c r="AL208" s="49">
        <v>4</v>
      </c>
      <c r="AM208" s="49">
        <v>4</v>
      </c>
      <c r="AN208" s="7"/>
      <c r="AO208" s="59">
        <f t="shared" si="29"/>
        <v>4</v>
      </c>
      <c r="AP208" s="49"/>
      <c r="AQ208" s="49"/>
      <c r="AR208" s="49"/>
      <c r="AS208" s="7"/>
      <c r="AT208" s="7"/>
      <c r="AU208" s="59" t="str">
        <f t="shared" si="30"/>
        <v>0</v>
      </c>
      <c r="AV208" s="7"/>
      <c r="AW208" s="7"/>
      <c r="AX208" s="49"/>
      <c r="AY208" s="49">
        <v>4</v>
      </c>
      <c r="AZ208" s="49"/>
      <c r="BA208" s="59">
        <f t="shared" si="31"/>
        <v>4</v>
      </c>
    </row>
    <row r="209" spans="1:53" ht="23.1" customHeight="1" x14ac:dyDescent="0.3">
      <c r="A209" s="49">
        <v>207</v>
      </c>
      <c r="B209" s="49" t="s">
        <v>448</v>
      </c>
      <c r="C209" s="49" t="s">
        <v>449</v>
      </c>
      <c r="D209" s="49" t="s">
        <v>450</v>
      </c>
      <c r="E209" s="49" t="s">
        <v>289</v>
      </c>
      <c r="F209" s="49">
        <v>2.5</v>
      </c>
      <c r="G209" s="49">
        <v>2</v>
      </c>
      <c r="H209" s="49">
        <v>4.5</v>
      </c>
      <c r="I209" s="49"/>
      <c r="J209" s="49"/>
      <c r="K209" s="59">
        <f t="shared" si="24"/>
        <v>3</v>
      </c>
      <c r="L209" s="49"/>
      <c r="M209" s="49">
        <v>3</v>
      </c>
      <c r="N209" s="49">
        <v>3</v>
      </c>
      <c r="O209" s="49"/>
      <c r="P209" s="49"/>
      <c r="Q209" s="59">
        <f t="shared" si="25"/>
        <v>3</v>
      </c>
      <c r="R209" s="49"/>
      <c r="S209" s="49">
        <v>3</v>
      </c>
      <c r="T209" s="49"/>
      <c r="U209" s="49"/>
      <c r="V209" s="49"/>
      <c r="W209" s="59">
        <f t="shared" si="26"/>
        <v>3</v>
      </c>
      <c r="X209" s="49"/>
      <c r="Y209" s="49"/>
      <c r="Z209" s="49"/>
      <c r="AA209" s="49"/>
      <c r="AB209" s="49"/>
      <c r="AC209" s="59" t="str">
        <f t="shared" si="27"/>
        <v>0</v>
      </c>
      <c r="AD209" s="49"/>
      <c r="AE209" s="49"/>
      <c r="AF209" s="49"/>
      <c r="AG209" s="49"/>
      <c r="AH209" s="49"/>
      <c r="AI209" s="59" t="str">
        <f t="shared" si="28"/>
        <v>0</v>
      </c>
      <c r="AJ209" s="49">
        <v>4</v>
      </c>
      <c r="AK209" s="49">
        <v>4</v>
      </c>
      <c r="AL209" s="49">
        <v>3</v>
      </c>
      <c r="AM209" s="49">
        <v>3</v>
      </c>
      <c r="AN209" s="49"/>
      <c r="AO209" s="59">
        <f t="shared" si="29"/>
        <v>3.5</v>
      </c>
      <c r="AP209" s="49"/>
      <c r="AQ209" s="49"/>
      <c r="AR209" s="49"/>
      <c r="AS209" s="49"/>
      <c r="AT209" s="49"/>
      <c r="AU209" s="59" t="str">
        <f t="shared" si="30"/>
        <v>0</v>
      </c>
      <c r="AV209" s="49"/>
      <c r="AW209" s="49"/>
      <c r="AX209" s="49"/>
      <c r="AY209" s="49">
        <v>2</v>
      </c>
      <c r="AZ209" s="49"/>
      <c r="BA209" s="59">
        <f t="shared" si="31"/>
        <v>2</v>
      </c>
    </row>
    <row r="210" spans="1:53" ht="23.1" customHeight="1" x14ac:dyDescent="0.3">
      <c r="A210" s="7">
        <v>208</v>
      </c>
      <c r="B210" s="7" t="s">
        <v>74</v>
      </c>
      <c r="C210" s="7" t="s">
        <v>494</v>
      </c>
      <c r="D210" s="7" t="s">
        <v>450</v>
      </c>
      <c r="E210" s="7" t="s">
        <v>289</v>
      </c>
      <c r="F210" s="49">
        <v>3</v>
      </c>
      <c r="G210" s="49">
        <v>3</v>
      </c>
      <c r="H210" s="49">
        <v>3</v>
      </c>
      <c r="I210" s="49"/>
      <c r="J210" s="7"/>
      <c r="K210" s="59">
        <f t="shared" si="24"/>
        <v>3</v>
      </c>
      <c r="L210" s="49"/>
      <c r="M210" s="49">
        <v>3.5</v>
      </c>
      <c r="N210" s="49">
        <v>4</v>
      </c>
      <c r="O210" s="49"/>
      <c r="P210" s="49"/>
      <c r="Q210" s="59">
        <f t="shared" si="25"/>
        <v>3.75</v>
      </c>
      <c r="R210" s="49"/>
      <c r="S210" s="49">
        <v>4</v>
      </c>
      <c r="T210" s="7"/>
      <c r="U210" s="49"/>
      <c r="V210" s="7"/>
      <c r="W210" s="59">
        <f t="shared" si="26"/>
        <v>4</v>
      </c>
      <c r="X210" s="49"/>
      <c r="Y210" s="49"/>
      <c r="Z210" s="7"/>
      <c r="AA210" s="7"/>
      <c r="AB210" s="7"/>
      <c r="AC210" s="59" t="str">
        <f t="shared" si="27"/>
        <v>0</v>
      </c>
      <c r="AD210" s="49"/>
      <c r="AE210" s="7"/>
      <c r="AF210" s="49"/>
      <c r="AG210" s="7"/>
      <c r="AH210" s="7"/>
      <c r="AI210" s="59" t="str">
        <f t="shared" si="28"/>
        <v>0</v>
      </c>
      <c r="AJ210" s="49">
        <v>3</v>
      </c>
      <c r="AK210" s="49">
        <v>3</v>
      </c>
      <c r="AL210" s="49">
        <v>3</v>
      </c>
      <c r="AM210" s="49">
        <v>3</v>
      </c>
      <c r="AN210" s="7"/>
      <c r="AO210" s="59">
        <f t="shared" si="29"/>
        <v>3</v>
      </c>
      <c r="AP210" s="49"/>
      <c r="AQ210" s="49"/>
      <c r="AR210" s="49"/>
      <c r="AS210" s="7"/>
      <c r="AT210" s="7"/>
      <c r="AU210" s="59" t="str">
        <f t="shared" si="30"/>
        <v>0</v>
      </c>
      <c r="AV210" s="7"/>
      <c r="AW210" s="7"/>
      <c r="AX210" s="49"/>
      <c r="AY210" s="49">
        <v>3.5</v>
      </c>
      <c r="AZ210" s="49"/>
      <c r="BA210" s="59">
        <f t="shared" si="31"/>
        <v>3.5</v>
      </c>
    </row>
    <row r="211" spans="1:53" ht="23.1" customHeight="1" x14ac:dyDescent="0.3">
      <c r="A211" s="49">
        <v>209</v>
      </c>
      <c r="B211" s="49" t="s">
        <v>451</v>
      </c>
      <c r="C211" s="49" t="s">
        <v>452</v>
      </c>
      <c r="D211" s="49" t="s">
        <v>450</v>
      </c>
      <c r="E211" s="49" t="s">
        <v>289</v>
      </c>
      <c r="F211" s="49">
        <v>2</v>
      </c>
      <c r="G211" s="49">
        <v>2</v>
      </c>
      <c r="H211" s="49">
        <v>2</v>
      </c>
      <c r="I211" s="49"/>
      <c r="J211" s="49"/>
      <c r="K211" s="59">
        <f t="shared" si="24"/>
        <v>2</v>
      </c>
      <c r="L211" s="49"/>
      <c r="M211" s="49">
        <v>2</v>
      </c>
      <c r="N211" s="49">
        <v>2</v>
      </c>
      <c r="O211" s="49"/>
      <c r="P211" s="49"/>
      <c r="Q211" s="59">
        <f t="shared" si="25"/>
        <v>2</v>
      </c>
      <c r="R211" s="49"/>
      <c r="S211" s="49">
        <v>2</v>
      </c>
      <c r="T211" s="49"/>
      <c r="U211" s="49"/>
      <c r="V211" s="49"/>
      <c r="W211" s="59">
        <f t="shared" si="26"/>
        <v>2</v>
      </c>
      <c r="X211" s="49"/>
      <c r="Y211" s="49"/>
      <c r="Z211" s="49"/>
      <c r="AA211" s="49"/>
      <c r="AB211" s="49"/>
      <c r="AC211" s="59" t="str">
        <f t="shared" si="27"/>
        <v>0</v>
      </c>
      <c r="AD211" s="49"/>
      <c r="AE211" s="49"/>
      <c r="AF211" s="49"/>
      <c r="AG211" s="49"/>
      <c r="AH211" s="49"/>
      <c r="AI211" s="59" t="str">
        <f t="shared" si="28"/>
        <v>0</v>
      </c>
      <c r="AJ211" s="49">
        <v>2</v>
      </c>
      <c r="AK211" s="49">
        <v>2</v>
      </c>
      <c r="AL211" s="49">
        <v>2</v>
      </c>
      <c r="AM211" s="49">
        <v>2</v>
      </c>
      <c r="AN211" s="49"/>
      <c r="AO211" s="59">
        <f t="shared" si="29"/>
        <v>2</v>
      </c>
      <c r="AP211" s="49"/>
      <c r="AQ211" s="49"/>
      <c r="AR211" s="49"/>
      <c r="AS211" s="49"/>
      <c r="AT211" s="49"/>
      <c r="AU211" s="59" t="str">
        <f t="shared" si="30"/>
        <v>0</v>
      </c>
      <c r="AV211" s="49"/>
      <c r="AW211" s="49"/>
      <c r="AX211" s="49"/>
      <c r="AY211" s="49">
        <v>3</v>
      </c>
      <c r="AZ211" s="49"/>
      <c r="BA211" s="59">
        <f t="shared" si="31"/>
        <v>3</v>
      </c>
    </row>
    <row r="212" spans="1:53" ht="23.1" customHeight="1" x14ac:dyDescent="0.3">
      <c r="A212" s="7">
        <v>210</v>
      </c>
      <c r="B212" s="7" t="s">
        <v>453</v>
      </c>
      <c r="C212" s="7" t="s">
        <v>454</v>
      </c>
      <c r="D212" s="7" t="s">
        <v>450</v>
      </c>
      <c r="E212" s="7" t="s">
        <v>289</v>
      </c>
      <c r="F212" s="49">
        <v>2</v>
      </c>
      <c r="G212" s="49">
        <v>2</v>
      </c>
      <c r="H212" s="49">
        <v>2</v>
      </c>
      <c r="I212" s="49"/>
      <c r="J212" s="7"/>
      <c r="K212" s="59">
        <f t="shared" si="24"/>
        <v>2</v>
      </c>
      <c r="L212" s="49"/>
      <c r="M212" s="49">
        <v>3</v>
      </c>
      <c r="N212" s="49">
        <v>3</v>
      </c>
      <c r="O212" s="49"/>
      <c r="P212" s="49"/>
      <c r="Q212" s="59">
        <f t="shared" si="25"/>
        <v>3</v>
      </c>
      <c r="R212" s="49"/>
      <c r="S212" s="49">
        <v>3</v>
      </c>
      <c r="T212" s="7"/>
      <c r="U212" s="49"/>
      <c r="V212" s="7"/>
      <c r="W212" s="59">
        <f t="shared" si="26"/>
        <v>3</v>
      </c>
      <c r="X212" s="49"/>
      <c r="Y212" s="49"/>
      <c r="Z212" s="7"/>
      <c r="AA212" s="7"/>
      <c r="AB212" s="7"/>
      <c r="AC212" s="59" t="str">
        <f t="shared" si="27"/>
        <v>0</v>
      </c>
      <c r="AD212" s="49"/>
      <c r="AE212" s="7"/>
      <c r="AF212" s="49"/>
      <c r="AG212" s="7"/>
      <c r="AH212" s="7"/>
      <c r="AI212" s="59" t="str">
        <f t="shared" si="28"/>
        <v>0</v>
      </c>
      <c r="AJ212" s="49">
        <v>3</v>
      </c>
      <c r="AK212" s="49">
        <v>3</v>
      </c>
      <c r="AL212" s="49">
        <v>3</v>
      </c>
      <c r="AM212" s="49">
        <v>3</v>
      </c>
      <c r="AN212" s="7"/>
      <c r="AO212" s="59">
        <f t="shared" si="29"/>
        <v>3</v>
      </c>
      <c r="AP212" s="49"/>
      <c r="AQ212" s="49"/>
      <c r="AR212" s="49"/>
      <c r="AS212" s="7"/>
      <c r="AT212" s="7"/>
      <c r="AU212" s="59" t="str">
        <f t="shared" si="30"/>
        <v>0</v>
      </c>
      <c r="AV212" s="7"/>
      <c r="AW212" s="7"/>
      <c r="AX212" s="49"/>
      <c r="AY212" s="49">
        <v>3</v>
      </c>
      <c r="AZ212" s="49"/>
      <c r="BA212" s="59">
        <f t="shared" si="31"/>
        <v>3</v>
      </c>
    </row>
    <row r="213" spans="1:53" ht="23.1" customHeight="1" x14ac:dyDescent="0.3">
      <c r="A213" s="49">
        <v>211</v>
      </c>
      <c r="B213" s="49" t="s">
        <v>455</v>
      </c>
      <c r="C213" s="49" t="s">
        <v>456</v>
      </c>
      <c r="D213" s="49" t="s">
        <v>542</v>
      </c>
      <c r="E213" s="49" t="s">
        <v>289</v>
      </c>
      <c r="F213" s="49">
        <v>4</v>
      </c>
      <c r="G213" s="49">
        <v>3</v>
      </c>
      <c r="H213" s="49">
        <v>4</v>
      </c>
      <c r="I213" s="49"/>
      <c r="J213" s="49"/>
      <c r="K213" s="59">
        <f t="shared" si="24"/>
        <v>3.6666666666666665</v>
      </c>
      <c r="L213" s="49"/>
      <c r="M213" s="49">
        <v>4</v>
      </c>
      <c r="N213" s="49">
        <v>4</v>
      </c>
      <c r="O213" s="49"/>
      <c r="P213" s="49"/>
      <c r="Q213" s="59">
        <f t="shared" si="25"/>
        <v>4</v>
      </c>
      <c r="R213" s="49"/>
      <c r="S213" s="49">
        <v>3</v>
      </c>
      <c r="T213" s="49"/>
      <c r="U213" s="49"/>
      <c r="V213" s="49"/>
      <c r="W213" s="59">
        <f t="shared" si="26"/>
        <v>3</v>
      </c>
      <c r="X213" s="49"/>
      <c r="Y213" s="49"/>
      <c r="Z213" s="49"/>
      <c r="AA213" s="49"/>
      <c r="AB213" s="49"/>
      <c r="AC213" s="59" t="str">
        <f t="shared" si="27"/>
        <v>0</v>
      </c>
      <c r="AD213" s="49"/>
      <c r="AE213" s="49"/>
      <c r="AF213" s="49"/>
      <c r="AG213" s="49"/>
      <c r="AH213" s="49"/>
      <c r="AI213" s="59" t="str">
        <f t="shared" si="28"/>
        <v>0</v>
      </c>
      <c r="AJ213" s="49">
        <v>4</v>
      </c>
      <c r="AK213" s="49">
        <v>4</v>
      </c>
      <c r="AL213" s="49">
        <v>4</v>
      </c>
      <c r="AM213" s="49">
        <v>4</v>
      </c>
      <c r="AN213" s="49"/>
      <c r="AO213" s="59">
        <f t="shared" si="29"/>
        <v>4</v>
      </c>
      <c r="AP213" s="49"/>
      <c r="AQ213" s="49"/>
      <c r="AR213" s="49"/>
      <c r="AS213" s="49"/>
      <c r="AT213" s="49"/>
      <c r="AU213" s="59" t="str">
        <f t="shared" si="30"/>
        <v>0</v>
      </c>
      <c r="AV213" s="49"/>
      <c r="AW213" s="49"/>
      <c r="AX213" s="49"/>
      <c r="AY213" s="49">
        <v>3</v>
      </c>
      <c r="AZ213" s="49"/>
      <c r="BA213" s="59">
        <f t="shared" si="31"/>
        <v>3</v>
      </c>
    </row>
    <row r="214" spans="1:53" ht="23.1" customHeight="1" x14ac:dyDescent="0.3">
      <c r="A214" s="7">
        <v>212</v>
      </c>
      <c r="B214" s="7" t="s">
        <v>457</v>
      </c>
      <c r="C214" s="7" t="s">
        <v>458</v>
      </c>
      <c r="D214" s="7" t="s">
        <v>542</v>
      </c>
      <c r="E214" s="7" t="s">
        <v>289</v>
      </c>
      <c r="F214" s="49">
        <v>4</v>
      </c>
      <c r="G214" s="49">
        <v>5</v>
      </c>
      <c r="H214" s="49">
        <v>4</v>
      </c>
      <c r="I214" s="49"/>
      <c r="J214" s="7"/>
      <c r="K214" s="59">
        <f t="shared" si="24"/>
        <v>4.333333333333333</v>
      </c>
      <c r="L214" s="49"/>
      <c r="M214" s="49">
        <v>4</v>
      </c>
      <c r="N214" s="49">
        <v>4</v>
      </c>
      <c r="O214" s="49"/>
      <c r="P214" s="49"/>
      <c r="Q214" s="59">
        <f t="shared" si="25"/>
        <v>4</v>
      </c>
      <c r="R214" s="49"/>
      <c r="S214" s="49">
        <v>3</v>
      </c>
      <c r="T214" s="7"/>
      <c r="U214" s="49"/>
      <c r="V214" s="7"/>
      <c r="W214" s="59">
        <f t="shared" si="26"/>
        <v>3</v>
      </c>
      <c r="X214" s="49"/>
      <c r="Y214" s="49"/>
      <c r="Z214" s="7"/>
      <c r="AA214" s="7"/>
      <c r="AB214" s="7"/>
      <c r="AC214" s="59" t="str">
        <f t="shared" si="27"/>
        <v>0</v>
      </c>
      <c r="AD214" s="49"/>
      <c r="AE214" s="7"/>
      <c r="AF214" s="49"/>
      <c r="AG214" s="7"/>
      <c r="AH214" s="7"/>
      <c r="AI214" s="59" t="str">
        <f t="shared" si="28"/>
        <v>0</v>
      </c>
      <c r="AJ214" s="49">
        <v>4</v>
      </c>
      <c r="AK214" s="49">
        <v>5</v>
      </c>
      <c r="AL214" s="49">
        <v>4</v>
      </c>
      <c r="AM214" s="49">
        <v>4</v>
      </c>
      <c r="AN214" s="7"/>
      <c r="AO214" s="59">
        <f t="shared" si="29"/>
        <v>4.25</v>
      </c>
      <c r="AP214" s="49"/>
      <c r="AQ214" s="49"/>
      <c r="AR214" s="49"/>
      <c r="AS214" s="7"/>
      <c r="AT214" s="7"/>
      <c r="AU214" s="59" t="str">
        <f t="shared" si="30"/>
        <v>0</v>
      </c>
      <c r="AV214" s="7"/>
      <c r="AW214" s="7"/>
      <c r="AX214" s="49"/>
      <c r="AY214" s="49">
        <v>5</v>
      </c>
      <c r="AZ214" s="49"/>
      <c r="BA214" s="59">
        <f t="shared" si="31"/>
        <v>5</v>
      </c>
    </row>
    <row r="215" spans="1:53" ht="23.1" customHeight="1" x14ac:dyDescent="0.3">
      <c r="A215" s="49">
        <v>213</v>
      </c>
      <c r="B215" s="49" t="s">
        <v>459</v>
      </c>
      <c r="C215" s="49" t="s">
        <v>460</v>
      </c>
      <c r="D215" s="49" t="s">
        <v>542</v>
      </c>
      <c r="E215" s="49" t="s">
        <v>289</v>
      </c>
      <c r="F215" s="49">
        <v>4</v>
      </c>
      <c r="G215" s="49">
        <v>4</v>
      </c>
      <c r="H215" s="49">
        <v>3</v>
      </c>
      <c r="I215" s="49"/>
      <c r="J215" s="49"/>
      <c r="K215" s="59">
        <f t="shared" si="24"/>
        <v>3.6666666666666665</v>
      </c>
      <c r="L215" s="49"/>
      <c r="M215" s="49">
        <v>4</v>
      </c>
      <c r="N215" s="49">
        <v>3.5</v>
      </c>
      <c r="O215" s="49"/>
      <c r="P215" s="49"/>
      <c r="Q215" s="59">
        <f t="shared" si="25"/>
        <v>3.75</v>
      </c>
      <c r="R215" s="49"/>
      <c r="S215" s="49">
        <v>3.5</v>
      </c>
      <c r="T215" s="49"/>
      <c r="U215" s="49"/>
      <c r="V215" s="49"/>
      <c r="W215" s="59">
        <f t="shared" si="26"/>
        <v>3.5</v>
      </c>
      <c r="X215" s="49"/>
      <c r="Y215" s="49"/>
      <c r="Z215" s="49"/>
      <c r="AA215" s="49"/>
      <c r="AB215" s="49"/>
      <c r="AC215" s="59" t="str">
        <f t="shared" si="27"/>
        <v>0</v>
      </c>
      <c r="AD215" s="49"/>
      <c r="AE215" s="49"/>
      <c r="AF215" s="49"/>
      <c r="AG215" s="49"/>
      <c r="AH215" s="49"/>
      <c r="AI215" s="59" t="str">
        <f t="shared" si="28"/>
        <v>0</v>
      </c>
      <c r="AJ215" s="49">
        <v>3</v>
      </c>
      <c r="AK215" s="49">
        <v>4</v>
      </c>
      <c r="AL215" s="49">
        <v>3</v>
      </c>
      <c r="AM215" s="49">
        <v>3</v>
      </c>
      <c r="AN215" s="49"/>
      <c r="AO215" s="59">
        <f t="shared" si="29"/>
        <v>3.25</v>
      </c>
      <c r="AP215" s="49"/>
      <c r="AQ215" s="49"/>
      <c r="AR215" s="49"/>
      <c r="AS215" s="49"/>
      <c r="AT215" s="49"/>
      <c r="AU215" s="59" t="str">
        <f t="shared" si="30"/>
        <v>0</v>
      </c>
      <c r="AV215" s="49"/>
      <c r="AW215" s="49"/>
      <c r="AX215" s="49"/>
      <c r="AY215" s="49">
        <v>3.5</v>
      </c>
      <c r="AZ215" s="49"/>
      <c r="BA215" s="59">
        <f t="shared" si="31"/>
        <v>3.5</v>
      </c>
    </row>
    <row r="216" spans="1:53" ht="23.1" customHeight="1" x14ac:dyDescent="0.3">
      <c r="A216" s="7">
        <v>214</v>
      </c>
      <c r="B216" s="7" t="s">
        <v>461</v>
      </c>
      <c r="C216" s="7" t="s">
        <v>462</v>
      </c>
      <c r="D216" s="7" t="s">
        <v>450</v>
      </c>
      <c r="E216" s="7" t="s">
        <v>289</v>
      </c>
      <c r="F216" s="49">
        <v>4</v>
      </c>
      <c r="G216" s="49">
        <v>3</v>
      </c>
      <c r="H216" s="49">
        <v>3</v>
      </c>
      <c r="I216" s="49"/>
      <c r="J216" s="7"/>
      <c r="K216" s="59">
        <f t="shared" si="24"/>
        <v>3.3333333333333335</v>
      </c>
      <c r="L216" s="49"/>
      <c r="M216" s="49">
        <v>3</v>
      </c>
      <c r="N216" s="49">
        <v>2.5</v>
      </c>
      <c r="O216" s="49"/>
      <c r="P216" s="49"/>
      <c r="Q216" s="59">
        <f t="shared" si="25"/>
        <v>2.75</v>
      </c>
      <c r="R216" s="49"/>
      <c r="S216" s="49">
        <v>2.5</v>
      </c>
      <c r="T216" s="7"/>
      <c r="U216" s="49"/>
      <c r="V216" s="7"/>
      <c r="W216" s="59">
        <f t="shared" si="26"/>
        <v>2.5</v>
      </c>
      <c r="X216" s="49"/>
      <c r="Y216" s="49"/>
      <c r="Z216" s="7"/>
      <c r="AA216" s="7"/>
      <c r="AB216" s="7"/>
      <c r="AC216" s="59" t="str">
        <f t="shared" si="27"/>
        <v>0</v>
      </c>
      <c r="AD216" s="49"/>
      <c r="AE216" s="7"/>
      <c r="AF216" s="49"/>
      <c r="AG216" s="7"/>
      <c r="AH216" s="7"/>
      <c r="AI216" s="59" t="str">
        <f t="shared" si="28"/>
        <v>0</v>
      </c>
      <c r="AJ216" s="49">
        <v>4</v>
      </c>
      <c r="AK216" s="49">
        <v>3</v>
      </c>
      <c r="AL216" s="49">
        <v>3</v>
      </c>
      <c r="AM216" s="49">
        <v>3</v>
      </c>
      <c r="AN216" s="7"/>
      <c r="AO216" s="59">
        <f t="shared" si="29"/>
        <v>3.25</v>
      </c>
      <c r="AP216" s="49"/>
      <c r="AQ216" s="49"/>
      <c r="AR216" s="49"/>
      <c r="AS216" s="7"/>
      <c r="AT216" s="7"/>
      <c r="AU216" s="59" t="str">
        <f t="shared" si="30"/>
        <v>0</v>
      </c>
      <c r="AV216" s="7"/>
      <c r="AW216" s="7"/>
      <c r="AX216" s="49"/>
      <c r="AY216" s="49">
        <v>2.5</v>
      </c>
      <c r="AZ216" s="49"/>
      <c r="BA216" s="59">
        <f t="shared" si="31"/>
        <v>2.5</v>
      </c>
    </row>
    <row r="217" spans="1:53" ht="23.1" customHeight="1" x14ac:dyDescent="0.3">
      <c r="A217" s="49">
        <v>215</v>
      </c>
      <c r="B217" s="49" t="s">
        <v>463</v>
      </c>
      <c r="C217" s="49" t="s">
        <v>464</v>
      </c>
      <c r="D217" s="49" t="s">
        <v>450</v>
      </c>
      <c r="E217" s="49" t="s">
        <v>289</v>
      </c>
      <c r="F217" s="49">
        <v>2</v>
      </c>
      <c r="G217" s="49">
        <v>3</v>
      </c>
      <c r="H217" s="49">
        <v>3</v>
      </c>
      <c r="I217" s="49"/>
      <c r="J217" s="49"/>
      <c r="K217" s="59">
        <f t="shared" si="24"/>
        <v>2.6666666666666665</v>
      </c>
      <c r="L217" s="49"/>
      <c r="M217" s="49">
        <v>4</v>
      </c>
      <c r="N217" s="49">
        <v>3</v>
      </c>
      <c r="O217" s="49"/>
      <c r="P217" s="49"/>
      <c r="Q217" s="59">
        <f t="shared" si="25"/>
        <v>3.5</v>
      </c>
      <c r="R217" s="49"/>
      <c r="S217" s="49">
        <v>2</v>
      </c>
      <c r="T217" s="49"/>
      <c r="U217" s="49"/>
      <c r="V217" s="49"/>
      <c r="W217" s="59">
        <f t="shared" si="26"/>
        <v>2</v>
      </c>
      <c r="X217" s="49"/>
      <c r="Y217" s="49"/>
      <c r="Z217" s="49"/>
      <c r="AA217" s="49"/>
      <c r="AB217" s="49"/>
      <c r="AC217" s="59" t="str">
        <f t="shared" si="27"/>
        <v>0</v>
      </c>
      <c r="AD217" s="49"/>
      <c r="AE217" s="49"/>
      <c r="AF217" s="49"/>
      <c r="AG217" s="49"/>
      <c r="AH217" s="49"/>
      <c r="AI217" s="59" t="str">
        <f t="shared" si="28"/>
        <v>0</v>
      </c>
      <c r="AJ217" s="49">
        <v>2</v>
      </c>
      <c r="AK217" s="49">
        <v>3</v>
      </c>
      <c r="AL217" s="49">
        <v>3</v>
      </c>
      <c r="AM217" s="49">
        <v>3</v>
      </c>
      <c r="AN217" s="49"/>
      <c r="AO217" s="59">
        <f t="shared" si="29"/>
        <v>2.75</v>
      </c>
      <c r="AP217" s="49"/>
      <c r="AQ217" s="49"/>
      <c r="AR217" s="49"/>
      <c r="AS217" s="49"/>
      <c r="AT217" s="49"/>
      <c r="AU217" s="59" t="str">
        <f t="shared" si="30"/>
        <v>0</v>
      </c>
      <c r="AV217" s="49"/>
      <c r="AW217" s="49"/>
      <c r="AX217" s="49"/>
      <c r="AY217" s="49">
        <v>3</v>
      </c>
      <c r="AZ217" s="49"/>
      <c r="BA217" s="59">
        <f t="shared" si="31"/>
        <v>3</v>
      </c>
    </row>
    <row r="218" spans="1:53" ht="23.1" customHeight="1" x14ac:dyDescent="0.3">
      <c r="A218" s="7">
        <v>216</v>
      </c>
      <c r="B218" s="7" t="s">
        <v>465</v>
      </c>
      <c r="C218" s="7" t="s">
        <v>466</v>
      </c>
      <c r="D218" s="7" t="s">
        <v>450</v>
      </c>
      <c r="E218" s="7" t="s">
        <v>289</v>
      </c>
      <c r="F218" s="49">
        <v>3</v>
      </c>
      <c r="G218" s="49">
        <v>3</v>
      </c>
      <c r="H218" s="49">
        <v>3</v>
      </c>
      <c r="I218" s="49"/>
      <c r="J218" s="7"/>
      <c r="K218" s="59">
        <f t="shared" si="24"/>
        <v>3</v>
      </c>
      <c r="L218" s="49"/>
      <c r="M218" s="49">
        <v>3</v>
      </c>
      <c r="N218" s="49">
        <v>3.5</v>
      </c>
      <c r="O218" s="49"/>
      <c r="P218" s="49"/>
      <c r="Q218" s="59">
        <f t="shared" si="25"/>
        <v>3.25</v>
      </c>
      <c r="R218" s="49"/>
      <c r="S218" s="49">
        <v>1</v>
      </c>
      <c r="T218" s="7"/>
      <c r="U218" s="49"/>
      <c r="V218" s="7"/>
      <c r="W218" s="59">
        <f t="shared" si="26"/>
        <v>1</v>
      </c>
      <c r="X218" s="49"/>
      <c r="Y218" s="49"/>
      <c r="Z218" s="7"/>
      <c r="AA218" s="7"/>
      <c r="AB218" s="7"/>
      <c r="AC218" s="59" t="str">
        <f t="shared" si="27"/>
        <v>0</v>
      </c>
      <c r="AD218" s="49"/>
      <c r="AE218" s="7"/>
      <c r="AF218" s="49"/>
      <c r="AG218" s="7"/>
      <c r="AH218" s="7"/>
      <c r="AI218" s="59" t="str">
        <f t="shared" si="28"/>
        <v>0</v>
      </c>
      <c r="AJ218" s="49">
        <v>3</v>
      </c>
      <c r="AK218" s="49">
        <v>3</v>
      </c>
      <c r="AL218" s="49">
        <v>3</v>
      </c>
      <c r="AM218" s="49">
        <v>3</v>
      </c>
      <c r="AN218" s="7"/>
      <c r="AO218" s="59">
        <f t="shared" si="29"/>
        <v>3</v>
      </c>
      <c r="AP218" s="49"/>
      <c r="AQ218" s="49"/>
      <c r="AR218" s="49"/>
      <c r="AS218" s="7"/>
      <c r="AT218" s="7"/>
      <c r="AU218" s="59" t="str">
        <f t="shared" si="30"/>
        <v>0</v>
      </c>
      <c r="AV218" s="7"/>
      <c r="AW218" s="7"/>
      <c r="AX218" s="49"/>
      <c r="AY218" s="49">
        <v>3.5</v>
      </c>
      <c r="AZ218" s="49"/>
      <c r="BA218" s="59">
        <f t="shared" si="31"/>
        <v>3.5</v>
      </c>
    </row>
    <row r="219" spans="1:53" ht="23.1" customHeight="1" x14ac:dyDescent="0.3">
      <c r="A219" s="49">
        <v>217</v>
      </c>
      <c r="B219" s="49" t="s">
        <v>467</v>
      </c>
      <c r="C219" s="49" t="s">
        <v>468</v>
      </c>
      <c r="D219" s="49" t="s">
        <v>542</v>
      </c>
      <c r="E219" s="49" t="s">
        <v>289</v>
      </c>
      <c r="F219" s="49">
        <v>2</v>
      </c>
      <c r="G219" s="49">
        <v>4</v>
      </c>
      <c r="H219" s="49">
        <v>5</v>
      </c>
      <c r="I219" s="49"/>
      <c r="J219" s="49"/>
      <c r="K219" s="59">
        <f t="shared" si="24"/>
        <v>3.6666666666666665</v>
      </c>
      <c r="L219" s="49"/>
      <c r="M219" s="49">
        <v>5</v>
      </c>
      <c r="N219" s="49">
        <v>5</v>
      </c>
      <c r="O219" s="49"/>
      <c r="P219" s="49"/>
      <c r="Q219" s="59">
        <f t="shared" si="25"/>
        <v>5</v>
      </c>
      <c r="R219" s="49"/>
      <c r="S219" s="49">
        <v>4</v>
      </c>
      <c r="T219" s="49"/>
      <c r="U219" s="49"/>
      <c r="V219" s="49"/>
      <c r="W219" s="59">
        <f t="shared" si="26"/>
        <v>4</v>
      </c>
      <c r="X219" s="49"/>
      <c r="Y219" s="49"/>
      <c r="Z219" s="49"/>
      <c r="AA219" s="49"/>
      <c r="AB219" s="49"/>
      <c r="AC219" s="59" t="str">
        <f t="shared" si="27"/>
        <v>0</v>
      </c>
      <c r="AD219" s="49"/>
      <c r="AE219" s="49"/>
      <c r="AF219" s="49"/>
      <c r="AG219" s="49"/>
      <c r="AH219" s="49"/>
      <c r="AI219" s="59" t="str">
        <f t="shared" si="28"/>
        <v>0</v>
      </c>
      <c r="AJ219" s="49">
        <v>5</v>
      </c>
      <c r="AK219" s="49">
        <v>4</v>
      </c>
      <c r="AL219" s="49">
        <v>4</v>
      </c>
      <c r="AM219" s="49">
        <v>4</v>
      </c>
      <c r="AN219" s="49"/>
      <c r="AO219" s="59">
        <f t="shared" si="29"/>
        <v>4.25</v>
      </c>
      <c r="AP219" s="49"/>
      <c r="AQ219" s="49"/>
      <c r="AR219" s="49"/>
      <c r="AS219" s="49"/>
      <c r="AT219" s="49"/>
      <c r="AU219" s="59" t="str">
        <f t="shared" si="30"/>
        <v>0</v>
      </c>
      <c r="AV219" s="49"/>
      <c r="AW219" s="49"/>
      <c r="AX219" s="49"/>
      <c r="AY219" s="49">
        <v>4</v>
      </c>
      <c r="AZ219" s="49"/>
      <c r="BA219" s="59">
        <f t="shared" si="31"/>
        <v>4</v>
      </c>
    </row>
    <row r="220" spans="1:53" ht="23.1" customHeight="1" x14ac:dyDescent="0.3">
      <c r="A220" s="7">
        <v>218</v>
      </c>
      <c r="B220" s="7" t="s">
        <v>469</v>
      </c>
      <c r="C220" s="7" t="s">
        <v>470</v>
      </c>
      <c r="D220" s="7" t="s">
        <v>450</v>
      </c>
      <c r="E220" s="7" t="s">
        <v>289</v>
      </c>
      <c r="F220" s="49">
        <v>4</v>
      </c>
      <c r="G220" s="49">
        <v>4</v>
      </c>
      <c r="H220" s="49">
        <v>4</v>
      </c>
      <c r="I220" s="49"/>
      <c r="J220" s="7"/>
      <c r="K220" s="59">
        <f t="shared" si="24"/>
        <v>4</v>
      </c>
      <c r="L220" s="49"/>
      <c r="M220" s="49">
        <v>4</v>
      </c>
      <c r="N220" s="49">
        <v>4</v>
      </c>
      <c r="O220" s="49"/>
      <c r="P220" s="49"/>
      <c r="Q220" s="59">
        <f t="shared" si="25"/>
        <v>4</v>
      </c>
      <c r="R220" s="49"/>
      <c r="S220" s="49">
        <v>3</v>
      </c>
      <c r="T220" s="7"/>
      <c r="U220" s="49"/>
      <c r="V220" s="7"/>
      <c r="W220" s="59">
        <f t="shared" si="26"/>
        <v>3</v>
      </c>
      <c r="X220" s="49"/>
      <c r="Y220" s="49"/>
      <c r="Z220" s="7"/>
      <c r="AA220" s="7"/>
      <c r="AB220" s="7"/>
      <c r="AC220" s="59" t="str">
        <f t="shared" si="27"/>
        <v>0</v>
      </c>
      <c r="AD220" s="49"/>
      <c r="AE220" s="7"/>
      <c r="AF220" s="49"/>
      <c r="AG220" s="7"/>
      <c r="AH220" s="7"/>
      <c r="AI220" s="59" t="str">
        <f t="shared" si="28"/>
        <v>0</v>
      </c>
      <c r="AJ220" s="49">
        <v>4</v>
      </c>
      <c r="AK220" s="49">
        <v>4</v>
      </c>
      <c r="AL220" s="49">
        <v>4</v>
      </c>
      <c r="AM220" s="49">
        <v>4</v>
      </c>
      <c r="AN220" s="7"/>
      <c r="AO220" s="59">
        <f t="shared" si="29"/>
        <v>4</v>
      </c>
      <c r="AP220" s="49"/>
      <c r="AQ220" s="49"/>
      <c r="AR220" s="49"/>
      <c r="AS220" s="7"/>
      <c r="AT220" s="7"/>
      <c r="AU220" s="59" t="str">
        <f t="shared" si="30"/>
        <v>0</v>
      </c>
      <c r="AV220" s="7"/>
      <c r="AW220" s="7"/>
      <c r="AX220" s="49"/>
      <c r="AY220" s="49">
        <v>5</v>
      </c>
      <c r="AZ220" s="49"/>
      <c r="BA220" s="59">
        <f t="shared" si="31"/>
        <v>5</v>
      </c>
    </row>
    <row r="221" spans="1:53" ht="23.1" customHeight="1" x14ac:dyDescent="0.3">
      <c r="A221" s="49">
        <v>219</v>
      </c>
      <c r="B221" s="49" t="s">
        <v>471</v>
      </c>
      <c r="C221" s="49" t="s">
        <v>472</v>
      </c>
      <c r="D221" s="49" t="s">
        <v>450</v>
      </c>
      <c r="E221" s="49" t="s">
        <v>289</v>
      </c>
      <c r="F221" s="49">
        <v>4</v>
      </c>
      <c r="G221" s="49">
        <v>4</v>
      </c>
      <c r="H221" s="49">
        <v>3</v>
      </c>
      <c r="I221" s="49"/>
      <c r="J221" s="49"/>
      <c r="K221" s="59">
        <f t="shared" si="24"/>
        <v>3.6666666666666665</v>
      </c>
      <c r="L221" s="49"/>
      <c r="M221" s="49">
        <v>3.5</v>
      </c>
      <c r="N221" s="49">
        <v>3</v>
      </c>
      <c r="O221" s="49"/>
      <c r="P221" s="49"/>
      <c r="Q221" s="59">
        <f t="shared" si="25"/>
        <v>3.25</v>
      </c>
      <c r="R221" s="49"/>
      <c r="S221" s="49">
        <v>3</v>
      </c>
      <c r="T221" s="49"/>
      <c r="U221" s="49"/>
      <c r="V221" s="49"/>
      <c r="W221" s="59">
        <f t="shared" si="26"/>
        <v>3</v>
      </c>
      <c r="X221" s="49"/>
      <c r="Y221" s="49"/>
      <c r="Z221" s="49"/>
      <c r="AA221" s="49"/>
      <c r="AB221" s="49"/>
      <c r="AC221" s="59" t="str">
        <f t="shared" si="27"/>
        <v>0</v>
      </c>
      <c r="AD221" s="49"/>
      <c r="AE221" s="49"/>
      <c r="AF221" s="49"/>
      <c r="AG221" s="49"/>
      <c r="AH221" s="49"/>
      <c r="AI221" s="59" t="str">
        <f t="shared" si="28"/>
        <v>0</v>
      </c>
      <c r="AJ221" s="49">
        <v>3</v>
      </c>
      <c r="AK221" s="49">
        <v>4</v>
      </c>
      <c r="AL221" s="49">
        <v>3</v>
      </c>
      <c r="AM221" s="49">
        <v>3</v>
      </c>
      <c r="AN221" s="49"/>
      <c r="AO221" s="59">
        <f t="shared" si="29"/>
        <v>3.25</v>
      </c>
      <c r="AP221" s="49"/>
      <c r="AQ221" s="49"/>
      <c r="AR221" s="49"/>
      <c r="AS221" s="49"/>
      <c r="AT221" s="49"/>
      <c r="AU221" s="59" t="str">
        <f t="shared" si="30"/>
        <v>0</v>
      </c>
      <c r="AV221" s="49"/>
      <c r="AW221" s="49"/>
      <c r="AX221" s="49"/>
      <c r="AY221" s="49">
        <v>2.5</v>
      </c>
      <c r="AZ221" s="49"/>
      <c r="BA221" s="59">
        <f t="shared" si="31"/>
        <v>2.5</v>
      </c>
    </row>
    <row r="222" spans="1:53" ht="23.1" customHeight="1" x14ac:dyDescent="0.3">
      <c r="A222" s="7">
        <v>220</v>
      </c>
      <c r="B222" s="7" t="s">
        <v>473</v>
      </c>
      <c r="C222" s="7" t="s">
        <v>474</v>
      </c>
      <c r="D222" s="7" t="s">
        <v>542</v>
      </c>
      <c r="E222" s="7" t="s">
        <v>289</v>
      </c>
      <c r="F222" s="49">
        <v>4</v>
      </c>
      <c r="G222" s="49">
        <v>4</v>
      </c>
      <c r="H222" s="49">
        <v>4</v>
      </c>
      <c r="I222" s="49"/>
      <c r="J222" s="7"/>
      <c r="K222" s="59">
        <f t="shared" si="24"/>
        <v>4</v>
      </c>
      <c r="L222" s="49"/>
      <c r="M222" s="49">
        <v>4</v>
      </c>
      <c r="N222" s="49">
        <v>5</v>
      </c>
      <c r="O222" s="49"/>
      <c r="P222" s="49"/>
      <c r="Q222" s="59">
        <f t="shared" si="25"/>
        <v>4.5</v>
      </c>
      <c r="R222" s="49"/>
      <c r="S222" s="49">
        <v>2</v>
      </c>
      <c r="T222" s="7"/>
      <c r="U222" s="49"/>
      <c r="V222" s="7"/>
      <c r="W222" s="59">
        <f t="shared" si="26"/>
        <v>2</v>
      </c>
      <c r="X222" s="49"/>
      <c r="Y222" s="49"/>
      <c r="Z222" s="7"/>
      <c r="AA222" s="7"/>
      <c r="AB222" s="7"/>
      <c r="AC222" s="59" t="str">
        <f t="shared" si="27"/>
        <v>0</v>
      </c>
      <c r="AD222" s="49"/>
      <c r="AE222" s="7"/>
      <c r="AF222" s="49"/>
      <c r="AG222" s="7"/>
      <c r="AH222" s="7"/>
      <c r="AI222" s="59" t="str">
        <f t="shared" si="28"/>
        <v>0</v>
      </c>
      <c r="AJ222" s="49">
        <v>4</v>
      </c>
      <c r="AK222" s="49">
        <v>4</v>
      </c>
      <c r="AL222" s="49">
        <v>5</v>
      </c>
      <c r="AM222" s="49">
        <v>4</v>
      </c>
      <c r="AN222" s="7"/>
      <c r="AO222" s="59">
        <f t="shared" si="29"/>
        <v>4.25</v>
      </c>
      <c r="AP222" s="49"/>
      <c r="AQ222" s="49"/>
      <c r="AR222" s="49"/>
      <c r="AS222" s="7"/>
      <c r="AT222" s="7"/>
      <c r="AU222" s="59" t="str">
        <f t="shared" si="30"/>
        <v>0</v>
      </c>
      <c r="AV222" s="7"/>
      <c r="AW222" s="7"/>
      <c r="AX222" s="49"/>
      <c r="AY222" s="49">
        <v>5</v>
      </c>
      <c r="AZ222" s="49"/>
      <c r="BA222" s="59">
        <f t="shared" si="31"/>
        <v>5</v>
      </c>
    </row>
    <row r="223" spans="1:53" ht="23.1" customHeight="1" x14ac:dyDescent="0.3">
      <c r="A223" s="49">
        <v>221</v>
      </c>
      <c r="B223" s="49" t="s">
        <v>475</v>
      </c>
      <c r="C223" s="49" t="s">
        <v>476</v>
      </c>
      <c r="D223" s="49" t="s">
        <v>450</v>
      </c>
      <c r="E223" s="49" t="s">
        <v>289</v>
      </c>
      <c r="F223" s="49">
        <v>5</v>
      </c>
      <c r="G223" s="49">
        <v>4</v>
      </c>
      <c r="H223" s="49">
        <v>5</v>
      </c>
      <c r="I223" s="49"/>
      <c r="J223" s="49"/>
      <c r="K223" s="59">
        <f t="shared" si="24"/>
        <v>4.666666666666667</v>
      </c>
      <c r="L223" s="49"/>
      <c r="M223" s="49">
        <v>5</v>
      </c>
      <c r="N223" s="49">
        <v>5</v>
      </c>
      <c r="O223" s="49"/>
      <c r="P223" s="49"/>
      <c r="Q223" s="59">
        <f t="shared" si="25"/>
        <v>5</v>
      </c>
      <c r="R223" s="49"/>
      <c r="S223" s="49">
        <v>2</v>
      </c>
      <c r="T223" s="49"/>
      <c r="U223" s="49"/>
      <c r="V223" s="49"/>
      <c r="W223" s="59">
        <f t="shared" si="26"/>
        <v>2</v>
      </c>
      <c r="X223" s="49"/>
      <c r="Y223" s="49"/>
      <c r="Z223" s="49"/>
      <c r="AA223" s="49"/>
      <c r="AB223" s="49"/>
      <c r="AC223" s="59" t="str">
        <f t="shared" si="27"/>
        <v>0</v>
      </c>
      <c r="AD223" s="49"/>
      <c r="AE223" s="49"/>
      <c r="AF223" s="49"/>
      <c r="AG223" s="49"/>
      <c r="AH223" s="49"/>
      <c r="AI223" s="59" t="str">
        <f t="shared" si="28"/>
        <v>0</v>
      </c>
      <c r="AJ223" s="49">
        <v>5</v>
      </c>
      <c r="AK223" s="49">
        <v>5</v>
      </c>
      <c r="AL223" s="49">
        <v>5</v>
      </c>
      <c r="AM223" s="49">
        <v>5</v>
      </c>
      <c r="AN223" s="49"/>
      <c r="AO223" s="59">
        <f t="shared" si="29"/>
        <v>5</v>
      </c>
      <c r="AP223" s="49"/>
      <c r="AQ223" s="49"/>
      <c r="AR223" s="49"/>
      <c r="AS223" s="49"/>
      <c r="AT223" s="49"/>
      <c r="AU223" s="59" t="str">
        <f t="shared" si="30"/>
        <v>0</v>
      </c>
      <c r="AV223" s="49"/>
      <c r="AW223" s="49"/>
      <c r="AX223" s="49"/>
      <c r="AY223" s="49">
        <v>5</v>
      </c>
      <c r="AZ223" s="49"/>
      <c r="BA223" s="59">
        <f t="shared" si="31"/>
        <v>5</v>
      </c>
    </row>
    <row r="224" spans="1:53" ht="23.1" customHeight="1" x14ac:dyDescent="0.3">
      <c r="A224" s="7">
        <v>222</v>
      </c>
      <c r="B224" s="7" t="s">
        <v>477</v>
      </c>
      <c r="C224" s="7" t="s">
        <v>478</v>
      </c>
      <c r="D224" s="7" t="s">
        <v>450</v>
      </c>
      <c r="E224" s="7" t="s">
        <v>289</v>
      </c>
      <c r="F224" s="49">
        <v>4</v>
      </c>
      <c r="G224" s="49">
        <v>4</v>
      </c>
      <c r="H224" s="49">
        <v>4</v>
      </c>
      <c r="I224" s="49"/>
      <c r="J224" s="7"/>
      <c r="K224" s="59">
        <f t="shared" si="24"/>
        <v>4</v>
      </c>
      <c r="L224" s="49"/>
      <c r="M224" s="49">
        <v>3</v>
      </c>
      <c r="N224" s="49">
        <v>3</v>
      </c>
      <c r="O224" s="49"/>
      <c r="P224" s="49"/>
      <c r="Q224" s="59">
        <f t="shared" si="25"/>
        <v>3</v>
      </c>
      <c r="R224" s="49"/>
      <c r="S224" s="49">
        <v>2</v>
      </c>
      <c r="T224" s="7"/>
      <c r="U224" s="49"/>
      <c r="V224" s="7"/>
      <c r="W224" s="59">
        <f t="shared" si="26"/>
        <v>2</v>
      </c>
      <c r="X224" s="49"/>
      <c r="Y224" s="49"/>
      <c r="Z224" s="7"/>
      <c r="AA224" s="7"/>
      <c r="AB224" s="7"/>
      <c r="AC224" s="59" t="str">
        <f t="shared" si="27"/>
        <v>0</v>
      </c>
      <c r="AD224" s="49"/>
      <c r="AE224" s="7"/>
      <c r="AF224" s="49"/>
      <c r="AG224" s="7"/>
      <c r="AH224" s="7"/>
      <c r="AI224" s="59" t="str">
        <f t="shared" si="28"/>
        <v>0</v>
      </c>
      <c r="AJ224" s="49">
        <v>5</v>
      </c>
      <c r="AK224" s="49">
        <v>5</v>
      </c>
      <c r="AL224" s="49">
        <v>4</v>
      </c>
      <c r="AM224" s="49">
        <v>4</v>
      </c>
      <c r="AN224" s="7"/>
      <c r="AO224" s="59">
        <f t="shared" si="29"/>
        <v>4.5</v>
      </c>
      <c r="AP224" s="49"/>
      <c r="AQ224" s="49"/>
      <c r="AR224" s="49"/>
      <c r="AS224" s="7"/>
      <c r="AT224" s="7"/>
      <c r="AU224" s="59" t="str">
        <f t="shared" si="30"/>
        <v>0</v>
      </c>
      <c r="AV224" s="7"/>
      <c r="AW224" s="7"/>
      <c r="AX224" s="49"/>
      <c r="AY224" s="49">
        <v>3</v>
      </c>
      <c r="AZ224" s="49"/>
      <c r="BA224" s="59">
        <f t="shared" si="31"/>
        <v>3</v>
      </c>
    </row>
    <row r="225" spans="1:53" ht="23.1" customHeight="1" x14ac:dyDescent="0.3">
      <c r="A225" s="49">
        <v>223</v>
      </c>
      <c r="B225" s="49" t="s">
        <v>479</v>
      </c>
      <c r="C225" s="49" t="s">
        <v>480</v>
      </c>
      <c r="D225" s="49" t="s">
        <v>450</v>
      </c>
      <c r="E225" s="49" t="s">
        <v>289</v>
      </c>
      <c r="F225" s="49">
        <v>4</v>
      </c>
      <c r="G225" s="49">
        <v>4</v>
      </c>
      <c r="H225" s="49">
        <v>4</v>
      </c>
      <c r="I225" s="49"/>
      <c r="J225" s="49"/>
      <c r="K225" s="59">
        <f t="shared" si="24"/>
        <v>4</v>
      </c>
      <c r="L225" s="49"/>
      <c r="M225" s="49">
        <v>4</v>
      </c>
      <c r="N225" s="49">
        <v>4</v>
      </c>
      <c r="O225" s="49"/>
      <c r="P225" s="49"/>
      <c r="Q225" s="59">
        <f t="shared" si="25"/>
        <v>4</v>
      </c>
      <c r="R225" s="49"/>
      <c r="S225" s="49">
        <v>1</v>
      </c>
      <c r="T225" s="49"/>
      <c r="U225" s="49"/>
      <c r="V225" s="49"/>
      <c r="W225" s="59">
        <f t="shared" si="26"/>
        <v>1</v>
      </c>
      <c r="X225" s="49"/>
      <c r="Y225" s="49"/>
      <c r="Z225" s="49"/>
      <c r="AA225" s="49"/>
      <c r="AB225" s="49"/>
      <c r="AC225" s="59" t="str">
        <f t="shared" si="27"/>
        <v>0</v>
      </c>
      <c r="AD225" s="49"/>
      <c r="AE225" s="49"/>
      <c r="AF225" s="49"/>
      <c r="AG225" s="49"/>
      <c r="AH225" s="49"/>
      <c r="AI225" s="59" t="str">
        <f t="shared" si="28"/>
        <v>0</v>
      </c>
      <c r="AJ225" s="49">
        <v>4</v>
      </c>
      <c r="AK225" s="49">
        <v>4</v>
      </c>
      <c r="AL225" s="49">
        <v>4</v>
      </c>
      <c r="AM225" s="49">
        <v>4</v>
      </c>
      <c r="AN225" s="49"/>
      <c r="AO225" s="59">
        <f t="shared" si="29"/>
        <v>4</v>
      </c>
      <c r="AP225" s="49"/>
      <c r="AQ225" s="49"/>
      <c r="AR225" s="49"/>
      <c r="AS225" s="49"/>
      <c r="AT225" s="49"/>
      <c r="AU225" s="59" t="str">
        <f t="shared" si="30"/>
        <v>0</v>
      </c>
      <c r="AV225" s="49"/>
      <c r="AW225" s="49"/>
      <c r="AX225" s="49"/>
      <c r="AY225" s="49">
        <v>4</v>
      </c>
      <c r="AZ225" s="49"/>
      <c r="BA225" s="59">
        <f t="shared" si="31"/>
        <v>4</v>
      </c>
    </row>
    <row r="226" spans="1:53" ht="23.1" customHeight="1" x14ac:dyDescent="0.3">
      <c r="A226" s="7">
        <v>224</v>
      </c>
      <c r="B226" s="7" t="s">
        <v>481</v>
      </c>
      <c r="C226" s="7" t="s">
        <v>482</v>
      </c>
      <c r="D226" s="7" t="s">
        <v>450</v>
      </c>
      <c r="E226" s="7" t="s">
        <v>289</v>
      </c>
      <c r="F226" s="49">
        <v>2.5</v>
      </c>
      <c r="G226" s="49">
        <v>2</v>
      </c>
      <c r="H226" s="49">
        <v>4.5</v>
      </c>
      <c r="I226" s="49"/>
      <c r="J226" s="7"/>
      <c r="K226" s="59">
        <f t="shared" si="24"/>
        <v>3</v>
      </c>
      <c r="L226" s="49"/>
      <c r="M226" s="49">
        <v>3</v>
      </c>
      <c r="N226" s="49">
        <v>3.5</v>
      </c>
      <c r="O226" s="49"/>
      <c r="P226" s="49"/>
      <c r="Q226" s="59">
        <f t="shared" si="25"/>
        <v>3.25</v>
      </c>
      <c r="R226" s="49"/>
      <c r="S226" s="49">
        <v>2</v>
      </c>
      <c r="T226" s="7"/>
      <c r="U226" s="49"/>
      <c r="V226" s="7"/>
      <c r="W226" s="59">
        <f t="shared" si="26"/>
        <v>2</v>
      </c>
      <c r="X226" s="49"/>
      <c r="Y226" s="49"/>
      <c r="Z226" s="7"/>
      <c r="AA226" s="7"/>
      <c r="AB226" s="7"/>
      <c r="AC226" s="59" t="str">
        <f t="shared" si="27"/>
        <v>0</v>
      </c>
      <c r="AD226" s="49"/>
      <c r="AE226" s="7"/>
      <c r="AF226" s="49"/>
      <c r="AG226" s="7"/>
      <c r="AH226" s="7"/>
      <c r="AI226" s="59" t="str">
        <f t="shared" si="28"/>
        <v>0</v>
      </c>
      <c r="AJ226" s="49">
        <v>4</v>
      </c>
      <c r="AK226" s="49">
        <v>4</v>
      </c>
      <c r="AL226" s="49">
        <v>3</v>
      </c>
      <c r="AM226" s="49">
        <v>3</v>
      </c>
      <c r="AN226" s="7"/>
      <c r="AO226" s="59">
        <f t="shared" si="29"/>
        <v>3.5</v>
      </c>
      <c r="AP226" s="49"/>
      <c r="AQ226" s="49"/>
      <c r="AR226" s="49"/>
      <c r="AS226" s="7"/>
      <c r="AT226" s="7"/>
      <c r="AU226" s="59" t="str">
        <f t="shared" si="30"/>
        <v>0</v>
      </c>
      <c r="AV226" s="7"/>
      <c r="AW226" s="7"/>
      <c r="AX226" s="49"/>
      <c r="AY226" s="49">
        <v>2</v>
      </c>
      <c r="AZ226" s="49"/>
      <c r="BA226" s="59">
        <f t="shared" si="31"/>
        <v>2</v>
      </c>
    </row>
    <row r="227" spans="1:53" ht="23.1" customHeight="1" x14ac:dyDescent="0.3">
      <c r="A227" s="49">
        <v>225</v>
      </c>
      <c r="B227" s="49" t="s">
        <v>483</v>
      </c>
      <c r="C227" s="49" t="s">
        <v>540</v>
      </c>
      <c r="D227" s="49" t="s">
        <v>450</v>
      </c>
      <c r="E227" s="49" t="s">
        <v>289</v>
      </c>
      <c r="F227" s="49">
        <v>5</v>
      </c>
      <c r="G227" s="49">
        <v>5</v>
      </c>
      <c r="H227" s="49">
        <v>5</v>
      </c>
      <c r="I227" s="49"/>
      <c r="J227" s="49"/>
      <c r="K227" s="59">
        <f t="shared" si="24"/>
        <v>5</v>
      </c>
      <c r="L227" s="49"/>
      <c r="M227" s="49">
        <v>5</v>
      </c>
      <c r="N227" s="49">
        <v>5</v>
      </c>
      <c r="O227" s="49"/>
      <c r="P227" s="49"/>
      <c r="Q227" s="59">
        <f t="shared" si="25"/>
        <v>5</v>
      </c>
      <c r="R227" s="49"/>
      <c r="S227" s="49">
        <v>3</v>
      </c>
      <c r="T227" s="49"/>
      <c r="U227" s="49"/>
      <c r="V227" s="49"/>
      <c r="W227" s="59">
        <f t="shared" si="26"/>
        <v>3</v>
      </c>
      <c r="X227" s="49"/>
      <c r="Y227" s="49"/>
      <c r="Z227" s="49"/>
      <c r="AA227" s="49"/>
      <c r="AB227" s="49"/>
      <c r="AC227" s="59" t="str">
        <f t="shared" si="27"/>
        <v>0</v>
      </c>
      <c r="AD227" s="49"/>
      <c r="AE227" s="49"/>
      <c r="AF227" s="49"/>
      <c r="AG227" s="49"/>
      <c r="AH227" s="49"/>
      <c r="AI227" s="59" t="str">
        <f t="shared" si="28"/>
        <v>0</v>
      </c>
      <c r="AJ227" s="49">
        <v>5</v>
      </c>
      <c r="AK227" s="49">
        <v>5</v>
      </c>
      <c r="AL227" s="49">
        <v>5</v>
      </c>
      <c r="AM227" s="49">
        <v>5</v>
      </c>
      <c r="AN227" s="49"/>
      <c r="AO227" s="59">
        <f t="shared" si="29"/>
        <v>5</v>
      </c>
      <c r="AP227" s="49"/>
      <c r="AQ227" s="49"/>
      <c r="AR227" s="49"/>
      <c r="AS227" s="49"/>
      <c r="AT227" s="49"/>
      <c r="AU227" s="59" t="str">
        <f t="shared" si="30"/>
        <v>0</v>
      </c>
      <c r="AV227" s="49"/>
      <c r="AW227" s="49"/>
      <c r="AX227" s="49"/>
      <c r="AY227" s="49">
        <v>5</v>
      </c>
      <c r="AZ227" s="49"/>
      <c r="BA227" s="59">
        <f t="shared" si="31"/>
        <v>5</v>
      </c>
    </row>
    <row r="228" spans="1:53" ht="23.1" customHeight="1" x14ac:dyDescent="0.3">
      <c r="A228" s="7">
        <v>226</v>
      </c>
      <c r="B228" s="7" t="s">
        <v>484</v>
      </c>
      <c r="C228" s="7" t="s">
        <v>485</v>
      </c>
      <c r="D228" s="7" t="s">
        <v>450</v>
      </c>
      <c r="E228" s="7" t="s">
        <v>289</v>
      </c>
      <c r="F228" s="49">
        <v>4</v>
      </c>
      <c r="G228" s="49">
        <v>4</v>
      </c>
      <c r="H228" s="49">
        <v>4</v>
      </c>
      <c r="I228" s="49"/>
      <c r="J228" s="7"/>
      <c r="K228" s="59">
        <f t="shared" si="24"/>
        <v>4</v>
      </c>
      <c r="L228" s="49"/>
      <c r="M228" s="49">
        <v>4</v>
      </c>
      <c r="N228" s="49">
        <v>4</v>
      </c>
      <c r="O228" s="49"/>
      <c r="P228" s="49"/>
      <c r="Q228" s="59">
        <f t="shared" si="25"/>
        <v>4</v>
      </c>
      <c r="R228" s="49"/>
      <c r="S228" s="49">
        <v>2</v>
      </c>
      <c r="T228" s="7"/>
      <c r="U228" s="49"/>
      <c r="V228" s="7"/>
      <c r="W228" s="59">
        <f t="shared" si="26"/>
        <v>2</v>
      </c>
      <c r="X228" s="49"/>
      <c r="Y228" s="49"/>
      <c r="Z228" s="7"/>
      <c r="AA228" s="7"/>
      <c r="AB228" s="7"/>
      <c r="AC228" s="59" t="str">
        <f t="shared" si="27"/>
        <v>0</v>
      </c>
      <c r="AD228" s="49"/>
      <c r="AE228" s="7"/>
      <c r="AF228" s="49"/>
      <c r="AG228" s="7"/>
      <c r="AH228" s="7"/>
      <c r="AI228" s="59" t="str">
        <f t="shared" si="28"/>
        <v>0</v>
      </c>
      <c r="AJ228" s="49">
        <v>4</v>
      </c>
      <c r="AK228" s="49">
        <v>4</v>
      </c>
      <c r="AL228" s="49">
        <v>4</v>
      </c>
      <c r="AM228" s="49">
        <v>4</v>
      </c>
      <c r="AN228" s="7"/>
      <c r="AO228" s="59">
        <f t="shared" si="29"/>
        <v>4</v>
      </c>
      <c r="AP228" s="49"/>
      <c r="AQ228" s="49"/>
      <c r="AR228" s="49"/>
      <c r="AS228" s="7"/>
      <c r="AT228" s="7"/>
      <c r="AU228" s="59" t="str">
        <f t="shared" si="30"/>
        <v>0</v>
      </c>
      <c r="AV228" s="7"/>
      <c r="AW228" s="7"/>
      <c r="AX228" s="49"/>
      <c r="AY228" s="49">
        <v>4</v>
      </c>
      <c r="AZ228" s="49"/>
      <c r="BA228" s="59">
        <f t="shared" si="31"/>
        <v>4</v>
      </c>
    </row>
    <row r="229" spans="1:53" ht="23.1" customHeight="1" x14ac:dyDescent="0.3">
      <c r="A229" s="49">
        <v>227</v>
      </c>
      <c r="B229" s="49" t="s">
        <v>486</v>
      </c>
      <c r="C229" s="49" t="s">
        <v>487</v>
      </c>
      <c r="D229" s="49" t="s">
        <v>450</v>
      </c>
      <c r="E229" s="49" t="s">
        <v>289</v>
      </c>
      <c r="F229" s="49">
        <v>2</v>
      </c>
      <c r="G229" s="49">
        <v>1</v>
      </c>
      <c r="H229" s="49">
        <v>2</v>
      </c>
      <c r="I229" s="49"/>
      <c r="J229" s="49"/>
      <c r="K229" s="59">
        <f t="shared" si="24"/>
        <v>1.6666666666666667</v>
      </c>
      <c r="L229" s="49"/>
      <c r="M229" s="49">
        <v>2</v>
      </c>
      <c r="N229" s="49">
        <v>2</v>
      </c>
      <c r="O229" s="49"/>
      <c r="P229" s="49"/>
      <c r="Q229" s="59">
        <f t="shared" si="25"/>
        <v>2</v>
      </c>
      <c r="R229" s="49"/>
      <c r="S229" s="49">
        <v>0</v>
      </c>
      <c r="T229" s="49"/>
      <c r="U229" s="49"/>
      <c r="V229" s="49"/>
      <c r="W229" s="59">
        <f t="shared" si="26"/>
        <v>0</v>
      </c>
      <c r="X229" s="49"/>
      <c r="Y229" s="49"/>
      <c r="Z229" s="49"/>
      <c r="AA229" s="49"/>
      <c r="AB229" s="49"/>
      <c r="AC229" s="59" t="str">
        <f t="shared" si="27"/>
        <v>0</v>
      </c>
      <c r="AD229" s="49"/>
      <c r="AE229" s="49"/>
      <c r="AF229" s="49"/>
      <c r="AG229" s="49"/>
      <c r="AH229" s="49"/>
      <c r="AI229" s="59" t="str">
        <f t="shared" si="28"/>
        <v>0</v>
      </c>
      <c r="AJ229" s="49">
        <v>2</v>
      </c>
      <c r="AK229" s="49">
        <v>2</v>
      </c>
      <c r="AL229" s="49">
        <v>1</v>
      </c>
      <c r="AM229" s="49">
        <v>2</v>
      </c>
      <c r="AN229" s="49"/>
      <c r="AO229" s="59">
        <f t="shared" si="29"/>
        <v>1.75</v>
      </c>
      <c r="AP229" s="49"/>
      <c r="AQ229" s="49"/>
      <c r="AR229" s="49"/>
      <c r="AS229" s="49"/>
      <c r="AT229" s="49"/>
      <c r="AU229" s="59" t="str">
        <f t="shared" si="30"/>
        <v>0</v>
      </c>
      <c r="AV229" s="49"/>
      <c r="AW229" s="49"/>
      <c r="AX229" s="49"/>
      <c r="AY229" s="49">
        <v>2</v>
      </c>
      <c r="AZ229" s="49"/>
      <c r="BA229" s="59">
        <f t="shared" si="31"/>
        <v>2</v>
      </c>
    </row>
    <row r="230" spans="1:53" ht="23.1" customHeight="1" x14ac:dyDescent="0.3">
      <c r="A230" s="7">
        <v>228</v>
      </c>
      <c r="B230" s="7" t="s">
        <v>541</v>
      </c>
      <c r="C230" s="7" t="s">
        <v>488</v>
      </c>
      <c r="D230" s="7" t="s">
        <v>545</v>
      </c>
      <c r="E230" s="7" t="s">
        <v>289</v>
      </c>
      <c r="F230" s="49">
        <v>3.5</v>
      </c>
      <c r="G230" s="49">
        <v>3.5</v>
      </c>
      <c r="H230" s="49">
        <v>2.5</v>
      </c>
      <c r="I230" s="49"/>
      <c r="J230" s="7"/>
      <c r="K230" s="59">
        <f t="shared" si="24"/>
        <v>3.1666666666666665</v>
      </c>
      <c r="L230" s="49"/>
      <c r="M230" s="49">
        <v>2</v>
      </c>
      <c r="N230" s="49">
        <v>2</v>
      </c>
      <c r="O230" s="49"/>
      <c r="P230" s="49"/>
      <c r="Q230" s="59">
        <f t="shared" si="25"/>
        <v>2</v>
      </c>
      <c r="R230" s="49"/>
      <c r="S230" s="49">
        <v>3</v>
      </c>
      <c r="T230" s="7"/>
      <c r="U230" s="49">
        <v>3</v>
      </c>
      <c r="V230" s="7"/>
      <c r="W230" s="59">
        <f t="shared" si="26"/>
        <v>3</v>
      </c>
      <c r="X230" s="49"/>
      <c r="Y230" s="49"/>
      <c r="Z230" s="7"/>
      <c r="AA230" s="7"/>
      <c r="AB230" s="7"/>
      <c r="AC230" s="59" t="str">
        <f t="shared" si="27"/>
        <v>0</v>
      </c>
      <c r="AD230" s="49"/>
      <c r="AE230" s="7"/>
      <c r="AF230" s="49"/>
      <c r="AG230" s="7"/>
      <c r="AH230" s="7"/>
      <c r="AI230" s="59" t="str">
        <f t="shared" si="28"/>
        <v>0</v>
      </c>
      <c r="AJ230" s="49">
        <v>2.5</v>
      </c>
      <c r="AK230" s="49">
        <v>3</v>
      </c>
      <c r="AL230" s="49">
        <v>3</v>
      </c>
      <c r="AM230" s="49">
        <v>3</v>
      </c>
      <c r="AN230" s="7"/>
      <c r="AO230" s="59">
        <f t="shared" si="29"/>
        <v>2.875</v>
      </c>
      <c r="AP230" s="49"/>
      <c r="AQ230" s="49"/>
      <c r="AR230" s="49"/>
      <c r="AS230" s="7"/>
      <c r="AT230" s="7"/>
      <c r="AU230" s="59" t="str">
        <f t="shared" si="30"/>
        <v>0</v>
      </c>
      <c r="AV230" s="7"/>
      <c r="AW230" s="7"/>
      <c r="AX230" s="49"/>
      <c r="AY230" s="49">
        <v>2</v>
      </c>
      <c r="AZ230" s="49"/>
      <c r="BA230" s="59">
        <f t="shared" si="31"/>
        <v>2</v>
      </c>
    </row>
    <row r="231" spans="1:53" ht="15.6" x14ac:dyDescent="0.3">
      <c r="AJ231" s="113"/>
      <c r="AR231" s="114"/>
    </row>
    <row r="232" spans="1:53" ht="15.6" x14ac:dyDescent="0.3">
      <c r="AR232" s="112"/>
    </row>
  </sheetData>
  <mergeCells count="21">
    <mergeCell ref="AP1:AT1"/>
    <mergeCell ref="AU1:AU2"/>
    <mergeCell ref="AV1:AZ1"/>
    <mergeCell ref="BA1:BA2"/>
    <mergeCell ref="AC1:AC2"/>
    <mergeCell ref="AD1:AH1"/>
    <mergeCell ref="AI1:AI2"/>
    <mergeCell ref="AJ1:AN1"/>
    <mergeCell ref="AO1:AO2"/>
    <mergeCell ref="R1:V1"/>
    <mergeCell ref="W1:W2"/>
    <mergeCell ref="X1:AB1"/>
    <mergeCell ref="A1:A2"/>
    <mergeCell ref="B1:B2"/>
    <mergeCell ref="C1:C2"/>
    <mergeCell ref="D1:D2"/>
    <mergeCell ref="F1:J1"/>
    <mergeCell ref="K1:K2"/>
    <mergeCell ref="L1:P1"/>
    <mergeCell ref="Q1:Q2"/>
    <mergeCell ref="E1:E2"/>
  </mergeCells>
  <conditionalFormatting sqref="K3:K230">
    <cfRule type="containsText" dxfId="28" priority="8" operator="containsText" text="A">
      <formula>NOT(ISERROR(SEARCH("A",K3)))</formula>
    </cfRule>
  </conditionalFormatting>
  <conditionalFormatting sqref="Q3:Q230">
    <cfRule type="containsText" dxfId="27" priority="7" operator="containsText" text="A">
      <formula>NOT(ISERROR(SEARCH("A",Q3)))</formula>
    </cfRule>
  </conditionalFormatting>
  <conditionalFormatting sqref="W3:W230">
    <cfRule type="containsText" dxfId="26" priority="6" operator="containsText" text="A">
      <formula>NOT(ISERROR(SEARCH("A",W3)))</formula>
    </cfRule>
  </conditionalFormatting>
  <conditionalFormatting sqref="AC3:AC230">
    <cfRule type="containsText" dxfId="25" priority="5" operator="containsText" text="A">
      <formula>NOT(ISERROR(SEARCH("A",AC3)))</formula>
    </cfRule>
  </conditionalFormatting>
  <conditionalFormatting sqref="AI3:AI230">
    <cfRule type="containsText" dxfId="24" priority="4" operator="containsText" text="A">
      <formula>NOT(ISERROR(SEARCH("A",AI3)))</formula>
    </cfRule>
  </conditionalFormatting>
  <conditionalFormatting sqref="AO3:AO230">
    <cfRule type="containsText" dxfId="23" priority="3" operator="containsText" text="A">
      <formula>NOT(ISERROR(SEARCH("A",AO3)))</formula>
    </cfRule>
  </conditionalFormatting>
  <conditionalFormatting sqref="AU3:AU230">
    <cfRule type="containsText" dxfId="22" priority="2" operator="containsText" text="A">
      <formula>NOT(ISERROR(SEARCH("A",AU3)))</formula>
    </cfRule>
  </conditionalFormatting>
  <conditionalFormatting sqref="BA3:BA230">
    <cfRule type="containsText" dxfId="21" priority="1" operator="containsText" text="A">
      <formula>NOT(ISERROR(SEARCH("A",BA3)))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41DC0-AE18-4DCA-95E3-436FA118579B}">
  <dimension ref="A1:BD230"/>
  <sheetViews>
    <sheetView tabSelected="1" topLeftCell="AD1" zoomScale="102" zoomScaleNormal="102" workbookViewId="0">
      <selection activeCell="B18" sqref="B18"/>
    </sheetView>
  </sheetViews>
  <sheetFormatPr defaultRowHeight="14.4" x14ac:dyDescent="0.3"/>
  <cols>
    <col min="1" max="1" width="10.33203125" style="11" customWidth="1"/>
    <col min="2" max="2" width="21.6640625" style="11" customWidth="1"/>
    <col min="3" max="3" width="22.77734375" style="3" customWidth="1"/>
    <col min="4" max="5" width="12.44140625" style="11" customWidth="1"/>
    <col min="13" max="13" width="1.33203125" style="109" customWidth="1"/>
    <col min="21" max="21" width="1.33203125" style="109" customWidth="1"/>
    <col min="29" max="29" width="1.33203125" style="109" customWidth="1"/>
    <col min="37" max="37" width="1.33203125" style="109" customWidth="1"/>
    <col min="45" max="45" width="1.33203125" style="109" customWidth="1"/>
    <col min="53" max="53" width="1.44140625" customWidth="1"/>
    <col min="54" max="54" width="8.5546875" customWidth="1"/>
    <col min="55" max="55" width="8.88671875" style="12"/>
  </cols>
  <sheetData>
    <row r="1" spans="1:56" s="3" customFormat="1" ht="21.6" customHeight="1" x14ac:dyDescent="0.3">
      <c r="A1" s="127" t="s">
        <v>0</v>
      </c>
      <c r="B1" s="127" t="s">
        <v>26</v>
      </c>
      <c r="C1" s="129" t="s">
        <v>27</v>
      </c>
      <c r="D1" s="127" t="s">
        <v>489</v>
      </c>
      <c r="E1" s="127" t="s">
        <v>25</v>
      </c>
      <c r="F1" s="141" t="s">
        <v>632</v>
      </c>
      <c r="G1" s="142"/>
      <c r="H1" s="142"/>
      <c r="I1" s="142"/>
      <c r="J1" s="142"/>
      <c r="K1" s="142"/>
      <c r="L1" s="143"/>
      <c r="M1" s="108"/>
      <c r="N1" s="141" t="s">
        <v>633</v>
      </c>
      <c r="O1" s="142"/>
      <c r="P1" s="142"/>
      <c r="Q1" s="142"/>
      <c r="R1" s="142"/>
      <c r="S1" s="142"/>
      <c r="T1" s="143"/>
      <c r="U1" s="108"/>
      <c r="V1" s="141" t="s">
        <v>634</v>
      </c>
      <c r="W1" s="142"/>
      <c r="X1" s="142"/>
      <c r="Y1" s="142"/>
      <c r="Z1" s="142"/>
      <c r="AA1" s="142"/>
      <c r="AB1" s="143"/>
      <c r="AC1" s="108"/>
      <c r="AD1" s="141" t="s">
        <v>635</v>
      </c>
      <c r="AE1" s="142"/>
      <c r="AF1" s="142"/>
      <c r="AG1" s="142"/>
      <c r="AH1" s="142"/>
      <c r="AI1" s="142"/>
      <c r="AJ1" s="143"/>
      <c r="AK1" s="108"/>
      <c r="AL1" s="144" t="s">
        <v>630</v>
      </c>
      <c r="AM1" s="145"/>
      <c r="AN1" s="145"/>
      <c r="AO1" s="145"/>
      <c r="AP1" s="145"/>
      <c r="AQ1" s="145"/>
      <c r="AR1" s="146"/>
      <c r="AS1" s="108"/>
      <c r="AT1" s="138" t="s">
        <v>631</v>
      </c>
      <c r="AU1" s="139"/>
      <c r="AV1" s="139"/>
      <c r="AW1" s="139"/>
      <c r="AX1" s="139"/>
      <c r="AY1" s="139"/>
      <c r="AZ1" s="140"/>
      <c r="BB1" s="136" t="s">
        <v>29</v>
      </c>
      <c r="BC1" s="136"/>
      <c r="BD1" s="137"/>
    </row>
    <row r="2" spans="1:56" s="3" customFormat="1" ht="20.100000000000001" customHeight="1" x14ac:dyDescent="0.3">
      <c r="A2" s="134"/>
      <c r="B2" s="134"/>
      <c r="C2" s="135"/>
      <c r="D2" s="134"/>
      <c r="E2" s="134"/>
      <c r="F2" s="19" t="s">
        <v>35</v>
      </c>
      <c r="G2" s="19" t="s">
        <v>493</v>
      </c>
      <c r="H2" s="19" t="s">
        <v>625</v>
      </c>
      <c r="I2" s="19" t="s">
        <v>626</v>
      </c>
      <c r="J2" s="19" t="s">
        <v>627</v>
      </c>
      <c r="K2" s="19" t="s">
        <v>628</v>
      </c>
      <c r="L2" s="19" t="s">
        <v>629</v>
      </c>
      <c r="M2" s="116"/>
      <c r="N2" s="19" t="s">
        <v>35</v>
      </c>
      <c r="O2" s="19" t="s">
        <v>493</v>
      </c>
      <c r="P2" s="19" t="s">
        <v>625</v>
      </c>
      <c r="Q2" s="19" t="s">
        <v>626</v>
      </c>
      <c r="R2" s="19" t="s">
        <v>627</v>
      </c>
      <c r="S2" s="19" t="s">
        <v>628</v>
      </c>
      <c r="T2" s="19" t="s">
        <v>629</v>
      </c>
      <c r="U2" s="116"/>
      <c r="V2" s="19" t="s">
        <v>35</v>
      </c>
      <c r="W2" s="19" t="s">
        <v>493</v>
      </c>
      <c r="X2" s="19" t="s">
        <v>625</v>
      </c>
      <c r="Y2" s="19" t="s">
        <v>626</v>
      </c>
      <c r="Z2" s="19" t="s">
        <v>627</v>
      </c>
      <c r="AA2" s="19" t="s">
        <v>628</v>
      </c>
      <c r="AB2" s="19" t="s">
        <v>629</v>
      </c>
      <c r="AC2" s="116"/>
      <c r="AD2" s="19" t="s">
        <v>35</v>
      </c>
      <c r="AE2" s="19" t="s">
        <v>493</v>
      </c>
      <c r="AF2" s="19" t="s">
        <v>625</v>
      </c>
      <c r="AG2" s="19" t="s">
        <v>626</v>
      </c>
      <c r="AH2" s="19" t="s">
        <v>627</v>
      </c>
      <c r="AI2" s="19" t="s">
        <v>628</v>
      </c>
      <c r="AJ2" s="19" t="s">
        <v>629</v>
      </c>
      <c r="AK2" s="116"/>
      <c r="AL2" s="19" t="s">
        <v>35</v>
      </c>
      <c r="AM2" s="19" t="s">
        <v>493</v>
      </c>
      <c r="AN2" s="19" t="s">
        <v>625</v>
      </c>
      <c r="AO2" s="19" t="s">
        <v>626</v>
      </c>
      <c r="AP2" s="19" t="s">
        <v>627</v>
      </c>
      <c r="AQ2" s="19" t="s">
        <v>628</v>
      </c>
      <c r="AR2" s="19" t="s">
        <v>629</v>
      </c>
      <c r="AS2" s="116"/>
      <c r="AT2" s="19" t="s">
        <v>35</v>
      </c>
      <c r="AU2" s="19" t="s">
        <v>493</v>
      </c>
      <c r="AV2" s="19" t="s">
        <v>625</v>
      </c>
      <c r="AW2" s="19" t="s">
        <v>626</v>
      </c>
      <c r="AX2" s="19" t="s">
        <v>627</v>
      </c>
      <c r="AY2" s="19" t="s">
        <v>628</v>
      </c>
      <c r="AZ2" s="19" t="s">
        <v>629</v>
      </c>
      <c r="BA2" s="116"/>
      <c r="BB2" s="19" t="s">
        <v>32</v>
      </c>
      <c r="BC2" s="19" t="s">
        <v>33</v>
      </c>
      <c r="BD2" s="19" t="s">
        <v>34</v>
      </c>
    </row>
    <row r="3" spans="1:56" s="109" customFormat="1" ht="23.1" customHeight="1" x14ac:dyDescent="0.3">
      <c r="A3" s="115">
        <v>1</v>
      </c>
      <c r="B3" s="49" t="s">
        <v>36</v>
      </c>
      <c r="C3" s="49" t="s">
        <v>37</v>
      </c>
      <c r="D3" s="49" t="s">
        <v>542</v>
      </c>
      <c r="E3" s="49" t="s">
        <v>35</v>
      </c>
      <c r="F3" s="117">
        <f>'Book Review'!K3</f>
        <v>4</v>
      </c>
      <c r="G3" s="117">
        <f>'Book Review'!Q3</f>
        <v>3.4</v>
      </c>
      <c r="H3" s="117">
        <f>'Book Review'!W3</f>
        <v>3</v>
      </c>
      <c r="I3" s="117"/>
      <c r="J3" s="117"/>
      <c r="K3" s="117">
        <f>'Book Review'!AO3</f>
        <v>3.5</v>
      </c>
      <c r="L3" s="117">
        <f>'Book Review'!AU3</f>
        <v>3</v>
      </c>
      <c r="M3" s="116"/>
      <c r="N3" s="117">
        <f>Debate!K3</f>
        <v>3</v>
      </c>
      <c r="O3" s="117">
        <f>Debate!Q3</f>
        <v>2.9</v>
      </c>
      <c r="P3" s="117"/>
      <c r="Q3" s="117">
        <f>Debate!AC3</f>
        <v>3</v>
      </c>
      <c r="R3" s="117"/>
      <c r="S3" s="117">
        <f>Debate!AO3</f>
        <v>3.6666666666666665</v>
      </c>
      <c r="T3" s="117">
        <f>Debate!AU3</f>
        <v>3</v>
      </c>
      <c r="U3" s="116"/>
      <c r="V3" s="49"/>
      <c r="W3" s="117">
        <f>GD!Q3</f>
        <v>3</v>
      </c>
      <c r="X3" s="117">
        <f>GD!W3</f>
        <v>2</v>
      </c>
      <c r="Y3" s="117"/>
      <c r="Z3" s="117"/>
      <c r="AA3" s="49"/>
      <c r="AB3" s="117"/>
      <c r="AC3" s="116"/>
      <c r="AD3" s="117">
        <f>'Case study'!K3</f>
        <v>2.5</v>
      </c>
      <c r="AE3" s="117">
        <f>'Case study'!Q3</f>
        <v>3.4</v>
      </c>
      <c r="AF3" s="117">
        <f>'Case study'!W3</f>
        <v>2</v>
      </c>
      <c r="AG3" s="117"/>
      <c r="AH3" s="117"/>
      <c r="AI3" s="117">
        <f>'Case study'!AO3</f>
        <v>3</v>
      </c>
      <c r="AJ3" s="117">
        <f>'Case study'!AU3</f>
        <v>3</v>
      </c>
      <c r="AK3" s="116"/>
      <c r="AL3" s="117">
        <f>Capstone!K3</f>
        <v>4</v>
      </c>
      <c r="AM3" s="117">
        <f>Capstone!Q4</f>
        <v>4</v>
      </c>
      <c r="AN3" s="117">
        <f>Capstone!W4</f>
        <v>4</v>
      </c>
      <c r="AO3" s="117"/>
      <c r="AP3" s="117"/>
      <c r="AQ3" s="117">
        <f>Capstone!AO4</f>
        <v>3</v>
      </c>
      <c r="AR3" s="117"/>
      <c r="AS3" s="116"/>
      <c r="AT3" s="117">
        <f>IFERROR(AVERAGE(Table110461117[[#This Row],[Column2]],Table110461117[[#This Row],[Column11]],Table110461117[[#This Row],[Column29]]),"0")</f>
        <v>3.1666666666666665</v>
      </c>
      <c r="AU3" s="117">
        <f>IFERROR(AVERAGE(Table110461117[[#This Row],[Column3]],Table110461117[[#This Row],[Column12]],Table110461117[[#This Row],[Column21]],Table110461117[[#This Row],[Column30]]),"0")</f>
        <v>3.1750000000000003</v>
      </c>
      <c r="AV3" s="117">
        <f>IFERROR(AVERAGE(Table110461117[[#This Row],[Column31]],Table110461117[[#This Row],[Column22]],Table110461117[[#This Row],[Column4]]),"0")</f>
        <v>2.3333333333333335</v>
      </c>
      <c r="AW3" s="117">
        <f>IFERROR(AVERAGE(Table110461117[[#This Row],[Column14]]),"0")</f>
        <v>3</v>
      </c>
      <c r="AX3" s="117"/>
      <c r="AY3" s="117">
        <f>IFERROR(AVERAGE(Table110461117[[#This Row],[Column34]],Table110461117[[#This Row],[Column16]],Table110461117[[#This Row],[Column7]]),"0")</f>
        <v>3.3888888888888888</v>
      </c>
      <c r="AZ3" s="117">
        <f>IFERROR(AVERAGE(Table110461117[[#This Row],[Column35]],Table110461117[[#This Row],[Column17]],Table110461117[[#This Row],[Column8]]),"0")</f>
        <v>3</v>
      </c>
      <c r="BA3" s="116"/>
      <c r="BB3" s="117"/>
      <c r="BC3" s="117">
        <f>IFERROR(AVERAGE('Book Review'!AY3,Debate!AY3,'Case study'!AY3,Capstone!AY3),"A")</f>
        <v>3.5</v>
      </c>
      <c r="BD3" s="117">
        <f>IFERROR(AVERAGE('Book Review'!AZ3,Debate!AZ3,'Case study'!AZ3),"A")</f>
        <v>3.3333333333333335</v>
      </c>
    </row>
    <row r="4" spans="1:56" s="109" customFormat="1" ht="23.1" customHeight="1" x14ac:dyDescent="0.3">
      <c r="A4" s="6">
        <v>2</v>
      </c>
      <c r="B4" s="7" t="s">
        <v>75</v>
      </c>
      <c r="C4" s="7" t="s">
        <v>76</v>
      </c>
      <c r="D4" s="7" t="s">
        <v>450</v>
      </c>
      <c r="E4" s="7" t="s">
        <v>35</v>
      </c>
      <c r="F4" s="118">
        <f>'Book Review'!K4</f>
        <v>2</v>
      </c>
      <c r="G4" s="118">
        <f>'Book Review'!Q4</f>
        <v>2.6</v>
      </c>
      <c r="H4" s="118">
        <f>'Book Review'!W4</f>
        <v>4</v>
      </c>
      <c r="I4" s="118"/>
      <c r="J4" s="118"/>
      <c r="K4" s="118">
        <f>'Book Review'!AO4</f>
        <v>3</v>
      </c>
      <c r="L4" s="118">
        <f>'Book Review'!AU4</f>
        <v>3</v>
      </c>
      <c r="M4" s="116"/>
      <c r="N4" s="118">
        <f>Debate!K4</f>
        <v>3</v>
      </c>
      <c r="O4" s="118">
        <f>Debate!Q4</f>
        <v>2.5</v>
      </c>
      <c r="P4" s="118"/>
      <c r="Q4" s="118">
        <f>Debate!AC4</f>
        <v>3</v>
      </c>
      <c r="R4" s="118"/>
      <c r="S4" s="118">
        <f>Debate!AO4</f>
        <v>2.6666666666666665</v>
      </c>
      <c r="T4" s="118">
        <f>Debate!AU4</f>
        <v>3</v>
      </c>
      <c r="U4" s="116"/>
      <c r="V4" s="7"/>
      <c r="W4" s="118">
        <f>GD!Q4</f>
        <v>2.5</v>
      </c>
      <c r="X4" s="118">
        <f>GD!W4</f>
        <v>2</v>
      </c>
      <c r="Y4" s="118"/>
      <c r="Z4" s="118"/>
      <c r="AA4" s="7"/>
      <c r="AB4" s="118"/>
      <c r="AC4" s="116"/>
      <c r="AD4" s="118">
        <f>'Case study'!K4</f>
        <v>2</v>
      </c>
      <c r="AE4" s="118">
        <f>'Case study'!Q4</f>
        <v>2.6</v>
      </c>
      <c r="AF4" s="118">
        <f>'Case study'!W4</f>
        <v>4</v>
      </c>
      <c r="AG4" s="118"/>
      <c r="AH4" s="118"/>
      <c r="AI4" s="118">
        <f>'Case study'!AO4</f>
        <v>3.25</v>
      </c>
      <c r="AJ4" s="118">
        <f>'Case study'!AU4</f>
        <v>3</v>
      </c>
      <c r="AK4" s="116"/>
      <c r="AL4" s="118">
        <f>Capstone!K4</f>
        <v>3</v>
      </c>
      <c r="AM4" s="118">
        <f>Capstone!Q5</f>
        <v>3</v>
      </c>
      <c r="AN4" s="118">
        <f>Capstone!W5</f>
        <v>3</v>
      </c>
      <c r="AO4" s="118"/>
      <c r="AP4" s="118"/>
      <c r="AQ4" s="118">
        <f>Capstone!AO5</f>
        <v>3</v>
      </c>
      <c r="AR4" s="118"/>
      <c r="AS4" s="116"/>
      <c r="AT4" s="118">
        <f>IFERROR(AVERAGE(Table110461117[[#This Row],[Column2]],Table110461117[[#This Row],[Column11]],Table110461117[[#This Row],[Column29]]),"0")</f>
        <v>2.3333333333333335</v>
      </c>
      <c r="AU4" s="118">
        <f>IFERROR(AVERAGE(Table110461117[[#This Row],[Column3]],Table110461117[[#This Row],[Column12]],Table110461117[[#This Row],[Column21]],Table110461117[[#This Row],[Column30]]),"0")</f>
        <v>2.5499999999999998</v>
      </c>
      <c r="AV4" s="118">
        <f>IFERROR(AVERAGE(Table110461117[[#This Row],[Column31]],Table110461117[[#This Row],[Column22]],Table110461117[[#This Row],[Column4]]),"0")</f>
        <v>3.3333333333333335</v>
      </c>
      <c r="AW4" s="118">
        <f>IFERROR(AVERAGE(Table110461117[[#This Row],[Column14]]),"0")</f>
        <v>3</v>
      </c>
      <c r="AX4" s="118"/>
      <c r="AY4" s="118">
        <f>IFERROR(AVERAGE(Table110461117[[#This Row],[Column34]],Table110461117[[#This Row],[Column16]],Table110461117[[#This Row],[Column7]]),"0")</f>
        <v>2.9722222222222219</v>
      </c>
      <c r="AZ4" s="118">
        <f>IFERROR(AVERAGE(Table110461117[[#This Row],[Column35]],Table110461117[[#This Row],[Column17]],Table110461117[[#This Row],[Column8]]),"0")</f>
        <v>3</v>
      </c>
      <c r="BA4" s="116"/>
      <c r="BB4" s="118"/>
      <c r="BC4" s="118">
        <f>IFERROR(AVERAGE('Book Review'!AY4,Debate!AY4,'Case study'!AY4,Capstone!AY4),"A")</f>
        <v>3.5</v>
      </c>
      <c r="BD4" s="118">
        <f>IFERROR(AVERAGE('Book Review'!AZ4,Debate!AZ4,'Case study'!AZ4),"A")</f>
        <v>3</v>
      </c>
    </row>
    <row r="5" spans="1:56" s="109" customFormat="1" ht="23.1" customHeight="1" x14ac:dyDescent="0.3">
      <c r="A5" s="115">
        <v>3</v>
      </c>
      <c r="B5" s="49" t="s">
        <v>64</v>
      </c>
      <c r="C5" s="49" t="s">
        <v>65</v>
      </c>
      <c r="D5" s="49" t="s">
        <v>542</v>
      </c>
      <c r="E5" s="49" t="s">
        <v>35</v>
      </c>
      <c r="F5" s="117">
        <f>'Book Review'!K5</f>
        <v>2.25</v>
      </c>
      <c r="G5" s="117">
        <f>'Book Review'!Q5</f>
        <v>2.8</v>
      </c>
      <c r="H5" s="117">
        <f>'Book Review'!W5</f>
        <v>3</v>
      </c>
      <c r="I5" s="117"/>
      <c r="J5" s="117"/>
      <c r="K5" s="117">
        <f>'Book Review'!AO5</f>
        <v>3</v>
      </c>
      <c r="L5" s="117">
        <f>'Book Review'!AU5</f>
        <v>3</v>
      </c>
      <c r="M5" s="116"/>
      <c r="N5" s="117">
        <f>Debate!K5</f>
        <v>3</v>
      </c>
      <c r="O5" s="117">
        <f>Debate!Q5</f>
        <v>2.6</v>
      </c>
      <c r="P5" s="117"/>
      <c r="Q5" s="117">
        <f>Debate!AC5</f>
        <v>3</v>
      </c>
      <c r="R5" s="117"/>
      <c r="S5" s="117">
        <f>Debate!AO5</f>
        <v>2.6666666666666665</v>
      </c>
      <c r="T5" s="117">
        <f>Debate!AU5</f>
        <v>3</v>
      </c>
      <c r="U5" s="116"/>
      <c r="V5" s="49"/>
      <c r="W5" s="117">
        <f>GD!Q5</f>
        <v>2.5</v>
      </c>
      <c r="X5" s="117">
        <f>GD!W5</f>
        <v>3</v>
      </c>
      <c r="Y5" s="117"/>
      <c r="Z5" s="117"/>
      <c r="AA5" s="49"/>
      <c r="AB5" s="117"/>
      <c r="AC5" s="116"/>
      <c r="AD5" s="117">
        <f>'Case study'!K5</f>
        <v>2.25</v>
      </c>
      <c r="AE5" s="117">
        <f>'Case study'!Q5</f>
        <v>2.8</v>
      </c>
      <c r="AF5" s="117">
        <f>'Case study'!W5</f>
        <v>3</v>
      </c>
      <c r="AG5" s="117"/>
      <c r="AH5" s="117"/>
      <c r="AI5" s="117">
        <f>'Case study'!AO5</f>
        <v>3</v>
      </c>
      <c r="AJ5" s="117">
        <f>'Case study'!AU5</f>
        <v>3</v>
      </c>
      <c r="AK5" s="116"/>
      <c r="AL5" s="117">
        <f>Capstone!K5</f>
        <v>2</v>
      </c>
      <c r="AM5" s="117">
        <f>Capstone!Q6</f>
        <v>3.5</v>
      </c>
      <c r="AN5" s="117">
        <f>Capstone!W6</f>
        <v>4</v>
      </c>
      <c r="AO5" s="117"/>
      <c r="AP5" s="117"/>
      <c r="AQ5" s="117">
        <f>Capstone!AO6</f>
        <v>2</v>
      </c>
      <c r="AR5" s="117"/>
      <c r="AS5" s="116"/>
      <c r="AT5" s="117">
        <f>IFERROR(AVERAGE(Table110461117[[#This Row],[Column2]],Table110461117[[#This Row],[Column11]],Table110461117[[#This Row],[Column29]]),"0")</f>
        <v>2.5</v>
      </c>
      <c r="AU5" s="117">
        <f>IFERROR(AVERAGE(Table110461117[[#This Row],[Column3]],Table110461117[[#This Row],[Column12]],Table110461117[[#This Row],[Column21]],Table110461117[[#This Row],[Column30]]),"0")</f>
        <v>2.6749999999999998</v>
      </c>
      <c r="AV5" s="117">
        <f>IFERROR(AVERAGE(Table110461117[[#This Row],[Column31]],Table110461117[[#This Row],[Column22]],Table110461117[[#This Row],[Column4]]),"0")</f>
        <v>3</v>
      </c>
      <c r="AW5" s="117">
        <f>IFERROR(AVERAGE(Table110461117[[#This Row],[Column14]]),"0")</f>
        <v>3</v>
      </c>
      <c r="AX5" s="117"/>
      <c r="AY5" s="117">
        <f>IFERROR(AVERAGE(Table110461117[[#This Row],[Column34]],Table110461117[[#This Row],[Column16]],Table110461117[[#This Row],[Column7]]),"0")</f>
        <v>2.8888888888888888</v>
      </c>
      <c r="AZ5" s="117">
        <f>IFERROR(AVERAGE(Table110461117[[#This Row],[Column35]],Table110461117[[#This Row],[Column17]],Table110461117[[#This Row],[Column8]]),"0")</f>
        <v>3</v>
      </c>
      <c r="BA5" s="116"/>
      <c r="BB5" s="117"/>
      <c r="BC5" s="117">
        <f>IFERROR(AVERAGE('Book Review'!AY5,Debate!AY5,'Case study'!AY5,Capstone!AY5),"A")</f>
        <v>3.25</v>
      </c>
      <c r="BD5" s="117">
        <f>IFERROR(AVERAGE('Book Review'!AZ5,Debate!AZ5,'Case study'!AZ5),"A")</f>
        <v>3.6666666666666665</v>
      </c>
    </row>
    <row r="6" spans="1:56" s="109" customFormat="1" ht="23.1" customHeight="1" x14ac:dyDescent="0.3">
      <c r="A6" s="6">
        <v>4</v>
      </c>
      <c r="B6" s="7" t="s">
        <v>99</v>
      </c>
      <c r="C6" s="7" t="s">
        <v>100</v>
      </c>
      <c r="D6" s="7" t="s">
        <v>450</v>
      </c>
      <c r="E6" s="7" t="s">
        <v>35</v>
      </c>
      <c r="F6" s="118">
        <f>'Book Review'!K6</f>
        <v>3</v>
      </c>
      <c r="G6" s="118">
        <f>'Book Review'!Q6</f>
        <v>3</v>
      </c>
      <c r="H6" s="118">
        <f>'Book Review'!W6</f>
        <v>4</v>
      </c>
      <c r="I6" s="118"/>
      <c r="J6" s="118"/>
      <c r="K6" s="118">
        <f>'Book Review'!AO6</f>
        <v>3</v>
      </c>
      <c r="L6" s="118">
        <f>'Book Review'!AU6</f>
        <v>3</v>
      </c>
      <c r="M6" s="116"/>
      <c r="N6" s="118">
        <f>Debate!K6</f>
        <v>3</v>
      </c>
      <c r="O6" s="118">
        <f>Debate!Q6</f>
        <v>2.8</v>
      </c>
      <c r="P6" s="118"/>
      <c r="Q6" s="118">
        <f>Debate!AC6</f>
        <v>4</v>
      </c>
      <c r="R6" s="118"/>
      <c r="S6" s="118">
        <f>Debate!AO6</f>
        <v>3.3333333333333335</v>
      </c>
      <c r="T6" s="118">
        <f>Debate!AU6</f>
        <v>3</v>
      </c>
      <c r="U6" s="116"/>
      <c r="V6" s="7"/>
      <c r="W6" s="118">
        <f>GD!Q6</f>
        <v>3</v>
      </c>
      <c r="X6" s="118">
        <f>GD!W6</f>
        <v>2</v>
      </c>
      <c r="Y6" s="118"/>
      <c r="Z6" s="118"/>
      <c r="AA6" s="7"/>
      <c r="AB6" s="118"/>
      <c r="AC6" s="116"/>
      <c r="AD6" s="118">
        <f>'Case study'!K6</f>
        <v>3</v>
      </c>
      <c r="AE6" s="118">
        <f>'Case study'!Q6</f>
        <v>3</v>
      </c>
      <c r="AF6" s="118">
        <f>'Case study'!W6</f>
        <v>4</v>
      </c>
      <c r="AG6" s="118"/>
      <c r="AH6" s="118"/>
      <c r="AI6" s="118">
        <f>'Case study'!AO6</f>
        <v>3</v>
      </c>
      <c r="AJ6" s="118">
        <f>'Case study'!AU6</f>
        <v>3</v>
      </c>
      <c r="AK6" s="116"/>
      <c r="AL6" s="118">
        <f>Capstone!K6</f>
        <v>2.6666666666666665</v>
      </c>
      <c r="AM6" s="118" t="str">
        <f>Capstone!Q7</f>
        <v>0</v>
      </c>
      <c r="AN6" s="118">
        <f>Capstone!W7</f>
        <v>1</v>
      </c>
      <c r="AO6" s="118"/>
      <c r="AP6" s="118"/>
      <c r="AQ6" s="118" t="str">
        <f>Capstone!AO7</f>
        <v>0</v>
      </c>
      <c r="AR6" s="118"/>
      <c r="AS6" s="116"/>
      <c r="AT6" s="118">
        <f>IFERROR(AVERAGE(Table110461117[[#This Row],[Column2]],Table110461117[[#This Row],[Column11]],Table110461117[[#This Row],[Column29]]),"0")</f>
        <v>3</v>
      </c>
      <c r="AU6" s="118">
        <f>IFERROR(AVERAGE(Table110461117[[#This Row],[Column3]],Table110461117[[#This Row],[Column12]],Table110461117[[#This Row],[Column21]],Table110461117[[#This Row],[Column30]]),"0")</f>
        <v>2.95</v>
      </c>
      <c r="AV6" s="118">
        <f>IFERROR(AVERAGE(Table110461117[[#This Row],[Column31]],Table110461117[[#This Row],[Column22]],Table110461117[[#This Row],[Column4]]),"0")</f>
        <v>3.3333333333333335</v>
      </c>
      <c r="AW6" s="118">
        <f>IFERROR(AVERAGE(Table110461117[[#This Row],[Column14]]),"0")</f>
        <v>4</v>
      </c>
      <c r="AX6" s="118"/>
      <c r="AY6" s="118">
        <f>IFERROR(AVERAGE(Table110461117[[#This Row],[Column34]],Table110461117[[#This Row],[Column16]],Table110461117[[#This Row],[Column7]]),"0")</f>
        <v>3.1111111111111112</v>
      </c>
      <c r="AZ6" s="118">
        <f>IFERROR(AVERAGE(Table110461117[[#This Row],[Column35]],Table110461117[[#This Row],[Column17]],Table110461117[[#This Row],[Column8]]),"0")</f>
        <v>3</v>
      </c>
      <c r="BA6" s="116"/>
      <c r="BB6" s="118"/>
      <c r="BC6" s="118">
        <f>IFERROR(AVERAGE('Book Review'!AY6,Debate!AY6,'Case study'!AY6,Capstone!AY6),"A")</f>
        <v>3</v>
      </c>
      <c r="BD6" s="118">
        <f>IFERROR(AVERAGE('Book Review'!AZ6,Debate!AZ6,'Case study'!AZ6),"A")</f>
        <v>2.6666666666666665</v>
      </c>
    </row>
    <row r="7" spans="1:56" s="109" customFormat="1" ht="23.1" customHeight="1" x14ac:dyDescent="0.3">
      <c r="A7" s="115">
        <v>5</v>
      </c>
      <c r="B7" s="49" t="s">
        <v>290</v>
      </c>
      <c r="C7" s="49" t="s">
        <v>538</v>
      </c>
      <c r="D7" s="49" t="s">
        <v>450</v>
      </c>
      <c r="E7" s="49" t="s">
        <v>289</v>
      </c>
      <c r="F7" s="117">
        <f>'Book Review'!K7</f>
        <v>1</v>
      </c>
      <c r="G7" s="117">
        <f>'Book Review'!Q7</f>
        <v>1</v>
      </c>
      <c r="H7" s="117">
        <f>'Book Review'!W7</f>
        <v>1</v>
      </c>
      <c r="I7" s="117"/>
      <c r="J7" s="117"/>
      <c r="K7" s="117">
        <f>'Book Review'!AO7</f>
        <v>1</v>
      </c>
      <c r="L7" s="117">
        <f>'Book Review'!AU7</f>
        <v>1</v>
      </c>
      <c r="M7" s="116"/>
      <c r="N7" s="117">
        <f>Debate!K7</f>
        <v>1</v>
      </c>
      <c r="O7" s="117">
        <f>Debate!Q7</f>
        <v>1</v>
      </c>
      <c r="P7" s="117"/>
      <c r="Q7" s="117">
        <f>Debate!AC7</f>
        <v>1</v>
      </c>
      <c r="R7" s="117"/>
      <c r="S7" s="117">
        <f>Debate!AO7</f>
        <v>1</v>
      </c>
      <c r="T7" s="117">
        <f>Debate!AU7</f>
        <v>1</v>
      </c>
      <c r="U7" s="116"/>
      <c r="V7" s="49"/>
      <c r="W7" s="117">
        <f>GD!Q7</f>
        <v>1</v>
      </c>
      <c r="X7" s="117">
        <f>GD!W7</f>
        <v>1</v>
      </c>
      <c r="Y7" s="117"/>
      <c r="Z7" s="117"/>
      <c r="AA7" s="49"/>
      <c r="AB7" s="117"/>
      <c r="AC7" s="116"/>
      <c r="AD7" s="117">
        <f>'Case study'!K7</f>
        <v>1</v>
      </c>
      <c r="AE7" s="117">
        <f>'Case study'!Q7</f>
        <v>1</v>
      </c>
      <c r="AF7" s="117">
        <f>'Case study'!W7</f>
        <v>1</v>
      </c>
      <c r="AG7" s="117"/>
      <c r="AH7" s="117"/>
      <c r="AI7" s="117">
        <f>'Case study'!AO7</f>
        <v>1</v>
      </c>
      <c r="AJ7" s="117">
        <f>'Case study'!AU7</f>
        <v>3</v>
      </c>
      <c r="AK7" s="116"/>
      <c r="AL7" s="117" t="str">
        <f>Capstone!K7</f>
        <v>0</v>
      </c>
      <c r="AM7" s="117">
        <f>Capstone!Q8</f>
        <v>4.5</v>
      </c>
      <c r="AN7" s="117">
        <f>Capstone!W8</f>
        <v>2</v>
      </c>
      <c r="AO7" s="117"/>
      <c r="AP7" s="117"/>
      <c r="AQ7" s="117">
        <f>Capstone!AO8</f>
        <v>4.25</v>
      </c>
      <c r="AR7" s="117"/>
      <c r="AS7" s="116"/>
      <c r="AT7" s="117">
        <f>IFERROR(AVERAGE(Table110461117[[#This Row],[Column2]],Table110461117[[#This Row],[Column11]],Table110461117[[#This Row],[Column29]]),"0")</f>
        <v>1</v>
      </c>
      <c r="AU7" s="117">
        <f>IFERROR(AVERAGE(Table110461117[[#This Row],[Column3]],Table110461117[[#This Row],[Column12]],Table110461117[[#This Row],[Column21]],Table110461117[[#This Row],[Column30]]),"0")</f>
        <v>1</v>
      </c>
      <c r="AV7" s="117">
        <f>IFERROR(AVERAGE(Table110461117[[#This Row],[Column31]],Table110461117[[#This Row],[Column22]],Table110461117[[#This Row],[Column4]]),"0")</f>
        <v>1</v>
      </c>
      <c r="AW7" s="117">
        <f>IFERROR(AVERAGE(Table110461117[[#This Row],[Column14]]),"0")</f>
        <v>1</v>
      </c>
      <c r="AX7" s="117"/>
      <c r="AY7" s="117">
        <f>IFERROR(AVERAGE(Table110461117[[#This Row],[Column34]],Table110461117[[#This Row],[Column16]],Table110461117[[#This Row],[Column7]]),"0")</f>
        <v>1</v>
      </c>
      <c r="AZ7" s="117">
        <f>IFERROR(AVERAGE(Table110461117[[#This Row],[Column35]],Table110461117[[#This Row],[Column17]],Table110461117[[#This Row],[Column8]]),"0")</f>
        <v>1.6666666666666667</v>
      </c>
      <c r="BA7" s="116"/>
      <c r="BB7" s="117"/>
      <c r="BC7" s="117">
        <f>IFERROR(AVERAGE('Book Review'!AY7,Debate!AY7,'Case study'!AY7,Capstone!AY7),"A")</f>
        <v>2</v>
      </c>
      <c r="BD7" s="117">
        <f>IFERROR(AVERAGE('Book Review'!AZ7,Debate!AZ7,'Case study'!AZ7),"A")</f>
        <v>2</v>
      </c>
    </row>
    <row r="8" spans="1:56" s="109" customFormat="1" ht="23.1" customHeight="1" x14ac:dyDescent="0.3">
      <c r="A8" s="6">
        <v>6</v>
      </c>
      <c r="B8" s="7" t="s">
        <v>101</v>
      </c>
      <c r="C8" s="7" t="s">
        <v>102</v>
      </c>
      <c r="D8" s="7" t="s">
        <v>450</v>
      </c>
      <c r="E8" s="7" t="s">
        <v>35</v>
      </c>
      <c r="F8" s="118">
        <f>'Book Review'!K8</f>
        <v>3.25</v>
      </c>
      <c r="G8" s="118">
        <f>'Book Review'!Q8</f>
        <v>2.2000000000000002</v>
      </c>
      <c r="H8" s="118">
        <f>'Book Review'!W8</f>
        <v>2</v>
      </c>
      <c r="I8" s="118"/>
      <c r="J8" s="118"/>
      <c r="K8" s="118">
        <f>'Book Review'!AO8</f>
        <v>3.5</v>
      </c>
      <c r="L8" s="118">
        <f>'Book Review'!AU8</f>
        <v>3</v>
      </c>
      <c r="M8" s="116"/>
      <c r="N8" s="118">
        <f>Debate!K8</f>
        <v>3</v>
      </c>
      <c r="O8" s="118">
        <f>Debate!Q8</f>
        <v>3</v>
      </c>
      <c r="P8" s="118"/>
      <c r="Q8" s="118">
        <f>Debate!AC8</f>
        <v>3</v>
      </c>
      <c r="R8" s="118"/>
      <c r="S8" s="118">
        <f>Debate!AO8</f>
        <v>3.3333333333333335</v>
      </c>
      <c r="T8" s="118">
        <f>Debate!AU8</f>
        <v>3</v>
      </c>
      <c r="U8" s="116"/>
      <c r="V8" s="7"/>
      <c r="W8" s="118">
        <f>GD!Q8</f>
        <v>2.75</v>
      </c>
      <c r="X8" s="118">
        <f>GD!W8</f>
        <v>3</v>
      </c>
      <c r="Y8" s="118"/>
      <c r="Z8" s="118"/>
      <c r="AA8" s="7"/>
      <c r="AB8" s="118"/>
      <c r="AC8" s="116"/>
      <c r="AD8" s="118">
        <f>'Case study'!K8</f>
        <v>3</v>
      </c>
      <c r="AE8" s="118">
        <f>'Case study'!Q8</f>
        <v>2.6</v>
      </c>
      <c r="AF8" s="118">
        <f>'Case study'!W8</f>
        <v>2</v>
      </c>
      <c r="AG8" s="118"/>
      <c r="AH8" s="118"/>
      <c r="AI8" s="118">
        <f>'Case study'!AO8</f>
        <v>2.75</v>
      </c>
      <c r="AJ8" s="118">
        <f>'Case study'!AU8</f>
        <v>3</v>
      </c>
      <c r="AK8" s="116"/>
      <c r="AL8" s="118">
        <f>Capstone!K8</f>
        <v>3.6666666666666665</v>
      </c>
      <c r="AM8" s="118">
        <f>Capstone!Q9</f>
        <v>3</v>
      </c>
      <c r="AN8" s="118">
        <f>Capstone!W9</f>
        <v>3</v>
      </c>
      <c r="AO8" s="118"/>
      <c r="AP8" s="118"/>
      <c r="AQ8" s="118">
        <f>Capstone!AO9</f>
        <v>3</v>
      </c>
      <c r="AR8" s="118"/>
      <c r="AS8" s="116"/>
      <c r="AT8" s="118">
        <f>IFERROR(AVERAGE(Table110461117[[#This Row],[Column2]],Table110461117[[#This Row],[Column11]],Table110461117[[#This Row],[Column29]]),"0")</f>
        <v>3.0833333333333335</v>
      </c>
      <c r="AU8" s="118">
        <f>IFERROR(AVERAGE(Table110461117[[#This Row],[Column3]],Table110461117[[#This Row],[Column12]],Table110461117[[#This Row],[Column21]],Table110461117[[#This Row],[Column30]]),"0")</f>
        <v>2.6375000000000002</v>
      </c>
      <c r="AV8" s="118">
        <f>IFERROR(AVERAGE(Table110461117[[#This Row],[Column31]],Table110461117[[#This Row],[Column22]],Table110461117[[#This Row],[Column4]]),"0")</f>
        <v>2.3333333333333335</v>
      </c>
      <c r="AW8" s="118">
        <f>IFERROR(AVERAGE(Table110461117[[#This Row],[Column14]]),"0")</f>
        <v>3</v>
      </c>
      <c r="AX8" s="118"/>
      <c r="AY8" s="118">
        <f>IFERROR(AVERAGE(Table110461117[[#This Row],[Column34]],Table110461117[[#This Row],[Column16]],Table110461117[[#This Row],[Column7]]),"0")</f>
        <v>3.1944444444444446</v>
      </c>
      <c r="AZ8" s="118">
        <f>IFERROR(AVERAGE(Table110461117[[#This Row],[Column35]],Table110461117[[#This Row],[Column17]],Table110461117[[#This Row],[Column8]]),"0")</f>
        <v>3</v>
      </c>
      <c r="BA8" s="116"/>
      <c r="BB8" s="118"/>
      <c r="BC8" s="118">
        <f>IFERROR(AVERAGE('Book Review'!AY8,Debate!AY8,'Case study'!AY8,Capstone!AY8),"A")</f>
        <v>3.5</v>
      </c>
      <c r="BD8" s="118">
        <f>IFERROR(AVERAGE('Book Review'!AZ8,Debate!AZ8,'Case study'!AZ8),"A")</f>
        <v>3.3333333333333335</v>
      </c>
    </row>
    <row r="9" spans="1:56" s="109" customFormat="1" ht="23.1" customHeight="1" x14ac:dyDescent="0.3">
      <c r="A9" s="115">
        <v>7</v>
      </c>
      <c r="B9" s="49" t="s">
        <v>72</v>
      </c>
      <c r="C9" s="49" t="s">
        <v>73</v>
      </c>
      <c r="D9" s="49" t="s">
        <v>450</v>
      </c>
      <c r="E9" s="49" t="s">
        <v>35</v>
      </c>
      <c r="F9" s="117">
        <f>'Book Review'!K9</f>
        <v>2.5</v>
      </c>
      <c r="G9" s="117">
        <f>'Book Review'!Q9</f>
        <v>2.6</v>
      </c>
      <c r="H9" s="117">
        <f>'Book Review'!W9</f>
        <v>3</v>
      </c>
      <c r="I9" s="117"/>
      <c r="J9" s="117"/>
      <c r="K9" s="117">
        <f>'Book Review'!AO9</f>
        <v>2.5</v>
      </c>
      <c r="L9" s="117">
        <f>'Book Review'!AU9</f>
        <v>3</v>
      </c>
      <c r="M9" s="116"/>
      <c r="N9" s="117">
        <f>Debate!K9</f>
        <v>2</v>
      </c>
      <c r="O9" s="117">
        <f>Debate!Q9</f>
        <v>2.7</v>
      </c>
      <c r="P9" s="117"/>
      <c r="Q9" s="117">
        <f>Debate!AC9</f>
        <v>3</v>
      </c>
      <c r="R9" s="117"/>
      <c r="S9" s="117">
        <f>Debate!AO9</f>
        <v>2.3333333333333335</v>
      </c>
      <c r="T9" s="117">
        <f>Debate!AU9</f>
        <v>3</v>
      </c>
      <c r="U9" s="116"/>
      <c r="V9" s="49"/>
      <c r="W9" s="117">
        <f>GD!Q9</f>
        <v>2.25</v>
      </c>
      <c r="X9" s="117">
        <f>GD!W9</f>
        <v>3</v>
      </c>
      <c r="Y9" s="117"/>
      <c r="Z9" s="117"/>
      <c r="AA9" s="49"/>
      <c r="AB9" s="117"/>
      <c r="AC9" s="116"/>
      <c r="AD9" s="117">
        <f>'Case study'!K9</f>
        <v>2.5</v>
      </c>
      <c r="AE9" s="117">
        <f>'Case study'!Q9</f>
        <v>2.6</v>
      </c>
      <c r="AF9" s="117">
        <f>'Case study'!W9</f>
        <v>3</v>
      </c>
      <c r="AG9" s="117"/>
      <c r="AH9" s="117"/>
      <c r="AI9" s="117">
        <f>'Case study'!AO9</f>
        <v>3</v>
      </c>
      <c r="AJ9" s="117">
        <f>'Case study'!AU9</f>
        <v>3</v>
      </c>
      <c r="AK9" s="116"/>
      <c r="AL9" s="117">
        <f>Capstone!K9</f>
        <v>3</v>
      </c>
      <c r="AM9" s="117">
        <f>Capstone!Q10</f>
        <v>4</v>
      </c>
      <c r="AN9" s="117">
        <f>Capstone!W10</f>
        <v>3</v>
      </c>
      <c r="AO9" s="117"/>
      <c r="AP9" s="117"/>
      <c r="AQ9" s="117">
        <f>Capstone!AO10</f>
        <v>4.125</v>
      </c>
      <c r="AR9" s="117"/>
      <c r="AS9" s="116"/>
      <c r="AT9" s="117">
        <f>IFERROR(AVERAGE(Table110461117[[#This Row],[Column2]],Table110461117[[#This Row],[Column11]],Table110461117[[#This Row],[Column29]]),"0")</f>
        <v>2.3333333333333335</v>
      </c>
      <c r="AU9" s="117">
        <f>IFERROR(AVERAGE(Table110461117[[#This Row],[Column3]],Table110461117[[#This Row],[Column12]],Table110461117[[#This Row],[Column21]],Table110461117[[#This Row],[Column30]]),"0")</f>
        <v>2.5375000000000001</v>
      </c>
      <c r="AV9" s="117">
        <f>IFERROR(AVERAGE(Table110461117[[#This Row],[Column31]],Table110461117[[#This Row],[Column22]],Table110461117[[#This Row],[Column4]]),"0")</f>
        <v>3</v>
      </c>
      <c r="AW9" s="117">
        <f>IFERROR(AVERAGE(Table110461117[[#This Row],[Column14]]),"0")</f>
        <v>3</v>
      </c>
      <c r="AX9" s="117"/>
      <c r="AY9" s="117">
        <f>IFERROR(AVERAGE(Table110461117[[#This Row],[Column34]],Table110461117[[#This Row],[Column16]],Table110461117[[#This Row],[Column7]]),"0")</f>
        <v>2.6111111111111112</v>
      </c>
      <c r="AZ9" s="117">
        <f>IFERROR(AVERAGE(Table110461117[[#This Row],[Column35]],Table110461117[[#This Row],[Column17]],Table110461117[[#This Row],[Column8]]),"0")</f>
        <v>3</v>
      </c>
      <c r="BA9" s="116"/>
      <c r="BB9" s="117"/>
      <c r="BC9" s="117">
        <f>IFERROR(AVERAGE('Book Review'!AY9,Debate!AY9,'Case study'!AY9,Capstone!AY9),"A")</f>
        <v>3.125</v>
      </c>
      <c r="BD9" s="117">
        <f>IFERROR(AVERAGE('Book Review'!AZ9,Debate!AZ9,'Case study'!AZ9),"A")</f>
        <v>3</v>
      </c>
    </row>
    <row r="10" spans="1:56" s="109" customFormat="1" ht="23.1" customHeight="1" x14ac:dyDescent="0.3">
      <c r="A10" s="6">
        <v>8</v>
      </c>
      <c r="B10" s="7" t="s">
        <v>291</v>
      </c>
      <c r="C10" s="7" t="s">
        <v>292</v>
      </c>
      <c r="D10" s="7" t="s">
        <v>450</v>
      </c>
      <c r="E10" s="7" t="s">
        <v>493</v>
      </c>
      <c r="F10" s="118">
        <f>'Book Review'!K10</f>
        <v>2.75</v>
      </c>
      <c r="G10" s="118">
        <f>'Book Review'!Q10</f>
        <v>3.2</v>
      </c>
      <c r="H10" s="118">
        <f>'Book Review'!W10</f>
        <v>3</v>
      </c>
      <c r="I10" s="118"/>
      <c r="J10" s="118"/>
      <c r="K10" s="118">
        <f>'Book Review'!AO10</f>
        <v>3</v>
      </c>
      <c r="L10" s="118">
        <f>'Book Review'!AU10</f>
        <v>4</v>
      </c>
      <c r="M10" s="116"/>
      <c r="N10" s="118">
        <f>Debate!K10</f>
        <v>3</v>
      </c>
      <c r="O10" s="118">
        <f>Debate!Q10</f>
        <v>2.9</v>
      </c>
      <c r="P10" s="118"/>
      <c r="Q10" s="118">
        <f>Debate!AC10</f>
        <v>4</v>
      </c>
      <c r="R10" s="118"/>
      <c r="S10" s="118">
        <f>Debate!AO10</f>
        <v>3</v>
      </c>
      <c r="T10" s="118">
        <f>Debate!AU10</f>
        <v>3</v>
      </c>
      <c r="U10" s="116"/>
      <c r="V10" s="7"/>
      <c r="W10" s="118">
        <f>GD!Q10</f>
        <v>2.75</v>
      </c>
      <c r="X10" s="118">
        <f>GD!W10</f>
        <v>4</v>
      </c>
      <c r="Y10" s="118"/>
      <c r="Z10" s="118"/>
      <c r="AA10" s="7"/>
      <c r="AB10" s="118"/>
      <c r="AC10" s="116"/>
      <c r="AD10" s="118">
        <f>'Case study'!K10</f>
        <v>2.75</v>
      </c>
      <c r="AE10" s="118">
        <f>'Case study'!Q10</f>
        <v>3.2</v>
      </c>
      <c r="AF10" s="118">
        <f>'Case study'!W10</f>
        <v>3</v>
      </c>
      <c r="AG10" s="118"/>
      <c r="AH10" s="118"/>
      <c r="AI10" s="118">
        <f>'Case study'!AO10</f>
        <v>3.25</v>
      </c>
      <c r="AJ10" s="118">
        <f>'Case study'!AU10</f>
        <v>3</v>
      </c>
      <c r="AK10" s="116"/>
      <c r="AL10" s="118">
        <f>Capstone!K10</f>
        <v>4</v>
      </c>
      <c r="AM10" s="118">
        <f>Capstone!Q11</f>
        <v>3.5</v>
      </c>
      <c r="AN10" s="118">
        <f>Capstone!W11</f>
        <v>3.5</v>
      </c>
      <c r="AO10" s="118"/>
      <c r="AP10" s="118"/>
      <c r="AQ10" s="118">
        <f>Capstone!AO11</f>
        <v>3.5</v>
      </c>
      <c r="AR10" s="118"/>
      <c r="AS10" s="116"/>
      <c r="AT10" s="118">
        <f>IFERROR(AVERAGE(Table110461117[[#This Row],[Column2]],Table110461117[[#This Row],[Column11]],Table110461117[[#This Row],[Column29]]),"0")</f>
        <v>2.8333333333333335</v>
      </c>
      <c r="AU10" s="118">
        <f>IFERROR(AVERAGE(Table110461117[[#This Row],[Column3]],Table110461117[[#This Row],[Column12]],Table110461117[[#This Row],[Column21]],Table110461117[[#This Row],[Column30]]),"0")</f>
        <v>3.0125000000000002</v>
      </c>
      <c r="AV10" s="118">
        <f>IFERROR(AVERAGE(Table110461117[[#This Row],[Column31]],Table110461117[[#This Row],[Column22]],Table110461117[[#This Row],[Column4]]),"0")</f>
        <v>3.3333333333333335</v>
      </c>
      <c r="AW10" s="118">
        <f>IFERROR(AVERAGE(Table110461117[[#This Row],[Column14]]),"0")</f>
        <v>4</v>
      </c>
      <c r="AX10" s="118"/>
      <c r="AY10" s="118">
        <f>IFERROR(AVERAGE(Table110461117[[#This Row],[Column34]],Table110461117[[#This Row],[Column16]],Table110461117[[#This Row],[Column7]]),"0")</f>
        <v>3.0833333333333335</v>
      </c>
      <c r="AZ10" s="118">
        <f>IFERROR(AVERAGE(Table110461117[[#This Row],[Column35]],Table110461117[[#This Row],[Column17]],Table110461117[[#This Row],[Column8]]),"0")</f>
        <v>3.3333333333333335</v>
      </c>
      <c r="BA10" s="116"/>
      <c r="BB10" s="118"/>
      <c r="BC10" s="118">
        <f>IFERROR(AVERAGE('Book Review'!AY10,Debate!AY10,'Case study'!AY10,Capstone!AY10),"A")</f>
        <v>3.125</v>
      </c>
      <c r="BD10" s="118">
        <f>IFERROR(AVERAGE('Book Review'!AZ10,Debate!AZ10,'Case study'!AZ10),"A")</f>
        <v>3</v>
      </c>
    </row>
    <row r="11" spans="1:56" s="109" customFormat="1" ht="23.1" customHeight="1" x14ac:dyDescent="0.3">
      <c r="A11" s="115">
        <v>9</v>
      </c>
      <c r="B11" s="49" t="s">
        <v>103</v>
      </c>
      <c r="C11" s="49" t="s">
        <v>104</v>
      </c>
      <c r="D11" s="49" t="s">
        <v>542</v>
      </c>
      <c r="E11" s="49" t="s">
        <v>35</v>
      </c>
      <c r="F11" s="117">
        <f>'Book Review'!K11</f>
        <v>3.375</v>
      </c>
      <c r="G11" s="117">
        <f>'Book Review'!Q11</f>
        <v>3.4</v>
      </c>
      <c r="H11" s="117">
        <f>'Book Review'!W11</f>
        <v>3.5</v>
      </c>
      <c r="I11" s="117"/>
      <c r="J11" s="117"/>
      <c r="K11" s="117">
        <f>'Book Review'!AO11</f>
        <v>3.25</v>
      </c>
      <c r="L11" s="117">
        <f>'Book Review'!AU11</f>
        <v>3.5</v>
      </c>
      <c r="M11" s="116"/>
      <c r="N11" s="117">
        <f>Debate!K11</f>
        <v>3</v>
      </c>
      <c r="O11" s="117">
        <f>Debate!Q11</f>
        <v>3.25</v>
      </c>
      <c r="P11" s="117"/>
      <c r="Q11" s="117">
        <f>Debate!AC11</f>
        <v>3.5</v>
      </c>
      <c r="R11" s="117"/>
      <c r="S11" s="117">
        <f>Debate!AO11</f>
        <v>3.5</v>
      </c>
      <c r="T11" s="117">
        <f>Debate!AU11</f>
        <v>3.5</v>
      </c>
      <c r="U11" s="116"/>
      <c r="V11" s="49"/>
      <c r="W11" s="117">
        <f>GD!Q11</f>
        <v>3.25</v>
      </c>
      <c r="X11" s="117">
        <f>GD!W11</f>
        <v>3.5</v>
      </c>
      <c r="Y11" s="117"/>
      <c r="Z11" s="117"/>
      <c r="AA11" s="49"/>
      <c r="AB11" s="117"/>
      <c r="AC11" s="116"/>
      <c r="AD11" s="117">
        <f>'Case study'!K11</f>
        <v>3.375</v>
      </c>
      <c r="AE11" s="117">
        <f>'Case study'!Q11</f>
        <v>3.4</v>
      </c>
      <c r="AF11" s="117">
        <f>'Case study'!W11</f>
        <v>3.5</v>
      </c>
      <c r="AG11" s="117"/>
      <c r="AH11" s="117"/>
      <c r="AI11" s="117">
        <f>'Case study'!AO11</f>
        <v>3.5</v>
      </c>
      <c r="AJ11" s="117">
        <f>'Case study'!AU11</f>
        <v>3.5</v>
      </c>
      <c r="AK11" s="116"/>
      <c r="AL11" s="117">
        <f>Capstone!K11</f>
        <v>3.5</v>
      </c>
      <c r="AM11" s="117">
        <f>Capstone!Q12</f>
        <v>5</v>
      </c>
      <c r="AN11" s="117">
        <f>Capstone!W12</f>
        <v>4</v>
      </c>
      <c r="AO11" s="117"/>
      <c r="AP11" s="117"/>
      <c r="AQ11" s="117">
        <f>Capstone!AO12</f>
        <v>4.5</v>
      </c>
      <c r="AR11" s="117"/>
      <c r="AS11" s="116"/>
      <c r="AT11" s="117">
        <f>IFERROR(AVERAGE(Table110461117[[#This Row],[Column2]],Table110461117[[#This Row],[Column11]],Table110461117[[#This Row],[Column29]]),"0")</f>
        <v>3.25</v>
      </c>
      <c r="AU11" s="117">
        <f>IFERROR(AVERAGE(Table110461117[[#This Row],[Column3]],Table110461117[[#This Row],[Column12]],Table110461117[[#This Row],[Column21]],Table110461117[[#This Row],[Column30]]),"0")</f>
        <v>3.3250000000000002</v>
      </c>
      <c r="AV11" s="117">
        <f>IFERROR(AVERAGE(Table110461117[[#This Row],[Column31]],Table110461117[[#This Row],[Column22]],Table110461117[[#This Row],[Column4]]),"0")</f>
        <v>3.5</v>
      </c>
      <c r="AW11" s="117">
        <f>IFERROR(AVERAGE(Table110461117[[#This Row],[Column14]]),"0")</f>
        <v>3.5</v>
      </c>
      <c r="AX11" s="117"/>
      <c r="AY11" s="117">
        <f>IFERROR(AVERAGE(Table110461117[[#This Row],[Column34]],Table110461117[[#This Row],[Column16]],Table110461117[[#This Row],[Column7]]),"0")</f>
        <v>3.4166666666666665</v>
      </c>
      <c r="AZ11" s="117">
        <f>IFERROR(AVERAGE(Table110461117[[#This Row],[Column35]],Table110461117[[#This Row],[Column17]],Table110461117[[#This Row],[Column8]]),"0")</f>
        <v>3.5</v>
      </c>
      <c r="BA11" s="116"/>
      <c r="BB11" s="117"/>
      <c r="BC11" s="117">
        <f>IFERROR(AVERAGE('Book Review'!AY11,Debate!AY11,'Case study'!AY11,Capstone!AY11),"A")</f>
        <v>3.125</v>
      </c>
      <c r="BD11" s="117">
        <f>IFERROR(AVERAGE('Book Review'!AZ11,Debate!AZ11,'Case study'!AZ11),"A")</f>
        <v>3.3333333333333335</v>
      </c>
    </row>
    <row r="12" spans="1:56" s="109" customFormat="1" ht="23.1" customHeight="1" x14ac:dyDescent="0.3">
      <c r="A12" s="6">
        <v>10</v>
      </c>
      <c r="B12" s="7" t="s">
        <v>68</v>
      </c>
      <c r="C12" s="7" t="s">
        <v>69</v>
      </c>
      <c r="D12" s="7" t="s">
        <v>450</v>
      </c>
      <c r="E12" s="7" t="s">
        <v>35</v>
      </c>
      <c r="F12" s="118">
        <f>'Book Review'!K12</f>
        <v>3.5</v>
      </c>
      <c r="G12" s="118">
        <f>'Book Review'!Q12</f>
        <v>3.6</v>
      </c>
      <c r="H12" s="118">
        <f>'Book Review'!W12</f>
        <v>2</v>
      </c>
      <c r="I12" s="118"/>
      <c r="J12" s="118"/>
      <c r="K12" s="118">
        <f>'Book Review'!AO12</f>
        <v>4</v>
      </c>
      <c r="L12" s="118">
        <f>'Book Review'!AU12</f>
        <v>3</v>
      </c>
      <c r="M12" s="116"/>
      <c r="N12" s="118">
        <f>Debate!K12</f>
        <v>3</v>
      </c>
      <c r="O12" s="118">
        <f>Debate!Q12</f>
        <v>3.1</v>
      </c>
      <c r="P12" s="118"/>
      <c r="Q12" s="118">
        <f>Debate!AC12</f>
        <v>4</v>
      </c>
      <c r="R12" s="118"/>
      <c r="S12" s="118">
        <f>Debate!AO12</f>
        <v>3.3333333333333335</v>
      </c>
      <c r="T12" s="118">
        <f>Debate!AU12</f>
        <v>3</v>
      </c>
      <c r="U12" s="116"/>
      <c r="V12" s="7"/>
      <c r="W12" s="118">
        <f>GD!Q12</f>
        <v>3.5</v>
      </c>
      <c r="X12" s="118">
        <f>GD!W12</f>
        <v>3</v>
      </c>
      <c r="Y12" s="118"/>
      <c r="Z12" s="118"/>
      <c r="AA12" s="7"/>
      <c r="AB12" s="118"/>
      <c r="AC12" s="116"/>
      <c r="AD12" s="118">
        <f>'Case study'!K12</f>
        <v>4</v>
      </c>
      <c r="AE12" s="118">
        <f>'Case study'!Q12</f>
        <v>4</v>
      </c>
      <c r="AF12" s="118">
        <f>'Case study'!W12</f>
        <v>4</v>
      </c>
      <c r="AG12" s="118"/>
      <c r="AH12" s="118"/>
      <c r="AI12" s="118">
        <f>'Case study'!AO12</f>
        <v>4</v>
      </c>
      <c r="AJ12" s="118">
        <f>'Case study'!AU12</f>
        <v>3</v>
      </c>
      <c r="AK12" s="116"/>
      <c r="AL12" s="118">
        <f>Capstone!K12</f>
        <v>4.333333333333333</v>
      </c>
      <c r="AM12" s="118">
        <f>Capstone!Q13</f>
        <v>2</v>
      </c>
      <c r="AN12" s="118">
        <f>Capstone!W13</f>
        <v>3</v>
      </c>
      <c r="AO12" s="118"/>
      <c r="AP12" s="118"/>
      <c r="AQ12" s="118">
        <f>Capstone!AO13</f>
        <v>2.75</v>
      </c>
      <c r="AR12" s="118"/>
      <c r="AS12" s="116"/>
      <c r="AT12" s="118">
        <f>IFERROR(AVERAGE(Table110461117[[#This Row],[Column2]],Table110461117[[#This Row],[Column11]],Table110461117[[#This Row],[Column29]]),"0")</f>
        <v>3.5</v>
      </c>
      <c r="AU12" s="118">
        <f>IFERROR(AVERAGE(Table110461117[[#This Row],[Column3]],Table110461117[[#This Row],[Column12]],Table110461117[[#This Row],[Column21]],Table110461117[[#This Row],[Column30]]),"0")</f>
        <v>3.55</v>
      </c>
      <c r="AV12" s="118">
        <f>IFERROR(AVERAGE(Table110461117[[#This Row],[Column31]],Table110461117[[#This Row],[Column22]],Table110461117[[#This Row],[Column4]]),"0")</f>
        <v>3</v>
      </c>
      <c r="AW12" s="118">
        <f>IFERROR(AVERAGE(Table110461117[[#This Row],[Column14]]),"0")</f>
        <v>4</v>
      </c>
      <c r="AX12" s="118"/>
      <c r="AY12" s="118">
        <f>IFERROR(AVERAGE(Table110461117[[#This Row],[Column34]],Table110461117[[#This Row],[Column16]],Table110461117[[#This Row],[Column7]]),"0")</f>
        <v>3.7777777777777781</v>
      </c>
      <c r="AZ12" s="118">
        <f>IFERROR(AVERAGE(Table110461117[[#This Row],[Column35]],Table110461117[[#This Row],[Column17]],Table110461117[[#This Row],[Column8]]),"0")</f>
        <v>3</v>
      </c>
      <c r="BA12" s="116"/>
      <c r="BB12" s="118"/>
      <c r="BC12" s="118">
        <f>IFERROR(AVERAGE('Book Review'!AY12,Debate!AY12,'Case study'!AY12,Capstone!AY12),"A")</f>
        <v>3.75</v>
      </c>
      <c r="BD12" s="118">
        <f>IFERROR(AVERAGE('Book Review'!AZ12,Debate!AZ12,'Case study'!AZ12),"A")</f>
        <v>4</v>
      </c>
    </row>
    <row r="13" spans="1:56" s="109" customFormat="1" ht="23.1" customHeight="1" x14ac:dyDescent="0.3">
      <c r="A13" s="115">
        <v>11</v>
      </c>
      <c r="B13" s="49" t="s">
        <v>162</v>
      </c>
      <c r="C13" s="49" t="s">
        <v>163</v>
      </c>
      <c r="D13" s="49" t="s">
        <v>450</v>
      </c>
      <c r="E13" s="49" t="s">
        <v>161</v>
      </c>
      <c r="F13" s="117">
        <f>'Book Review'!K13</f>
        <v>2.5</v>
      </c>
      <c r="G13" s="117">
        <f>'Book Review'!Q13</f>
        <v>3</v>
      </c>
      <c r="H13" s="117">
        <f>'Book Review'!W13</f>
        <v>2</v>
      </c>
      <c r="I13" s="117"/>
      <c r="J13" s="117"/>
      <c r="K13" s="117">
        <f>'Book Review'!AO13</f>
        <v>2.5</v>
      </c>
      <c r="L13" s="117">
        <f>'Book Review'!AU13</f>
        <v>3</v>
      </c>
      <c r="M13" s="116"/>
      <c r="N13" s="117">
        <f>Debate!K13</f>
        <v>3</v>
      </c>
      <c r="O13" s="117">
        <f>Debate!Q13</f>
        <v>2.9</v>
      </c>
      <c r="P13" s="117"/>
      <c r="Q13" s="117">
        <f>Debate!AC13</f>
        <v>3</v>
      </c>
      <c r="R13" s="117"/>
      <c r="S13" s="117">
        <f>Debate!AO13</f>
        <v>2.6666666666666665</v>
      </c>
      <c r="T13" s="117">
        <f>Debate!AU13</f>
        <v>3</v>
      </c>
      <c r="U13" s="116"/>
      <c r="V13" s="49"/>
      <c r="W13" s="117">
        <f>GD!Q13</f>
        <v>3.5</v>
      </c>
      <c r="X13" s="117">
        <f>GD!W13</f>
        <v>2</v>
      </c>
      <c r="Y13" s="117"/>
      <c r="Z13" s="117"/>
      <c r="AA13" s="49"/>
      <c r="AB13" s="117"/>
      <c r="AC13" s="116"/>
      <c r="AD13" s="117">
        <f>'Case study'!K13</f>
        <v>2</v>
      </c>
      <c r="AE13" s="117">
        <f>'Case study'!Q13</f>
        <v>2.8</v>
      </c>
      <c r="AF13" s="117">
        <f>'Case study'!W13</f>
        <v>3</v>
      </c>
      <c r="AG13" s="117"/>
      <c r="AH13" s="117"/>
      <c r="AI13" s="117">
        <f>'Case study'!AO13</f>
        <v>2</v>
      </c>
      <c r="AJ13" s="117">
        <f>'Case study'!AU13</f>
        <v>3</v>
      </c>
      <c r="AK13" s="116"/>
      <c r="AL13" s="117">
        <f>Capstone!K13</f>
        <v>2.6666666666666665</v>
      </c>
      <c r="AM13" s="117">
        <f>Capstone!Q14</f>
        <v>2.75</v>
      </c>
      <c r="AN13" s="117">
        <f>Capstone!W14</f>
        <v>3</v>
      </c>
      <c r="AO13" s="117"/>
      <c r="AP13" s="117"/>
      <c r="AQ13" s="117">
        <f>Capstone!AO14</f>
        <v>3.5</v>
      </c>
      <c r="AR13" s="117"/>
      <c r="AS13" s="116"/>
      <c r="AT13" s="117">
        <f>IFERROR(AVERAGE(Table110461117[[#This Row],[Column2]],Table110461117[[#This Row],[Column11]],Table110461117[[#This Row],[Column29]]),"0")</f>
        <v>2.5</v>
      </c>
      <c r="AU13" s="117">
        <f>IFERROR(AVERAGE(Table110461117[[#This Row],[Column3]],Table110461117[[#This Row],[Column12]],Table110461117[[#This Row],[Column21]],Table110461117[[#This Row],[Column30]]),"0")</f>
        <v>3.05</v>
      </c>
      <c r="AV13" s="117">
        <f>IFERROR(AVERAGE(Table110461117[[#This Row],[Column31]],Table110461117[[#This Row],[Column22]],Table110461117[[#This Row],[Column4]]),"0")</f>
        <v>2.3333333333333335</v>
      </c>
      <c r="AW13" s="117">
        <f>IFERROR(AVERAGE(Table110461117[[#This Row],[Column14]]),"0")</f>
        <v>3</v>
      </c>
      <c r="AX13" s="117"/>
      <c r="AY13" s="117">
        <f>IFERROR(AVERAGE(Table110461117[[#This Row],[Column34]],Table110461117[[#This Row],[Column16]],Table110461117[[#This Row],[Column7]]),"0")</f>
        <v>2.3888888888888888</v>
      </c>
      <c r="AZ13" s="117">
        <f>IFERROR(AVERAGE(Table110461117[[#This Row],[Column35]],Table110461117[[#This Row],[Column17]],Table110461117[[#This Row],[Column8]]),"0")</f>
        <v>3</v>
      </c>
      <c r="BA13" s="116"/>
      <c r="BB13" s="117"/>
      <c r="BC13" s="117">
        <f>IFERROR(AVERAGE('Book Review'!AY13,Debate!AY13,'Case study'!AY13,Capstone!AY13),"A")</f>
        <v>2.75</v>
      </c>
      <c r="BD13" s="117">
        <f>IFERROR(AVERAGE('Book Review'!AZ13,Debate!AZ13,'Case study'!AZ13),"A")</f>
        <v>2.6666666666666665</v>
      </c>
    </row>
    <row r="14" spans="1:56" s="109" customFormat="1" ht="23.1" customHeight="1" x14ac:dyDescent="0.3">
      <c r="A14" s="6">
        <v>12</v>
      </c>
      <c r="B14" s="7" t="s">
        <v>178</v>
      </c>
      <c r="C14" s="7" t="s">
        <v>179</v>
      </c>
      <c r="D14" s="7" t="s">
        <v>450</v>
      </c>
      <c r="E14" s="7" t="s">
        <v>161</v>
      </c>
      <c r="F14" s="118">
        <f>'Book Review'!K14</f>
        <v>2.875</v>
      </c>
      <c r="G14" s="118">
        <f>'Book Review'!Q14</f>
        <v>2.9</v>
      </c>
      <c r="H14" s="118">
        <f>'Book Review'!W14</f>
        <v>2.5</v>
      </c>
      <c r="I14" s="118"/>
      <c r="J14" s="118"/>
      <c r="K14" s="118">
        <f>'Book Review'!AO14</f>
        <v>3</v>
      </c>
      <c r="L14" s="118">
        <f>'Book Review'!AU14</f>
        <v>3</v>
      </c>
      <c r="M14" s="116"/>
      <c r="N14" s="118">
        <f>Debate!K14</f>
        <v>3</v>
      </c>
      <c r="O14" s="118">
        <f>Debate!Q14</f>
        <v>3</v>
      </c>
      <c r="P14" s="118"/>
      <c r="Q14" s="118">
        <f>Debate!AC14</f>
        <v>3</v>
      </c>
      <c r="R14" s="118"/>
      <c r="S14" s="118">
        <f>Debate!AO14</f>
        <v>2.8333333333333335</v>
      </c>
      <c r="T14" s="118">
        <f>Debate!AU14</f>
        <v>3</v>
      </c>
      <c r="U14" s="116"/>
      <c r="V14" s="7"/>
      <c r="W14" s="118">
        <f>GD!Q14</f>
        <v>3</v>
      </c>
      <c r="X14" s="118">
        <f>GD!W14</f>
        <v>3</v>
      </c>
      <c r="Y14" s="118"/>
      <c r="Z14" s="118"/>
      <c r="AA14" s="7"/>
      <c r="AB14" s="118"/>
      <c r="AC14" s="116"/>
      <c r="AD14" s="118">
        <f>'Case study'!K14</f>
        <v>2.875</v>
      </c>
      <c r="AE14" s="118">
        <f>'Case study'!Q14</f>
        <v>2.9</v>
      </c>
      <c r="AF14" s="118">
        <f>'Case study'!W14</f>
        <v>3</v>
      </c>
      <c r="AG14" s="118"/>
      <c r="AH14" s="118"/>
      <c r="AI14" s="118">
        <f>'Case study'!AO14</f>
        <v>2.875</v>
      </c>
      <c r="AJ14" s="118">
        <f>'Case study'!AU14</f>
        <v>3</v>
      </c>
      <c r="AK14" s="116"/>
      <c r="AL14" s="118">
        <f>Capstone!K14</f>
        <v>3.5</v>
      </c>
      <c r="AM14" s="118">
        <f>Capstone!Q15</f>
        <v>2.75</v>
      </c>
      <c r="AN14" s="118">
        <f>Capstone!W15</f>
        <v>4</v>
      </c>
      <c r="AO14" s="118"/>
      <c r="AP14" s="118"/>
      <c r="AQ14" s="118">
        <f>Capstone!AO15</f>
        <v>3</v>
      </c>
      <c r="AR14" s="118"/>
      <c r="AS14" s="116"/>
      <c r="AT14" s="118">
        <f>IFERROR(AVERAGE(Table110461117[[#This Row],[Column2]],Table110461117[[#This Row],[Column11]],Table110461117[[#This Row],[Column29]]),"0")</f>
        <v>2.9166666666666665</v>
      </c>
      <c r="AU14" s="118">
        <f>IFERROR(AVERAGE(Table110461117[[#This Row],[Column3]],Table110461117[[#This Row],[Column12]],Table110461117[[#This Row],[Column21]],Table110461117[[#This Row],[Column30]]),"0")</f>
        <v>2.95</v>
      </c>
      <c r="AV14" s="118">
        <f>IFERROR(AVERAGE(Table110461117[[#This Row],[Column31]],Table110461117[[#This Row],[Column22]],Table110461117[[#This Row],[Column4]]),"0")</f>
        <v>2.8333333333333335</v>
      </c>
      <c r="AW14" s="118">
        <f>IFERROR(AVERAGE(Table110461117[[#This Row],[Column14]]),"0")</f>
        <v>3</v>
      </c>
      <c r="AX14" s="118"/>
      <c r="AY14" s="118">
        <f>IFERROR(AVERAGE(Table110461117[[#This Row],[Column34]],Table110461117[[#This Row],[Column16]],Table110461117[[#This Row],[Column7]]),"0")</f>
        <v>2.9027777777777781</v>
      </c>
      <c r="AZ14" s="118">
        <f>IFERROR(AVERAGE(Table110461117[[#This Row],[Column35]],Table110461117[[#This Row],[Column17]],Table110461117[[#This Row],[Column8]]),"0")</f>
        <v>3</v>
      </c>
      <c r="BA14" s="116"/>
      <c r="BB14" s="118"/>
      <c r="BC14" s="118">
        <f>IFERROR(AVERAGE('Book Review'!AY14,Debate!AY14,'Case study'!AY14,Capstone!AY14),"A")</f>
        <v>3</v>
      </c>
      <c r="BD14" s="118">
        <f>IFERROR(AVERAGE('Book Review'!AZ14,Debate!AZ14,'Case study'!AZ14),"A")</f>
        <v>3</v>
      </c>
    </row>
    <row r="15" spans="1:56" s="109" customFormat="1" ht="23.1" customHeight="1" x14ac:dyDescent="0.3">
      <c r="A15" s="115">
        <v>13</v>
      </c>
      <c r="B15" s="49" t="s">
        <v>87</v>
      </c>
      <c r="C15" s="49" t="s">
        <v>88</v>
      </c>
      <c r="D15" s="49" t="s">
        <v>450</v>
      </c>
      <c r="E15" s="49" t="s">
        <v>35</v>
      </c>
      <c r="F15" s="117">
        <f>'Book Review'!K15</f>
        <v>3.75</v>
      </c>
      <c r="G15" s="117">
        <f>'Book Review'!Q15</f>
        <v>3.8</v>
      </c>
      <c r="H15" s="117">
        <f>'Book Review'!W15</f>
        <v>4</v>
      </c>
      <c r="I15" s="117"/>
      <c r="J15" s="117"/>
      <c r="K15" s="117">
        <f>'Book Review'!AO15</f>
        <v>3</v>
      </c>
      <c r="L15" s="117">
        <f>'Book Review'!AU15</f>
        <v>4</v>
      </c>
      <c r="M15" s="116"/>
      <c r="N15" s="117">
        <f>Debate!K15</f>
        <v>3</v>
      </c>
      <c r="O15" s="117">
        <f>Debate!Q15</f>
        <v>3.8</v>
      </c>
      <c r="P15" s="117"/>
      <c r="Q15" s="117">
        <f>Debate!AC15</f>
        <v>4</v>
      </c>
      <c r="R15" s="117"/>
      <c r="S15" s="117">
        <f>Debate!AO15</f>
        <v>3.6666666666666665</v>
      </c>
      <c r="T15" s="117">
        <f>Debate!AU15</f>
        <v>3</v>
      </c>
      <c r="U15" s="116"/>
      <c r="V15" s="49"/>
      <c r="W15" s="117">
        <f>GD!Q15</f>
        <v>3.5</v>
      </c>
      <c r="X15" s="117">
        <f>GD!W15</f>
        <v>4</v>
      </c>
      <c r="Y15" s="117"/>
      <c r="Z15" s="117"/>
      <c r="AA15" s="49"/>
      <c r="AB15" s="117"/>
      <c r="AC15" s="116"/>
      <c r="AD15" s="117">
        <f>'Case study'!K15</f>
        <v>3.75</v>
      </c>
      <c r="AE15" s="117">
        <f>'Case study'!Q15</f>
        <v>3.8</v>
      </c>
      <c r="AF15" s="117">
        <f>'Case study'!W15</f>
        <v>4</v>
      </c>
      <c r="AG15" s="117"/>
      <c r="AH15" s="117"/>
      <c r="AI15" s="117">
        <f>'Case study'!AO15</f>
        <v>3.5</v>
      </c>
      <c r="AJ15" s="117">
        <f>'Case study'!AU15</f>
        <v>3</v>
      </c>
      <c r="AK15" s="116"/>
      <c r="AL15" s="117">
        <f>Capstone!K15</f>
        <v>3</v>
      </c>
      <c r="AM15" s="117">
        <f>Capstone!Q16</f>
        <v>3.75</v>
      </c>
      <c r="AN15" s="117">
        <f>Capstone!W16</f>
        <v>3.5</v>
      </c>
      <c r="AO15" s="117"/>
      <c r="AP15" s="117"/>
      <c r="AQ15" s="117">
        <f>Capstone!AO16</f>
        <v>3.5</v>
      </c>
      <c r="AR15" s="117"/>
      <c r="AS15" s="116"/>
      <c r="AT15" s="117">
        <f>IFERROR(AVERAGE(Table110461117[[#This Row],[Column2]],Table110461117[[#This Row],[Column11]],Table110461117[[#This Row],[Column29]]),"0")</f>
        <v>3.5</v>
      </c>
      <c r="AU15" s="117">
        <f>IFERROR(AVERAGE(Table110461117[[#This Row],[Column3]],Table110461117[[#This Row],[Column12]],Table110461117[[#This Row],[Column21]],Table110461117[[#This Row],[Column30]]),"0")</f>
        <v>3.7249999999999996</v>
      </c>
      <c r="AV15" s="117">
        <f>IFERROR(AVERAGE(Table110461117[[#This Row],[Column31]],Table110461117[[#This Row],[Column22]],Table110461117[[#This Row],[Column4]]),"0")</f>
        <v>4</v>
      </c>
      <c r="AW15" s="117">
        <f>IFERROR(AVERAGE(Table110461117[[#This Row],[Column14]]),"0")</f>
        <v>4</v>
      </c>
      <c r="AX15" s="117"/>
      <c r="AY15" s="117">
        <f>IFERROR(AVERAGE(Table110461117[[#This Row],[Column34]],Table110461117[[#This Row],[Column16]],Table110461117[[#This Row],[Column7]]),"0")</f>
        <v>3.3888888888888888</v>
      </c>
      <c r="AZ15" s="117">
        <f>IFERROR(AVERAGE(Table110461117[[#This Row],[Column35]],Table110461117[[#This Row],[Column17]],Table110461117[[#This Row],[Column8]]),"0")</f>
        <v>3.3333333333333335</v>
      </c>
      <c r="BA15" s="116"/>
      <c r="BB15" s="117"/>
      <c r="BC15" s="117">
        <f>IFERROR(AVERAGE('Book Review'!AY15,Debate!AY15,'Case study'!AY15,Capstone!AY15),"A")</f>
        <v>3.375</v>
      </c>
      <c r="BD15" s="117">
        <f>IFERROR(AVERAGE('Book Review'!AZ15,Debate!AZ15,'Case study'!AZ15),"A")</f>
        <v>4</v>
      </c>
    </row>
    <row r="16" spans="1:56" s="109" customFormat="1" ht="23.1" customHeight="1" x14ac:dyDescent="0.3">
      <c r="A16" s="6">
        <v>14</v>
      </c>
      <c r="B16" s="7" t="s">
        <v>194</v>
      </c>
      <c r="C16" s="7" t="s">
        <v>195</v>
      </c>
      <c r="D16" s="7" t="s">
        <v>542</v>
      </c>
      <c r="E16" s="7" t="s">
        <v>161</v>
      </c>
      <c r="F16" s="118">
        <f>'Book Review'!K16</f>
        <v>3.5</v>
      </c>
      <c r="G16" s="118">
        <f>'Book Review'!Q16</f>
        <v>3.6</v>
      </c>
      <c r="H16" s="118">
        <f>'Book Review'!W16</f>
        <v>3.5</v>
      </c>
      <c r="I16" s="118"/>
      <c r="J16" s="118"/>
      <c r="K16" s="118">
        <f>'Book Review'!AO16</f>
        <v>3.25</v>
      </c>
      <c r="L16" s="118">
        <f>'Book Review'!AU16</f>
        <v>4</v>
      </c>
      <c r="M16" s="116"/>
      <c r="N16" s="118">
        <f>Debate!K16</f>
        <v>3.5</v>
      </c>
      <c r="O16" s="118">
        <f>Debate!Q16</f>
        <v>3.55</v>
      </c>
      <c r="P16" s="118"/>
      <c r="Q16" s="118">
        <f>Debate!AC16</f>
        <v>4</v>
      </c>
      <c r="R16" s="118"/>
      <c r="S16" s="118">
        <f>Debate!AO16</f>
        <v>3.5</v>
      </c>
      <c r="T16" s="118">
        <f>Debate!AU16</f>
        <v>4</v>
      </c>
      <c r="U16" s="116"/>
      <c r="V16" s="7"/>
      <c r="W16" s="118">
        <f>GD!Q16</f>
        <v>3.5</v>
      </c>
      <c r="X16" s="118">
        <f>GD!W16</f>
        <v>4</v>
      </c>
      <c r="Y16" s="118"/>
      <c r="Z16" s="118"/>
      <c r="AA16" s="7"/>
      <c r="AB16" s="118"/>
      <c r="AC16" s="116"/>
      <c r="AD16" s="118">
        <f>'Case study'!K16</f>
        <v>3.5</v>
      </c>
      <c r="AE16" s="118">
        <f>'Case study'!Q16</f>
        <v>3.6</v>
      </c>
      <c r="AF16" s="118">
        <f>'Case study'!W16</f>
        <v>3.5</v>
      </c>
      <c r="AG16" s="118"/>
      <c r="AH16" s="118"/>
      <c r="AI16" s="118">
        <f>'Case study'!AO16</f>
        <v>3.75</v>
      </c>
      <c r="AJ16" s="118">
        <f>'Case study'!AU16</f>
        <v>3</v>
      </c>
      <c r="AK16" s="116"/>
      <c r="AL16" s="118">
        <f>Capstone!K16</f>
        <v>3.5</v>
      </c>
      <c r="AM16" s="118">
        <f>Capstone!Q17</f>
        <v>3</v>
      </c>
      <c r="AN16" s="118" t="str">
        <f>Capstone!W17</f>
        <v>0</v>
      </c>
      <c r="AO16" s="118"/>
      <c r="AP16" s="118"/>
      <c r="AQ16" s="118">
        <f>Capstone!AO17</f>
        <v>4.75</v>
      </c>
      <c r="AR16" s="118"/>
      <c r="AS16" s="116"/>
      <c r="AT16" s="118">
        <f>IFERROR(AVERAGE(Table110461117[[#This Row],[Column2]],Table110461117[[#This Row],[Column11]],Table110461117[[#This Row],[Column29]]),"0")</f>
        <v>3.5</v>
      </c>
      <c r="AU16" s="118">
        <f>IFERROR(AVERAGE(Table110461117[[#This Row],[Column3]],Table110461117[[#This Row],[Column12]],Table110461117[[#This Row],[Column21]],Table110461117[[#This Row],[Column30]]),"0")</f>
        <v>3.5625</v>
      </c>
      <c r="AV16" s="118">
        <f>IFERROR(AVERAGE(Table110461117[[#This Row],[Column31]],Table110461117[[#This Row],[Column22]],Table110461117[[#This Row],[Column4]]),"0")</f>
        <v>3.6666666666666665</v>
      </c>
      <c r="AW16" s="118">
        <f>IFERROR(AVERAGE(Table110461117[[#This Row],[Column14]]),"0")</f>
        <v>4</v>
      </c>
      <c r="AX16" s="118"/>
      <c r="AY16" s="118">
        <f>IFERROR(AVERAGE(Table110461117[[#This Row],[Column34]],Table110461117[[#This Row],[Column16]],Table110461117[[#This Row],[Column7]]),"0")</f>
        <v>3.5</v>
      </c>
      <c r="AZ16" s="118">
        <f>IFERROR(AVERAGE(Table110461117[[#This Row],[Column35]],Table110461117[[#This Row],[Column17]],Table110461117[[#This Row],[Column8]]),"0")</f>
        <v>3.6666666666666665</v>
      </c>
      <c r="BA16" s="116"/>
      <c r="BB16" s="118"/>
      <c r="BC16" s="118">
        <f>IFERROR(AVERAGE('Book Review'!AY16,Debate!AY16,'Case study'!AY16,Capstone!AY16),"A")</f>
        <v>3.625</v>
      </c>
      <c r="BD16" s="118">
        <f>IFERROR(AVERAGE('Book Review'!AZ16,Debate!AZ16,'Case study'!AZ16),"A")</f>
        <v>3.8333333333333335</v>
      </c>
    </row>
    <row r="17" spans="1:56" s="109" customFormat="1" ht="23.1" customHeight="1" x14ac:dyDescent="0.3">
      <c r="A17" s="115">
        <v>15</v>
      </c>
      <c r="B17" s="49" t="s">
        <v>293</v>
      </c>
      <c r="C17" s="49" t="s">
        <v>294</v>
      </c>
      <c r="D17" s="49" t="s">
        <v>542</v>
      </c>
      <c r="E17" s="49" t="s">
        <v>493</v>
      </c>
      <c r="F17" s="117" t="str">
        <f>'Book Review'!K17</f>
        <v>0</v>
      </c>
      <c r="G17" s="117" t="str">
        <f>'Book Review'!Q17</f>
        <v>0</v>
      </c>
      <c r="H17" s="117" t="str">
        <f>'Book Review'!W17</f>
        <v>0</v>
      </c>
      <c r="I17" s="117"/>
      <c r="J17" s="117"/>
      <c r="K17" s="117" t="str">
        <f>'Book Review'!AO17</f>
        <v>0</v>
      </c>
      <c r="L17" s="117" t="str">
        <f>'Book Review'!AU17</f>
        <v>0</v>
      </c>
      <c r="M17" s="116"/>
      <c r="N17" s="117" t="str">
        <f>Debate!K17</f>
        <v>0</v>
      </c>
      <c r="O17" s="117" t="str">
        <f>Debate!Q17</f>
        <v>0</v>
      </c>
      <c r="P17" s="117"/>
      <c r="Q17" s="117" t="str">
        <f>Debate!AC17</f>
        <v>0</v>
      </c>
      <c r="R17" s="117"/>
      <c r="S17" s="117" t="str">
        <f>Debate!AO17</f>
        <v>0</v>
      </c>
      <c r="T17" s="117">
        <f>Debate!AU17</f>
        <v>0</v>
      </c>
      <c r="U17" s="116"/>
      <c r="V17" s="49"/>
      <c r="W17" s="117" t="str">
        <f>GD!Q17</f>
        <v>0</v>
      </c>
      <c r="X17" s="117" t="str">
        <f>GD!W17</f>
        <v>0</v>
      </c>
      <c r="Y17" s="117"/>
      <c r="Z17" s="117"/>
      <c r="AA17" s="49"/>
      <c r="AB17" s="117"/>
      <c r="AC17" s="116"/>
      <c r="AD17" s="117" t="str">
        <f>'Case study'!K17</f>
        <v>0</v>
      </c>
      <c r="AE17" s="117" t="str">
        <f>'Case study'!Q17</f>
        <v>0</v>
      </c>
      <c r="AF17" s="117" t="str">
        <f>'Case study'!W17</f>
        <v>0</v>
      </c>
      <c r="AG17" s="117"/>
      <c r="AH17" s="117"/>
      <c r="AI17" s="117" t="str">
        <f>'Case study'!AO17</f>
        <v>0</v>
      </c>
      <c r="AJ17" s="117" t="str">
        <f>'Case study'!AU17</f>
        <v>0</v>
      </c>
      <c r="AK17" s="116"/>
      <c r="AL17" s="117">
        <f>Capstone!K17</f>
        <v>4.333333333333333</v>
      </c>
      <c r="AM17" s="117">
        <f>Capstone!Q18</f>
        <v>4</v>
      </c>
      <c r="AN17" s="117">
        <f>Capstone!W18</f>
        <v>1</v>
      </c>
      <c r="AO17" s="117"/>
      <c r="AP17" s="117"/>
      <c r="AQ17" s="117">
        <f>Capstone!AO18</f>
        <v>4</v>
      </c>
      <c r="AR17" s="117"/>
      <c r="AS17" s="116"/>
      <c r="AT17" s="117" t="str">
        <f>IFERROR(AVERAGE(Table110461117[[#This Row],[Column2]],Table110461117[[#This Row],[Column11]],Table110461117[[#This Row],[Column29]]),"0")</f>
        <v>0</v>
      </c>
      <c r="AU17" s="117" t="str">
        <f>IFERROR(AVERAGE(Table110461117[[#This Row],[Column3]],Table110461117[[#This Row],[Column12]],Table110461117[[#This Row],[Column21]],Table110461117[[#This Row],[Column30]]),"0")</f>
        <v>0</v>
      </c>
      <c r="AV17" s="117" t="str">
        <f>IFERROR(AVERAGE(Table110461117[[#This Row],[Column31]],Table110461117[[#This Row],[Column22]],Table110461117[[#This Row],[Column4]]),"0")</f>
        <v>0</v>
      </c>
      <c r="AW17" s="117" t="str">
        <f>IFERROR(AVERAGE(Table110461117[[#This Row],[Column14]]),"0")</f>
        <v>0</v>
      </c>
      <c r="AX17" s="117"/>
      <c r="AY17" s="117" t="str">
        <f>IFERROR(AVERAGE(Table110461117[[#This Row],[Column34]],Table110461117[[#This Row],[Column16]],Table110461117[[#This Row],[Column7]]),"0")</f>
        <v>0</v>
      </c>
      <c r="AZ17" s="117">
        <f>IFERROR(AVERAGE(Table110461117[[#This Row],[Column35]],Table110461117[[#This Row],[Column17]],Table110461117[[#This Row],[Column8]]),"0")</f>
        <v>0</v>
      </c>
      <c r="BA17" s="116"/>
      <c r="BB17" s="117"/>
      <c r="BC17" s="117">
        <f>IFERROR(AVERAGE('Book Review'!AY17,Debate!AY17,'Case study'!AY17,Capstone!AY17),"A")</f>
        <v>1.5</v>
      </c>
      <c r="BD17" s="117">
        <f>IFERROR(AVERAGE('Book Review'!AZ17,Debate!AZ17,'Case study'!AZ17),"A")</f>
        <v>0</v>
      </c>
    </row>
    <row r="18" spans="1:56" s="109" customFormat="1" ht="23.1" customHeight="1" x14ac:dyDescent="0.3">
      <c r="A18" s="6">
        <v>16</v>
      </c>
      <c r="B18" s="7" t="s">
        <v>105</v>
      </c>
      <c r="C18" s="7" t="s">
        <v>106</v>
      </c>
      <c r="D18" s="7" t="s">
        <v>450</v>
      </c>
      <c r="E18" s="7" t="s">
        <v>35</v>
      </c>
      <c r="F18" s="118">
        <f>'Book Review'!K18</f>
        <v>1</v>
      </c>
      <c r="G18" s="118">
        <f>'Book Review'!Q18</f>
        <v>1.2</v>
      </c>
      <c r="H18" s="118">
        <f>'Book Review'!W18</f>
        <v>1</v>
      </c>
      <c r="I18" s="118"/>
      <c r="J18" s="118"/>
      <c r="K18" s="118">
        <f>'Book Review'!AO18</f>
        <v>1</v>
      </c>
      <c r="L18" s="118">
        <f>'Book Review'!AU18</f>
        <v>2</v>
      </c>
      <c r="M18" s="116"/>
      <c r="N18" s="118">
        <f>Debate!K18</f>
        <v>0</v>
      </c>
      <c r="O18" s="118">
        <f>Debate!Q18</f>
        <v>0</v>
      </c>
      <c r="P18" s="118"/>
      <c r="Q18" s="118">
        <f>Debate!AC18</f>
        <v>0</v>
      </c>
      <c r="R18" s="118"/>
      <c r="S18" s="118">
        <f>Debate!AO18</f>
        <v>0</v>
      </c>
      <c r="T18" s="118">
        <f>Debate!AU18</f>
        <v>0</v>
      </c>
      <c r="U18" s="116"/>
      <c r="V18" s="7"/>
      <c r="W18" s="118">
        <f>GD!Q18</f>
        <v>0</v>
      </c>
      <c r="X18" s="118">
        <f>GD!W18</f>
        <v>0</v>
      </c>
      <c r="Y18" s="118"/>
      <c r="Z18" s="118"/>
      <c r="AA18" s="7"/>
      <c r="AB18" s="118"/>
      <c r="AC18" s="116"/>
      <c r="AD18" s="118">
        <f>'Case study'!K18</f>
        <v>1.5</v>
      </c>
      <c r="AE18" s="118">
        <f>'Case study'!Q18</f>
        <v>2.2000000000000002</v>
      </c>
      <c r="AF18" s="118">
        <f>'Case study'!W18</f>
        <v>1</v>
      </c>
      <c r="AG18" s="118"/>
      <c r="AH18" s="118"/>
      <c r="AI18" s="118">
        <f>'Case study'!AO18</f>
        <v>1.25</v>
      </c>
      <c r="AJ18" s="118">
        <f>'Case study'!AU18</f>
        <v>3</v>
      </c>
      <c r="AK18" s="116"/>
      <c r="AL18" s="118">
        <f>Capstone!K18</f>
        <v>4</v>
      </c>
      <c r="AM18" s="118">
        <f>Capstone!Q19</f>
        <v>4.5</v>
      </c>
      <c r="AN18" s="118">
        <f>Capstone!W19</f>
        <v>4</v>
      </c>
      <c r="AO18" s="118"/>
      <c r="AP18" s="118"/>
      <c r="AQ18" s="118">
        <f>Capstone!AO19</f>
        <v>3.75</v>
      </c>
      <c r="AR18" s="118"/>
      <c r="AS18" s="116"/>
      <c r="AT18" s="118">
        <f>IFERROR(AVERAGE(Table110461117[[#This Row],[Column2]],Table110461117[[#This Row],[Column11]],Table110461117[[#This Row],[Column29]]),"0")</f>
        <v>0.83333333333333337</v>
      </c>
      <c r="AU18" s="118">
        <f>IFERROR(AVERAGE(Table110461117[[#This Row],[Column3]],Table110461117[[#This Row],[Column12]],Table110461117[[#This Row],[Column21]],Table110461117[[#This Row],[Column30]]),"0")</f>
        <v>0.85000000000000009</v>
      </c>
      <c r="AV18" s="118">
        <f>IFERROR(AVERAGE(Table110461117[[#This Row],[Column31]],Table110461117[[#This Row],[Column22]],Table110461117[[#This Row],[Column4]]),"0")</f>
        <v>0.66666666666666663</v>
      </c>
      <c r="AW18" s="118">
        <f>IFERROR(AVERAGE(Table110461117[[#This Row],[Column14]]),"0")</f>
        <v>0</v>
      </c>
      <c r="AX18" s="118"/>
      <c r="AY18" s="118">
        <f>IFERROR(AVERAGE(Table110461117[[#This Row],[Column34]],Table110461117[[#This Row],[Column16]],Table110461117[[#This Row],[Column7]]),"0")</f>
        <v>0.75</v>
      </c>
      <c r="AZ18" s="118">
        <f>IFERROR(AVERAGE(Table110461117[[#This Row],[Column35]],Table110461117[[#This Row],[Column17]],Table110461117[[#This Row],[Column8]]),"0")</f>
        <v>1.6666666666666667</v>
      </c>
      <c r="BA18" s="116"/>
      <c r="BB18" s="118"/>
      <c r="BC18" s="118">
        <f>IFERROR(AVERAGE('Book Review'!AY18,Debate!AY18,'Case study'!AY18,Capstone!AY18),"A")</f>
        <v>1.75</v>
      </c>
      <c r="BD18" s="118">
        <f>IFERROR(AVERAGE('Book Review'!AZ18,Debate!AZ18,'Case study'!AZ18),"A")</f>
        <v>0.66666666666666663</v>
      </c>
    </row>
    <row r="19" spans="1:56" s="109" customFormat="1" ht="23.1" customHeight="1" x14ac:dyDescent="0.3">
      <c r="A19" s="115">
        <v>17</v>
      </c>
      <c r="B19" s="49" t="s">
        <v>295</v>
      </c>
      <c r="C19" s="49" t="s">
        <v>296</v>
      </c>
      <c r="D19" s="49" t="s">
        <v>542</v>
      </c>
      <c r="E19" s="49" t="s">
        <v>493</v>
      </c>
      <c r="F19" s="117">
        <f>'Book Review'!K19</f>
        <v>3.5</v>
      </c>
      <c r="G19" s="117">
        <f>'Book Review'!Q19</f>
        <v>4</v>
      </c>
      <c r="H19" s="117">
        <f>'Book Review'!W19</f>
        <v>4</v>
      </c>
      <c r="I19" s="117"/>
      <c r="J19" s="117"/>
      <c r="K19" s="117">
        <f>'Book Review'!AO19</f>
        <v>2.5</v>
      </c>
      <c r="L19" s="117">
        <f>'Book Review'!AU19</f>
        <v>3</v>
      </c>
      <c r="M19" s="116"/>
      <c r="N19" s="117">
        <f>Debate!K19</f>
        <v>2</v>
      </c>
      <c r="O19" s="117">
        <f>Debate!Q19</f>
        <v>3.8</v>
      </c>
      <c r="P19" s="117"/>
      <c r="Q19" s="117">
        <f>Debate!AC19</f>
        <v>4</v>
      </c>
      <c r="R19" s="117"/>
      <c r="S19" s="117">
        <f>Debate!AO19</f>
        <v>4</v>
      </c>
      <c r="T19" s="117">
        <f>Debate!AU19</f>
        <v>3</v>
      </c>
      <c r="U19" s="116"/>
      <c r="V19" s="49"/>
      <c r="W19" s="117">
        <f>GD!Q19</f>
        <v>4</v>
      </c>
      <c r="X19" s="117">
        <f>GD!W19</f>
        <v>4</v>
      </c>
      <c r="Y19" s="117"/>
      <c r="Z19" s="117"/>
      <c r="AA19" s="49"/>
      <c r="AB19" s="117"/>
      <c r="AC19" s="116"/>
      <c r="AD19" s="117">
        <f>'Case study'!K19</f>
        <v>3.5</v>
      </c>
      <c r="AE19" s="117">
        <f>'Case study'!Q19</f>
        <v>4</v>
      </c>
      <c r="AF19" s="117">
        <f>'Case study'!W19</f>
        <v>4</v>
      </c>
      <c r="AG19" s="117"/>
      <c r="AH19" s="117"/>
      <c r="AI19" s="117">
        <f>'Case study'!AO19</f>
        <v>2.75</v>
      </c>
      <c r="AJ19" s="117">
        <f>'Case study'!AU19</f>
        <v>3</v>
      </c>
      <c r="AK19" s="116"/>
      <c r="AL19" s="117">
        <f>Capstone!K19</f>
        <v>4</v>
      </c>
      <c r="AM19" s="117">
        <f>Capstone!Q20</f>
        <v>4</v>
      </c>
      <c r="AN19" s="117">
        <f>Capstone!W20</f>
        <v>3</v>
      </c>
      <c r="AO19" s="117"/>
      <c r="AP19" s="117"/>
      <c r="AQ19" s="117">
        <f>Capstone!AO20</f>
        <v>3</v>
      </c>
      <c r="AR19" s="117"/>
      <c r="AS19" s="116"/>
      <c r="AT19" s="117">
        <f>IFERROR(AVERAGE(Table110461117[[#This Row],[Column2]],Table110461117[[#This Row],[Column11]],Table110461117[[#This Row],[Column29]]),"0")</f>
        <v>3</v>
      </c>
      <c r="AU19" s="117">
        <f>IFERROR(AVERAGE(Table110461117[[#This Row],[Column3]],Table110461117[[#This Row],[Column12]],Table110461117[[#This Row],[Column21]],Table110461117[[#This Row],[Column30]]),"0")</f>
        <v>3.95</v>
      </c>
      <c r="AV19" s="117">
        <f>IFERROR(AVERAGE(Table110461117[[#This Row],[Column31]],Table110461117[[#This Row],[Column22]],Table110461117[[#This Row],[Column4]]),"0")</f>
        <v>4</v>
      </c>
      <c r="AW19" s="117">
        <f>IFERROR(AVERAGE(Table110461117[[#This Row],[Column14]]),"0")</f>
        <v>4</v>
      </c>
      <c r="AX19" s="117"/>
      <c r="AY19" s="117">
        <f>IFERROR(AVERAGE(Table110461117[[#This Row],[Column34]],Table110461117[[#This Row],[Column16]],Table110461117[[#This Row],[Column7]]),"0")</f>
        <v>3.0833333333333335</v>
      </c>
      <c r="AZ19" s="117">
        <f>IFERROR(AVERAGE(Table110461117[[#This Row],[Column35]],Table110461117[[#This Row],[Column17]],Table110461117[[#This Row],[Column8]]),"0")</f>
        <v>3</v>
      </c>
      <c r="BA19" s="116"/>
      <c r="BB19" s="117"/>
      <c r="BC19" s="117">
        <f>IFERROR(AVERAGE('Book Review'!AY19,Debate!AY19,'Case study'!AY19,Capstone!AY19),"A")</f>
        <v>3.5</v>
      </c>
      <c r="BD19" s="117">
        <f>IFERROR(AVERAGE('Book Review'!AZ19,Debate!AZ19,'Case study'!AZ19),"A")</f>
        <v>3</v>
      </c>
    </row>
    <row r="20" spans="1:56" s="109" customFormat="1" ht="23.1" customHeight="1" x14ac:dyDescent="0.3">
      <c r="A20" s="6">
        <v>18</v>
      </c>
      <c r="B20" s="7" t="s">
        <v>107</v>
      </c>
      <c r="C20" s="7" t="s">
        <v>108</v>
      </c>
      <c r="D20" s="7" t="s">
        <v>543</v>
      </c>
      <c r="E20" s="7" t="s">
        <v>35</v>
      </c>
      <c r="F20" s="118">
        <f>'Book Review'!K20</f>
        <v>3</v>
      </c>
      <c r="G20" s="118">
        <f>'Book Review'!Q20</f>
        <v>2.6</v>
      </c>
      <c r="H20" s="118">
        <f>'Book Review'!W20</f>
        <v>3</v>
      </c>
      <c r="I20" s="118"/>
      <c r="J20" s="118"/>
      <c r="K20" s="118">
        <f>'Book Review'!AO20</f>
        <v>3</v>
      </c>
      <c r="L20" s="118">
        <f>'Book Review'!AU20</f>
        <v>3</v>
      </c>
      <c r="M20" s="116"/>
      <c r="N20" s="118">
        <f>Debate!K20</f>
        <v>3</v>
      </c>
      <c r="O20" s="118">
        <f>Debate!Q20</f>
        <v>2.5</v>
      </c>
      <c r="P20" s="118"/>
      <c r="Q20" s="118">
        <f>Debate!AC20</f>
        <v>3</v>
      </c>
      <c r="R20" s="118"/>
      <c r="S20" s="118">
        <f>Debate!AO20</f>
        <v>3</v>
      </c>
      <c r="T20" s="118">
        <f>Debate!AU20</f>
        <v>3</v>
      </c>
      <c r="U20" s="116"/>
      <c r="V20" s="7"/>
      <c r="W20" s="118">
        <f>GD!Q20</f>
        <v>2.75</v>
      </c>
      <c r="X20" s="118">
        <f>GD!W20</f>
        <v>2</v>
      </c>
      <c r="Y20" s="118"/>
      <c r="Z20" s="118"/>
      <c r="AA20" s="7"/>
      <c r="AB20" s="118"/>
      <c r="AC20" s="116"/>
      <c r="AD20" s="118">
        <f>'Case study'!K20</f>
        <v>3</v>
      </c>
      <c r="AE20" s="118">
        <f>'Case study'!Q20</f>
        <v>2.6</v>
      </c>
      <c r="AF20" s="118">
        <f>'Case study'!W20</f>
        <v>3</v>
      </c>
      <c r="AG20" s="118"/>
      <c r="AH20" s="118"/>
      <c r="AI20" s="118">
        <f>'Case study'!AO20</f>
        <v>2.75</v>
      </c>
      <c r="AJ20" s="118">
        <f>'Case study'!AU20</f>
        <v>3</v>
      </c>
      <c r="AK20" s="116"/>
      <c r="AL20" s="118">
        <f>Capstone!K20</f>
        <v>3</v>
      </c>
      <c r="AM20" s="118">
        <f>Capstone!Q21</f>
        <v>3.75</v>
      </c>
      <c r="AN20" s="118">
        <f>Capstone!W21</f>
        <v>4</v>
      </c>
      <c r="AO20" s="118"/>
      <c r="AP20" s="118"/>
      <c r="AQ20" s="118">
        <f>Capstone!AO21</f>
        <v>4.75</v>
      </c>
      <c r="AR20" s="118"/>
      <c r="AS20" s="116"/>
      <c r="AT20" s="118">
        <f>IFERROR(AVERAGE(Table110461117[[#This Row],[Column2]],Table110461117[[#This Row],[Column11]],Table110461117[[#This Row],[Column29]]),"0")</f>
        <v>3</v>
      </c>
      <c r="AU20" s="118">
        <f>IFERROR(AVERAGE(Table110461117[[#This Row],[Column3]],Table110461117[[#This Row],[Column12]],Table110461117[[#This Row],[Column21]],Table110461117[[#This Row],[Column30]]),"0")</f>
        <v>2.6124999999999998</v>
      </c>
      <c r="AV20" s="118">
        <f>IFERROR(AVERAGE(Table110461117[[#This Row],[Column31]],Table110461117[[#This Row],[Column22]],Table110461117[[#This Row],[Column4]]),"0")</f>
        <v>2.6666666666666665</v>
      </c>
      <c r="AW20" s="118">
        <f>IFERROR(AVERAGE(Table110461117[[#This Row],[Column14]]),"0")</f>
        <v>3</v>
      </c>
      <c r="AX20" s="118"/>
      <c r="AY20" s="118">
        <f>IFERROR(AVERAGE(Table110461117[[#This Row],[Column34]],Table110461117[[#This Row],[Column16]],Table110461117[[#This Row],[Column7]]),"0")</f>
        <v>2.9166666666666665</v>
      </c>
      <c r="AZ20" s="118">
        <f>IFERROR(AVERAGE(Table110461117[[#This Row],[Column35]],Table110461117[[#This Row],[Column17]],Table110461117[[#This Row],[Column8]]),"0")</f>
        <v>3</v>
      </c>
      <c r="BA20" s="116"/>
      <c r="BB20" s="118"/>
      <c r="BC20" s="118">
        <f>IFERROR(AVERAGE('Book Review'!AY20,Debate!AY20,'Case study'!AY20,Capstone!AY20),"A")</f>
        <v>3.25</v>
      </c>
      <c r="BD20" s="118">
        <f>IFERROR(AVERAGE('Book Review'!AZ20,Debate!AZ20,'Case study'!AZ20),"A")</f>
        <v>3.6666666666666665</v>
      </c>
    </row>
    <row r="21" spans="1:56" s="109" customFormat="1" ht="23.1" customHeight="1" x14ac:dyDescent="0.3">
      <c r="A21" s="115">
        <v>19</v>
      </c>
      <c r="B21" s="49" t="s">
        <v>50</v>
      </c>
      <c r="C21" s="49" t="s">
        <v>51</v>
      </c>
      <c r="D21" s="49" t="s">
        <v>542</v>
      </c>
      <c r="E21" s="49" t="s">
        <v>35</v>
      </c>
      <c r="F21" s="117">
        <f>'Book Review'!K21</f>
        <v>3.625</v>
      </c>
      <c r="G21" s="117">
        <f>'Book Review'!Q21</f>
        <v>3.7</v>
      </c>
      <c r="H21" s="117">
        <f>'Book Review'!W21</f>
        <v>4</v>
      </c>
      <c r="I21" s="117"/>
      <c r="J21" s="117"/>
      <c r="K21" s="117">
        <f>'Book Review'!AO21</f>
        <v>3.5</v>
      </c>
      <c r="L21" s="117">
        <f>'Book Review'!AU21</f>
        <v>3.5</v>
      </c>
      <c r="M21" s="116"/>
      <c r="N21" s="117">
        <f>Debate!K21</f>
        <v>4</v>
      </c>
      <c r="O21" s="117">
        <f>Debate!Q21</f>
        <v>3.75</v>
      </c>
      <c r="P21" s="117"/>
      <c r="Q21" s="117">
        <f>Debate!AC21</f>
        <v>3.5</v>
      </c>
      <c r="R21" s="117"/>
      <c r="S21" s="117">
        <f>Debate!AO21</f>
        <v>3.6666666666666665</v>
      </c>
      <c r="T21" s="117">
        <f>Debate!AU21</f>
        <v>3.5</v>
      </c>
      <c r="U21" s="116"/>
      <c r="V21" s="49"/>
      <c r="W21" s="117">
        <f>GD!Q21</f>
        <v>3.75</v>
      </c>
      <c r="X21" s="117">
        <f>GD!W21</f>
        <v>3.5</v>
      </c>
      <c r="Y21" s="117"/>
      <c r="Z21" s="117"/>
      <c r="AA21" s="49"/>
      <c r="AB21" s="117"/>
      <c r="AC21" s="116"/>
      <c r="AD21" s="117">
        <f>'Case study'!K21</f>
        <v>3.75</v>
      </c>
      <c r="AE21" s="117">
        <f>'Case study'!Q21</f>
        <v>3.7</v>
      </c>
      <c r="AF21" s="117">
        <f>'Case study'!W21</f>
        <v>4</v>
      </c>
      <c r="AG21" s="117"/>
      <c r="AH21" s="117"/>
      <c r="AI21" s="117">
        <f>'Case study'!AO21</f>
        <v>3.75</v>
      </c>
      <c r="AJ21" s="117">
        <f>'Case study'!AU21</f>
        <v>4</v>
      </c>
      <c r="AK21" s="116"/>
      <c r="AL21" s="117">
        <f>Capstone!K21</f>
        <v>4.333333333333333</v>
      </c>
      <c r="AM21" s="117">
        <f>Capstone!Q22</f>
        <v>4.375</v>
      </c>
      <c r="AN21" s="117">
        <f>Capstone!W22</f>
        <v>4</v>
      </c>
      <c r="AO21" s="117"/>
      <c r="AP21" s="117"/>
      <c r="AQ21" s="117">
        <f>Capstone!AO22</f>
        <v>4.125</v>
      </c>
      <c r="AR21" s="117"/>
      <c r="AS21" s="116"/>
      <c r="AT21" s="117">
        <f>IFERROR(AVERAGE(Table110461117[[#This Row],[Column2]],Table110461117[[#This Row],[Column11]],Table110461117[[#This Row],[Column29]]),"0")</f>
        <v>3.7916666666666665</v>
      </c>
      <c r="AU21" s="117">
        <f>IFERROR(AVERAGE(Table110461117[[#This Row],[Column3]],Table110461117[[#This Row],[Column12]],Table110461117[[#This Row],[Column21]],Table110461117[[#This Row],[Column30]]),"0")</f>
        <v>3.7249999999999996</v>
      </c>
      <c r="AV21" s="117">
        <f>IFERROR(AVERAGE(Table110461117[[#This Row],[Column31]],Table110461117[[#This Row],[Column22]],Table110461117[[#This Row],[Column4]]),"0")</f>
        <v>3.8333333333333335</v>
      </c>
      <c r="AW21" s="117">
        <f>IFERROR(AVERAGE(Table110461117[[#This Row],[Column14]]),"0")</f>
        <v>3.5</v>
      </c>
      <c r="AX21" s="117"/>
      <c r="AY21" s="117">
        <f>IFERROR(AVERAGE(Table110461117[[#This Row],[Column34]],Table110461117[[#This Row],[Column16]],Table110461117[[#This Row],[Column7]]),"0")</f>
        <v>3.6388888888888888</v>
      </c>
      <c r="AZ21" s="117">
        <f>IFERROR(AVERAGE(Table110461117[[#This Row],[Column35]],Table110461117[[#This Row],[Column17]],Table110461117[[#This Row],[Column8]]),"0")</f>
        <v>3.6666666666666665</v>
      </c>
      <c r="BA21" s="116"/>
      <c r="BB21" s="117"/>
      <c r="BC21" s="117">
        <f>IFERROR(AVERAGE('Book Review'!AY21,Debate!AY21,'Case study'!AY21,Capstone!AY21),"A")</f>
        <v>3.75</v>
      </c>
      <c r="BD21" s="117">
        <f>IFERROR(AVERAGE('Book Review'!AZ21,Debate!AZ21,'Case study'!AZ21),"A")</f>
        <v>3.6666666666666665</v>
      </c>
    </row>
    <row r="22" spans="1:56" s="109" customFormat="1" ht="23.1" customHeight="1" x14ac:dyDescent="0.3">
      <c r="A22" s="6">
        <v>20</v>
      </c>
      <c r="B22" s="7" t="s">
        <v>196</v>
      </c>
      <c r="C22" s="7" t="s">
        <v>537</v>
      </c>
      <c r="D22" s="7" t="s">
        <v>450</v>
      </c>
      <c r="E22" s="7" t="s">
        <v>161</v>
      </c>
      <c r="F22" s="118">
        <f>'Book Review'!K22</f>
        <v>3.5</v>
      </c>
      <c r="G22" s="118">
        <f>'Book Review'!Q22</f>
        <v>4</v>
      </c>
      <c r="H22" s="118">
        <f>'Book Review'!W22</f>
        <v>4</v>
      </c>
      <c r="I22" s="118"/>
      <c r="J22" s="118"/>
      <c r="K22" s="118">
        <f>'Book Review'!AO22</f>
        <v>3.5</v>
      </c>
      <c r="L22" s="118">
        <f>'Book Review'!AU22</f>
        <v>3</v>
      </c>
      <c r="M22" s="116"/>
      <c r="N22" s="118">
        <f>Debate!K22</f>
        <v>4</v>
      </c>
      <c r="O22" s="118">
        <f>Debate!Q22</f>
        <v>3.9</v>
      </c>
      <c r="P22" s="118"/>
      <c r="Q22" s="118">
        <f>Debate!AC22</f>
        <v>3</v>
      </c>
      <c r="R22" s="118"/>
      <c r="S22" s="118">
        <f>Debate!AO22</f>
        <v>4</v>
      </c>
      <c r="T22" s="118">
        <f>Debate!AU22</f>
        <v>3</v>
      </c>
      <c r="U22" s="116"/>
      <c r="V22" s="7"/>
      <c r="W22" s="118">
        <f>GD!Q22</f>
        <v>4</v>
      </c>
      <c r="X22" s="118">
        <f>GD!W22</f>
        <v>4</v>
      </c>
      <c r="Y22" s="118"/>
      <c r="Z22" s="118"/>
      <c r="AA22" s="7"/>
      <c r="AB22" s="118"/>
      <c r="AC22" s="116"/>
      <c r="AD22" s="118">
        <f>'Case study'!K22</f>
        <v>3.5</v>
      </c>
      <c r="AE22" s="118">
        <f>'Case study'!Q22</f>
        <v>4</v>
      </c>
      <c r="AF22" s="118">
        <f>'Case study'!W22</f>
        <v>4</v>
      </c>
      <c r="AG22" s="118"/>
      <c r="AH22" s="118"/>
      <c r="AI22" s="118">
        <f>'Case study'!AO22</f>
        <v>3.5</v>
      </c>
      <c r="AJ22" s="118">
        <f>'Case study'!AU22</f>
        <v>3</v>
      </c>
      <c r="AK22" s="116"/>
      <c r="AL22" s="118">
        <f>Capstone!K22</f>
        <v>4</v>
      </c>
      <c r="AM22" s="118">
        <f>Capstone!Q23</f>
        <v>3</v>
      </c>
      <c r="AN22" s="118">
        <f>Capstone!W23</f>
        <v>3</v>
      </c>
      <c r="AO22" s="118"/>
      <c r="AP22" s="118"/>
      <c r="AQ22" s="118">
        <f>Capstone!AO23</f>
        <v>3</v>
      </c>
      <c r="AR22" s="118"/>
      <c r="AS22" s="116"/>
      <c r="AT22" s="118">
        <f>IFERROR(AVERAGE(Table110461117[[#This Row],[Column2]],Table110461117[[#This Row],[Column11]],Table110461117[[#This Row],[Column29]]),"0")</f>
        <v>3.6666666666666665</v>
      </c>
      <c r="AU22" s="118">
        <f>IFERROR(AVERAGE(Table110461117[[#This Row],[Column3]],Table110461117[[#This Row],[Column12]],Table110461117[[#This Row],[Column21]],Table110461117[[#This Row],[Column30]]),"0")</f>
        <v>3.9750000000000001</v>
      </c>
      <c r="AV22" s="118">
        <f>IFERROR(AVERAGE(Table110461117[[#This Row],[Column31]],Table110461117[[#This Row],[Column22]],Table110461117[[#This Row],[Column4]]),"0")</f>
        <v>4</v>
      </c>
      <c r="AW22" s="118">
        <f>IFERROR(AVERAGE(Table110461117[[#This Row],[Column14]]),"0")</f>
        <v>3</v>
      </c>
      <c r="AX22" s="118"/>
      <c r="AY22" s="118">
        <f>IFERROR(AVERAGE(Table110461117[[#This Row],[Column34]],Table110461117[[#This Row],[Column16]],Table110461117[[#This Row],[Column7]]),"0")</f>
        <v>3.6666666666666665</v>
      </c>
      <c r="AZ22" s="118">
        <f>IFERROR(AVERAGE(Table110461117[[#This Row],[Column35]],Table110461117[[#This Row],[Column17]],Table110461117[[#This Row],[Column8]]),"0")</f>
        <v>3</v>
      </c>
      <c r="BA22" s="116"/>
      <c r="BB22" s="118"/>
      <c r="BC22" s="118">
        <f>IFERROR(AVERAGE('Book Review'!AY22,Debate!AY22,'Case study'!AY22,Capstone!AY22),"A")</f>
        <v>3.375</v>
      </c>
      <c r="BD22" s="118">
        <f>IFERROR(AVERAGE('Book Review'!AZ22,Debate!AZ22,'Case study'!AZ22),"A")</f>
        <v>2.3333333333333335</v>
      </c>
    </row>
    <row r="23" spans="1:56" s="109" customFormat="1" ht="23.1" customHeight="1" x14ac:dyDescent="0.3">
      <c r="A23" s="115">
        <v>21</v>
      </c>
      <c r="B23" s="49" t="s">
        <v>209</v>
      </c>
      <c r="C23" s="49" t="s">
        <v>210</v>
      </c>
      <c r="D23" s="49" t="s">
        <v>450</v>
      </c>
      <c r="E23" s="49" t="s">
        <v>161</v>
      </c>
      <c r="F23" s="117">
        <f>'Book Review'!K23</f>
        <v>2.75</v>
      </c>
      <c r="G23" s="117">
        <f>'Book Review'!Q23</f>
        <v>2.2000000000000002</v>
      </c>
      <c r="H23" s="117">
        <f>'Book Review'!W23</f>
        <v>3</v>
      </c>
      <c r="I23" s="117"/>
      <c r="J23" s="117"/>
      <c r="K23" s="117">
        <f>'Book Review'!AO23</f>
        <v>2.5</v>
      </c>
      <c r="L23" s="117">
        <f>'Book Review'!AU23</f>
        <v>3</v>
      </c>
      <c r="M23" s="116"/>
      <c r="N23" s="117">
        <f>Debate!K23</f>
        <v>2</v>
      </c>
      <c r="O23" s="117">
        <f>Debate!Q23</f>
        <v>2.9</v>
      </c>
      <c r="P23" s="117"/>
      <c r="Q23" s="117">
        <f>Debate!AC23</f>
        <v>2</v>
      </c>
      <c r="R23" s="117"/>
      <c r="S23" s="117">
        <f>Debate!AO23</f>
        <v>2</v>
      </c>
      <c r="T23" s="117">
        <f>Debate!AU23</f>
        <v>3</v>
      </c>
      <c r="U23" s="116"/>
      <c r="V23" s="49"/>
      <c r="W23" s="117">
        <f>GD!Q23</f>
        <v>2.5</v>
      </c>
      <c r="X23" s="117">
        <f>GD!W23</f>
        <v>3</v>
      </c>
      <c r="Y23" s="117"/>
      <c r="Z23" s="117"/>
      <c r="AA23" s="49"/>
      <c r="AB23" s="117"/>
      <c r="AC23" s="116"/>
      <c r="AD23" s="117">
        <f>'Case study'!K23</f>
        <v>2.75</v>
      </c>
      <c r="AE23" s="117">
        <f>'Case study'!Q23</f>
        <v>2.2000000000000002</v>
      </c>
      <c r="AF23" s="117">
        <f>'Case study'!W23</f>
        <v>3</v>
      </c>
      <c r="AG23" s="117"/>
      <c r="AH23" s="117"/>
      <c r="AI23" s="117">
        <f>'Case study'!AO23</f>
        <v>2.75</v>
      </c>
      <c r="AJ23" s="117">
        <f>'Case study'!AU23</f>
        <v>3</v>
      </c>
      <c r="AK23" s="116"/>
      <c r="AL23" s="117">
        <f>Capstone!K23</f>
        <v>3</v>
      </c>
      <c r="AM23" s="117">
        <f>Capstone!Q24</f>
        <v>4</v>
      </c>
      <c r="AN23" s="117">
        <f>Capstone!W24</f>
        <v>3</v>
      </c>
      <c r="AO23" s="117"/>
      <c r="AP23" s="117"/>
      <c r="AQ23" s="117">
        <f>Capstone!AO24</f>
        <v>4</v>
      </c>
      <c r="AR23" s="117"/>
      <c r="AS23" s="116"/>
      <c r="AT23" s="117">
        <f>IFERROR(AVERAGE(Table110461117[[#This Row],[Column2]],Table110461117[[#This Row],[Column11]],Table110461117[[#This Row],[Column29]]),"0")</f>
        <v>2.5</v>
      </c>
      <c r="AU23" s="117">
        <f>IFERROR(AVERAGE(Table110461117[[#This Row],[Column3]],Table110461117[[#This Row],[Column12]],Table110461117[[#This Row],[Column21]],Table110461117[[#This Row],[Column30]]),"0")</f>
        <v>2.4500000000000002</v>
      </c>
      <c r="AV23" s="117">
        <f>IFERROR(AVERAGE(Table110461117[[#This Row],[Column31]],Table110461117[[#This Row],[Column22]],Table110461117[[#This Row],[Column4]]),"0")</f>
        <v>3</v>
      </c>
      <c r="AW23" s="117">
        <f>IFERROR(AVERAGE(Table110461117[[#This Row],[Column14]]),"0")</f>
        <v>2</v>
      </c>
      <c r="AX23" s="117"/>
      <c r="AY23" s="117">
        <f>IFERROR(AVERAGE(Table110461117[[#This Row],[Column34]],Table110461117[[#This Row],[Column16]],Table110461117[[#This Row],[Column7]]),"0")</f>
        <v>2.4166666666666665</v>
      </c>
      <c r="AZ23" s="117">
        <f>IFERROR(AVERAGE(Table110461117[[#This Row],[Column35]],Table110461117[[#This Row],[Column17]],Table110461117[[#This Row],[Column8]]),"0")</f>
        <v>3</v>
      </c>
      <c r="BA23" s="116"/>
      <c r="BB23" s="117"/>
      <c r="BC23" s="117">
        <f>IFERROR(AVERAGE('Book Review'!AY23,Debate!AY23,'Case study'!AY23,Capstone!AY23),"A")</f>
        <v>3</v>
      </c>
      <c r="BD23" s="117">
        <f>IFERROR(AVERAGE('Book Review'!AZ23,Debate!AZ23,'Case study'!AZ23),"A")</f>
        <v>3</v>
      </c>
    </row>
    <row r="24" spans="1:56" s="109" customFormat="1" ht="23.1" customHeight="1" x14ac:dyDescent="0.3">
      <c r="A24" s="6">
        <v>22</v>
      </c>
      <c r="B24" s="7" t="s">
        <v>58</v>
      </c>
      <c r="C24" s="7" t="s">
        <v>59</v>
      </c>
      <c r="D24" s="7" t="s">
        <v>450</v>
      </c>
      <c r="E24" s="7" t="s">
        <v>35</v>
      </c>
      <c r="F24" s="118">
        <f>'Book Review'!K24</f>
        <v>3</v>
      </c>
      <c r="G24" s="118">
        <f>'Book Review'!Q24</f>
        <v>3</v>
      </c>
      <c r="H24" s="118">
        <f>'Book Review'!W24</f>
        <v>3</v>
      </c>
      <c r="I24" s="118"/>
      <c r="J24" s="118"/>
      <c r="K24" s="118">
        <f>'Book Review'!AO24</f>
        <v>3</v>
      </c>
      <c r="L24" s="118">
        <f>'Book Review'!AU24</f>
        <v>4</v>
      </c>
      <c r="M24" s="116"/>
      <c r="N24" s="118">
        <f>Debate!K24</f>
        <v>3</v>
      </c>
      <c r="O24" s="118">
        <f>Debate!Q24</f>
        <v>3</v>
      </c>
      <c r="P24" s="118"/>
      <c r="Q24" s="118">
        <f>Debate!AC24</f>
        <v>3</v>
      </c>
      <c r="R24" s="118"/>
      <c r="S24" s="118">
        <f>Debate!AO24</f>
        <v>3</v>
      </c>
      <c r="T24" s="118">
        <f>Debate!AU24</f>
        <v>3</v>
      </c>
      <c r="U24" s="116"/>
      <c r="V24" s="7"/>
      <c r="W24" s="118">
        <f>GD!Q24</f>
        <v>3</v>
      </c>
      <c r="X24" s="118">
        <f>GD!W24</f>
        <v>3</v>
      </c>
      <c r="Y24" s="118"/>
      <c r="Z24" s="118"/>
      <c r="AA24" s="7"/>
      <c r="AB24" s="118"/>
      <c r="AC24" s="116"/>
      <c r="AD24" s="118">
        <f>'Case study'!K24</f>
        <v>3</v>
      </c>
      <c r="AE24" s="118">
        <f>'Case study'!Q24</f>
        <v>3</v>
      </c>
      <c r="AF24" s="118">
        <f>'Case study'!W24</f>
        <v>3</v>
      </c>
      <c r="AG24" s="118"/>
      <c r="AH24" s="118"/>
      <c r="AI24" s="118">
        <f>'Case study'!AO24</f>
        <v>3.25</v>
      </c>
      <c r="AJ24" s="118">
        <f>'Case study'!AU24</f>
        <v>3</v>
      </c>
      <c r="AK24" s="116"/>
      <c r="AL24" s="118">
        <f>Capstone!K24</f>
        <v>4</v>
      </c>
      <c r="AM24" s="118">
        <f>Capstone!Q25</f>
        <v>3</v>
      </c>
      <c r="AN24" s="118">
        <f>Capstone!W25</f>
        <v>3</v>
      </c>
      <c r="AO24" s="118"/>
      <c r="AP24" s="118"/>
      <c r="AQ24" s="118">
        <f>Capstone!AO25</f>
        <v>4.25</v>
      </c>
      <c r="AR24" s="118"/>
      <c r="AS24" s="116"/>
      <c r="AT24" s="118">
        <f>IFERROR(AVERAGE(Table110461117[[#This Row],[Column2]],Table110461117[[#This Row],[Column11]],Table110461117[[#This Row],[Column29]]),"0")</f>
        <v>3</v>
      </c>
      <c r="AU24" s="118">
        <f>IFERROR(AVERAGE(Table110461117[[#This Row],[Column3]],Table110461117[[#This Row],[Column12]],Table110461117[[#This Row],[Column21]],Table110461117[[#This Row],[Column30]]),"0")</f>
        <v>3</v>
      </c>
      <c r="AV24" s="118">
        <f>IFERROR(AVERAGE(Table110461117[[#This Row],[Column31]],Table110461117[[#This Row],[Column22]],Table110461117[[#This Row],[Column4]]),"0")</f>
        <v>3</v>
      </c>
      <c r="AW24" s="118">
        <f>IFERROR(AVERAGE(Table110461117[[#This Row],[Column14]]),"0")</f>
        <v>3</v>
      </c>
      <c r="AX24" s="118"/>
      <c r="AY24" s="118">
        <f>IFERROR(AVERAGE(Table110461117[[#This Row],[Column34]],Table110461117[[#This Row],[Column16]],Table110461117[[#This Row],[Column7]]),"0")</f>
        <v>3.0833333333333335</v>
      </c>
      <c r="AZ24" s="118">
        <f>IFERROR(AVERAGE(Table110461117[[#This Row],[Column35]],Table110461117[[#This Row],[Column17]],Table110461117[[#This Row],[Column8]]),"0")</f>
        <v>3.3333333333333335</v>
      </c>
      <c r="BA24" s="116"/>
      <c r="BB24" s="118"/>
      <c r="BC24" s="118">
        <f>IFERROR(AVERAGE('Book Review'!AY24,Debate!AY24,'Case study'!AY24,Capstone!AY24),"A")</f>
        <v>3.75</v>
      </c>
      <c r="BD24" s="118">
        <f>IFERROR(AVERAGE('Book Review'!AZ24,Debate!AZ24,'Case study'!AZ24),"A")</f>
        <v>4</v>
      </c>
    </row>
    <row r="25" spans="1:56" s="109" customFormat="1" ht="23.1" customHeight="1" x14ac:dyDescent="0.3">
      <c r="A25" s="115">
        <v>23</v>
      </c>
      <c r="B25" s="49" t="s">
        <v>225</v>
      </c>
      <c r="C25" s="49" t="s">
        <v>226</v>
      </c>
      <c r="D25" s="49" t="s">
        <v>450</v>
      </c>
      <c r="E25" s="49" t="s">
        <v>161</v>
      </c>
      <c r="F25" s="117">
        <f>'Book Review'!K25</f>
        <v>2.875</v>
      </c>
      <c r="G25" s="117">
        <f>'Book Review'!Q25</f>
        <v>2.9</v>
      </c>
      <c r="H25" s="117">
        <f>'Book Review'!W25</f>
        <v>3</v>
      </c>
      <c r="I25" s="117"/>
      <c r="J25" s="117"/>
      <c r="K25" s="117">
        <f>'Book Review'!AO25</f>
        <v>2.75</v>
      </c>
      <c r="L25" s="117">
        <f>'Book Review'!AU25</f>
        <v>3</v>
      </c>
      <c r="M25" s="116"/>
      <c r="N25" s="117">
        <f>Debate!K25</f>
        <v>2.5</v>
      </c>
      <c r="O25" s="117">
        <f>Debate!Q25</f>
        <v>2.75</v>
      </c>
      <c r="P25" s="117"/>
      <c r="Q25" s="117">
        <f>Debate!AC25</f>
        <v>3</v>
      </c>
      <c r="R25" s="117"/>
      <c r="S25" s="117">
        <f>Debate!AO25</f>
        <v>3</v>
      </c>
      <c r="T25" s="117">
        <f>Debate!AU25</f>
        <v>3</v>
      </c>
      <c r="U25" s="116"/>
      <c r="V25" s="49"/>
      <c r="W25" s="117">
        <f>GD!Q25</f>
        <v>2.75</v>
      </c>
      <c r="X25" s="117">
        <f>GD!W25</f>
        <v>3</v>
      </c>
      <c r="Y25" s="117"/>
      <c r="Z25" s="117"/>
      <c r="AA25" s="49"/>
      <c r="AB25" s="117"/>
      <c r="AC25" s="116"/>
      <c r="AD25" s="117">
        <f>'Case study'!K25</f>
        <v>2.875</v>
      </c>
      <c r="AE25" s="117">
        <f>'Case study'!Q25</f>
        <v>2.9</v>
      </c>
      <c r="AF25" s="117">
        <f>'Case study'!W25</f>
        <v>3</v>
      </c>
      <c r="AG25" s="117"/>
      <c r="AH25" s="117"/>
      <c r="AI25" s="117">
        <f>'Case study'!AO25</f>
        <v>3</v>
      </c>
      <c r="AJ25" s="117">
        <f>'Case study'!AU25</f>
        <v>3</v>
      </c>
      <c r="AK25" s="116"/>
      <c r="AL25" s="117">
        <f>Capstone!K25</f>
        <v>4.333333333333333</v>
      </c>
      <c r="AM25" s="117">
        <f>Capstone!Q26</f>
        <v>4</v>
      </c>
      <c r="AN25" s="117">
        <f>Capstone!W26</f>
        <v>2</v>
      </c>
      <c r="AO25" s="117"/>
      <c r="AP25" s="117"/>
      <c r="AQ25" s="117">
        <f>Capstone!AO26</f>
        <v>4</v>
      </c>
      <c r="AR25" s="117"/>
      <c r="AS25" s="116"/>
      <c r="AT25" s="117">
        <f>IFERROR(AVERAGE(Table110461117[[#This Row],[Column2]],Table110461117[[#This Row],[Column11]],Table110461117[[#This Row],[Column29]]),"0")</f>
        <v>2.75</v>
      </c>
      <c r="AU25" s="117">
        <f>IFERROR(AVERAGE(Table110461117[[#This Row],[Column3]],Table110461117[[#This Row],[Column12]],Table110461117[[#This Row],[Column21]],Table110461117[[#This Row],[Column30]]),"0")</f>
        <v>2.8250000000000002</v>
      </c>
      <c r="AV25" s="117">
        <f>IFERROR(AVERAGE(Table110461117[[#This Row],[Column31]],Table110461117[[#This Row],[Column22]],Table110461117[[#This Row],[Column4]]),"0")</f>
        <v>3</v>
      </c>
      <c r="AW25" s="117">
        <f>IFERROR(AVERAGE(Table110461117[[#This Row],[Column14]]),"0")</f>
        <v>3</v>
      </c>
      <c r="AX25" s="117"/>
      <c r="AY25" s="117">
        <f>IFERROR(AVERAGE(Table110461117[[#This Row],[Column34]],Table110461117[[#This Row],[Column16]],Table110461117[[#This Row],[Column7]]),"0")</f>
        <v>2.9166666666666665</v>
      </c>
      <c r="AZ25" s="117">
        <f>IFERROR(AVERAGE(Table110461117[[#This Row],[Column35]],Table110461117[[#This Row],[Column17]],Table110461117[[#This Row],[Column8]]),"0")</f>
        <v>3</v>
      </c>
      <c r="BA25" s="116"/>
      <c r="BB25" s="117"/>
      <c r="BC25" s="117">
        <f>IFERROR(AVERAGE('Book Review'!AY25,Debate!AY25,'Case study'!AY25,Capstone!AY25),"A")</f>
        <v>2.625</v>
      </c>
      <c r="BD25" s="117">
        <f>IFERROR(AVERAGE('Book Review'!AZ25,Debate!AZ25,'Case study'!AZ25),"A")</f>
        <v>2.8333333333333335</v>
      </c>
    </row>
    <row r="26" spans="1:56" s="109" customFormat="1" ht="23.1" customHeight="1" x14ac:dyDescent="0.3">
      <c r="A26" s="6">
        <v>24</v>
      </c>
      <c r="B26" s="7" t="s">
        <v>297</v>
      </c>
      <c r="C26" s="7" t="s">
        <v>109</v>
      </c>
      <c r="D26" s="7" t="s">
        <v>450</v>
      </c>
      <c r="E26" s="7" t="s">
        <v>35</v>
      </c>
      <c r="F26" s="118">
        <f>'Book Review'!K26</f>
        <v>2</v>
      </c>
      <c r="G26" s="118">
        <f>'Book Review'!Q26</f>
        <v>2.4</v>
      </c>
      <c r="H26" s="118">
        <f>'Book Review'!W26</f>
        <v>1</v>
      </c>
      <c r="I26" s="118"/>
      <c r="J26" s="118"/>
      <c r="K26" s="118">
        <f>'Book Review'!AO26</f>
        <v>1.5</v>
      </c>
      <c r="L26" s="118">
        <f>'Book Review'!AU26</f>
        <v>3</v>
      </c>
      <c r="M26" s="116"/>
      <c r="N26" s="118">
        <f>Debate!K26</f>
        <v>1</v>
      </c>
      <c r="O26" s="118">
        <f>Debate!Q26</f>
        <v>2.2000000000000002</v>
      </c>
      <c r="P26" s="118"/>
      <c r="Q26" s="118">
        <f>Debate!AC26</f>
        <v>2</v>
      </c>
      <c r="R26" s="118"/>
      <c r="S26" s="118">
        <f>Debate!AO26</f>
        <v>2</v>
      </c>
      <c r="T26" s="118">
        <f>Debate!AU26</f>
        <v>3</v>
      </c>
      <c r="U26" s="116"/>
      <c r="V26" s="7"/>
      <c r="W26" s="118">
        <f>GD!Q26</f>
        <v>2.75</v>
      </c>
      <c r="X26" s="118">
        <f>GD!W26</f>
        <v>2</v>
      </c>
      <c r="Y26" s="118"/>
      <c r="Z26" s="118"/>
      <c r="AA26" s="7"/>
      <c r="AB26" s="118"/>
      <c r="AC26" s="116"/>
      <c r="AD26" s="118">
        <f>'Case study'!K26</f>
        <v>2.5</v>
      </c>
      <c r="AE26" s="118">
        <f>'Case study'!Q26</f>
        <v>2.6</v>
      </c>
      <c r="AF26" s="118">
        <f>'Case study'!W26</f>
        <v>2</v>
      </c>
      <c r="AG26" s="118"/>
      <c r="AH26" s="118"/>
      <c r="AI26" s="118">
        <f>'Case study'!AO26</f>
        <v>2</v>
      </c>
      <c r="AJ26" s="118">
        <f>'Case study'!AU26</f>
        <v>3</v>
      </c>
      <c r="AK26" s="116"/>
      <c r="AL26" s="118">
        <f>Capstone!K26</f>
        <v>4</v>
      </c>
      <c r="AM26" s="118">
        <f>Capstone!Q27</f>
        <v>2</v>
      </c>
      <c r="AN26" s="118">
        <f>Capstone!W27</f>
        <v>3</v>
      </c>
      <c r="AO26" s="118"/>
      <c r="AP26" s="118"/>
      <c r="AQ26" s="118">
        <f>Capstone!AO27</f>
        <v>2.125</v>
      </c>
      <c r="AR26" s="118"/>
      <c r="AS26" s="116"/>
      <c r="AT26" s="118">
        <f>IFERROR(AVERAGE(Table110461117[[#This Row],[Column2]],Table110461117[[#This Row],[Column11]],Table110461117[[#This Row],[Column29]]),"0")</f>
        <v>1.8333333333333333</v>
      </c>
      <c r="AU26" s="118">
        <f>IFERROR(AVERAGE(Table110461117[[#This Row],[Column3]],Table110461117[[#This Row],[Column12]],Table110461117[[#This Row],[Column21]],Table110461117[[#This Row],[Column30]]),"0")</f>
        <v>2.4874999999999998</v>
      </c>
      <c r="AV26" s="118">
        <f>IFERROR(AVERAGE(Table110461117[[#This Row],[Column31]],Table110461117[[#This Row],[Column22]],Table110461117[[#This Row],[Column4]]),"0")</f>
        <v>1.6666666666666667</v>
      </c>
      <c r="AW26" s="118">
        <f>IFERROR(AVERAGE(Table110461117[[#This Row],[Column14]]),"0")</f>
        <v>2</v>
      </c>
      <c r="AX26" s="118"/>
      <c r="AY26" s="118">
        <f>IFERROR(AVERAGE(Table110461117[[#This Row],[Column34]],Table110461117[[#This Row],[Column16]],Table110461117[[#This Row],[Column7]]),"0")</f>
        <v>1.8333333333333333</v>
      </c>
      <c r="AZ26" s="118">
        <f>IFERROR(AVERAGE(Table110461117[[#This Row],[Column35]],Table110461117[[#This Row],[Column17]],Table110461117[[#This Row],[Column8]]),"0")</f>
        <v>3</v>
      </c>
      <c r="BA26" s="116"/>
      <c r="BB26" s="118"/>
      <c r="BC26" s="118">
        <f>IFERROR(AVERAGE('Book Review'!AY26,Debate!AY26,'Case study'!AY26,Capstone!AY26),"A")</f>
        <v>2.25</v>
      </c>
      <c r="BD26" s="118">
        <f>IFERROR(AVERAGE('Book Review'!AZ26,Debate!AZ26,'Case study'!AZ26),"A")</f>
        <v>2</v>
      </c>
    </row>
    <row r="27" spans="1:56" s="109" customFormat="1" ht="23.1" customHeight="1" x14ac:dyDescent="0.3">
      <c r="A27" s="115">
        <v>25</v>
      </c>
      <c r="B27" s="49" t="s">
        <v>241</v>
      </c>
      <c r="C27" s="49" t="s">
        <v>242</v>
      </c>
      <c r="D27" s="49" t="s">
        <v>450</v>
      </c>
      <c r="E27" s="49" t="s">
        <v>161</v>
      </c>
      <c r="F27" s="117">
        <f>'Book Review'!K27</f>
        <v>2.25</v>
      </c>
      <c r="G27" s="117">
        <f>'Book Review'!Q27</f>
        <v>3.6</v>
      </c>
      <c r="H27" s="117">
        <f>'Book Review'!W27</f>
        <v>3</v>
      </c>
      <c r="I27" s="117"/>
      <c r="J27" s="117"/>
      <c r="K27" s="117">
        <f>'Book Review'!AO27</f>
        <v>3</v>
      </c>
      <c r="L27" s="117">
        <f>'Book Review'!AU27</f>
        <v>3</v>
      </c>
      <c r="M27" s="116"/>
      <c r="N27" s="117">
        <f>Debate!K27</f>
        <v>3</v>
      </c>
      <c r="O27" s="117">
        <f>Debate!Q27</f>
        <v>2.7</v>
      </c>
      <c r="P27" s="117"/>
      <c r="Q27" s="117">
        <f>Debate!AC27</f>
        <v>3</v>
      </c>
      <c r="R27" s="117"/>
      <c r="S27" s="117">
        <f>Debate!AO27</f>
        <v>4</v>
      </c>
      <c r="T27" s="117">
        <f>Debate!AU27</f>
        <v>3</v>
      </c>
      <c r="U27" s="116"/>
      <c r="V27" s="49"/>
      <c r="W27" s="117">
        <f>GD!Q27</f>
        <v>3.75</v>
      </c>
      <c r="X27" s="117">
        <f>GD!W27</f>
        <v>3</v>
      </c>
      <c r="Y27" s="117"/>
      <c r="Z27" s="117"/>
      <c r="AA27" s="49"/>
      <c r="AB27" s="117"/>
      <c r="AC27" s="116"/>
      <c r="AD27" s="117">
        <f>'Case study'!K27</f>
        <v>2.25</v>
      </c>
      <c r="AE27" s="117">
        <f>'Case study'!Q27</f>
        <v>3.6</v>
      </c>
      <c r="AF27" s="117">
        <f>'Case study'!W27</f>
        <v>3</v>
      </c>
      <c r="AG27" s="117"/>
      <c r="AH27" s="117"/>
      <c r="AI27" s="117">
        <f>'Case study'!AO27</f>
        <v>3</v>
      </c>
      <c r="AJ27" s="117">
        <f>'Case study'!AU27</f>
        <v>3</v>
      </c>
      <c r="AK27" s="116"/>
      <c r="AL27" s="117">
        <f>Capstone!K27</f>
        <v>2.1666666666666665</v>
      </c>
      <c r="AM27" s="117">
        <f>Capstone!Q28</f>
        <v>2.5</v>
      </c>
      <c r="AN27" s="117">
        <f>Capstone!W28</f>
        <v>3</v>
      </c>
      <c r="AO27" s="117"/>
      <c r="AP27" s="117"/>
      <c r="AQ27" s="117">
        <f>Capstone!AO28</f>
        <v>3</v>
      </c>
      <c r="AR27" s="117"/>
      <c r="AS27" s="116"/>
      <c r="AT27" s="117">
        <f>IFERROR(AVERAGE(Table110461117[[#This Row],[Column2]],Table110461117[[#This Row],[Column11]],Table110461117[[#This Row],[Column29]]),"0")</f>
        <v>2.5</v>
      </c>
      <c r="AU27" s="117">
        <f>IFERROR(AVERAGE(Table110461117[[#This Row],[Column3]],Table110461117[[#This Row],[Column12]],Table110461117[[#This Row],[Column21]],Table110461117[[#This Row],[Column30]]),"0")</f>
        <v>3.4125000000000001</v>
      </c>
      <c r="AV27" s="117">
        <f>IFERROR(AVERAGE(Table110461117[[#This Row],[Column31]],Table110461117[[#This Row],[Column22]],Table110461117[[#This Row],[Column4]]),"0")</f>
        <v>3</v>
      </c>
      <c r="AW27" s="117">
        <f>IFERROR(AVERAGE(Table110461117[[#This Row],[Column14]]),"0")</f>
        <v>3</v>
      </c>
      <c r="AX27" s="117"/>
      <c r="AY27" s="117">
        <f>IFERROR(AVERAGE(Table110461117[[#This Row],[Column34]],Table110461117[[#This Row],[Column16]],Table110461117[[#This Row],[Column7]]),"0")</f>
        <v>3.3333333333333335</v>
      </c>
      <c r="AZ27" s="117">
        <f>IFERROR(AVERAGE(Table110461117[[#This Row],[Column35]],Table110461117[[#This Row],[Column17]],Table110461117[[#This Row],[Column8]]),"0")</f>
        <v>3</v>
      </c>
      <c r="BA27" s="116"/>
      <c r="BB27" s="117"/>
      <c r="BC27" s="117">
        <f>IFERROR(AVERAGE('Book Review'!AY27,Debate!AY27,'Case study'!AY27,Capstone!AY27),"A")</f>
        <v>2.875</v>
      </c>
      <c r="BD27" s="117">
        <f>IFERROR(AVERAGE('Book Review'!AZ27,Debate!AZ27,'Case study'!AZ27),"A")</f>
        <v>3</v>
      </c>
    </row>
    <row r="28" spans="1:56" s="109" customFormat="1" ht="23.1" customHeight="1" x14ac:dyDescent="0.3">
      <c r="A28" s="6">
        <v>26</v>
      </c>
      <c r="B28" s="7" t="s">
        <v>298</v>
      </c>
      <c r="C28" s="7" t="s">
        <v>299</v>
      </c>
      <c r="D28" s="7" t="s">
        <v>542</v>
      </c>
      <c r="E28" s="7" t="s">
        <v>493</v>
      </c>
      <c r="F28" s="118">
        <f>'Book Review'!K28</f>
        <v>2</v>
      </c>
      <c r="G28" s="118">
        <f>'Book Review'!Q28</f>
        <v>2.4</v>
      </c>
      <c r="H28" s="118">
        <f>'Book Review'!W28</f>
        <v>3</v>
      </c>
      <c r="I28" s="118"/>
      <c r="J28" s="118"/>
      <c r="K28" s="118">
        <f>'Book Review'!AO28</f>
        <v>3</v>
      </c>
      <c r="L28" s="118">
        <f>'Book Review'!AU28</f>
        <v>3</v>
      </c>
      <c r="M28" s="116"/>
      <c r="N28" s="118">
        <f>Debate!K28</f>
        <v>3</v>
      </c>
      <c r="O28" s="118">
        <f>Debate!Q28</f>
        <v>2.4</v>
      </c>
      <c r="P28" s="118"/>
      <c r="Q28" s="118">
        <f>Debate!AC28</f>
        <v>2</v>
      </c>
      <c r="R28" s="118"/>
      <c r="S28" s="118">
        <f>Debate!AO28</f>
        <v>2.3333333333333335</v>
      </c>
      <c r="T28" s="118">
        <f>Debate!AU28</f>
        <v>3</v>
      </c>
      <c r="U28" s="116"/>
      <c r="V28" s="7"/>
      <c r="W28" s="118">
        <f>GD!Q28</f>
        <v>2.25</v>
      </c>
      <c r="X28" s="118">
        <f>GD!W28</f>
        <v>2</v>
      </c>
      <c r="Y28" s="118"/>
      <c r="Z28" s="118"/>
      <c r="AA28" s="7"/>
      <c r="AB28" s="118"/>
      <c r="AC28" s="116"/>
      <c r="AD28" s="118">
        <f>'Case study'!K28</f>
        <v>2</v>
      </c>
      <c r="AE28" s="118">
        <f>'Case study'!Q28</f>
        <v>2.4</v>
      </c>
      <c r="AF28" s="118">
        <f>'Case study'!W28</f>
        <v>3</v>
      </c>
      <c r="AG28" s="118"/>
      <c r="AH28" s="118"/>
      <c r="AI28" s="118">
        <f>'Case study'!AO28</f>
        <v>3</v>
      </c>
      <c r="AJ28" s="118">
        <f>'Case study'!AU28</f>
        <v>3</v>
      </c>
      <c r="AK28" s="116"/>
      <c r="AL28" s="118">
        <f>Capstone!K28</f>
        <v>2.6666666666666665</v>
      </c>
      <c r="AM28" s="118">
        <f>Capstone!Q29</f>
        <v>3.75</v>
      </c>
      <c r="AN28" s="118">
        <f>Capstone!W29</f>
        <v>3.5</v>
      </c>
      <c r="AO28" s="118"/>
      <c r="AP28" s="118"/>
      <c r="AQ28" s="118">
        <f>Capstone!AO29</f>
        <v>4.25</v>
      </c>
      <c r="AR28" s="118"/>
      <c r="AS28" s="116"/>
      <c r="AT28" s="118">
        <f>IFERROR(AVERAGE(Table110461117[[#This Row],[Column2]],Table110461117[[#This Row],[Column11]],Table110461117[[#This Row],[Column29]]),"0")</f>
        <v>2.3333333333333335</v>
      </c>
      <c r="AU28" s="118">
        <f>IFERROR(AVERAGE(Table110461117[[#This Row],[Column3]],Table110461117[[#This Row],[Column12]],Table110461117[[#This Row],[Column21]],Table110461117[[#This Row],[Column30]]),"0")</f>
        <v>2.3624999999999998</v>
      </c>
      <c r="AV28" s="118">
        <f>IFERROR(AVERAGE(Table110461117[[#This Row],[Column31]],Table110461117[[#This Row],[Column22]],Table110461117[[#This Row],[Column4]]),"0")</f>
        <v>2.6666666666666665</v>
      </c>
      <c r="AW28" s="118">
        <f>IFERROR(AVERAGE(Table110461117[[#This Row],[Column14]]),"0")</f>
        <v>2</v>
      </c>
      <c r="AX28" s="118"/>
      <c r="AY28" s="118">
        <f>IFERROR(AVERAGE(Table110461117[[#This Row],[Column34]],Table110461117[[#This Row],[Column16]],Table110461117[[#This Row],[Column7]]),"0")</f>
        <v>2.7777777777777781</v>
      </c>
      <c r="AZ28" s="118">
        <f>IFERROR(AVERAGE(Table110461117[[#This Row],[Column35]],Table110461117[[#This Row],[Column17]],Table110461117[[#This Row],[Column8]]),"0")</f>
        <v>3</v>
      </c>
      <c r="BA28" s="116"/>
      <c r="BB28" s="118"/>
      <c r="BC28" s="118">
        <f>IFERROR(AVERAGE('Book Review'!AY28,Debate!AY28,'Case study'!AY28,Capstone!AY28),"A")</f>
        <v>2.75</v>
      </c>
      <c r="BD28" s="118">
        <f>IFERROR(AVERAGE('Book Review'!AZ28,Debate!AZ28,'Case study'!AZ28),"A")</f>
        <v>2.3333333333333335</v>
      </c>
    </row>
    <row r="29" spans="1:56" s="109" customFormat="1" ht="23.1" customHeight="1" x14ac:dyDescent="0.3">
      <c r="A29" s="115">
        <v>27</v>
      </c>
      <c r="B29" s="49" t="s">
        <v>257</v>
      </c>
      <c r="C29" s="49" t="s">
        <v>258</v>
      </c>
      <c r="D29" s="49" t="s">
        <v>450</v>
      </c>
      <c r="E29" s="49" t="s">
        <v>161</v>
      </c>
      <c r="F29" s="117">
        <f>'Book Review'!K29</f>
        <v>3.875</v>
      </c>
      <c r="G29" s="117">
        <f>'Book Review'!Q29</f>
        <v>3.9</v>
      </c>
      <c r="H29" s="117">
        <f>'Book Review'!W29</f>
        <v>3.5</v>
      </c>
      <c r="I29" s="117"/>
      <c r="J29" s="117"/>
      <c r="K29" s="117">
        <f>'Book Review'!AO29</f>
        <v>4</v>
      </c>
      <c r="L29" s="117">
        <f>'Book Review'!AU29</f>
        <v>4</v>
      </c>
      <c r="M29" s="116"/>
      <c r="N29" s="117">
        <f>Debate!K29</f>
        <v>4</v>
      </c>
      <c r="O29" s="117">
        <f>Debate!Q29</f>
        <v>4</v>
      </c>
      <c r="P29" s="117"/>
      <c r="Q29" s="117">
        <f>Debate!AC29</f>
        <v>4</v>
      </c>
      <c r="R29" s="117"/>
      <c r="S29" s="117">
        <f>Debate!AO29</f>
        <v>3.8333333333333335</v>
      </c>
      <c r="T29" s="117">
        <f>Debate!AU29</f>
        <v>4</v>
      </c>
      <c r="U29" s="116"/>
      <c r="V29" s="49"/>
      <c r="W29" s="117">
        <f>GD!Q29</f>
        <v>4</v>
      </c>
      <c r="X29" s="117">
        <f>GD!W29</f>
        <v>4</v>
      </c>
      <c r="Y29" s="117"/>
      <c r="Z29" s="117"/>
      <c r="AA29" s="49"/>
      <c r="AB29" s="117"/>
      <c r="AC29" s="116"/>
      <c r="AD29" s="117">
        <f>'Case study'!K29</f>
        <v>3.875</v>
      </c>
      <c r="AE29" s="117">
        <f>'Case study'!Q29</f>
        <v>3.9</v>
      </c>
      <c r="AF29" s="117">
        <f>'Case study'!W29</f>
        <v>3.5</v>
      </c>
      <c r="AG29" s="117"/>
      <c r="AH29" s="117"/>
      <c r="AI29" s="117">
        <f>'Case study'!AO29</f>
        <v>3.75</v>
      </c>
      <c r="AJ29" s="117">
        <f>'Case study'!AU29</f>
        <v>4</v>
      </c>
      <c r="AK29" s="116"/>
      <c r="AL29" s="117">
        <f>Capstone!K29</f>
        <v>4.333333333333333</v>
      </c>
      <c r="AM29" s="117">
        <f>Capstone!Q30</f>
        <v>4</v>
      </c>
      <c r="AN29" s="117">
        <f>Capstone!W30</f>
        <v>2</v>
      </c>
      <c r="AO29" s="117"/>
      <c r="AP29" s="117"/>
      <c r="AQ29" s="117">
        <f>Capstone!AO30</f>
        <v>4.5</v>
      </c>
      <c r="AR29" s="117"/>
      <c r="AS29" s="116"/>
      <c r="AT29" s="117">
        <f>IFERROR(AVERAGE(Table110461117[[#This Row],[Column2]],Table110461117[[#This Row],[Column11]],Table110461117[[#This Row],[Column29]]),"0")</f>
        <v>3.9166666666666665</v>
      </c>
      <c r="AU29" s="117">
        <f>IFERROR(AVERAGE(Table110461117[[#This Row],[Column3]],Table110461117[[#This Row],[Column12]],Table110461117[[#This Row],[Column21]],Table110461117[[#This Row],[Column30]]),"0")</f>
        <v>3.95</v>
      </c>
      <c r="AV29" s="117">
        <f>IFERROR(AVERAGE(Table110461117[[#This Row],[Column31]],Table110461117[[#This Row],[Column22]],Table110461117[[#This Row],[Column4]]),"0")</f>
        <v>3.6666666666666665</v>
      </c>
      <c r="AW29" s="117">
        <f>IFERROR(AVERAGE(Table110461117[[#This Row],[Column14]]),"0")</f>
        <v>4</v>
      </c>
      <c r="AX29" s="117"/>
      <c r="AY29" s="117">
        <f>IFERROR(AVERAGE(Table110461117[[#This Row],[Column34]],Table110461117[[#This Row],[Column16]],Table110461117[[#This Row],[Column7]]),"0")</f>
        <v>3.8611111111111112</v>
      </c>
      <c r="AZ29" s="117">
        <f>IFERROR(AVERAGE(Table110461117[[#This Row],[Column35]],Table110461117[[#This Row],[Column17]],Table110461117[[#This Row],[Column8]]),"0")</f>
        <v>4</v>
      </c>
      <c r="BA29" s="116"/>
      <c r="BB29" s="117"/>
      <c r="BC29" s="117">
        <f>IFERROR(AVERAGE('Book Review'!AY29,Debate!AY29,'Case study'!AY29,Capstone!AY29),"A")</f>
        <v>4</v>
      </c>
      <c r="BD29" s="117">
        <f>IFERROR(AVERAGE('Book Review'!AZ29,Debate!AZ29,'Case study'!AZ29),"A")</f>
        <v>4</v>
      </c>
    </row>
    <row r="30" spans="1:56" s="109" customFormat="1" ht="23.1" customHeight="1" x14ac:dyDescent="0.3">
      <c r="A30" s="6">
        <v>28</v>
      </c>
      <c r="B30" s="7" t="s">
        <v>66</v>
      </c>
      <c r="C30" s="7" t="s">
        <v>67</v>
      </c>
      <c r="D30" s="7" t="s">
        <v>450</v>
      </c>
      <c r="E30" s="7" t="s">
        <v>35</v>
      </c>
      <c r="F30" s="118">
        <f>'Book Review'!K30</f>
        <v>2</v>
      </c>
      <c r="G30" s="118">
        <f>'Book Review'!Q30</f>
        <v>2.6</v>
      </c>
      <c r="H30" s="118">
        <f>'Book Review'!W30</f>
        <v>2</v>
      </c>
      <c r="I30" s="118"/>
      <c r="J30" s="118"/>
      <c r="K30" s="118">
        <f>'Book Review'!AO30</f>
        <v>2.5</v>
      </c>
      <c r="L30" s="118">
        <f>'Book Review'!AU30</f>
        <v>3</v>
      </c>
      <c r="M30" s="116"/>
      <c r="N30" s="118">
        <f>Debate!K30</f>
        <v>2</v>
      </c>
      <c r="O30" s="118">
        <f>Debate!Q30</f>
        <v>2.1</v>
      </c>
      <c r="P30" s="118"/>
      <c r="Q30" s="118">
        <f>Debate!AC30</f>
        <v>3</v>
      </c>
      <c r="R30" s="118"/>
      <c r="S30" s="118">
        <f>Debate!AO30</f>
        <v>2.6666666666666665</v>
      </c>
      <c r="T30" s="118">
        <f>Debate!AU30</f>
        <v>3</v>
      </c>
      <c r="U30" s="116"/>
      <c r="V30" s="7"/>
      <c r="W30" s="118">
        <f>GD!Q30</f>
        <v>2.5</v>
      </c>
      <c r="X30" s="118">
        <f>GD!W30</f>
        <v>2</v>
      </c>
      <c r="Y30" s="118"/>
      <c r="Z30" s="118"/>
      <c r="AA30" s="7"/>
      <c r="AB30" s="118"/>
      <c r="AC30" s="116"/>
      <c r="AD30" s="118">
        <f>'Case study'!K30</f>
        <v>2</v>
      </c>
      <c r="AE30" s="118">
        <f>'Case study'!Q30</f>
        <v>2.6</v>
      </c>
      <c r="AF30" s="118">
        <f>'Case study'!W30</f>
        <v>2</v>
      </c>
      <c r="AG30" s="118"/>
      <c r="AH30" s="118"/>
      <c r="AI30" s="118">
        <f>'Case study'!AO30</f>
        <v>2.5</v>
      </c>
      <c r="AJ30" s="118">
        <f>'Case study'!AU30</f>
        <v>3</v>
      </c>
      <c r="AK30" s="116"/>
      <c r="AL30" s="118">
        <f>Capstone!K30</f>
        <v>4</v>
      </c>
      <c r="AM30" s="118">
        <f>Capstone!Q31</f>
        <v>4</v>
      </c>
      <c r="AN30" s="118">
        <f>Capstone!W31</f>
        <v>2</v>
      </c>
      <c r="AO30" s="118"/>
      <c r="AP30" s="118"/>
      <c r="AQ30" s="118">
        <f>Capstone!AO31</f>
        <v>3.5</v>
      </c>
      <c r="AR30" s="118"/>
      <c r="AS30" s="116"/>
      <c r="AT30" s="118">
        <f>IFERROR(AVERAGE(Table110461117[[#This Row],[Column2]],Table110461117[[#This Row],[Column11]],Table110461117[[#This Row],[Column29]]),"0")</f>
        <v>2</v>
      </c>
      <c r="AU30" s="118">
        <f>IFERROR(AVERAGE(Table110461117[[#This Row],[Column3]],Table110461117[[#This Row],[Column12]],Table110461117[[#This Row],[Column21]],Table110461117[[#This Row],[Column30]]),"0")</f>
        <v>2.4500000000000002</v>
      </c>
      <c r="AV30" s="118">
        <f>IFERROR(AVERAGE(Table110461117[[#This Row],[Column31]],Table110461117[[#This Row],[Column22]],Table110461117[[#This Row],[Column4]]),"0")</f>
        <v>2</v>
      </c>
      <c r="AW30" s="118">
        <f>IFERROR(AVERAGE(Table110461117[[#This Row],[Column14]]),"0")</f>
        <v>3</v>
      </c>
      <c r="AX30" s="118"/>
      <c r="AY30" s="118">
        <f>IFERROR(AVERAGE(Table110461117[[#This Row],[Column34]],Table110461117[[#This Row],[Column16]],Table110461117[[#This Row],[Column7]]),"0")</f>
        <v>2.5555555555555554</v>
      </c>
      <c r="AZ30" s="118">
        <f>IFERROR(AVERAGE(Table110461117[[#This Row],[Column35]],Table110461117[[#This Row],[Column17]],Table110461117[[#This Row],[Column8]]),"0")</f>
        <v>3</v>
      </c>
      <c r="BA30" s="116"/>
      <c r="BB30" s="118"/>
      <c r="BC30" s="118">
        <f>IFERROR(AVERAGE('Book Review'!AY30,Debate!AY30,'Case study'!AY30,Capstone!AY30),"A")</f>
        <v>3.25</v>
      </c>
      <c r="BD30" s="118">
        <f>IFERROR(AVERAGE('Book Review'!AZ30,Debate!AZ30,'Case study'!AZ30),"A")</f>
        <v>3.3333333333333335</v>
      </c>
    </row>
    <row r="31" spans="1:56" s="109" customFormat="1" ht="23.1" customHeight="1" x14ac:dyDescent="0.3">
      <c r="A31" s="115">
        <v>29</v>
      </c>
      <c r="B31" s="49" t="s">
        <v>300</v>
      </c>
      <c r="C31" s="49" t="s">
        <v>301</v>
      </c>
      <c r="D31" s="49" t="s">
        <v>450</v>
      </c>
      <c r="E31" s="49" t="s">
        <v>493</v>
      </c>
      <c r="F31" s="117">
        <f>'Book Review'!K31</f>
        <v>2</v>
      </c>
      <c r="G31" s="117">
        <f>'Book Review'!Q31</f>
        <v>1.8</v>
      </c>
      <c r="H31" s="117">
        <f>'Book Review'!W31</f>
        <v>2</v>
      </c>
      <c r="I31" s="117"/>
      <c r="J31" s="117"/>
      <c r="K31" s="117">
        <f>'Book Review'!AO31</f>
        <v>2</v>
      </c>
      <c r="L31" s="117">
        <f>'Book Review'!AU31</f>
        <v>2</v>
      </c>
      <c r="M31" s="116"/>
      <c r="N31" s="117">
        <f>Debate!K31</f>
        <v>2</v>
      </c>
      <c r="O31" s="117">
        <f>Debate!Q31</f>
        <v>2</v>
      </c>
      <c r="P31" s="117"/>
      <c r="Q31" s="117">
        <f>Debate!AC31</f>
        <v>2</v>
      </c>
      <c r="R31" s="117"/>
      <c r="S31" s="117">
        <f>Debate!AO31</f>
        <v>1.6666666666666667</v>
      </c>
      <c r="T31" s="117">
        <f>Debate!AU31</f>
        <v>2</v>
      </c>
      <c r="U31" s="116"/>
      <c r="V31" s="49"/>
      <c r="W31" s="117">
        <f>GD!Q31</f>
        <v>1.75</v>
      </c>
      <c r="X31" s="117">
        <f>GD!W31</f>
        <v>2</v>
      </c>
      <c r="Y31" s="117"/>
      <c r="Z31" s="117"/>
      <c r="AA31" s="49"/>
      <c r="AB31" s="117"/>
      <c r="AC31" s="116"/>
      <c r="AD31" s="117">
        <f>'Case study'!K31</f>
        <v>2</v>
      </c>
      <c r="AE31" s="117">
        <f>'Case study'!Q31</f>
        <v>1.8</v>
      </c>
      <c r="AF31" s="117">
        <f>'Case study'!W31</f>
        <v>2</v>
      </c>
      <c r="AG31" s="117"/>
      <c r="AH31" s="117"/>
      <c r="AI31" s="117">
        <f>'Case study'!AO31</f>
        <v>2</v>
      </c>
      <c r="AJ31" s="117">
        <f>'Case study'!AU31</f>
        <v>3</v>
      </c>
      <c r="AK31" s="116"/>
      <c r="AL31" s="117">
        <f>Capstone!K31</f>
        <v>3.6666666666666665</v>
      </c>
      <c r="AM31" s="117">
        <f>Capstone!Q32</f>
        <v>3</v>
      </c>
      <c r="AN31" s="117">
        <f>Capstone!W32</f>
        <v>2</v>
      </c>
      <c r="AO31" s="117"/>
      <c r="AP31" s="117"/>
      <c r="AQ31" s="117">
        <f>Capstone!AO32</f>
        <v>3</v>
      </c>
      <c r="AR31" s="117"/>
      <c r="AS31" s="116"/>
      <c r="AT31" s="117">
        <f>IFERROR(AVERAGE(Table110461117[[#This Row],[Column2]],Table110461117[[#This Row],[Column11]],Table110461117[[#This Row],[Column29]]),"0")</f>
        <v>2</v>
      </c>
      <c r="AU31" s="117">
        <f>IFERROR(AVERAGE(Table110461117[[#This Row],[Column3]],Table110461117[[#This Row],[Column12]],Table110461117[[#This Row],[Column21]],Table110461117[[#This Row],[Column30]]),"0")</f>
        <v>1.8374999999999999</v>
      </c>
      <c r="AV31" s="117">
        <f>IFERROR(AVERAGE(Table110461117[[#This Row],[Column31]],Table110461117[[#This Row],[Column22]],Table110461117[[#This Row],[Column4]]),"0")</f>
        <v>2</v>
      </c>
      <c r="AW31" s="117">
        <f>IFERROR(AVERAGE(Table110461117[[#This Row],[Column14]]),"0")</f>
        <v>2</v>
      </c>
      <c r="AX31" s="117"/>
      <c r="AY31" s="117">
        <f>IFERROR(AVERAGE(Table110461117[[#This Row],[Column34]],Table110461117[[#This Row],[Column16]],Table110461117[[#This Row],[Column7]]),"0")</f>
        <v>1.8888888888888891</v>
      </c>
      <c r="AZ31" s="117">
        <f>IFERROR(AVERAGE(Table110461117[[#This Row],[Column35]],Table110461117[[#This Row],[Column17]],Table110461117[[#This Row],[Column8]]),"0")</f>
        <v>2.3333333333333335</v>
      </c>
      <c r="BA31" s="116"/>
      <c r="BB31" s="117"/>
      <c r="BC31" s="117">
        <f>IFERROR(AVERAGE('Book Review'!AY31,Debate!AY31,'Case study'!AY31,Capstone!AY31),"A")</f>
        <v>3</v>
      </c>
      <c r="BD31" s="117">
        <f>IFERROR(AVERAGE('Book Review'!AZ31,Debate!AZ31,'Case study'!AZ31),"A")</f>
        <v>2.6666666666666665</v>
      </c>
    </row>
    <row r="32" spans="1:56" s="109" customFormat="1" ht="23.1" customHeight="1" x14ac:dyDescent="0.3">
      <c r="A32" s="6">
        <v>30</v>
      </c>
      <c r="B32" s="7" t="s">
        <v>40</v>
      </c>
      <c r="C32" s="7" t="s">
        <v>41</v>
      </c>
      <c r="D32" s="7" t="s">
        <v>450</v>
      </c>
      <c r="E32" s="7" t="s">
        <v>35</v>
      </c>
      <c r="F32" s="118">
        <f>'Book Review'!K32</f>
        <v>2.5</v>
      </c>
      <c r="G32" s="118">
        <f>'Book Review'!Q32</f>
        <v>3.4</v>
      </c>
      <c r="H32" s="118">
        <f>'Book Review'!W32</f>
        <v>2</v>
      </c>
      <c r="I32" s="118"/>
      <c r="J32" s="118"/>
      <c r="K32" s="118">
        <f>'Book Review'!AO32</f>
        <v>3</v>
      </c>
      <c r="L32" s="118">
        <f>'Book Review'!AU32</f>
        <v>3</v>
      </c>
      <c r="M32" s="116"/>
      <c r="N32" s="118">
        <f>Debate!K32</f>
        <v>3</v>
      </c>
      <c r="O32" s="118">
        <f>Debate!Q32</f>
        <v>2.6</v>
      </c>
      <c r="P32" s="118"/>
      <c r="Q32" s="118">
        <f>Debate!AC32</f>
        <v>3</v>
      </c>
      <c r="R32" s="118"/>
      <c r="S32" s="118">
        <f>Debate!AO32</f>
        <v>3.6666666666666665</v>
      </c>
      <c r="T32" s="118">
        <f>Debate!AU32</f>
        <v>3</v>
      </c>
      <c r="U32" s="116"/>
      <c r="V32" s="7"/>
      <c r="W32" s="118">
        <f>GD!Q32</f>
        <v>3.5</v>
      </c>
      <c r="X32" s="118">
        <f>GD!W32</f>
        <v>3</v>
      </c>
      <c r="Y32" s="118"/>
      <c r="Z32" s="118"/>
      <c r="AA32" s="7"/>
      <c r="AB32" s="118"/>
      <c r="AC32" s="116"/>
      <c r="AD32" s="118">
        <f>'Case study'!K32</f>
        <v>2.5</v>
      </c>
      <c r="AE32" s="118">
        <f>'Case study'!Q32</f>
        <v>3.4</v>
      </c>
      <c r="AF32" s="118">
        <f>'Case study'!W32</f>
        <v>2</v>
      </c>
      <c r="AG32" s="118"/>
      <c r="AH32" s="118"/>
      <c r="AI32" s="118">
        <f>'Case study'!AO32</f>
        <v>2.75</v>
      </c>
      <c r="AJ32" s="118">
        <f>'Case study'!AU32</f>
        <v>3</v>
      </c>
      <c r="AK32" s="116"/>
      <c r="AL32" s="118">
        <f>Capstone!K32</f>
        <v>3</v>
      </c>
      <c r="AM32" s="118">
        <f>Capstone!Q33</f>
        <v>3.5</v>
      </c>
      <c r="AN32" s="118">
        <f>Capstone!W33</f>
        <v>3</v>
      </c>
      <c r="AO32" s="118"/>
      <c r="AP32" s="118"/>
      <c r="AQ32" s="118">
        <f>Capstone!AO33</f>
        <v>2</v>
      </c>
      <c r="AR32" s="118"/>
      <c r="AS32" s="116"/>
      <c r="AT32" s="118">
        <f>IFERROR(AVERAGE(Table110461117[[#This Row],[Column2]],Table110461117[[#This Row],[Column11]],Table110461117[[#This Row],[Column29]]),"0")</f>
        <v>2.6666666666666665</v>
      </c>
      <c r="AU32" s="118">
        <f>IFERROR(AVERAGE(Table110461117[[#This Row],[Column3]],Table110461117[[#This Row],[Column12]],Table110461117[[#This Row],[Column21]],Table110461117[[#This Row],[Column30]]),"0")</f>
        <v>3.2250000000000001</v>
      </c>
      <c r="AV32" s="118">
        <f>IFERROR(AVERAGE(Table110461117[[#This Row],[Column31]],Table110461117[[#This Row],[Column22]],Table110461117[[#This Row],[Column4]]),"0")</f>
        <v>2.3333333333333335</v>
      </c>
      <c r="AW32" s="118">
        <f>IFERROR(AVERAGE(Table110461117[[#This Row],[Column14]]),"0")</f>
        <v>3</v>
      </c>
      <c r="AX32" s="118"/>
      <c r="AY32" s="118">
        <f>IFERROR(AVERAGE(Table110461117[[#This Row],[Column34]],Table110461117[[#This Row],[Column16]],Table110461117[[#This Row],[Column7]]),"0")</f>
        <v>3.1388888888888888</v>
      </c>
      <c r="AZ32" s="118">
        <f>IFERROR(AVERAGE(Table110461117[[#This Row],[Column35]],Table110461117[[#This Row],[Column17]],Table110461117[[#This Row],[Column8]]),"0")</f>
        <v>3</v>
      </c>
      <c r="BA32" s="116"/>
      <c r="BB32" s="118"/>
      <c r="BC32" s="118">
        <f>IFERROR(AVERAGE('Book Review'!AY32,Debate!AY32,'Case study'!AY32,Capstone!AY32),"A")</f>
        <v>2.625</v>
      </c>
      <c r="BD32" s="118">
        <f>IFERROR(AVERAGE('Book Review'!AZ32,Debate!AZ32,'Case study'!AZ32),"A")</f>
        <v>2.3333333333333335</v>
      </c>
    </row>
    <row r="33" spans="1:56" s="109" customFormat="1" ht="23.1" customHeight="1" x14ac:dyDescent="0.3">
      <c r="A33" s="115">
        <v>31</v>
      </c>
      <c r="B33" s="49" t="s">
        <v>110</v>
      </c>
      <c r="C33" s="49" t="s">
        <v>111</v>
      </c>
      <c r="D33" s="49" t="s">
        <v>450</v>
      </c>
      <c r="E33" s="49" t="s">
        <v>35</v>
      </c>
      <c r="F33" s="117">
        <f>'Book Review'!K33</f>
        <v>3.25</v>
      </c>
      <c r="G33" s="117">
        <f>'Book Review'!Q33</f>
        <v>3.2</v>
      </c>
      <c r="H33" s="117">
        <f>'Book Review'!W33</f>
        <v>3</v>
      </c>
      <c r="I33" s="117"/>
      <c r="J33" s="117"/>
      <c r="K33" s="117">
        <f>'Book Review'!AO33</f>
        <v>3</v>
      </c>
      <c r="L33" s="117">
        <f>'Book Review'!AU33</f>
        <v>3</v>
      </c>
      <c r="M33" s="116"/>
      <c r="N33" s="117">
        <f>Debate!K33</f>
        <v>3</v>
      </c>
      <c r="O33" s="117">
        <f>Debate!Q33</f>
        <v>3.2</v>
      </c>
      <c r="P33" s="117"/>
      <c r="Q33" s="117">
        <f>Debate!AC33</f>
        <v>3</v>
      </c>
      <c r="R33" s="117"/>
      <c r="S33" s="117">
        <f>Debate!AO33</f>
        <v>3.3333333333333335</v>
      </c>
      <c r="T33" s="117">
        <f>Debate!AU33</f>
        <v>3</v>
      </c>
      <c r="U33" s="116"/>
      <c r="V33" s="49"/>
      <c r="W33" s="117">
        <f>GD!Q33</f>
        <v>3.5</v>
      </c>
      <c r="X33" s="117">
        <f>GD!W33</f>
        <v>3</v>
      </c>
      <c r="Y33" s="117"/>
      <c r="Z33" s="117"/>
      <c r="AA33" s="49"/>
      <c r="AB33" s="117"/>
      <c r="AC33" s="116"/>
      <c r="AD33" s="117">
        <f>'Case study'!K33</f>
        <v>3.25</v>
      </c>
      <c r="AE33" s="117">
        <f>'Case study'!Q33</f>
        <v>3.2</v>
      </c>
      <c r="AF33" s="117">
        <f>'Case study'!W33</f>
        <v>3</v>
      </c>
      <c r="AG33" s="117"/>
      <c r="AH33" s="117"/>
      <c r="AI33" s="117">
        <f>'Case study'!AO33</f>
        <v>3</v>
      </c>
      <c r="AJ33" s="117">
        <f>'Case study'!AU33</f>
        <v>3</v>
      </c>
      <c r="AK33" s="116"/>
      <c r="AL33" s="117">
        <f>Capstone!K33</f>
        <v>2.6666666666666665</v>
      </c>
      <c r="AM33" s="117">
        <f>Capstone!Q34</f>
        <v>2</v>
      </c>
      <c r="AN33" s="117">
        <f>Capstone!W34</f>
        <v>3</v>
      </c>
      <c r="AO33" s="117"/>
      <c r="AP33" s="117"/>
      <c r="AQ33" s="117">
        <f>Capstone!AO34</f>
        <v>2.25</v>
      </c>
      <c r="AR33" s="117"/>
      <c r="AS33" s="116"/>
      <c r="AT33" s="117">
        <f>IFERROR(AVERAGE(Table110461117[[#This Row],[Column2]],Table110461117[[#This Row],[Column11]],Table110461117[[#This Row],[Column29]]),"0")</f>
        <v>3.1666666666666665</v>
      </c>
      <c r="AU33" s="117">
        <f>IFERROR(AVERAGE(Table110461117[[#This Row],[Column3]],Table110461117[[#This Row],[Column12]],Table110461117[[#This Row],[Column21]],Table110461117[[#This Row],[Column30]]),"0")</f>
        <v>3.2750000000000004</v>
      </c>
      <c r="AV33" s="117">
        <f>IFERROR(AVERAGE(Table110461117[[#This Row],[Column31]],Table110461117[[#This Row],[Column22]],Table110461117[[#This Row],[Column4]]),"0")</f>
        <v>3</v>
      </c>
      <c r="AW33" s="117">
        <f>IFERROR(AVERAGE(Table110461117[[#This Row],[Column14]]),"0")</f>
        <v>3</v>
      </c>
      <c r="AX33" s="117"/>
      <c r="AY33" s="117">
        <f>IFERROR(AVERAGE(Table110461117[[#This Row],[Column34]],Table110461117[[#This Row],[Column16]],Table110461117[[#This Row],[Column7]]),"0")</f>
        <v>3.1111111111111112</v>
      </c>
      <c r="AZ33" s="117">
        <f>IFERROR(AVERAGE(Table110461117[[#This Row],[Column35]],Table110461117[[#This Row],[Column17]],Table110461117[[#This Row],[Column8]]),"0")</f>
        <v>3</v>
      </c>
      <c r="BA33" s="116"/>
      <c r="BB33" s="117"/>
      <c r="BC33" s="117">
        <f>IFERROR(AVERAGE('Book Review'!AY33,Debate!AY33,'Case study'!AY33,Capstone!AY33),"A")</f>
        <v>3.25</v>
      </c>
      <c r="BD33" s="117">
        <f>IFERROR(AVERAGE('Book Review'!AZ33,Debate!AZ33,'Case study'!AZ33),"A")</f>
        <v>3.6666666666666665</v>
      </c>
    </row>
    <row r="34" spans="1:56" s="109" customFormat="1" ht="23.1" customHeight="1" x14ac:dyDescent="0.3">
      <c r="A34" s="6">
        <v>32</v>
      </c>
      <c r="B34" s="7" t="s">
        <v>243</v>
      </c>
      <c r="C34" s="7" t="s">
        <v>244</v>
      </c>
      <c r="D34" s="7" t="s">
        <v>542</v>
      </c>
      <c r="E34" s="7" t="s">
        <v>161</v>
      </c>
      <c r="F34" s="118">
        <f>'Book Review'!K34</f>
        <v>3</v>
      </c>
      <c r="G34" s="118">
        <f>'Book Review'!Q34</f>
        <v>3</v>
      </c>
      <c r="H34" s="118">
        <f>'Book Review'!W34</f>
        <v>3</v>
      </c>
      <c r="I34" s="118"/>
      <c r="J34" s="118"/>
      <c r="K34" s="118">
        <f>'Book Review'!AO34</f>
        <v>3</v>
      </c>
      <c r="L34" s="118">
        <f>'Book Review'!AU34</f>
        <v>3</v>
      </c>
      <c r="M34" s="116"/>
      <c r="N34" s="118">
        <f>Debate!K34</f>
        <v>3</v>
      </c>
      <c r="O34" s="118">
        <f>Debate!Q34</f>
        <v>3</v>
      </c>
      <c r="P34" s="118"/>
      <c r="Q34" s="118">
        <f>Debate!AC34</f>
        <v>3</v>
      </c>
      <c r="R34" s="118"/>
      <c r="S34" s="118">
        <f>Debate!AO34</f>
        <v>3</v>
      </c>
      <c r="T34" s="118">
        <f>Debate!AU34</f>
        <v>3</v>
      </c>
      <c r="U34" s="116"/>
      <c r="V34" s="7"/>
      <c r="W34" s="118">
        <f>GD!Q34</f>
        <v>3</v>
      </c>
      <c r="X34" s="118">
        <f>GD!W34</f>
        <v>3</v>
      </c>
      <c r="Y34" s="118"/>
      <c r="Z34" s="118"/>
      <c r="AA34" s="7"/>
      <c r="AB34" s="118"/>
      <c r="AC34" s="116"/>
      <c r="AD34" s="118">
        <f>'Case study'!K34</f>
        <v>3</v>
      </c>
      <c r="AE34" s="118">
        <f>'Case study'!Q34</f>
        <v>3</v>
      </c>
      <c r="AF34" s="118">
        <f>'Case study'!W34</f>
        <v>3</v>
      </c>
      <c r="AG34" s="118"/>
      <c r="AH34" s="118"/>
      <c r="AI34" s="118">
        <f>'Case study'!AO34</f>
        <v>3</v>
      </c>
      <c r="AJ34" s="118">
        <f>'Case study'!AU34</f>
        <v>3</v>
      </c>
      <c r="AK34" s="116"/>
      <c r="AL34" s="118">
        <f>Capstone!K34</f>
        <v>3</v>
      </c>
      <c r="AM34" s="118">
        <f>Capstone!Q35</f>
        <v>3</v>
      </c>
      <c r="AN34" s="118">
        <f>Capstone!W35</f>
        <v>3</v>
      </c>
      <c r="AO34" s="118"/>
      <c r="AP34" s="118"/>
      <c r="AQ34" s="118">
        <f>Capstone!AO35</f>
        <v>4.25</v>
      </c>
      <c r="AR34" s="118"/>
      <c r="AS34" s="116"/>
      <c r="AT34" s="118">
        <f>IFERROR(AVERAGE(Table110461117[[#This Row],[Column2]],Table110461117[[#This Row],[Column11]],Table110461117[[#This Row],[Column29]]),"0")</f>
        <v>3</v>
      </c>
      <c r="AU34" s="118">
        <f>IFERROR(AVERAGE(Table110461117[[#This Row],[Column3]],Table110461117[[#This Row],[Column12]],Table110461117[[#This Row],[Column21]],Table110461117[[#This Row],[Column30]]),"0")</f>
        <v>3</v>
      </c>
      <c r="AV34" s="118">
        <f>IFERROR(AVERAGE(Table110461117[[#This Row],[Column31]],Table110461117[[#This Row],[Column22]],Table110461117[[#This Row],[Column4]]),"0")</f>
        <v>3</v>
      </c>
      <c r="AW34" s="118">
        <f>IFERROR(AVERAGE(Table110461117[[#This Row],[Column14]]),"0")</f>
        <v>3</v>
      </c>
      <c r="AX34" s="118"/>
      <c r="AY34" s="118">
        <f>IFERROR(AVERAGE(Table110461117[[#This Row],[Column34]],Table110461117[[#This Row],[Column16]],Table110461117[[#This Row],[Column7]]),"0")</f>
        <v>3</v>
      </c>
      <c r="AZ34" s="118">
        <f>IFERROR(AVERAGE(Table110461117[[#This Row],[Column35]],Table110461117[[#This Row],[Column17]],Table110461117[[#This Row],[Column8]]),"0")</f>
        <v>3</v>
      </c>
      <c r="BA34" s="116"/>
      <c r="BB34" s="118"/>
      <c r="BC34" s="118">
        <f>IFERROR(AVERAGE('Book Review'!AY34,Debate!AY34,'Case study'!AY34,Capstone!AY34),"A")</f>
        <v>3</v>
      </c>
      <c r="BD34" s="118">
        <f>IFERROR(AVERAGE('Book Review'!AZ34,Debate!AZ34,'Case study'!AZ34),"A")</f>
        <v>3.3333333333333335</v>
      </c>
    </row>
    <row r="35" spans="1:56" s="109" customFormat="1" ht="23.1" customHeight="1" x14ac:dyDescent="0.3">
      <c r="A35" s="115">
        <v>33</v>
      </c>
      <c r="B35" s="49" t="s">
        <v>211</v>
      </c>
      <c r="C35" s="49" t="s">
        <v>212</v>
      </c>
      <c r="D35" s="49" t="s">
        <v>542</v>
      </c>
      <c r="E35" s="49" t="s">
        <v>161</v>
      </c>
      <c r="F35" s="117">
        <f>'Book Review'!K35</f>
        <v>2.875</v>
      </c>
      <c r="G35" s="117">
        <f>'Book Review'!Q35</f>
        <v>2.9</v>
      </c>
      <c r="H35" s="117">
        <f>'Book Review'!W35</f>
        <v>3</v>
      </c>
      <c r="I35" s="117"/>
      <c r="J35" s="117"/>
      <c r="K35" s="117">
        <f>'Book Review'!AO35</f>
        <v>2.75</v>
      </c>
      <c r="L35" s="117">
        <f>'Book Review'!AU35</f>
        <v>3</v>
      </c>
      <c r="M35" s="116"/>
      <c r="N35" s="117">
        <f>Debate!K35</f>
        <v>3</v>
      </c>
      <c r="O35" s="117">
        <f>Debate!Q35</f>
        <v>2.9</v>
      </c>
      <c r="P35" s="117"/>
      <c r="Q35" s="117">
        <f>Debate!AC35</f>
        <v>3</v>
      </c>
      <c r="R35" s="117"/>
      <c r="S35" s="117">
        <f>Debate!AO35</f>
        <v>2.8333333333333335</v>
      </c>
      <c r="T35" s="117">
        <f>Debate!AU35</f>
        <v>3</v>
      </c>
      <c r="U35" s="116"/>
      <c r="V35" s="49"/>
      <c r="W35" s="117">
        <f>GD!Q35</f>
        <v>2.875</v>
      </c>
      <c r="X35" s="117">
        <f>GD!W35</f>
        <v>3</v>
      </c>
      <c r="Y35" s="117"/>
      <c r="Z35" s="117"/>
      <c r="AA35" s="49"/>
      <c r="AB35" s="117"/>
      <c r="AC35" s="116"/>
      <c r="AD35" s="117">
        <f>'Case study'!K35</f>
        <v>2.875</v>
      </c>
      <c r="AE35" s="117">
        <f>'Case study'!Q35</f>
        <v>2.9</v>
      </c>
      <c r="AF35" s="117">
        <f>'Case study'!W35</f>
        <v>3</v>
      </c>
      <c r="AG35" s="117"/>
      <c r="AH35" s="117"/>
      <c r="AI35" s="117">
        <f>'Case study'!AO35</f>
        <v>3</v>
      </c>
      <c r="AJ35" s="117">
        <f>'Case study'!AU35</f>
        <v>2.5</v>
      </c>
      <c r="AK35" s="116"/>
      <c r="AL35" s="117">
        <f>Capstone!K35</f>
        <v>4.333333333333333</v>
      </c>
      <c r="AM35" s="117">
        <f>Capstone!Q36</f>
        <v>4</v>
      </c>
      <c r="AN35" s="117">
        <f>Capstone!W36</f>
        <v>3</v>
      </c>
      <c r="AO35" s="117"/>
      <c r="AP35" s="117"/>
      <c r="AQ35" s="117">
        <f>Capstone!AO36</f>
        <v>3</v>
      </c>
      <c r="AR35" s="117"/>
      <c r="AS35" s="116"/>
      <c r="AT35" s="117">
        <f>IFERROR(AVERAGE(Table110461117[[#This Row],[Column2]],Table110461117[[#This Row],[Column11]],Table110461117[[#This Row],[Column29]]),"0")</f>
        <v>2.9166666666666665</v>
      </c>
      <c r="AU35" s="117">
        <f>IFERROR(AVERAGE(Table110461117[[#This Row],[Column3]],Table110461117[[#This Row],[Column12]],Table110461117[[#This Row],[Column21]],Table110461117[[#This Row],[Column30]]),"0")</f>
        <v>2.8937500000000003</v>
      </c>
      <c r="AV35" s="117">
        <f>IFERROR(AVERAGE(Table110461117[[#This Row],[Column31]],Table110461117[[#This Row],[Column22]],Table110461117[[#This Row],[Column4]]),"0")</f>
        <v>3</v>
      </c>
      <c r="AW35" s="117">
        <f>IFERROR(AVERAGE(Table110461117[[#This Row],[Column14]]),"0")</f>
        <v>3</v>
      </c>
      <c r="AX35" s="117"/>
      <c r="AY35" s="117">
        <f>IFERROR(AVERAGE(Table110461117[[#This Row],[Column34]],Table110461117[[#This Row],[Column16]],Table110461117[[#This Row],[Column7]]),"0")</f>
        <v>2.8611111111111112</v>
      </c>
      <c r="AZ35" s="117">
        <f>IFERROR(AVERAGE(Table110461117[[#This Row],[Column35]],Table110461117[[#This Row],[Column17]],Table110461117[[#This Row],[Column8]]),"0")</f>
        <v>2.8333333333333335</v>
      </c>
      <c r="BA35" s="116"/>
      <c r="BB35" s="117"/>
      <c r="BC35" s="117">
        <f>IFERROR(AVERAGE('Book Review'!AY35,Debate!AY35,'Case study'!AY35,Capstone!AY35),"A")</f>
        <v>3</v>
      </c>
      <c r="BD35" s="117">
        <f>IFERROR(AVERAGE('Book Review'!AZ35,Debate!AZ35,'Case study'!AZ35),"A")</f>
        <v>3</v>
      </c>
    </row>
    <row r="36" spans="1:56" s="109" customFormat="1" ht="23.1" customHeight="1" x14ac:dyDescent="0.3">
      <c r="A36" s="6">
        <v>34</v>
      </c>
      <c r="B36" s="7" t="s">
        <v>95</v>
      </c>
      <c r="C36" s="7" t="s">
        <v>96</v>
      </c>
      <c r="D36" s="7" t="s">
        <v>542</v>
      </c>
      <c r="E36" s="7" t="s">
        <v>35</v>
      </c>
      <c r="F36" s="118">
        <f>'Book Review'!K36</f>
        <v>2.75</v>
      </c>
      <c r="G36" s="118">
        <f>'Book Review'!Q36</f>
        <v>4</v>
      </c>
      <c r="H36" s="118">
        <f>'Book Review'!W36</f>
        <v>3</v>
      </c>
      <c r="I36" s="118"/>
      <c r="J36" s="118"/>
      <c r="K36" s="118">
        <f>'Book Review'!AO36</f>
        <v>3</v>
      </c>
      <c r="L36" s="118">
        <f>'Book Review'!AU36</f>
        <v>3</v>
      </c>
      <c r="M36" s="116"/>
      <c r="N36" s="118">
        <f>Debate!K36</f>
        <v>3</v>
      </c>
      <c r="O36" s="118">
        <f>Debate!Q36</f>
        <v>3.5</v>
      </c>
      <c r="P36" s="118"/>
      <c r="Q36" s="118">
        <f>Debate!AC36</f>
        <v>3</v>
      </c>
      <c r="R36" s="118"/>
      <c r="S36" s="118">
        <f>Debate!AO36</f>
        <v>3.6666666666666665</v>
      </c>
      <c r="T36" s="118">
        <f>Debate!AU36</f>
        <v>3</v>
      </c>
      <c r="U36" s="116"/>
      <c r="V36" s="7"/>
      <c r="W36" s="118">
        <f>GD!Q36</f>
        <v>3.5</v>
      </c>
      <c r="X36" s="118">
        <f>GD!W36</f>
        <v>4</v>
      </c>
      <c r="Y36" s="118"/>
      <c r="Z36" s="118"/>
      <c r="AA36" s="7"/>
      <c r="AB36" s="118"/>
      <c r="AC36" s="116"/>
      <c r="AD36" s="118">
        <f>'Case study'!K36</f>
        <v>2.75</v>
      </c>
      <c r="AE36" s="118">
        <f>'Case study'!Q36</f>
        <v>4</v>
      </c>
      <c r="AF36" s="118">
        <f>'Case study'!W36</f>
        <v>3</v>
      </c>
      <c r="AG36" s="118"/>
      <c r="AH36" s="118"/>
      <c r="AI36" s="118">
        <f>'Case study'!AO36</f>
        <v>3</v>
      </c>
      <c r="AJ36" s="118">
        <f>'Case study'!AU36</f>
        <v>3</v>
      </c>
      <c r="AK36" s="116"/>
      <c r="AL36" s="118">
        <f>Capstone!K36</f>
        <v>3</v>
      </c>
      <c r="AM36" s="118">
        <f>Capstone!Q37</f>
        <v>5</v>
      </c>
      <c r="AN36" s="118">
        <f>Capstone!W37</f>
        <v>2</v>
      </c>
      <c r="AO36" s="118"/>
      <c r="AP36" s="118"/>
      <c r="AQ36" s="118">
        <f>Capstone!AO37</f>
        <v>3.25</v>
      </c>
      <c r="AR36" s="118"/>
      <c r="AS36" s="116"/>
      <c r="AT36" s="118">
        <f>IFERROR(AVERAGE(Table110461117[[#This Row],[Column2]],Table110461117[[#This Row],[Column11]],Table110461117[[#This Row],[Column29]]),"0")</f>
        <v>2.8333333333333335</v>
      </c>
      <c r="AU36" s="118">
        <f>IFERROR(AVERAGE(Table110461117[[#This Row],[Column3]],Table110461117[[#This Row],[Column12]],Table110461117[[#This Row],[Column21]],Table110461117[[#This Row],[Column30]]),"0")</f>
        <v>3.75</v>
      </c>
      <c r="AV36" s="118">
        <f>IFERROR(AVERAGE(Table110461117[[#This Row],[Column31]],Table110461117[[#This Row],[Column22]],Table110461117[[#This Row],[Column4]]),"0")</f>
        <v>3.3333333333333335</v>
      </c>
      <c r="AW36" s="118">
        <f>IFERROR(AVERAGE(Table110461117[[#This Row],[Column14]]),"0")</f>
        <v>3</v>
      </c>
      <c r="AX36" s="118"/>
      <c r="AY36" s="118">
        <f>IFERROR(AVERAGE(Table110461117[[#This Row],[Column34]],Table110461117[[#This Row],[Column16]],Table110461117[[#This Row],[Column7]]),"0")</f>
        <v>3.2222222222222219</v>
      </c>
      <c r="AZ36" s="118">
        <f>IFERROR(AVERAGE(Table110461117[[#This Row],[Column35]],Table110461117[[#This Row],[Column17]],Table110461117[[#This Row],[Column8]]),"0")</f>
        <v>3</v>
      </c>
      <c r="BA36" s="116"/>
      <c r="BB36" s="118"/>
      <c r="BC36" s="118">
        <f>IFERROR(AVERAGE('Book Review'!AY36,Debate!AY36,'Case study'!AY36,Capstone!AY36),"A")</f>
        <v>3.25</v>
      </c>
      <c r="BD36" s="118">
        <f>IFERROR(AVERAGE('Book Review'!AZ36,Debate!AZ36,'Case study'!AZ36),"A")</f>
        <v>3.3333333333333335</v>
      </c>
    </row>
    <row r="37" spans="1:56" s="109" customFormat="1" ht="23.1" customHeight="1" x14ac:dyDescent="0.3">
      <c r="A37" s="115">
        <v>35</v>
      </c>
      <c r="B37" s="49" t="s">
        <v>273</v>
      </c>
      <c r="C37" s="49" t="s">
        <v>274</v>
      </c>
      <c r="D37" s="49" t="s">
        <v>450</v>
      </c>
      <c r="E37" s="49" t="s">
        <v>161</v>
      </c>
      <c r="F37" s="117">
        <f>'Book Review'!K37</f>
        <v>4</v>
      </c>
      <c r="G37" s="117">
        <f>'Book Review'!Q37</f>
        <v>2.8</v>
      </c>
      <c r="H37" s="117">
        <f>'Book Review'!W37</f>
        <v>3</v>
      </c>
      <c r="I37" s="117"/>
      <c r="J37" s="117"/>
      <c r="K37" s="117">
        <f>'Book Review'!AO37</f>
        <v>3.5</v>
      </c>
      <c r="L37" s="117">
        <f>'Book Review'!AU37</f>
        <v>3</v>
      </c>
      <c r="M37" s="116"/>
      <c r="N37" s="117">
        <f>Debate!K37</f>
        <v>2</v>
      </c>
      <c r="O37" s="117">
        <f>Debate!Q37</f>
        <v>2.9</v>
      </c>
      <c r="P37" s="117"/>
      <c r="Q37" s="117">
        <f>Debate!AC37</f>
        <v>2</v>
      </c>
      <c r="R37" s="117"/>
      <c r="S37" s="117">
        <f>Debate!AO37</f>
        <v>3.3333333333333335</v>
      </c>
      <c r="T37" s="117">
        <f>Debate!AU37</f>
        <v>3</v>
      </c>
      <c r="U37" s="116"/>
      <c r="V37" s="49"/>
      <c r="W37" s="117">
        <f>GD!Q37</f>
        <v>2.75</v>
      </c>
      <c r="X37" s="117">
        <f>GD!W37</f>
        <v>3</v>
      </c>
      <c r="Y37" s="117"/>
      <c r="Z37" s="117"/>
      <c r="AA37" s="49"/>
      <c r="AB37" s="117"/>
      <c r="AC37" s="116"/>
      <c r="AD37" s="117">
        <f>'Case study'!K37</f>
        <v>2</v>
      </c>
      <c r="AE37" s="117">
        <f>'Case study'!Q37</f>
        <v>2.6</v>
      </c>
      <c r="AF37" s="117">
        <f>'Case study'!W37</f>
        <v>2</v>
      </c>
      <c r="AG37" s="117"/>
      <c r="AH37" s="117"/>
      <c r="AI37" s="117">
        <f>'Case study'!AO37</f>
        <v>2</v>
      </c>
      <c r="AJ37" s="117">
        <f>'Case study'!AU37</f>
        <v>3</v>
      </c>
      <c r="AK37" s="116"/>
      <c r="AL37" s="117">
        <f>Capstone!K37</f>
        <v>4</v>
      </c>
      <c r="AM37" s="117">
        <f>Capstone!Q38</f>
        <v>3</v>
      </c>
      <c r="AN37" s="117">
        <f>Capstone!W38</f>
        <v>3</v>
      </c>
      <c r="AO37" s="117"/>
      <c r="AP37" s="117"/>
      <c r="AQ37" s="117">
        <f>Capstone!AO38</f>
        <v>4.5</v>
      </c>
      <c r="AR37" s="117"/>
      <c r="AS37" s="116"/>
      <c r="AT37" s="117">
        <f>IFERROR(AVERAGE(Table110461117[[#This Row],[Column2]],Table110461117[[#This Row],[Column11]],Table110461117[[#This Row],[Column29]]),"0")</f>
        <v>2.6666666666666665</v>
      </c>
      <c r="AU37" s="117">
        <f>IFERROR(AVERAGE(Table110461117[[#This Row],[Column3]],Table110461117[[#This Row],[Column12]],Table110461117[[#This Row],[Column21]],Table110461117[[#This Row],[Column30]]),"0")</f>
        <v>2.7624999999999997</v>
      </c>
      <c r="AV37" s="117">
        <f>IFERROR(AVERAGE(Table110461117[[#This Row],[Column31]],Table110461117[[#This Row],[Column22]],Table110461117[[#This Row],[Column4]]),"0")</f>
        <v>2.6666666666666665</v>
      </c>
      <c r="AW37" s="117">
        <f>IFERROR(AVERAGE(Table110461117[[#This Row],[Column14]]),"0")</f>
        <v>2</v>
      </c>
      <c r="AX37" s="117"/>
      <c r="AY37" s="117">
        <f>IFERROR(AVERAGE(Table110461117[[#This Row],[Column34]],Table110461117[[#This Row],[Column16]],Table110461117[[#This Row],[Column7]]),"0")</f>
        <v>2.9444444444444446</v>
      </c>
      <c r="AZ37" s="117">
        <f>IFERROR(AVERAGE(Table110461117[[#This Row],[Column35]],Table110461117[[#This Row],[Column17]],Table110461117[[#This Row],[Column8]]),"0")</f>
        <v>3</v>
      </c>
      <c r="BA37" s="116"/>
      <c r="BB37" s="117"/>
      <c r="BC37" s="117">
        <f>IFERROR(AVERAGE('Book Review'!AY37,Debate!AY37,'Case study'!AY37,Capstone!AY37),"A")</f>
        <v>3.25</v>
      </c>
      <c r="BD37" s="117">
        <f>IFERROR(AVERAGE('Book Review'!AZ37,Debate!AZ37,'Case study'!AZ37),"A")</f>
        <v>2.6666666666666665</v>
      </c>
    </row>
    <row r="38" spans="1:56" s="109" customFormat="1" ht="23.1" customHeight="1" x14ac:dyDescent="0.3">
      <c r="A38" s="6">
        <v>36</v>
      </c>
      <c r="B38" s="7" t="s">
        <v>112</v>
      </c>
      <c r="C38" s="7" t="s">
        <v>113</v>
      </c>
      <c r="D38" s="7" t="s">
        <v>450</v>
      </c>
      <c r="E38" s="7" t="s">
        <v>35</v>
      </c>
      <c r="F38" s="118">
        <f>'Book Review'!K38</f>
        <v>3</v>
      </c>
      <c r="G38" s="118">
        <f>'Book Review'!Q38</f>
        <v>3</v>
      </c>
      <c r="H38" s="118">
        <f>'Book Review'!W38</f>
        <v>3</v>
      </c>
      <c r="I38" s="118"/>
      <c r="J38" s="118"/>
      <c r="K38" s="118">
        <f>'Book Review'!AO38</f>
        <v>3</v>
      </c>
      <c r="L38" s="118">
        <f>'Book Review'!AU38</f>
        <v>3</v>
      </c>
      <c r="M38" s="116"/>
      <c r="N38" s="118">
        <f>Debate!K38</f>
        <v>3</v>
      </c>
      <c r="O38" s="118">
        <f>Debate!Q38</f>
        <v>3</v>
      </c>
      <c r="P38" s="118"/>
      <c r="Q38" s="118">
        <f>Debate!AC38</f>
        <v>3</v>
      </c>
      <c r="R38" s="118"/>
      <c r="S38" s="118">
        <f>Debate!AO38</f>
        <v>3</v>
      </c>
      <c r="T38" s="118">
        <f>Debate!AU38</f>
        <v>3</v>
      </c>
      <c r="U38" s="116"/>
      <c r="V38" s="7"/>
      <c r="W38" s="118">
        <f>GD!Q38</f>
        <v>3</v>
      </c>
      <c r="X38" s="118">
        <f>GD!W38</f>
        <v>3</v>
      </c>
      <c r="Y38" s="118"/>
      <c r="Z38" s="118"/>
      <c r="AA38" s="7"/>
      <c r="AB38" s="118"/>
      <c r="AC38" s="116"/>
      <c r="AD38" s="118">
        <f>'Case study'!K38</f>
        <v>3</v>
      </c>
      <c r="AE38" s="118">
        <f>'Case study'!Q38</f>
        <v>3</v>
      </c>
      <c r="AF38" s="118">
        <f>'Case study'!W38</f>
        <v>3</v>
      </c>
      <c r="AG38" s="118"/>
      <c r="AH38" s="118"/>
      <c r="AI38" s="118">
        <f>'Case study'!AO38</f>
        <v>3.25</v>
      </c>
      <c r="AJ38" s="118">
        <f>'Case study'!AU38</f>
        <v>3</v>
      </c>
      <c r="AK38" s="116"/>
      <c r="AL38" s="118">
        <f>Capstone!K38</f>
        <v>4</v>
      </c>
      <c r="AM38" s="118">
        <f>Capstone!Q39</f>
        <v>5</v>
      </c>
      <c r="AN38" s="118">
        <f>Capstone!W39</f>
        <v>2</v>
      </c>
      <c r="AO38" s="118"/>
      <c r="AP38" s="118"/>
      <c r="AQ38" s="118">
        <f>Capstone!AO39</f>
        <v>5</v>
      </c>
      <c r="AR38" s="118"/>
      <c r="AS38" s="116"/>
      <c r="AT38" s="118">
        <f>IFERROR(AVERAGE(Table110461117[[#This Row],[Column2]],Table110461117[[#This Row],[Column11]],Table110461117[[#This Row],[Column29]]),"0")</f>
        <v>3</v>
      </c>
      <c r="AU38" s="118">
        <f>IFERROR(AVERAGE(Table110461117[[#This Row],[Column3]],Table110461117[[#This Row],[Column12]],Table110461117[[#This Row],[Column21]],Table110461117[[#This Row],[Column30]]),"0")</f>
        <v>3</v>
      </c>
      <c r="AV38" s="118">
        <f>IFERROR(AVERAGE(Table110461117[[#This Row],[Column31]],Table110461117[[#This Row],[Column22]],Table110461117[[#This Row],[Column4]]),"0")</f>
        <v>3</v>
      </c>
      <c r="AW38" s="118">
        <f>IFERROR(AVERAGE(Table110461117[[#This Row],[Column14]]),"0")</f>
        <v>3</v>
      </c>
      <c r="AX38" s="118"/>
      <c r="AY38" s="118">
        <f>IFERROR(AVERAGE(Table110461117[[#This Row],[Column34]],Table110461117[[#This Row],[Column16]],Table110461117[[#This Row],[Column7]]),"0")</f>
        <v>3.0833333333333335</v>
      </c>
      <c r="AZ38" s="118">
        <f>IFERROR(AVERAGE(Table110461117[[#This Row],[Column35]],Table110461117[[#This Row],[Column17]],Table110461117[[#This Row],[Column8]]),"0")</f>
        <v>3</v>
      </c>
      <c r="BA38" s="116"/>
      <c r="BB38" s="118"/>
      <c r="BC38" s="118">
        <f>IFERROR(AVERAGE('Book Review'!AY38,Debate!AY38,'Case study'!AY38,Capstone!AY38),"A")</f>
        <v>2.75</v>
      </c>
      <c r="BD38" s="118">
        <f>IFERROR(AVERAGE('Book Review'!AZ38,Debate!AZ38,'Case study'!AZ38),"A")</f>
        <v>1.6666666666666667</v>
      </c>
    </row>
    <row r="39" spans="1:56" s="109" customFormat="1" ht="23.1" customHeight="1" x14ac:dyDescent="0.3">
      <c r="A39" s="115">
        <v>37</v>
      </c>
      <c r="B39" s="49" t="s">
        <v>302</v>
      </c>
      <c r="C39" s="49" t="s">
        <v>303</v>
      </c>
      <c r="D39" s="49" t="s">
        <v>450</v>
      </c>
      <c r="E39" s="49" t="s">
        <v>493</v>
      </c>
      <c r="F39" s="117">
        <f>'Book Review'!K39</f>
        <v>3</v>
      </c>
      <c r="G39" s="117">
        <f>'Book Review'!Q39</f>
        <v>3</v>
      </c>
      <c r="H39" s="117">
        <f>'Book Review'!W39</f>
        <v>2</v>
      </c>
      <c r="I39" s="117"/>
      <c r="J39" s="117"/>
      <c r="K39" s="117">
        <f>'Book Review'!AO39</f>
        <v>3</v>
      </c>
      <c r="L39" s="117">
        <f>'Book Review'!AU39</f>
        <v>2</v>
      </c>
      <c r="M39" s="116"/>
      <c r="N39" s="117">
        <f>Debate!K39</f>
        <v>3</v>
      </c>
      <c r="O39" s="117">
        <f>Debate!Q39</f>
        <v>2.9</v>
      </c>
      <c r="P39" s="117"/>
      <c r="Q39" s="117">
        <f>Debate!AC39</f>
        <v>4</v>
      </c>
      <c r="R39" s="117"/>
      <c r="S39" s="117">
        <f>Debate!AO39</f>
        <v>3</v>
      </c>
      <c r="T39" s="117">
        <f>Debate!AU39</f>
        <v>3</v>
      </c>
      <c r="U39" s="116"/>
      <c r="V39" s="49"/>
      <c r="W39" s="117">
        <f>GD!Q39</f>
        <v>3.25</v>
      </c>
      <c r="X39" s="117">
        <f>GD!W39</f>
        <v>3</v>
      </c>
      <c r="Y39" s="117"/>
      <c r="Z39" s="117"/>
      <c r="AA39" s="49"/>
      <c r="AB39" s="117"/>
      <c r="AC39" s="116"/>
      <c r="AD39" s="117">
        <f>'Case study'!K39</f>
        <v>3.25</v>
      </c>
      <c r="AE39" s="117">
        <f>'Case study'!Q39</f>
        <v>2.8</v>
      </c>
      <c r="AF39" s="117">
        <f>'Case study'!W39</f>
        <v>2</v>
      </c>
      <c r="AG39" s="117"/>
      <c r="AH39" s="117"/>
      <c r="AI39" s="117">
        <f>'Case study'!AO39</f>
        <v>3.25</v>
      </c>
      <c r="AJ39" s="117">
        <f>'Case study'!AU39</f>
        <v>3</v>
      </c>
      <c r="AK39" s="116"/>
      <c r="AL39" s="117">
        <f>Capstone!K39</f>
        <v>5</v>
      </c>
      <c r="AM39" s="117">
        <f>Capstone!Q40</f>
        <v>3.25</v>
      </c>
      <c r="AN39" s="117">
        <f>Capstone!W40</f>
        <v>3</v>
      </c>
      <c r="AO39" s="117"/>
      <c r="AP39" s="117"/>
      <c r="AQ39" s="117">
        <f>Capstone!AO40</f>
        <v>4.75</v>
      </c>
      <c r="AR39" s="117"/>
      <c r="AS39" s="116"/>
      <c r="AT39" s="117">
        <f>IFERROR(AVERAGE(Table110461117[[#This Row],[Column2]],Table110461117[[#This Row],[Column11]],Table110461117[[#This Row],[Column29]]),"0")</f>
        <v>3.0833333333333335</v>
      </c>
      <c r="AU39" s="117">
        <f>IFERROR(AVERAGE(Table110461117[[#This Row],[Column3]],Table110461117[[#This Row],[Column12]],Table110461117[[#This Row],[Column21]],Table110461117[[#This Row],[Column30]]),"0")</f>
        <v>2.9874999999999998</v>
      </c>
      <c r="AV39" s="117">
        <f>IFERROR(AVERAGE(Table110461117[[#This Row],[Column31]],Table110461117[[#This Row],[Column22]],Table110461117[[#This Row],[Column4]]),"0")</f>
        <v>2.3333333333333335</v>
      </c>
      <c r="AW39" s="117">
        <f>IFERROR(AVERAGE(Table110461117[[#This Row],[Column14]]),"0")</f>
        <v>4</v>
      </c>
      <c r="AX39" s="117"/>
      <c r="AY39" s="117">
        <f>IFERROR(AVERAGE(Table110461117[[#This Row],[Column34]],Table110461117[[#This Row],[Column16]],Table110461117[[#This Row],[Column7]]),"0")</f>
        <v>3.0833333333333335</v>
      </c>
      <c r="AZ39" s="117">
        <f>IFERROR(AVERAGE(Table110461117[[#This Row],[Column35]],Table110461117[[#This Row],[Column17]],Table110461117[[#This Row],[Column8]]),"0")</f>
        <v>2.6666666666666665</v>
      </c>
      <c r="BA39" s="116"/>
      <c r="BB39" s="117"/>
      <c r="BC39" s="117">
        <f>IFERROR(AVERAGE('Book Review'!AY39,Debate!AY39,'Case study'!AY39,Capstone!AY39),"A")</f>
        <v>3</v>
      </c>
      <c r="BD39" s="117">
        <f>IFERROR(AVERAGE('Book Review'!AZ39,Debate!AZ39,'Case study'!AZ39),"A")</f>
        <v>3.3333333333333335</v>
      </c>
    </row>
    <row r="40" spans="1:56" s="109" customFormat="1" ht="23.1" customHeight="1" x14ac:dyDescent="0.3">
      <c r="A40" s="6">
        <v>38</v>
      </c>
      <c r="B40" s="7" t="s">
        <v>227</v>
      </c>
      <c r="C40" s="7" t="s">
        <v>228</v>
      </c>
      <c r="D40" s="7" t="s">
        <v>542</v>
      </c>
      <c r="E40" s="7" t="s">
        <v>161</v>
      </c>
      <c r="F40" s="118">
        <f>'Book Review'!K40</f>
        <v>3</v>
      </c>
      <c r="G40" s="118">
        <f>'Book Review'!Q40</f>
        <v>2.9</v>
      </c>
      <c r="H40" s="118">
        <f>'Book Review'!W40</f>
        <v>3.5</v>
      </c>
      <c r="I40" s="118"/>
      <c r="J40" s="118"/>
      <c r="K40" s="118">
        <f>'Book Review'!AO40</f>
        <v>2.5</v>
      </c>
      <c r="L40" s="118">
        <f>'Book Review'!AU40</f>
        <v>3</v>
      </c>
      <c r="M40" s="116"/>
      <c r="N40" s="118">
        <f>Debate!K40</f>
        <v>3.5</v>
      </c>
      <c r="O40" s="118">
        <f>Debate!Q40</f>
        <v>2.9</v>
      </c>
      <c r="P40" s="118"/>
      <c r="Q40" s="118">
        <f>Debate!AC40</f>
        <v>2.5</v>
      </c>
      <c r="R40" s="118"/>
      <c r="S40" s="118">
        <f>Debate!AO40</f>
        <v>3</v>
      </c>
      <c r="T40" s="118">
        <f>Debate!AU40</f>
        <v>3</v>
      </c>
      <c r="U40" s="116"/>
      <c r="V40" s="7"/>
      <c r="W40" s="118">
        <f>GD!Q40</f>
        <v>2.875</v>
      </c>
      <c r="X40" s="118">
        <f>GD!W40</f>
        <v>2.5</v>
      </c>
      <c r="Y40" s="118"/>
      <c r="Z40" s="118"/>
      <c r="AA40" s="7"/>
      <c r="AB40" s="118"/>
      <c r="AC40" s="116"/>
      <c r="AD40" s="118">
        <f>'Case study'!K40</f>
        <v>3</v>
      </c>
      <c r="AE40" s="118">
        <f>'Case study'!Q40</f>
        <v>2.9</v>
      </c>
      <c r="AF40" s="118">
        <f>'Case study'!W40</f>
        <v>3</v>
      </c>
      <c r="AG40" s="118"/>
      <c r="AH40" s="118"/>
      <c r="AI40" s="118">
        <f>'Case study'!AO40</f>
        <v>3</v>
      </c>
      <c r="AJ40" s="118">
        <f>'Case study'!AU40</f>
        <v>3</v>
      </c>
      <c r="AK40" s="116"/>
      <c r="AL40" s="118">
        <f>Capstone!K40</f>
        <v>4.333333333333333</v>
      </c>
      <c r="AM40" s="118">
        <f>Capstone!Q41</f>
        <v>3.75</v>
      </c>
      <c r="AN40" s="118">
        <f>Capstone!W41</f>
        <v>3</v>
      </c>
      <c r="AO40" s="118"/>
      <c r="AP40" s="118"/>
      <c r="AQ40" s="118">
        <f>Capstone!AO41</f>
        <v>3.25</v>
      </c>
      <c r="AR40" s="118"/>
      <c r="AS40" s="116"/>
      <c r="AT40" s="118">
        <f>IFERROR(AVERAGE(Table110461117[[#This Row],[Column2]],Table110461117[[#This Row],[Column11]],Table110461117[[#This Row],[Column29]]),"0")</f>
        <v>3.1666666666666665</v>
      </c>
      <c r="AU40" s="118">
        <f>IFERROR(AVERAGE(Table110461117[[#This Row],[Column3]],Table110461117[[#This Row],[Column12]],Table110461117[[#This Row],[Column21]],Table110461117[[#This Row],[Column30]]),"0")</f>
        <v>2.8937500000000003</v>
      </c>
      <c r="AV40" s="118">
        <f>IFERROR(AVERAGE(Table110461117[[#This Row],[Column31]],Table110461117[[#This Row],[Column22]],Table110461117[[#This Row],[Column4]]),"0")</f>
        <v>3</v>
      </c>
      <c r="AW40" s="118">
        <f>IFERROR(AVERAGE(Table110461117[[#This Row],[Column14]]),"0")</f>
        <v>2.5</v>
      </c>
      <c r="AX40" s="118"/>
      <c r="AY40" s="118">
        <f>IFERROR(AVERAGE(Table110461117[[#This Row],[Column34]],Table110461117[[#This Row],[Column16]],Table110461117[[#This Row],[Column7]]),"0")</f>
        <v>2.8333333333333335</v>
      </c>
      <c r="AZ40" s="118">
        <f>IFERROR(AVERAGE(Table110461117[[#This Row],[Column35]],Table110461117[[#This Row],[Column17]],Table110461117[[#This Row],[Column8]]),"0")</f>
        <v>3</v>
      </c>
      <c r="BA40" s="116"/>
      <c r="BB40" s="118"/>
      <c r="BC40" s="118">
        <f>IFERROR(AVERAGE('Book Review'!AY40,Debate!AY40,'Case study'!AY40,Capstone!AY40),"A")</f>
        <v>3</v>
      </c>
      <c r="BD40" s="118">
        <f>IFERROR(AVERAGE('Book Review'!AZ40,Debate!AZ40,'Case study'!AZ40),"A")</f>
        <v>2.8333333333333335</v>
      </c>
    </row>
    <row r="41" spans="1:56" s="109" customFormat="1" ht="23.1" customHeight="1" x14ac:dyDescent="0.3">
      <c r="A41" s="115">
        <v>39</v>
      </c>
      <c r="B41" s="49" t="s">
        <v>304</v>
      </c>
      <c r="C41" s="49" t="s">
        <v>305</v>
      </c>
      <c r="D41" s="49" t="s">
        <v>542</v>
      </c>
      <c r="E41" s="49" t="s">
        <v>493</v>
      </c>
      <c r="F41" s="117">
        <f>'Book Review'!K41</f>
        <v>3.5</v>
      </c>
      <c r="G41" s="117">
        <f>'Book Review'!Q41</f>
        <v>3.4</v>
      </c>
      <c r="H41" s="117">
        <f>'Book Review'!W41</f>
        <v>4</v>
      </c>
      <c r="I41" s="117"/>
      <c r="J41" s="117"/>
      <c r="K41" s="117">
        <f>'Book Review'!AO41</f>
        <v>3</v>
      </c>
      <c r="L41" s="117">
        <f>'Book Review'!AU41</f>
        <v>3.5</v>
      </c>
      <c r="M41" s="116"/>
      <c r="N41" s="117">
        <f>Debate!K41</f>
        <v>4</v>
      </c>
      <c r="O41" s="117">
        <f>Debate!Q41</f>
        <v>3.4</v>
      </c>
      <c r="P41" s="117"/>
      <c r="Q41" s="117">
        <f>Debate!AC41</f>
        <v>3</v>
      </c>
      <c r="R41" s="117"/>
      <c r="S41" s="117">
        <f>Debate!AO41</f>
        <v>3.5</v>
      </c>
      <c r="T41" s="117">
        <f>Debate!AU41</f>
        <v>3.5</v>
      </c>
      <c r="U41" s="116"/>
      <c r="V41" s="49"/>
      <c r="W41" s="117">
        <f>GD!Q41</f>
        <v>3.375</v>
      </c>
      <c r="X41" s="117">
        <f>GD!W41</f>
        <v>3</v>
      </c>
      <c r="Y41" s="117"/>
      <c r="Z41" s="117"/>
      <c r="AA41" s="49"/>
      <c r="AB41" s="117"/>
      <c r="AC41" s="116"/>
      <c r="AD41" s="117">
        <f>'Case study'!K41</f>
        <v>3.5</v>
      </c>
      <c r="AE41" s="117">
        <f>'Case study'!Q41</f>
        <v>3.4</v>
      </c>
      <c r="AF41" s="117">
        <f>'Case study'!W41</f>
        <v>3</v>
      </c>
      <c r="AG41" s="117"/>
      <c r="AH41" s="117"/>
      <c r="AI41" s="117">
        <f>'Case study'!AO41</f>
        <v>3.375</v>
      </c>
      <c r="AJ41" s="117">
        <f>'Case study'!AU41</f>
        <v>3.5</v>
      </c>
      <c r="AK41" s="116"/>
      <c r="AL41" s="117">
        <f>Capstone!K41</f>
        <v>3</v>
      </c>
      <c r="AM41" s="117">
        <f>Capstone!Q42</f>
        <v>2</v>
      </c>
      <c r="AN41" s="117">
        <f>Capstone!W42</f>
        <v>4</v>
      </c>
      <c r="AO41" s="117"/>
      <c r="AP41" s="117"/>
      <c r="AQ41" s="117">
        <f>Capstone!AO42</f>
        <v>3</v>
      </c>
      <c r="AR41" s="117"/>
      <c r="AS41" s="116"/>
      <c r="AT41" s="117">
        <f>IFERROR(AVERAGE(Table110461117[[#This Row],[Column2]],Table110461117[[#This Row],[Column11]],Table110461117[[#This Row],[Column29]]),"0")</f>
        <v>3.6666666666666665</v>
      </c>
      <c r="AU41" s="117">
        <f>IFERROR(AVERAGE(Table110461117[[#This Row],[Column3]],Table110461117[[#This Row],[Column12]],Table110461117[[#This Row],[Column21]],Table110461117[[#This Row],[Column30]]),"0")</f>
        <v>3.3937500000000003</v>
      </c>
      <c r="AV41" s="117">
        <f>IFERROR(AVERAGE(Table110461117[[#This Row],[Column31]],Table110461117[[#This Row],[Column22]],Table110461117[[#This Row],[Column4]]),"0")</f>
        <v>3.3333333333333335</v>
      </c>
      <c r="AW41" s="117">
        <f>IFERROR(AVERAGE(Table110461117[[#This Row],[Column14]]),"0")</f>
        <v>3</v>
      </c>
      <c r="AX41" s="117"/>
      <c r="AY41" s="117">
        <f>IFERROR(AVERAGE(Table110461117[[#This Row],[Column34]],Table110461117[[#This Row],[Column16]],Table110461117[[#This Row],[Column7]]),"0")</f>
        <v>3.2916666666666665</v>
      </c>
      <c r="AZ41" s="117">
        <f>IFERROR(AVERAGE(Table110461117[[#This Row],[Column35]],Table110461117[[#This Row],[Column17]],Table110461117[[#This Row],[Column8]]),"0")</f>
        <v>3.5</v>
      </c>
      <c r="BA41" s="116"/>
      <c r="BB41" s="117"/>
      <c r="BC41" s="117">
        <f>IFERROR(AVERAGE('Book Review'!AY41,Debate!AY41,'Case study'!AY41,Capstone!AY41),"A")</f>
        <v>3.5</v>
      </c>
      <c r="BD41" s="117">
        <f>IFERROR(AVERAGE('Book Review'!AZ41,Debate!AZ41,'Case study'!AZ41),"A")</f>
        <v>3.3333333333333335</v>
      </c>
    </row>
    <row r="42" spans="1:56" s="109" customFormat="1" ht="23.1" customHeight="1" x14ac:dyDescent="0.3">
      <c r="A42" s="6">
        <v>40</v>
      </c>
      <c r="B42" s="7" t="s">
        <v>89</v>
      </c>
      <c r="C42" s="7" t="s">
        <v>90</v>
      </c>
      <c r="D42" s="7" t="s">
        <v>450</v>
      </c>
      <c r="E42" s="7" t="s">
        <v>35</v>
      </c>
      <c r="F42" s="118">
        <f>'Book Review'!K42</f>
        <v>4</v>
      </c>
      <c r="G42" s="118">
        <f>'Book Review'!Q42</f>
        <v>3.4</v>
      </c>
      <c r="H42" s="118">
        <f>'Book Review'!W42</f>
        <v>4</v>
      </c>
      <c r="I42" s="118"/>
      <c r="J42" s="118"/>
      <c r="K42" s="118">
        <f>'Book Review'!AO42</f>
        <v>4</v>
      </c>
      <c r="L42" s="118">
        <f>'Book Review'!AU42</f>
        <v>4</v>
      </c>
      <c r="M42" s="116"/>
      <c r="N42" s="118">
        <f>Debate!K42</f>
        <v>4</v>
      </c>
      <c r="O42" s="118">
        <f>Debate!Q42</f>
        <v>3.8</v>
      </c>
      <c r="P42" s="118"/>
      <c r="Q42" s="118">
        <f>Debate!AC42</f>
        <v>4</v>
      </c>
      <c r="R42" s="118"/>
      <c r="S42" s="118">
        <f>Debate!AO42</f>
        <v>3.3333333333333335</v>
      </c>
      <c r="T42" s="118">
        <f>Debate!AU42</f>
        <v>4</v>
      </c>
      <c r="U42" s="116"/>
      <c r="V42" s="7"/>
      <c r="W42" s="118">
        <f>GD!Q42</f>
        <v>3.5</v>
      </c>
      <c r="X42" s="118">
        <f>GD!W42</f>
        <v>3</v>
      </c>
      <c r="Y42" s="118"/>
      <c r="Z42" s="118"/>
      <c r="AA42" s="7"/>
      <c r="AB42" s="118"/>
      <c r="AC42" s="116"/>
      <c r="AD42" s="118">
        <f>'Case study'!K42</f>
        <v>4</v>
      </c>
      <c r="AE42" s="118">
        <f>'Case study'!Q42</f>
        <v>3.4</v>
      </c>
      <c r="AF42" s="118">
        <f>'Case study'!W42</f>
        <v>4</v>
      </c>
      <c r="AG42" s="118"/>
      <c r="AH42" s="118"/>
      <c r="AI42" s="118">
        <f>'Case study'!AO42</f>
        <v>4</v>
      </c>
      <c r="AJ42" s="118">
        <f>'Case study'!AU42</f>
        <v>3</v>
      </c>
      <c r="AK42" s="116"/>
      <c r="AL42" s="118">
        <f>Capstone!K42</f>
        <v>2</v>
      </c>
      <c r="AM42" s="118">
        <f>Capstone!Q43</f>
        <v>3</v>
      </c>
      <c r="AN42" s="118">
        <f>Capstone!W43</f>
        <v>3</v>
      </c>
      <c r="AO42" s="118"/>
      <c r="AP42" s="118"/>
      <c r="AQ42" s="118">
        <f>Capstone!AO43</f>
        <v>3.25</v>
      </c>
      <c r="AR42" s="118"/>
      <c r="AS42" s="116"/>
      <c r="AT42" s="118">
        <f>IFERROR(AVERAGE(Table110461117[[#This Row],[Column2]],Table110461117[[#This Row],[Column11]],Table110461117[[#This Row],[Column29]]),"0")</f>
        <v>4</v>
      </c>
      <c r="AU42" s="118">
        <f>IFERROR(AVERAGE(Table110461117[[#This Row],[Column3]],Table110461117[[#This Row],[Column12]],Table110461117[[#This Row],[Column21]],Table110461117[[#This Row],[Column30]]),"0")</f>
        <v>3.5249999999999999</v>
      </c>
      <c r="AV42" s="118">
        <f>IFERROR(AVERAGE(Table110461117[[#This Row],[Column31]],Table110461117[[#This Row],[Column22]],Table110461117[[#This Row],[Column4]]),"0")</f>
        <v>3.6666666666666665</v>
      </c>
      <c r="AW42" s="118">
        <f>IFERROR(AVERAGE(Table110461117[[#This Row],[Column14]]),"0")</f>
        <v>4</v>
      </c>
      <c r="AX42" s="118"/>
      <c r="AY42" s="118">
        <f>IFERROR(AVERAGE(Table110461117[[#This Row],[Column34]],Table110461117[[#This Row],[Column16]],Table110461117[[#This Row],[Column7]]),"0")</f>
        <v>3.7777777777777781</v>
      </c>
      <c r="AZ42" s="118">
        <f>IFERROR(AVERAGE(Table110461117[[#This Row],[Column35]],Table110461117[[#This Row],[Column17]],Table110461117[[#This Row],[Column8]]),"0")</f>
        <v>3.6666666666666665</v>
      </c>
      <c r="BA42" s="116"/>
      <c r="BB42" s="118"/>
      <c r="BC42" s="118">
        <f>IFERROR(AVERAGE('Book Review'!AY42,Debate!AY42,'Case study'!AY42,Capstone!AY42),"A")</f>
        <v>3.25</v>
      </c>
      <c r="BD42" s="118">
        <f>IFERROR(AVERAGE('Book Review'!AZ42,Debate!AZ42,'Case study'!AZ42),"A")</f>
        <v>3</v>
      </c>
    </row>
    <row r="43" spans="1:56" s="109" customFormat="1" ht="23.1" customHeight="1" x14ac:dyDescent="0.3">
      <c r="A43" s="115">
        <v>41</v>
      </c>
      <c r="B43" s="49" t="s">
        <v>306</v>
      </c>
      <c r="C43" s="49" t="s">
        <v>307</v>
      </c>
      <c r="D43" s="49" t="s">
        <v>542</v>
      </c>
      <c r="E43" s="49" t="s">
        <v>493</v>
      </c>
      <c r="F43" s="117">
        <f>'Book Review'!K43</f>
        <v>3</v>
      </c>
      <c r="G43" s="117">
        <f>'Book Review'!Q43</f>
        <v>3.1</v>
      </c>
      <c r="H43" s="117">
        <f>'Book Review'!W43</f>
        <v>3</v>
      </c>
      <c r="I43" s="117"/>
      <c r="J43" s="117"/>
      <c r="K43" s="117">
        <f>'Book Review'!AO43</f>
        <v>3</v>
      </c>
      <c r="L43" s="117">
        <f>'Book Review'!AU43</f>
        <v>3</v>
      </c>
      <c r="M43" s="116"/>
      <c r="N43" s="117">
        <f>Debate!K43</f>
        <v>3</v>
      </c>
      <c r="O43" s="117">
        <f>Debate!Q43</f>
        <v>3.1</v>
      </c>
      <c r="P43" s="117"/>
      <c r="Q43" s="117">
        <f>Debate!AC43</f>
        <v>3</v>
      </c>
      <c r="R43" s="117"/>
      <c r="S43" s="117">
        <f>Debate!AO43</f>
        <v>3</v>
      </c>
      <c r="T43" s="117">
        <f>Debate!AU43</f>
        <v>3</v>
      </c>
      <c r="U43" s="116"/>
      <c r="V43" s="49"/>
      <c r="W43" s="117">
        <f>GD!Q43</f>
        <v>3.125</v>
      </c>
      <c r="X43" s="117">
        <f>GD!W43</f>
        <v>3</v>
      </c>
      <c r="Y43" s="117"/>
      <c r="Z43" s="117"/>
      <c r="AA43" s="49"/>
      <c r="AB43" s="117"/>
      <c r="AC43" s="116"/>
      <c r="AD43" s="117">
        <f>'Case study'!K43</f>
        <v>3.125</v>
      </c>
      <c r="AE43" s="117">
        <f>'Case study'!Q43</f>
        <v>3.1</v>
      </c>
      <c r="AF43" s="117">
        <f>'Case study'!W43</f>
        <v>3</v>
      </c>
      <c r="AG43" s="117"/>
      <c r="AH43" s="117"/>
      <c r="AI43" s="117">
        <f>'Case study'!AO43</f>
        <v>3</v>
      </c>
      <c r="AJ43" s="117">
        <f>'Case study'!AU43</f>
        <v>3.5</v>
      </c>
      <c r="AK43" s="116"/>
      <c r="AL43" s="117">
        <f>Capstone!K43</f>
        <v>3</v>
      </c>
      <c r="AM43" s="117">
        <f>Capstone!Q44</f>
        <v>2.75</v>
      </c>
      <c r="AN43" s="117">
        <f>Capstone!W44</f>
        <v>3</v>
      </c>
      <c r="AO43" s="117"/>
      <c r="AP43" s="117"/>
      <c r="AQ43" s="117">
        <f>Capstone!AO44</f>
        <v>3.25</v>
      </c>
      <c r="AR43" s="117"/>
      <c r="AS43" s="116"/>
      <c r="AT43" s="117">
        <f>IFERROR(AVERAGE(Table110461117[[#This Row],[Column2]],Table110461117[[#This Row],[Column11]],Table110461117[[#This Row],[Column29]]),"0")</f>
        <v>3.0416666666666665</v>
      </c>
      <c r="AU43" s="117">
        <f>IFERROR(AVERAGE(Table110461117[[#This Row],[Column3]],Table110461117[[#This Row],[Column12]],Table110461117[[#This Row],[Column21]],Table110461117[[#This Row],[Column30]]),"0")</f>
        <v>3.1062499999999997</v>
      </c>
      <c r="AV43" s="117">
        <f>IFERROR(AVERAGE(Table110461117[[#This Row],[Column31]],Table110461117[[#This Row],[Column22]],Table110461117[[#This Row],[Column4]]),"0")</f>
        <v>3</v>
      </c>
      <c r="AW43" s="117">
        <f>IFERROR(AVERAGE(Table110461117[[#This Row],[Column14]]),"0")</f>
        <v>3</v>
      </c>
      <c r="AX43" s="117"/>
      <c r="AY43" s="117">
        <f>IFERROR(AVERAGE(Table110461117[[#This Row],[Column34]],Table110461117[[#This Row],[Column16]],Table110461117[[#This Row],[Column7]]),"0")</f>
        <v>3</v>
      </c>
      <c r="AZ43" s="117">
        <f>IFERROR(AVERAGE(Table110461117[[#This Row],[Column35]],Table110461117[[#This Row],[Column17]],Table110461117[[#This Row],[Column8]]),"0")</f>
        <v>3.1666666666666665</v>
      </c>
      <c r="BA43" s="116"/>
      <c r="BB43" s="117"/>
      <c r="BC43" s="117">
        <f>IFERROR(AVERAGE('Book Review'!AY43,Debate!AY43,'Case study'!AY43,Capstone!AY43),"A")</f>
        <v>3</v>
      </c>
      <c r="BD43" s="117">
        <f>IFERROR(AVERAGE('Book Review'!AZ43,Debate!AZ43,'Case study'!AZ43),"A")</f>
        <v>3</v>
      </c>
    </row>
    <row r="44" spans="1:56" s="109" customFormat="1" ht="23.1" customHeight="1" x14ac:dyDescent="0.3">
      <c r="A44" s="6">
        <v>42</v>
      </c>
      <c r="B44" s="7" t="s">
        <v>245</v>
      </c>
      <c r="C44" s="7" t="s">
        <v>246</v>
      </c>
      <c r="D44" s="7" t="s">
        <v>542</v>
      </c>
      <c r="E44" s="7" t="s">
        <v>161</v>
      </c>
      <c r="F44" s="118">
        <f>'Book Review'!K44</f>
        <v>2.625</v>
      </c>
      <c r="G44" s="118">
        <f>'Book Review'!Q44</f>
        <v>2.7</v>
      </c>
      <c r="H44" s="118">
        <f>'Book Review'!W44</f>
        <v>3</v>
      </c>
      <c r="I44" s="118"/>
      <c r="J44" s="118"/>
      <c r="K44" s="118">
        <f>'Book Review'!AO44</f>
        <v>2.5</v>
      </c>
      <c r="L44" s="118">
        <f>'Book Review'!AU44</f>
        <v>2.5</v>
      </c>
      <c r="M44" s="116"/>
      <c r="N44" s="118">
        <f>Debate!K44</f>
        <v>3</v>
      </c>
      <c r="O44" s="118">
        <f>Debate!Q44</f>
        <v>2.75</v>
      </c>
      <c r="P44" s="118"/>
      <c r="Q44" s="118">
        <f>Debate!AC44</f>
        <v>2.5</v>
      </c>
      <c r="R44" s="118"/>
      <c r="S44" s="118">
        <f>Debate!AO44</f>
        <v>2.6666666666666665</v>
      </c>
      <c r="T44" s="118">
        <f>Debate!AU44</f>
        <v>2.5</v>
      </c>
      <c r="U44" s="116"/>
      <c r="V44" s="7"/>
      <c r="W44" s="118">
        <f>GD!Q44</f>
        <v>2.75</v>
      </c>
      <c r="X44" s="118">
        <f>GD!W44</f>
        <v>2.5</v>
      </c>
      <c r="Y44" s="118"/>
      <c r="Z44" s="118"/>
      <c r="AA44" s="7"/>
      <c r="AB44" s="118"/>
      <c r="AC44" s="116"/>
      <c r="AD44" s="118">
        <f>'Case study'!K44</f>
        <v>2.75</v>
      </c>
      <c r="AE44" s="118">
        <f>'Case study'!Q44</f>
        <v>2.7</v>
      </c>
      <c r="AF44" s="118">
        <f>'Case study'!W44</f>
        <v>3</v>
      </c>
      <c r="AG44" s="118"/>
      <c r="AH44" s="118"/>
      <c r="AI44" s="118">
        <f>'Case study'!AO44</f>
        <v>2.75</v>
      </c>
      <c r="AJ44" s="118">
        <f>'Case study'!AU44</f>
        <v>3</v>
      </c>
      <c r="AK44" s="116"/>
      <c r="AL44" s="118">
        <f>Capstone!K44</f>
        <v>3</v>
      </c>
      <c r="AM44" s="118">
        <f>Capstone!Q45</f>
        <v>5</v>
      </c>
      <c r="AN44" s="118">
        <f>Capstone!W45</f>
        <v>4</v>
      </c>
      <c r="AO44" s="118"/>
      <c r="AP44" s="118"/>
      <c r="AQ44" s="118">
        <f>Capstone!AO45</f>
        <v>5</v>
      </c>
      <c r="AR44" s="118"/>
      <c r="AS44" s="116"/>
      <c r="AT44" s="118">
        <f>IFERROR(AVERAGE(Table110461117[[#This Row],[Column2]],Table110461117[[#This Row],[Column11]],Table110461117[[#This Row],[Column29]]),"0")</f>
        <v>2.7916666666666665</v>
      </c>
      <c r="AU44" s="118">
        <f>IFERROR(AVERAGE(Table110461117[[#This Row],[Column3]],Table110461117[[#This Row],[Column12]],Table110461117[[#This Row],[Column21]],Table110461117[[#This Row],[Column30]]),"0")</f>
        <v>2.7249999999999996</v>
      </c>
      <c r="AV44" s="118">
        <f>IFERROR(AVERAGE(Table110461117[[#This Row],[Column31]],Table110461117[[#This Row],[Column22]],Table110461117[[#This Row],[Column4]]),"0")</f>
        <v>2.8333333333333335</v>
      </c>
      <c r="AW44" s="118">
        <f>IFERROR(AVERAGE(Table110461117[[#This Row],[Column14]]),"0")</f>
        <v>2.5</v>
      </c>
      <c r="AX44" s="118"/>
      <c r="AY44" s="118">
        <f>IFERROR(AVERAGE(Table110461117[[#This Row],[Column34]],Table110461117[[#This Row],[Column16]],Table110461117[[#This Row],[Column7]]),"0")</f>
        <v>2.6388888888888888</v>
      </c>
      <c r="AZ44" s="118">
        <f>IFERROR(AVERAGE(Table110461117[[#This Row],[Column35]],Table110461117[[#This Row],[Column17]],Table110461117[[#This Row],[Column8]]),"0")</f>
        <v>2.6666666666666665</v>
      </c>
      <c r="BA44" s="116"/>
      <c r="BB44" s="118"/>
      <c r="BC44" s="118">
        <f>IFERROR(AVERAGE('Book Review'!AY44,Debate!AY44,'Case study'!AY44,Capstone!AY44),"A")</f>
        <v>2.75</v>
      </c>
      <c r="BD44" s="118">
        <f>IFERROR(AVERAGE('Book Review'!AZ44,Debate!AZ44,'Case study'!AZ44),"A")</f>
        <v>2.6666666666666665</v>
      </c>
    </row>
    <row r="45" spans="1:56" s="109" customFormat="1" ht="23.1" customHeight="1" x14ac:dyDescent="0.3">
      <c r="A45" s="115">
        <v>43</v>
      </c>
      <c r="B45" s="49" t="s">
        <v>114</v>
      </c>
      <c r="C45" s="49" t="s">
        <v>115</v>
      </c>
      <c r="D45" s="49" t="s">
        <v>450</v>
      </c>
      <c r="E45" s="49" t="s">
        <v>35</v>
      </c>
      <c r="F45" s="117">
        <f>'Book Review'!K45</f>
        <v>3.25</v>
      </c>
      <c r="G45" s="117">
        <f>'Book Review'!Q45</f>
        <v>4</v>
      </c>
      <c r="H45" s="117">
        <f>'Book Review'!W45</f>
        <v>4</v>
      </c>
      <c r="I45" s="117"/>
      <c r="J45" s="117"/>
      <c r="K45" s="117">
        <f>'Book Review'!AO45</f>
        <v>3</v>
      </c>
      <c r="L45" s="117">
        <f>'Book Review'!AU45</f>
        <v>2</v>
      </c>
      <c r="M45" s="116"/>
      <c r="N45" s="117">
        <f>Debate!K45</f>
        <v>3</v>
      </c>
      <c r="O45" s="117">
        <f>Debate!Q45</f>
        <v>3.8</v>
      </c>
      <c r="P45" s="117"/>
      <c r="Q45" s="117">
        <f>Debate!AC45</f>
        <v>3</v>
      </c>
      <c r="R45" s="117"/>
      <c r="S45" s="117">
        <f>Debate!AO45</f>
        <v>4</v>
      </c>
      <c r="T45" s="117">
        <f>Debate!AU45</f>
        <v>3</v>
      </c>
      <c r="U45" s="116"/>
      <c r="V45" s="49"/>
      <c r="W45" s="117">
        <f>GD!Q45</f>
        <v>4</v>
      </c>
      <c r="X45" s="117">
        <f>GD!W45</f>
        <v>4</v>
      </c>
      <c r="Y45" s="117"/>
      <c r="Z45" s="117"/>
      <c r="AA45" s="49"/>
      <c r="AB45" s="117"/>
      <c r="AC45" s="116"/>
      <c r="AD45" s="117">
        <f>'Case study'!K45</f>
        <v>3.25</v>
      </c>
      <c r="AE45" s="117">
        <f>'Case study'!Q45</f>
        <v>4</v>
      </c>
      <c r="AF45" s="117">
        <f>'Case study'!W45</f>
        <v>4</v>
      </c>
      <c r="AG45" s="117"/>
      <c r="AH45" s="117"/>
      <c r="AI45" s="117">
        <f>'Case study'!AO45</f>
        <v>3</v>
      </c>
      <c r="AJ45" s="117">
        <f>'Case study'!AU45</f>
        <v>3</v>
      </c>
      <c r="AK45" s="116"/>
      <c r="AL45" s="117">
        <f>Capstone!K45</f>
        <v>4.666666666666667</v>
      </c>
      <c r="AM45" s="117">
        <f>Capstone!Q46</f>
        <v>4</v>
      </c>
      <c r="AN45" s="117">
        <f>Capstone!W46</f>
        <v>2</v>
      </c>
      <c r="AO45" s="117"/>
      <c r="AP45" s="117"/>
      <c r="AQ45" s="117">
        <f>Capstone!AO46</f>
        <v>4.25</v>
      </c>
      <c r="AR45" s="117"/>
      <c r="AS45" s="116"/>
      <c r="AT45" s="117">
        <f>IFERROR(AVERAGE(Table110461117[[#This Row],[Column2]],Table110461117[[#This Row],[Column11]],Table110461117[[#This Row],[Column29]]),"0")</f>
        <v>3.1666666666666665</v>
      </c>
      <c r="AU45" s="117">
        <f>IFERROR(AVERAGE(Table110461117[[#This Row],[Column3]],Table110461117[[#This Row],[Column12]],Table110461117[[#This Row],[Column21]],Table110461117[[#This Row],[Column30]]),"0")</f>
        <v>3.95</v>
      </c>
      <c r="AV45" s="117">
        <f>IFERROR(AVERAGE(Table110461117[[#This Row],[Column31]],Table110461117[[#This Row],[Column22]],Table110461117[[#This Row],[Column4]]),"0")</f>
        <v>4</v>
      </c>
      <c r="AW45" s="117">
        <f>IFERROR(AVERAGE(Table110461117[[#This Row],[Column14]]),"0")</f>
        <v>3</v>
      </c>
      <c r="AX45" s="117"/>
      <c r="AY45" s="117">
        <f>IFERROR(AVERAGE(Table110461117[[#This Row],[Column34]],Table110461117[[#This Row],[Column16]],Table110461117[[#This Row],[Column7]]),"0")</f>
        <v>3.3333333333333335</v>
      </c>
      <c r="AZ45" s="117">
        <f>IFERROR(AVERAGE(Table110461117[[#This Row],[Column35]],Table110461117[[#This Row],[Column17]],Table110461117[[#This Row],[Column8]]),"0")</f>
        <v>2.6666666666666665</v>
      </c>
      <c r="BA45" s="116"/>
      <c r="BB45" s="117"/>
      <c r="BC45" s="117">
        <f>IFERROR(AVERAGE('Book Review'!AY45,Debate!AY45,'Case study'!AY45,Capstone!AY45),"A")</f>
        <v>3.75</v>
      </c>
      <c r="BD45" s="117">
        <f>IFERROR(AVERAGE('Book Review'!AZ45,Debate!AZ45,'Case study'!AZ45),"A")</f>
        <v>2.3333333333333335</v>
      </c>
    </row>
    <row r="46" spans="1:56" s="109" customFormat="1" ht="23.1" customHeight="1" x14ac:dyDescent="0.3">
      <c r="A46" s="6">
        <v>44</v>
      </c>
      <c r="B46" s="7" t="s">
        <v>116</v>
      </c>
      <c r="C46" s="7" t="s">
        <v>117</v>
      </c>
      <c r="D46" s="7" t="s">
        <v>542</v>
      </c>
      <c r="E46" s="7" t="s">
        <v>35</v>
      </c>
      <c r="F46" s="118">
        <f>'Book Review'!K46</f>
        <v>3.5</v>
      </c>
      <c r="G46" s="118">
        <f>'Book Review'!Q46</f>
        <v>3.6</v>
      </c>
      <c r="H46" s="118">
        <f>'Book Review'!W46</f>
        <v>2</v>
      </c>
      <c r="I46" s="118"/>
      <c r="J46" s="118"/>
      <c r="K46" s="118">
        <f>'Book Review'!AO46</f>
        <v>3.5</v>
      </c>
      <c r="L46" s="118">
        <f>'Book Review'!AU46</f>
        <v>3</v>
      </c>
      <c r="M46" s="116"/>
      <c r="N46" s="118">
        <f>Debate!K46</f>
        <v>4</v>
      </c>
      <c r="O46" s="118">
        <f>Debate!Q46</f>
        <v>3.1</v>
      </c>
      <c r="P46" s="118"/>
      <c r="Q46" s="118">
        <f>Debate!AC46</f>
        <v>4</v>
      </c>
      <c r="R46" s="118"/>
      <c r="S46" s="118">
        <f>Debate!AO46</f>
        <v>3.6666666666666665</v>
      </c>
      <c r="T46" s="118">
        <f>Debate!AU46</f>
        <v>3</v>
      </c>
      <c r="U46" s="116"/>
      <c r="V46" s="7"/>
      <c r="W46" s="118">
        <f>GD!Q46</f>
        <v>3.5</v>
      </c>
      <c r="X46" s="118">
        <f>GD!W46</f>
        <v>3</v>
      </c>
      <c r="Y46" s="118"/>
      <c r="Z46" s="118"/>
      <c r="AA46" s="7"/>
      <c r="AB46" s="118"/>
      <c r="AC46" s="116"/>
      <c r="AD46" s="118">
        <f>'Case study'!K46</f>
        <v>3.5</v>
      </c>
      <c r="AE46" s="118">
        <f>'Case study'!Q46</f>
        <v>3.6</v>
      </c>
      <c r="AF46" s="118">
        <f>'Case study'!W46</f>
        <v>2</v>
      </c>
      <c r="AG46" s="118"/>
      <c r="AH46" s="118"/>
      <c r="AI46" s="118">
        <f>'Case study'!AO46</f>
        <v>3.25</v>
      </c>
      <c r="AJ46" s="118">
        <f>'Case study'!AU46</f>
        <v>3</v>
      </c>
      <c r="AK46" s="116"/>
      <c r="AL46" s="118">
        <f>Capstone!K46</f>
        <v>4</v>
      </c>
      <c r="AM46" s="118" t="str">
        <f>Capstone!Q47</f>
        <v>0</v>
      </c>
      <c r="AN46" s="118" t="str">
        <f>Capstone!W47</f>
        <v>0</v>
      </c>
      <c r="AO46" s="118"/>
      <c r="AP46" s="118"/>
      <c r="AQ46" s="118" t="str">
        <f>Capstone!AO47</f>
        <v>0</v>
      </c>
      <c r="AR46" s="118"/>
      <c r="AS46" s="116"/>
      <c r="AT46" s="118">
        <f>IFERROR(AVERAGE(Table110461117[[#This Row],[Column2]],Table110461117[[#This Row],[Column11]],Table110461117[[#This Row],[Column29]]),"0")</f>
        <v>3.6666666666666665</v>
      </c>
      <c r="AU46" s="118">
        <f>IFERROR(AVERAGE(Table110461117[[#This Row],[Column3]],Table110461117[[#This Row],[Column12]],Table110461117[[#This Row],[Column21]],Table110461117[[#This Row],[Column30]]),"0")</f>
        <v>3.4499999999999997</v>
      </c>
      <c r="AV46" s="118">
        <f>IFERROR(AVERAGE(Table110461117[[#This Row],[Column31]],Table110461117[[#This Row],[Column22]],Table110461117[[#This Row],[Column4]]),"0")</f>
        <v>2.3333333333333335</v>
      </c>
      <c r="AW46" s="118">
        <f>IFERROR(AVERAGE(Table110461117[[#This Row],[Column14]]),"0")</f>
        <v>4</v>
      </c>
      <c r="AX46" s="118"/>
      <c r="AY46" s="118">
        <f>IFERROR(AVERAGE(Table110461117[[#This Row],[Column34]],Table110461117[[#This Row],[Column16]],Table110461117[[#This Row],[Column7]]),"0")</f>
        <v>3.4722222222222219</v>
      </c>
      <c r="AZ46" s="118">
        <f>IFERROR(AVERAGE(Table110461117[[#This Row],[Column35]],Table110461117[[#This Row],[Column17]],Table110461117[[#This Row],[Column8]]),"0")</f>
        <v>3</v>
      </c>
      <c r="BA46" s="116"/>
      <c r="BB46" s="118"/>
      <c r="BC46" s="118">
        <f>IFERROR(AVERAGE('Book Review'!AY46,Debate!AY46,'Case study'!AY46,Capstone!AY46),"A")</f>
        <v>3.75</v>
      </c>
      <c r="BD46" s="118">
        <f>IFERROR(AVERAGE('Book Review'!AZ46,Debate!AZ46,'Case study'!AZ46),"A")</f>
        <v>3.6666666666666665</v>
      </c>
    </row>
    <row r="47" spans="1:56" s="109" customFormat="1" ht="23.1" customHeight="1" x14ac:dyDescent="0.3">
      <c r="A47" s="115">
        <v>45</v>
      </c>
      <c r="B47" s="49" t="s">
        <v>180</v>
      </c>
      <c r="C47" s="49" t="s">
        <v>181</v>
      </c>
      <c r="D47" s="49" t="s">
        <v>450</v>
      </c>
      <c r="E47" s="49" t="s">
        <v>161</v>
      </c>
      <c r="F47" s="117" t="str">
        <f>'Book Review'!K47</f>
        <v>0</v>
      </c>
      <c r="G47" s="117" t="str">
        <f>'Book Review'!Q47</f>
        <v>0</v>
      </c>
      <c r="H47" s="117" t="str">
        <f>'Book Review'!W47</f>
        <v>0</v>
      </c>
      <c r="I47" s="117"/>
      <c r="J47" s="117"/>
      <c r="K47" s="117" t="str">
        <f>'Book Review'!AO47</f>
        <v>0</v>
      </c>
      <c r="L47" s="117" t="str">
        <f>'Book Review'!AU47</f>
        <v>0</v>
      </c>
      <c r="M47" s="116"/>
      <c r="N47" s="117" t="str">
        <f>Debate!K47</f>
        <v>0</v>
      </c>
      <c r="O47" s="117" t="str">
        <f>Debate!Q47</f>
        <v>0</v>
      </c>
      <c r="P47" s="117"/>
      <c r="Q47" s="117" t="str">
        <f>Debate!AC47</f>
        <v>0</v>
      </c>
      <c r="R47" s="117"/>
      <c r="S47" s="117" t="str">
        <f>Debate!AO47</f>
        <v>0</v>
      </c>
      <c r="T47" s="117">
        <f>Debate!AU47</f>
        <v>0</v>
      </c>
      <c r="U47" s="116"/>
      <c r="V47" s="49"/>
      <c r="W47" s="117" t="str">
        <f>GD!Q47</f>
        <v>0</v>
      </c>
      <c r="X47" s="117" t="str">
        <f>GD!W47</f>
        <v>0</v>
      </c>
      <c r="Y47" s="117"/>
      <c r="Z47" s="117"/>
      <c r="AA47" s="49"/>
      <c r="AB47" s="117"/>
      <c r="AC47" s="116"/>
      <c r="AD47" s="117" t="str">
        <f>'Case study'!K47</f>
        <v>0</v>
      </c>
      <c r="AE47" s="117" t="str">
        <f>'Case study'!Q47</f>
        <v>0</v>
      </c>
      <c r="AF47" s="117" t="str">
        <f>'Case study'!W47</f>
        <v>0</v>
      </c>
      <c r="AG47" s="117"/>
      <c r="AH47" s="117"/>
      <c r="AI47" s="117" t="str">
        <f>'Case study'!AO47</f>
        <v>0</v>
      </c>
      <c r="AJ47" s="117" t="str">
        <f>'Case study'!AU47</f>
        <v>0</v>
      </c>
      <c r="AK47" s="116"/>
      <c r="AL47" s="117" t="str">
        <f>Capstone!K47</f>
        <v>0</v>
      </c>
      <c r="AM47" s="117">
        <f>Capstone!Q48</f>
        <v>4.5</v>
      </c>
      <c r="AN47" s="117">
        <f>Capstone!W48</f>
        <v>2</v>
      </c>
      <c r="AO47" s="117"/>
      <c r="AP47" s="117"/>
      <c r="AQ47" s="117">
        <f>Capstone!AO48</f>
        <v>4.75</v>
      </c>
      <c r="AR47" s="117"/>
      <c r="AS47" s="116"/>
      <c r="AT47" s="117" t="str">
        <f>IFERROR(AVERAGE(Table110461117[[#This Row],[Column2]],Table110461117[[#This Row],[Column11]],Table110461117[[#This Row],[Column29]]),"0")</f>
        <v>0</v>
      </c>
      <c r="AU47" s="117" t="str">
        <f>IFERROR(AVERAGE(Table110461117[[#This Row],[Column3]],Table110461117[[#This Row],[Column12]],Table110461117[[#This Row],[Column21]],Table110461117[[#This Row],[Column30]]),"0")</f>
        <v>0</v>
      </c>
      <c r="AV47" s="117" t="str">
        <f>IFERROR(AVERAGE(Table110461117[[#This Row],[Column31]],Table110461117[[#This Row],[Column22]],Table110461117[[#This Row],[Column4]]),"0")</f>
        <v>0</v>
      </c>
      <c r="AW47" s="117" t="str">
        <f>IFERROR(AVERAGE(Table110461117[[#This Row],[Column14]]),"0")</f>
        <v>0</v>
      </c>
      <c r="AX47" s="117"/>
      <c r="AY47" s="117" t="str">
        <f>IFERROR(AVERAGE(Table110461117[[#This Row],[Column34]],Table110461117[[#This Row],[Column16]],Table110461117[[#This Row],[Column7]]),"0")</f>
        <v>0</v>
      </c>
      <c r="AZ47" s="117">
        <f>IFERROR(AVERAGE(Table110461117[[#This Row],[Column35]],Table110461117[[#This Row],[Column17]],Table110461117[[#This Row],[Column8]]),"0")</f>
        <v>0</v>
      </c>
      <c r="BA47" s="116"/>
      <c r="BB47" s="117"/>
      <c r="BC47" s="117">
        <f>IFERROR(AVERAGE('Book Review'!AY47,Debate!AY47,'Case study'!AY47,Capstone!AY47),"A")</f>
        <v>0</v>
      </c>
      <c r="BD47" s="117">
        <f>IFERROR(AVERAGE('Book Review'!AZ47,Debate!AZ47,'Case study'!AZ47),"A")</f>
        <v>0</v>
      </c>
    </row>
    <row r="48" spans="1:56" s="109" customFormat="1" ht="23.1" customHeight="1" x14ac:dyDescent="0.3">
      <c r="A48" s="6">
        <v>46</v>
      </c>
      <c r="B48" s="7" t="s">
        <v>308</v>
      </c>
      <c r="C48" s="7" t="s">
        <v>309</v>
      </c>
      <c r="D48" s="7" t="s">
        <v>542</v>
      </c>
      <c r="E48" s="7" t="s">
        <v>493</v>
      </c>
      <c r="F48" s="118">
        <f>'Book Review'!K48</f>
        <v>1</v>
      </c>
      <c r="G48" s="118">
        <f>'Book Review'!Q48</f>
        <v>1.6</v>
      </c>
      <c r="H48" s="118">
        <f>'Book Review'!W48</f>
        <v>1</v>
      </c>
      <c r="I48" s="118"/>
      <c r="J48" s="118"/>
      <c r="K48" s="118">
        <f>'Book Review'!AO48</f>
        <v>1</v>
      </c>
      <c r="L48" s="118">
        <f>'Book Review'!AU48</f>
        <v>1</v>
      </c>
      <c r="M48" s="116"/>
      <c r="N48" s="118">
        <f>Debate!K48</f>
        <v>2</v>
      </c>
      <c r="O48" s="118">
        <f>Debate!Q48</f>
        <v>2.4</v>
      </c>
      <c r="P48" s="118"/>
      <c r="Q48" s="118">
        <f>Debate!AC48</f>
        <v>3</v>
      </c>
      <c r="R48" s="118"/>
      <c r="S48" s="118">
        <f>Debate!AO48</f>
        <v>2.3333333333333335</v>
      </c>
      <c r="T48" s="118">
        <f>Debate!AU48</f>
        <v>3</v>
      </c>
      <c r="U48" s="116"/>
      <c r="V48" s="7"/>
      <c r="W48" s="118">
        <f>GD!Q48</f>
        <v>3.5</v>
      </c>
      <c r="X48" s="118">
        <f>GD!W48</f>
        <v>2</v>
      </c>
      <c r="Y48" s="118"/>
      <c r="Z48" s="118"/>
      <c r="AA48" s="7"/>
      <c r="AB48" s="118"/>
      <c r="AC48" s="116"/>
      <c r="AD48" s="118">
        <f>'Case study'!K48</f>
        <v>3</v>
      </c>
      <c r="AE48" s="118">
        <f>'Case study'!Q48</f>
        <v>3</v>
      </c>
      <c r="AF48" s="118">
        <f>'Case study'!W48</f>
        <v>2</v>
      </c>
      <c r="AG48" s="118"/>
      <c r="AH48" s="118"/>
      <c r="AI48" s="118">
        <f>'Case study'!AO48</f>
        <v>3</v>
      </c>
      <c r="AJ48" s="118">
        <f>'Case study'!AU48</f>
        <v>3</v>
      </c>
      <c r="AK48" s="116"/>
      <c r="AL48" s="118">
        <f>Capstone!K48</f>
        <v>4.333333333333333</v>
      </c>
      <c r="AM48" s="118">
        <f>Capstone!Q49</f>
        <v>3</v>
      </c>
      <c r="AN48" s="118">
        <f>Capstone!W49</f>
        <v>2</v>
      </c>
      <c r="AO48" s="118"/>
      <c r="AP48" s="118"/>
      <c r="AQ48" s="118">
        <f>Capstone!AO49</f>
        <v>2</v>
      </c>
      <c r="AR48" s="118"/>
      <c r="AS48" s="116"/>
      <c r="AT48" s="118">
        <f>IFERROR(AVERAGE(Table110461117[[#This Row],[Column2]],Table110461117[[#This Row],[Column11]],Table110461117[[#This Row],[Column29]]),"0")</f>
        <v>2</v>
      </c>
      <c r="AU48" s="118">
        <f>IFERROR(AVERAGE(Table110461117[[#This Row],[Column3]],Table110461117[[#This Row],[Column12]],Table110461117[[#This Row],[Column21]],Table110461117[[#This Row],[Column30]]),"0")</f>
        <v>2.625</v>
      </c>
      <c r="AV48" s="118">
        <f>IFERROR(AVERAGE(Table110461117[[#This Row],[Column31]],Table110461117[[#This Row],[Column22]],Table110461117[[#This Row],[Column4]]),"0")</f>
        <v>1.6666666666666667</v>
      </c>
      <c r="AW48" s="118">
        <f>IFERROR(AVERAGE(Table110461117[[#This Row],[Column14]]),"0")</f>
        <v>3</v>
      </c>
      <c r="AX48" s="118"/>
      <c r="AY48" s="118">
        <f>IFERROR(AVERAGE(Table110461117[[#This Row],[Column34]],Table110461117[[#This Row],[Column16]],Table110461117[[#This Row],[Column7]]),"0")</f>
        <v>2.1111111111111112</v>
      </c>
      <c r="AZ48" s="118">
        <f>IFERROR(AVERAGE(Table110461117[[#This Row],[Column35]],Table110461117[[#This Row],[Column17]],Table110461117[[#This Row],[Column8]]),"0")</f>
        <v>2.3333333333333335</v>
      </c>
      <c r="BA48" s="116"/>
      <c r="BB48" s="118"/>
      <c r="BC48" s="118">
        <f>IFERROR(AVERAGE('Book Review'!AY48,Debate!AY48,'Case study'!AY48,Capstone!AY48),"A")</f>
        <v>3</v>
      </c>
      <c r="BD48" s="118">
        <f>IFERROR(AVERAGE('Book Review'!AZ48,Debate!AZ48,'Case study'!AZ48),"A")</f>
        <v>2.3333333333333335</v>
      </c>
    </row>
    <row r="49" spans="1:56" s="109" customFormat="1" ht="23.1" customHeight="1" x14ac:dyDescent="0.3">
      <c r="A49" s="115">
        <v>47</v>
      </c>
      <c r="B49" s="49" t="s">
        <v>118</v>
      </c>
      <c r="C49" s="49" t="s">
        <v>119</v>
      </c>
      <c r="D49" s="49" t="s">
        <v>450</v>
      </c>
      <c r="E49" s="49" t="s">
        <v>35</v>
      </c>
      <c r="F49" s="117">
        <f>'Book Review'!K49</f>
        <v>2</v>
      </c>
      <c r="G49" s="117">
        <f>'Book Review'!Q49</f>
        <v>2.2000000000000002</v>
      </c>
      <c r="H49" s="117">
        <f>'Book Review'!W49</f>
        <v>2</v>
      </c>
      <c r="I49" s="117"/>
      <c r="J49" s="117"/>
      <c r="K49" s="117">
        <f>'Book Review'!AO49</f>
        <v>2.5</v>
      </c>
      <c r="L49" s="117">
        <f>'Book Review'!AU49</f>
        <v>3</v>
      </c>
      <c r="M49" s="116"/>
      <c r="N49" s="117">
        <f>Debate!K49</f>
        <v>2</v>
      </c>
      <c r="O49" s="117">
        <f>Debate!Q49</f>
        <v>2.1</v>
      </c>
      <c r="P49" s="117"/>
      <c r="Q49" s="117">
        <f>Debate!AC49</f>
        <v>3</v>
      </c>
      <c r="R49" s="117"/>
      <c r="S49" s="117">
        <f>Debate!AO49</f>
        <v>2</v>
      </c>
      <c r="T49" s="117">
        <f>Debate!AU49</f>
        <v>3</v>
      </c>
      <c r="U49" s="116"/>
      <c r="V49" s="49"/>
      <c r="W49" s="117">
        <f>GD!Q49</f>
        <v>2</v>
      </c>
      <c r="X49" s="117">
        <f>GD!W49</f>
        <v>2</v>
      </c>
      <c r="Y49" s="117"/>
      <c r="Z49" s="117"/>
      <c r="AA49" s="49"/>
      <c r="AB49" s="117"/>
      <c r="AC49" s="116"/>
      <c r="AD49" s="117">
        <f>'Case study'!K49</f>
        <v>2</v>
      </c>
      <c r="AE49" s="117">
        <f>'Case study'!Q49</f>
        <v>2.2000000000000002</v>
      </c>
      <c r="AF49" s="117">
        <f>'Case study'!W49</f>
        <v>2</v>
      </c>
      <c r="AG49" s="117"/>
      <c r="AH49" s="117"/>
      <c r="AI49" s="117">
        <f>'Case study'!AO49</f>
        <v>2.5</v>
      </c>
      <c r="AJ49" s="117">
        <f>'Case study'!AU49</f>
        <v>3</v>
      </c>
      <c r="AK49" s="116"/>
      <c r="AL49" s="117">
        <f>Capstone!K49</f>
        <v>2.6666666666666665</v>
      </c>
      <c r="AM49" s="117">
        <f>Capstone!Q50</f>
        <v>2.25</v>
      </c>
      <c r="AN49" s="117">
        <f>Capstone!W50</f>
        <v>2.5</v>
      </c>
      <c r="AO49" s="117"/>
      <c r="AP49" s="117"/>
      <c r="AQ49" s="117">
        <f>Capstone!AO50</f>
        <v>3.25</v>
      </c>
      <c r="AR49" s="117"/>
      <c r="AS49" s="116"/>
      <c r="AT49" s="117">
        <f>IFERROR(AVERAGE(Table110461117[[#This Row],[Column2]],Table110461117[[#This Row],[Column11]],Table110461117[[#This Row],[Column29]]),"0")</f>
        <v>2</v>
      </c>
      <c r="AU49" s="117">
        <f>IFERROR(AVERAGE(Table110461117[[#This Row],[Column3]],Table110461117[[#This Row],[Column12]],Table110461117[[#This Row],[Column21]],Table110461117[[#This Row],[Column30]]),"0")</f>
        <v>2.125</v>
      </c>
      <c r="AV49" s="117">
        <f>IFERROR(AVERAGE(Table110461117[[#This Row],[Column31]],Table110461117[[#This Row],[Column22]],Table110461117[[#This Row],[Column4]]),"0")</f>
        <v>2</v>
      </c>
      <c r="AW49" s="117">
        <f>IFERROR(AVERAGE(Table110461117[[#This Row],[Column14]]),"0")</f>
        <v>3</v>
      </c>
      <c r="AX49" s="117"/>
      <c r="AY49" s="117">
        <f>IFERROR(AVERAGE(Table110461117[[#This Row],[Column34]],Table110461117[[#This Row],[Column16]],Table110461117[[#This Row],[Column7]]),"0")</f>
        <v>2.3333333333333335</v>
      </c>
      <c r="AZ49" s="117">
        <f>IFERROR(AVERAGE(Table110461117[[#This Row],[Column35]],Table110461117[[#This Row],[Column17]],Table110461117[[#This Row],[Column8]]),"0")</f>
        <v>3</v>
      </c>
      <c r="BA49" s="116"/>
      <c r="BB49" s="117"/>
      <c r="BC49" s="117">
        <f>IFERROR(AVERAGE('Book Review'!AY49,Debate!AY49,'Case study'!AY49,Capstone!AY49),"A")</f>
        <v>2.5</v>
      </c>
      <c r="BD49" s="117">
        <f>IFERROR(AVERAGE('Book Review'!AZ49,Debate!AZ49,'Case study'!AZ49),"A")</f>
        <v>2.6666666666666665</v>
      </c>
    </row>
    <row r="50" spans="1:56" s="109" customFormat="1" ht="23.1" customHeight="1" x14ac:dyDescent="0.3">
      <c r="A50" s="6">
        <v>48</v>
      </c>
      <c r="B50" s="7" t="s">
        <v>197</v>
      </c>
      <c r="C50" s="7" t="s">
        <v>198</v>
      </c>
      <c r="D50" s="7" t="s">
        <v>450</v>
      </c>
      <c r="E50" s="7" t="s">
        <v>161</v>
      </c>
      <c r="F50" s="118">
        <f>'Book Review'!K50</f>
        <v>2.25</v>
      </c>
      <c r="G50" s="118">
        <f>'Book Review'!Q50</f>
        <v>2.6</v>
      </c>
      <c r="H50" s="118">
        <f>'Book Review'!W50</f>
        <v>2.5</v>
      </c>
      <c r="I50" s="118"/>
      <c r="J50" s="118"/>
      <c r="K50" s="118">
        <f>'Book Review'!AO50</f>
        <v>2.75</v>
      </c>
      <c r="L50" s="118">
        <f>'Book Review'!AU50</f>
        <v>2</v>
      </c>
      <c r="M50" s="116"/>
      <c r="N50" s="118">
        <f>Debate!K50</f>
        <v>2.5</v>
      </c>
      <c r="O50" s="118">
        <f>Debate!Q50</f>
        <v>2.65</v>
      </c>
      <c r="P50" s="118"/>
      <c r="Q50" s="118">
        <f>Debate!AC50</f>
        <v>2.5</v>
      </c>
      <c r="R50" s="118"/>
      <c r="S50" s="118">
        <f>Debate!AO50</f>
        <v>2.5</v>
      </c>
      <c r="T50" s="118">
        <f>Debate!AU50</f>
        <v>2</v>
      </c>
      <c r="U50" s="116"/>
      <c r="V50" s="7"/>
      <c r="W50" s="118">
        <f>GD!Q50</f>
        <v>2.625</v>
      </c>
      <c r="X50" s="118">
        <f>GD!W50</f>
        <v>3</v>
      </c>
      <c r="Y50" s="118"/>
      <c r="Z50" s="118"/>
      <c r="AA50" s="7"/>
      <c r="AB50" s="118"/>
      <c r="AC50" s="116"/>
      <c r="AD50" s="118">
        <f>'Case study'!K50</f>
        <v>2.5</v>
      </c>
      <c r="AE50" s="118">
        <f>'Case study'!Q50</f>
        <v>2.6</v>
      </c>
      <c r="AF50" s="118">
        <f>'Case study'!W50</f>
        <v>2.5</v>
      </c>
      <c r="AG50" s="118"/>
      <c r="AH50" s="118"/>
      <c r="AI50" s="118">
        <f>'Case study'!AO50</f>
        <v>2.5</v>
      </c>
      <c r="AJ50" s="118">
        <f>'Case study'!AU50</f>
        <v>3</v>
      </c>
      <c r="AK50" s="116"/>
      <c r="AL50" s="118">
        <f>Capstone!K50</f>
        <v>3</v>
      </c>
      <c r="AM50" s="118">
        <f>Capstone!Q51</f>
        <v>4.5</v>
      </c>
      <c r="AN50" s="118">
        <f>Capstone!W51</f>
        <v>5</v>
      </c>
      <c r="AO50" s="118"/>
      <c r="AP50" s="118"/>
      <c r="AQ50" s="118">
        <f>Capstone!AO51</f>
        <v>4</v>
      </c>
      <c r="AR50" s="118"/>
      <c r="AS50" s="116"/>
      <c r="AT50" s="118">
        <f>IFERROR(AVERAGE(Table110461117[[#This Row],[Column2]],Table110461117[[#This Row],[Column11]],Table110461117[[#This Row],[Column29]]),"0")</f>
        <v>2.4166666666666665</v>
      </c>
      <c r="AU50" s="118">
        <f>IFERROR(AVERAGE(Table110461117[[#This Row],[Column3]],Table110461117[[#This Row],[Column12]],Table110461117[[#This Row],[Column21]],Table110461117[[#This Row],[Column30]]),"0")</f>
        <v>2.6187499999999999</v>
      </c>
      <c r="AV50" s="118">
        <f>IFERROR(AVERAGE(Table110461117[[#This Row],[Column31]],Table110461117[[#This Row],[Column22]],Table110461117[[#This Row],[Column4]]),"0")</f>
        <v>2.6666666666666665</v>
      </c>
      <c r="AW50" s="118">
        <f>IFERROR(AVERAGE(Table110461117[[#This Row],[Column14]]),"0")</f>
        <v>2.5</v>
      </c>
      <c r="AX50" s="118"/>
      <c r="AY50" s="118">
        <f>IFERROR(AVERAGE(Table110461117[[#This Row],[Column34]],Table110461117[[#This Row],[Column16]],Table110461117[[#This Row],[Column7]]),"0")</f>
        <v>2.5833333333333335</v>
      </c>
      <c r="AZ50" s="118">
        <f>IFERROR(AVERAGE(Table110461117[[#This Row],[Column35]],Table110461117[[#This Row],[Column17]],Table110461117[[#This Row],[Column8]]),"0")</f>
        <v>2.3333333333333335</v>
      </c>
      <c r="BA50" s="116"/>
      <c r="BB50" s="118"/>
      <c r="BC50" s="118">
        <f>IFERROR(AVERAGE('Book Review'!AY50,Debate!AY50,'Case study'!AY50,Capstone!AY50),"A")</f>
        <v>2.5</v>
      </c>
      <c r="BD50" s="118">
        <f>IFERROR(AVERAGE('Book Review'!AZ50,Debate!AZ50,'Case study'!AZ50),"A")</f>
        <v>2.6666666666666665</v>
      </c>
    </row>
    <row r="51" spans="1:56" s="109" customFormat="1" ht="23.1" customHeight="1" x14ac:dyDescent="0.3">
      <c r="A51" s="115">
        <v>49</v>
      </c>
      <c r="B51" s="49" t="s">
        <v>310</v>
      </c>
      <c r="C51" s="49" t="s">
        <v>311</v>
      </c>
      <c r="D51" s="49" t="s">
        <v>450</v>
      </c>
      <c r="E51" s="49" t="s">
        <v>493</v>
      </c>
      <c r="F51" s="117">
        <f>'Book Review'!K51</f>
        <v>4.75</v>
      </c>
      <c r="G51" s="117">
        <f>'Book Review'!Q51</f>
        <v>4.8</v>
      </c>
      <c r="H51" s="117">
        <f>'Book Review'!W51</f>
        <v>5</v>
      </c>
      <c r="I51" s="117"/>
      <c r="J51" s="117"/>
      <c r="K51" s="117">
        <f>'Book Review'!AO51</f>
        <v>5</v>
      </c>
      <c r="L51" s="117">
        <f>'Book Review'!AU51</f>
        <v>4</v>
      </c>
      <c r="M51" s="116"/>
      <c r="N51" s="117">
        <f>Debate!K51</f>
        <v>5</v>
      </c>
      <c r="O51" s="117">
        <f>Debate!Q51</f>
        <v>4.8</v>
      </c>
      <c r="P51" s="117"/>
      <c r="Q51" s="117">
        <f>Debate!AC51</f>
        <v>5</v>
      </c>
      <c r="R51" s="117"/>
      <c r="S51" s="117">
        <f>Debate!AO51</f>
        <v>4.666666666666667</v>
      </c>
      <c r="T51" s="117">
        <f>Debate!AU51</f>
        <v>5</v>
      </c>
      <c r="U51" s="116"/>
      <c r="V51" s="49"/>
      <c r="W51" s="117">
        <f>GD!Q51</f>
        <v>4.5</v>
      </c>
      <c r="X51" s="117">
        <f>GD!W51</f>
        <v>5</v>
      </c>
      <c r="Y51" s="117"/>
      <c r="Z51" s="117"/>
      <c r="AA51" s="49"/>
      <c r="AB51" s="117"/>
      <c r="AC51" s="116"/>
      <c r="AD51" s="117">
        <f>'Case study'!K51</f>
        <v>4.75</v>
      </c>
      <c r="AE51" s="117">
        <f>'Case study'!Q51</f>
        <v>4.8</v>
      </c>
      <c r="AF51" s="117">
        <f>'Case study'!W51</f>
        <v>5</v>
      </c>
      <c r="AG51" s="117"/>
      <c r="AH51" s="117"/>
      <c r="AI51" s="117">
        <f>'Case study'!AO51</f>
        <v>4.5</v>
      </c>
      <c r="AJ51" s="117">
        <f>'Case study'!AU51</f>
        <v>3</v>
      </c>
      <c r="AK51" s="116"/>
      <c r="AL51" s="117">
        <f>Capstone!K51</f>
        <v>3.6666666666666665</v>
      </c>
      <c r="AM51" s="117">
        <f>Capstone!Q52</f>
        <v>2.25</v>
      </c>
      <c r="AN51" s="117">
        <f>Capstone!W52</f>
        <v>2</v>
      </c>
      <c r="AO51" s="117"/>
      <c r="AP51" s="117"/>
      <c r="AQ51" s="117">
        <f>Capstone!AO52</f>
        <v>3.5</v>
      </c>
      <c r="AR51" s="117"/>
      <c r="AS51" s="116"/>
      <c r="AT51" s="117">
        <f>IFERROR(AVERAGE(Table110461117[[#This Row],[Column2]],Table110461117[[#This Row],[Column11]],Table110461117[[#This Row],[Column29]]),"0")</f>
        <v>4.833333333333333</v>
      </c>
      <c r="AU51" s="117">
        <f>IFERROR(AVERAGE(Table110461117[[#This Row],[Column3]],Table110461117[[#This Row],[Column12]],Table110461117[[#This Row],[Column21]],Table110461117[[#This Row],[Column30]]),"0")</f>
        <v>4.7249999999999996</v>
      </c>
      <c r="AV51" s="117">
        <f>IFERROR(AVERAGE(Table110461117[[#This Row],[Column31]],Table110461117[[#This Row],[Column22]],Table110461117[[#This Row],[Column4]]),"0")</f>
        <v>5</v>
      </c>
      <c r="AW51" s="117">
        <f>IFERROR(AVERAGE(Table110461117[[#This Row],[Column14]]),"0")</f>
        <v>5</v>
      </c>
      <c r="AX51" s="117"/>
      <c r="AY51" s="117">
        <f>IFERROR(AVERAGE(Table110461117[[#This Row],[Column34]],Table110461117[[#This Row],[Column16]],Table110461117[[#This Row],[Column7]]),"0")</f>
        <v>4.7222222222222223</v>
      </c>
      <c r="AZ51" s="117">
        <f>IFERROR(AVERAGE(Table110461117[[#This Row],[Column35]],Table110461117[[#This Row],[Column17]],Table110461117[[#This Row],[Column8]]),"0")</f>
        <v>4</v>
      </c>
      <c r="BA51" s="116"/>
      <c r="BB51" s="117"/>
      <c r="BC51" s="117">
        <f>IFERROR(AVERAGE('Book Review'!AY51,Debate!AY51,'Case study'!AY51,Capstone!AY51),"A")</f>
        <v>3.5</v>
      </c>
      <c r="BD51" s="117">
        <f>IFERROR(AVERAGE('Book Review'!AZ51,Debate!AZ51,'Case study'!AZ51),"A")</f>
        <v>3.3333333333333335</v>
      </c>
    </row>
    <row r="52" spans="1:56" s="109" customFormat="1" ht="23.1" customHeight="1" x14ac:dyDescent="0.3">
      <c r="A52" s="6">
        <v>50</v>
      </c>
      <c r="B52" s="7" t="s">
        <v>122</v>
      </c>
      <c r="C52" s="7" t="s">
        <v>123</v>
      </c>
      <c r="D52" s="7" t="s">
        <v>450</v>
      </c>
      <c r="E52" s="7" t="s">
        <v>35</v>
      </c>
      <c r="F52" s="118">
        <f>'Book Review'!K52</f>
        <v>2</v>
      </c>
      <c r="G52" s="118">
        <f>'Book Review'!Q52</f>
        <v>2.1</v>
      </c>
      <c r="H52" s="118">
        <f>'Book Review'!W52</f>
        <v>2</v>
      </c>
      <c r="I52" s="118"/>
      <c r="J52" s="118"/>
      <c r="K52" s="118">
        <f>'Book Review'!AO52</f>
        <v>1.75</v>
      </c>
      <c r="L52" s="118">
        <f>'Book Review'!AU52</f>
        <v>2.5</v>
      </c>
      <c r="M52" s="116"/>
      <c r="N52" s="118">
        <f>Debate!K52</f>
        <v>2</v>
      </c>
      <c r="O52" s="118">
        <f>Debate!Q52</f>
        <v>2.0499999999999998</v>
      </c>
      <c r="P52" s="118"/>
      <c r="Q52" s="118">
        <f>Debate!AC52</f>
        <v>2.5</v>
      </c>
      <c r="R52" s="118"/>
      <c r="S52" s="118">
        <f>Debate!AO52</f>
        <v>2</v>
      </c>
      <c r="T52" s="118">
        <f>Debate!AU52</f>
        <v>2.5</v>
      </c>
      <c r="U52" s="116"/>
      <c r="V52" s="7"/>
      <c r="W52" s="118">
        <f>GD!Q52</f>
        <v>2</v>
      </c>
      <c r="X52" s="118">
        <f>GD!W52</f>
        <v>2.5</v>
      </c>
      <c r="Y52" s="118"/>
      <c r="Z52" s="118"/>
      <c r="AA52" s="7"/>
      <c r="AB52" s="118"/>
      <c r="AC52" s="116"/>
      <c r="AD52" s="118">
        <f>'Case study'!K52</f>
        <v>2</v>
      </c>
      <c r="AE52" s="118">
        <f>'Case study'!Q52</f>
        <v>2.1</v>
      </c>
      <c r="AF52" s="118">
        <f>'Case study'!W52</f>
        <v>2</v>
      </c>
      <c r="AG52" s="118"/>
      <c r="AH52" s="118"/>
      <c r="AI52" s="118">
        <f>'Case study'!AO52</f>
        <v>2.25</v>
      </c>
      <c r="AJ52" s="118">
        <f>'Case study'!AU52</f>
        <v>1.5</v>
      </c>
      <c r="AK52" s="116"/>
      <c r="AL52" s="118">
        <f>Capstone!K52</f>
        <v>3.3333333333333335</v>
      </c>
      <c r="AM52" s="118">
        <f>Capstone!Q53</f>
        <v>3</v>
      </c>
      <c r="AN52" s="118">
        <f>Capstone!W53</f>
        <v>3</v>
      </c>
      <c r="AO52" s="118"/>
      <c r="AP52" s="118"/>
      <c r="AQ52" s="118">
        <f>Capstone!AO53</f>
        <v>4.25</v>
      </c>
      <c r="AR52" s="118"/>
      <c r="AS52" s="116"/>
      <c r="AT52" s="118">
        <f>IFERROR(AVERAGE(Table110461117[[#This Row],[Column2]],Table110461117[[#This Row],[Column11]],Table110461117[[#This Row],[Column29]]),"0")</f>
        <v>2</v>
      </c>
      <c r="AU52" s="118">
        <f>IFERROR(AVERAGE(Table110461117[[#This Row],[Column3]],Table110461117[[#This Row],[Column12]],Table110461117[[#This Row],[Column21]],Table110461117[[#This Row],[Column30]]),"0")</f>
        <v>2.0625</v>
      </c>
      <c r="AV52" s="118">
        <f>IFERROR(AVERAGE(Table110461117[[#This Row],[Column31]],Table110461117[[#This Row],[Column22]],Table110461117[[#This Row],[Column4]]),"0")</f>
        <v>2.1666666666666665</v>
      </c>
      <c r="AW52" s="118">
        <f>IFERROR(AVERAGE(Table110461117[[#This Row],[Column14]]),"0")</f>
        <v>2.5</v>
      </c>
      <c r="AX52" s="118"/>
      <c r="AY52" s="118">
        <f>IFERROR(AVERAGE(Table110461117[[#This Row],[Column34]],Table110461117[[#This Row],[Column16]],Table110461117[[#This Row],[Column7]]),"0")</f>
        <v>2</v>
      </c>
      <c r="AZ52" s="118">
        <f>IFERROR(AVERAGE(Table110461117[[#This Row],[Column35]],Table110461117[[#This Row],[Column17]],Table110461117[[#This Row],[Column8]]),"0")</f>
        <v>2.1666666666666665</v>
      </c>
      <c r="BA52" s="116"/>
      <c r="BB52" s="118"/>
      <c r="BC52" s="118">
        <f>IFERROR(AVERAGE('Book Review'!AY52,Debate!AY52,'Case study'!AY52,Capstone!AY52),"A")</f>
        <v>2.125</v>
      </c>
      <c r="BD52" s="118">
        <f>IFERROR(AVERAGE('Book Review'!AZ52,Debate!AZ52,'Case study'!AZ52),"A")</f>
        <v>2.3333333333333335</v>
      </c>
    </row>
    <row r="53" spans="1:56" s="109" customFormat="1" ht="23.1" customHeight="1" x14ac:dyDescent="0.3">
      <c r="A53" s="115">
        <v>51</v>
      </c>
      <c r="B53" s="49" t="s">
        <v>259</v>
      </c>
      <c r="C53" s="49" t="s">
        <v>260</v>
      </c>
      <c r="D53" s="49" t="s">
        <v>542</v>
      </c>
      <c r="E53" s="49" t="s">
        <v>161</v>
      </c>
      <c r="F53" s="117">
        <f>'Book Review'!K53</f>
        <v>3.25</v>
      </c>
      <c r="G53" s="117">
        <f>'Book Review'!Q53</f>
        <v>3.2</v>
      </c>
      <c r="H53" s="117">
        <f>'Book Review'!W53</f>
        <v>3</v>
      </c>
      <c r="I53" s="117"/>
      <c r="J53" s="117"/>
      <c r="K53" s="117">
        <f>'Book Review'!AO53</f>
        <v>3.5</v>
      </c>
      <c r="L53" s="117">
        <f>'Book Review'!AU53</f>
        <v>3</v>
      </c>
      <c r="M53" s="116"/>
      <c r="N53" s="117">
        <f>Debate!K53</f>
        <v>3</v>
      </c>
      <c r="O53" s="117">
        <f>Debate!Q53</f>
        <v>2.9</v>
      </c>
      <c r="P53" s="117"/>
      <c r="Q53" s="117">
        <f>Debate!AC53</f>
        <v>4</v>
      </c>
      <c r="R53" s="117"/>
      <c r="S53" s="117">
        <f>Debate!AO53</f>
        <v>3</v>
      </c>
      <c r="T53" s="117">
        <f>Debate!AU53</f>
        <v>3</v>
      </c>
      <c r="U53" s="116"/>
      <c r="V53" s="49"/>
      <c r="W53" s="117">
        <f>GD!Q53</f>
        <v>3</v>
      </c>
      <c r="X53" s="117">
        <f>GD!W53</f>
        <v>3</v>
      </c>
      <c r="Y53" s="117"/>
      <c r="Z53" s="117"/>
      <c r="AA53" s="49"/>
      <c r="AB53" s="117"/>
      <c r="AC53" s="116"/>
      <c r="AD53" s="117">
        <f>'Case study'!K53</f>
        <v>2.5</v>
      </c>
      <c r="AE53" s="117">
        <f>'Case study'!Q53</f>
        <v>3</v>
      </c>
      <c r="AF53" s="117">
        <f>'Case study'!W53</f>
        <v>3</v>
      </c>
      <c r="AG53" s="117"/>
      <c r="AH53" s="117"/>
      <c r="AI53" s="117">
        <f>'Case study'!AO53</f>
        <v>2.5</v>
      </c>
      <c r="AJ53" s="117">
        <f>'Case study'!AU53</f>
        <v>3</v>
      </c>
      <c r="AK53" s="116"/>
      <c r="AL53" s="117">
        <f>Capstone!K53</f>
        <v>3.6666666666666665</v>
      </c>
      <c r="AM53" s="117">
        <f>Capstone!Q54</f>
        <v>2</v>
      </c>
      <c r="AN53" s="117">
        <f>Capstone!W54</f>
        <v>3</v>
      </c>
      <c r="AO53" s="117"/>
      <c r="AP53" s="117"/>
      <c r="AQ53" s="117">
        <f>Capstone!AO54</f>
        <v>2.25</v>
      </c>
      <c r="AR53" s="117"/>
      <c r="AS53" s="116"/>
      <c r="AT53" s="117">
        <f>IFERROR(AVERAGE(Table110461117[[#This Row],[Column2]],Table110461117[[#This Row],[Column11]],Table110461117[[#This Row],[Column29]]),"0")</f>
        <v>2.9166666666666665</v>
      </c>
      <c r="AU53" s="117">
        <f>IFERROR(AVERAGE(Table110461117[[#This Row],[Column3]],Table110461117[[#This Row],[Column12]],Table110461117[[#This Row],[Column21]],Table110461117[[#This Row],[Column30]]),"0")</f>
        <v>3.0249999999999999</v>
      </c>
      <c r="AV53" s="117">
        <f>IFERROR(AVERAGE(Table110461117[[#This Row],[Column31]],Table110461117[[#This Row],[Column22]],Table110461117[[#This Row],[Column4]]),"0")</f>
        <v>3</v>
      </c>
      <c r="AW53" s="117">
        <f>IFERROR(AVERAGE(Table110461117[[#This Row],[Column14]]),"0")</f>
        <v>4</v>
      </c>
      <c r="AX53" s="117"/>
      <c r="AY53" s="117">
        <f>IFERROR(AVERAGE(Table110461117[[#This Row],[Column34]],Table110461117[[#This Row],[Column16]],Table110461117[[#This Row],[Column7]]),"0")</f>
        <v>3</v>
      </c>
      <c r="AZ53" s="117">
        <f>IFERROR(AVERAGE(Table110461117[[#This Row],[Column35]],Table110461117[[#This Row],[Column17]],Table110461117[[#This Row],[Column8]]),"0")</f>
        <v>3</v>
      </c>
      <c r="BA53" s="116"/>
      <c r="BB53" s="117"/>
      <c r="BC53" s="117">
        <f>IFERROR(AVERAGE('Book Review'!AY53,Debate!AY53,'Case study'!AY53,Capstone!AY53),"A")</f>
        <v>3.5</v>
      </c>
      <c r="BD53" s="117">
        <f>IFERROR(AVERAGE('Book Review'!AZ53,Debate!AZ53,'Case study'!AZ53),"A")</f>
        <v>3.6666666666666665</v>
      </c>
    </row>
    <row r="54" spans="1:56" s="109" customFormat="1" ht="23.1" customHeight="1" x14ac:dyDescent="0.3">
      <c r="A54" s="6">
        <v>52</v>
      </c>
      <c r="B54" s="7" t="s">
        <v>213</v>
      </c>
      <c r="C54" s="7" t="s">
        <v>214</v>
      </c>
      <c r="D54" s="7" t="s">
        <v>450</v>
      </c>
      <c r="E54" s="7" t="s">
        <v>161</v>
      </c>
      <c r="F54" s="118">
        <f>'Book Review'!K54</f>
        <v>3</v>
      </c>
      <c r="G54" s="118">
        <f>'Book Review'!Q54</f>
        <v>3.4</v>
      </c>
      <c r="H54" s="118">
        <f>'Book Review'!W54</f>
        <v>3</v>
      </c>
      <c r="I54" s="118"/>
      <c r="J54" s="118"/>
      <c r="K54" s="118">
        <f>'Book Review'!AO54</f>
        <v>3</v>
      </c>
      <c r="L54" s="118">
        <f>'Book Review'!AU54</f>
        <v>3</v>
      </c>
      <c r="M54" s="116"/>
      <c r="N54" s="118">
        <f>Debate!K54</f>
        <v>3</v>
      </c>
      <c r="O54" s="118">
        <f>Debate!Q54</f>
        <v>3.2</v>
      </c>
      <c r="P54" s="118"/>
      <c r="Q54" s="118">
        <f>Debate!AC54</f>
        <v>3</v>
      </c>
      <c r="R54" s="118"/>
      <c r="S54" s="118">
        <f>Debate!AO54</f>
        <v>3.3333333333333335</v>
      </c>
      <c r="T54" s="118">
        <f>Debate!AU54</f>
        <v>3</v>
      </c>
      <c r="U54" s="116"/>
      <c r="V54" s="7"/>
      <c r="W54" s="118">
        <f>GD!Q54</f>
        <v>3.25</v>
      </c>
      <c r="X54" s="118">
        <f>GD!W54</f>
        <v>3</v>
      </c>
      <c r="Y54" s="118"/>
      <c r="Z54" s="118"/>
      <c r="AA54" s="7"/>
      <c r="AB54" s="118"/>
      <c r="AC54" s="116"/>
      <c r="AD54" s="118">
        <f>'Case study'!K54</f>
        <v>3</v>
      </c>
      <c r="AE54" s="118">
        <f>'Case study'!Q54</f>
        <v>3.4</v>
      </c>
      <c r="AF54" s="118">
        <f>'Case study'!W54</f>
        <v>3</v>
      </c>
      <c r="AG54" s="118"/>
      <c r="AH54" s="118"/>
      <c r="AI54" s="118">
        <f>'Case study'!AO54</f>
        <v>3</v>
      </c>
      <c r="AJ54" s="118">
        <f>'Case study'!AU54</f>
        <v>3</v>
      </c>
      <c r="AK54" s="116"/>
      <c r="AL54" s="118">
        <f>Capstone!K54</f>
        <v>2</v>
      </c>
      <c r="AM54" s="118">
        <f>Capstone!Q55</f>
        <v>4</v>
      </c>
      <c r="AN54" s="118">
        <f>Capstone!W55</f>
        <v>2</v>
      </c>
      <c r="AO54" s="118"/>
      <c r="AP54" s="118"/>
      <c r="AQ54" s="118">
        <f>Capstone!AO55</f>
        <v>4</v>
      </c>
      <c r="AR54" s="118"/>
      <c r="AS54" s="116"/>
      <c r="AT54" s="118">
        <f>IFERROR(AVERAGE(Table110461117[[#This Row],[Column2]],Table110461117[[#This Row],[Column11]],Table110461117[[#This Row],[Column29]]),"0")</f>
        <v>3</v>
      </c>
      <c r="AU54" s="118">
        <f>IFERROR(AVERAGE(Table110461117[[#This Row],[Column3]],Table110461117[[#This Row],[Column12]],Table110461117[[#This Row],[Column21]],Table110461117[[#This Row],[Column30]]),"0")</f>
        <v>3.3125</v>
      </c>
      <c r="AV54" s="118">
        <f>IFERROR(AVERAGE(Table110461117[[#This Row],[Column31]],Table110461117[[#This Row],[Column22]],Table110461117[[#This Row],[Column4]]),"0")</f>
        <v>3</v>
      </c>
      <c r="AW54" s="118">
        <f>IFERROR(AVERAGE(Table110461117[[#This Row],[Column14]]),"0")</f>
        <v>3</v>
      </c>
      <c r="AX54" s="118"/>
      <c r="AY54" s="118">
        <f>IFERROR(AVERAGE(Table110461117[[#This Row],[Column34]],Table110461117[[#This Row],[Column16]],Table110461117[[#This Row],[Column7]]),"0")</f>
        <v>3.1111111111111112</v>
      </c>
      <c r="AZ54" s="118">
        <f>IFERROR(AVERAGE(Table110461117[[#This Row],[Column35]],Table110461117[[#This Row],[Column17]],Table110461117[[#This Row],[Column8]]),"0")</f>
        <v>3</v>
      </c>
      <c r="BA54" s="116"/>
      <c r="BB54" s="118"/>
      <c r="BC54" s="118">
        <f>IFERROR(AVERAGE('Book Review'!AY54,Debate!AY54,'Case study'!AY54,Capstone!AY54),"A")</f>
        <v>2.25</v>
      </c>
      <c r="BD54" s="118">
        <f>IFERROR(AVERAGE('Book Review'!AZ54,Debate!AZ54,'Case study'!AZ54),"A")</f>
        <v>1.6666666666666667</v>
      </c>
    </row>
    <row r="55" spans="1:56" s="109" customFormat="1" ht="23.1" customHeight="1" x14ac:dyDescent="0.3">
      <c r="A55" s="115">
        <v>53</v>
      </c>
      <c r="B55" s="49" t="s">
        <v>229</v>
      </c>
      <c r="C55" s="49" t="s">
        <v>230</v>
      </c>
      <c r="D55" s="49" t="s">
        <v>450</v>
      </c>
      <c r="E55" s="49" t="s">
        <v>161</v>
      </c>
      <c r="F55" s="117">
        <f>'Book Review'!K55</f>
        <v>1.75</v>
      </c>
      <c r="G55" s="117">
        <f>'Book Review'!Q55</f>
        <v>2</v>
      </c>
      <c r="H55" s="117">
        <f>'Book Review'!W55</f>
        <v>1</v>
      </c>
      <c r="I55" s="117"/>
      <c r="J55" s="117"/>
      <c r="K55" s="117">
        <f>'Book Review'!AO55</f>
        <v>1</v>
      </c>
      <c r="L55" s="117">
        <f>'Book Review'!AU55</f>
        <v>3</v>
      </c>
      <c r="M55" s="116"/>
      <c r="N55" s="117">
        <f>Debate!K55</f>
        <v>2</v>
      </c>
      <c r="O55" s="117">
        <f>Debate!Q55</f>
        <v>1.7</v>
      </c>
      <c r="P55" s="117"/>
      <c r="Q55" s="117">
        <f>Debate!AC55</f>
        <v>2</v>
      </c>
      <c r="R55" s="117"/>
      <c r="S55" s="117">
        <f>Debate!AO55</f>
        <v>2.6666666666666665</v>
      </c>
      <c r="T55" s="117">
        <f>Debate!AU55</f>
        <v>3</v>
      </c>
      <c r="U55" s="116"/>
      <c r="V55" s="49"/>
      <c r="W55" s="117">
        <f>GD!Q55</f>
        <v>2</v>
      </c>
      <c r="X55" s="117">
        <f>GD!W55</f>
        <v>2</v>
      </c>
      <c r="Y55" s="117"/>
      <c r="Z55" s="117"/>
      <c r="AA55" s="49"/>
      <c r="AB55" s="117"/>
      <c r="AC55" s="116"/>
      <c r="AD55" s="117">
        <f>'Case study'!K55</f>
        <v>2.25</v>
      </c>
      <c r="AE55" s="117">
        <f>'Case study'!Q55</f>
        <v>2.6</v>
      </c>
      <c r="AF55" s="117">
        <f>'Case study'!W55</f>
        <v>2</v>
      </c>
      <c r="AG55" s="117"/>
      <c r="AH55" s="117"/>
      <c r="AI55" s="117">
        <f>'Case study'!AO55</f>
        <v>2.75</v>
      </c>
      <c r="AJ55" s="117">
        <f>'Case study'!AU55</f>
        <v>3</v>
      </c>
      <c r="AK55" s="116"/>
      <c r="AL55" s="117">
        <f>Capstone!K55</f>
        <v>3.3333333333333335</v>
      </c>
      <c r="AM55" s="117">
        <f>Capstone!Q56</f>
        <v>3.5</v>
      </c>
      <c r="AN55" s="117">
        <f>Capstone!W56</f>
        <v>2</v>
      </c>
      <c r="AO55" s="117"/>
      <c r="AP55" s="117"/>
      <c r="AQ55" s="117">
        <f>Capstone!AO56</f>
        <v>3.25</v>
      </c>
      <c r="AR55" s="117"/>
      <c r="AS55" s="116"/>
      <c r="AT55" s="117">
        <f>IFERROR(AVERAGE(Table110461117[[#This Row],[Column2]],Table110461117[[#This Row],[Column11]],Table110461117[[#This Row],[Column29]]),"0")</f>
        <v>2</v>
      </c>
      <c r="AU55" s="117">
        <f>IFERROR(AVERAGE(Table110461117[[#This Row],[Column3]],Table110461117[[#This Row],[Column12]],Table110461117[[#This Row],[Column21]],Table110461117[[#This Row],[Column30]]),"0")</f>
        <v>2.0750000000000002</v>
      </c>
      <c r="AV55" s="117">
        <f>IFERROR(AVERAGE(Table110461117[[#This Row],[Column31]],Table110461117[[#This Row],[Column22]],Table110461117[[#This Row],[Column4]]),"0")</f>
        <v>1.6666666666666667</v>
      </c>
      <c r="AW55" s="117">
        <f>IFERROR(AVERAGE(Table110461117[[#This Row],[Column14]]),"0")</f>
        <v>2</v>
      </c>
      <c r="AX55" s="117"/>
      <c r="AY55" s="117">
        <f>IFERROR(AVERAGE(Table110461117[[#This Row],[Column34]],Table110461117[[#This Row],[Column16]],Table110461117[[#This Row],[Column7]]),"0")</f>
        <v>2.1388888888888888</v>
      </c>
      <c r="AZ55" s="117">
        <f>IFERROR(AVERAGE(Table110461117[[#This Row],[Column35]],Table110461117[[#This Row],[Column17]],Table110461117[[#This Row],[Column8]]),"0")</f>
        <v>3</v>
      </c>
      <c r="BA55" s="116"/>
      <c r="BB55" s="117"/>
      <c r="BC55" s="117">
        <f>IFERROR(AVERAGE('Book Review'!AY55,Debate!AY55,'Case study'!AY55,Capstone!AY55),"A")</f>
        <v>2.75</v>
      </c>
      <c r="BD55" s="117">
        <f>IFERROR(AVERAGE('Book Review'!AZ55,Debate!AZ55,'Case study'!AZ55),"A")</f>
        <v>2.6666666666666665</v>
      </c>
    </row>
    <row r="56" spans="1:56" s="109" customFormat="1" ht="23.1" customHeight="1" x14ac:dyDescent="0.3">
      <c r="A56" s="6">
        <v>54</v>
      </c>
      <c r="B56" s="7" t="s">
        <v>312</v>
      </c>
      <c r="C56" s="7" t="s">
        <v>313</v>
      </c>
      <c r="D56" s="7" t="s">
        <v>450</v>
      </c>
      <c r="E56" s="7" t="s">
        <v>493</v>
      </c>
      <c r="F56" s="118">
        <f>'Book Review'!K56</f>
        <v>2.25</v>
      </c>
      <c r="G56" s="118">
        <f>'Book Review'!Q56</f>
        <v>2.8</v>
      </c>
      <c r="H56" s="118">
        <f>'Book Review'!W56</f>
        <v>2</v>
      </c>
      <c r="I56" s="118"/>
      <c r="J56" s="118"/>
      <c r="K56" s="118">
        <f>'Book Review'!AO56</f>
        <v>2.5</v>
      </c>
      <c r="L56" s="118">
        <f>'Book Review'!AU56</f>
        <v>3</v>
      </c>
      <c r="M56" s="116"/>
      <c r="N56" s="118">
        <f>Debate!K56</f>
        <v>2</v>
      </c>
      <c r="O56" s="118">
        <f>Debate!Q56</f>
        <v>2</v>
      </c>
      <c r="P56" s="118"/>
      <c r="Q56" s="118">
        <f>Debate!AC56</f>
        <v>2</v>
      </c>
      <c r="R56" s="118"/>
      <c r="S56" s="118">
        <f>Debate!AO56</f>
        <v>3.3333333333333335</v>
      </c>
      <c r="T56" s="118">
        <f>Debate!AU56</f>
        <v>3</v>
      </c>
      <c r="U56" s="116"/>
      <c r="V56" s="7"/>
      <c r="W56" s="118">
        <f>GD!Q56</f>
        <v>2.75</v>
      </c>
      <c r="X56" s="118">
        <f>GD!W56</f>
        <v>2</v>
      </c>
      <c r="Y56" s="118"/>
      <c r="Z56" s="118"/>
      <c r="AA56" s="7"/>
      <c r="AB56" s="118"/>
      <c r="AC56" s="116"/>
      <c r="AD56" s="118">
        <f>'Case study'!K56</f>
        <v>2.25</v>
      </c>
      <c r="AE56" s="118">
        <f>'Case study'!Q56</f>
        <v>2.8</v>
      </c>
      <c r="AF56" s="118">
        <f>'Case study'!W56</f>
        <v>2</v>
      </c>
      <c r="AG56" s="118"/>
      <c r="AH56" s="118"/>
      <c r="AI56" s="118">
        <f>'Case study'!AO56</f>
        <v>2.5</v>
      </c>
      <c r="AJ56" s="118">
        <f>'Case study'!AU56</f>
        <v>3</v>
      </c>
      <c r="AK56" s="116"/>
      <c r="AL56" s="118">
        <f>Capstone!K56</f>
        <v>3.6666666666666665</v>
      </c>
      <c r="AM56" s="118">
        <f>Capstone!Q57</f>
        <v>4</v>
      </c>
      <c r="AN56" s="118">
        <f>Capstone!W57</f>
        <v>4</v>
      </c>
      <c r="AO56" s="118"/>
      <c r="AP56" s="118"/>
      <c r="AQ56" s="118">
        <f>Capstone!AO57</f>
        <v>4</v>
      </c>
      <c r="AR56" s="118"/>
      <c r="AS56" s="116"/>
      <c r="AT56" s="118">
        <f>IFERROR(AVERAGE(Table110461117[[#This Row],[Column2]],Table110461117[[#This Row],[Column11]],Table110461117[[#This Row],[Column29]]),"0")</f>
        <v>2.1666666666666665</v>
      </c>
      <c r="AU56" s="118">
        <f>IFERROR(AVERAGE(Table110461117[[#This Row],[Column3]],Table110461117[[#This Row],[Column12]],Table110461117[[#This Row],[Column21]],Table110461117[[#This Row],[Column30]]),"0")</f>
        <v>2.5874999999999999</v>
      </c>
      <c r="AV56" s="118">
        <f>IFERROR(AVERAGE(Table110461117[[#This Row],[Column31]],Table110461117[[#This Row],[Column22]],Table110461117[[#This Row],[Column4]]),"0")</f>
        <v>2</v>
      </c>
      <c r="AW56" s="118">
        <f>IFERROR(AVERAGE(Table110461117[[#This Row],[Column14]]),"0")</f>
        <v>2</v>
      </c>
      <c r="AX56" s="118"/>
      <c r="AY56" s="118">
        <f>IFERROR(AVERAGE(Table110461117[[#This Row],[Column34]],Table110461117[[#This Row],[Column16]],Table110461117[[#This Row],[Column7]]),"0")</f>
        <v>2.7777777777777781</v>
      </c>
      <c r="AZ56" s="118">
        <f>IFERROR(AVERAGE(Table110461117[[#This Row],[Column35]],Table110461117[[#This Row],[Column17]],Table110461117[[#This Row],[Column8]]),"0")</f>
        <v>3</v>
      </c>
      <c r="BA56" s="116"/>
      <c r="BB56" s="118"/>
      <c r="BC56" s="118">
        <f>IFERROR(AVERAGE('Book Review'!AY56,Debate!AY56,'Case study'!AY56,Capstone!AY56),"A")</f>
        <v>3</v>
      </c>
      <c r="BD56" s="118">
        <f>IFERROR(AVERAGE('Book Review'!AZ56,Debate!AZ56,'Case study'!AZ56),"A")</f>
        <v>3</v>
      </c>
    </row>
    <row r="57" spans="1:56" s="109" customFormat="1" ht="23.1" customHeight="1" x14ac:dyDescent="0.3">
      <c r="A57" s="115">
        <v>55</v>
      </c>
      <c r="B57" s="49" t="s">
        <v>247</v>
      </c>
      <c r="C57" s="49" t="s">
        <v>248</v>
      </c>
      <c r="D57" s="49" t="s">
        <v>450</v>
      </c>
      <c r="E57" s="49" t="s">
        <v>161</v>
      </c>
      <c r="F57" s="117">
        <f>'Book Review'!K57</f>
        <v>2.25</v>
      </c>
      <c r="G57" s="117">
        <f>'Book Review'!Q57</f>
        <v>3.4</v>
      </c>
      <c r="H57" s="117">
        <f>'Book Review'!W57</f>
        <v>4</v>
      </c>
      <c r="I57" s="117"/>
      <c r="J57" s="117"/>
      <c r="K57" s="117">
        <f>'Book Review'!AO57</f>
        <v>2.5</v>
      </c>
      <c r="L57" s="117">
        <f>'Book Review'!AU57</f>
        <v>3</v>
      </c>
      <c r="M57" s="116"/>
      <c r="N57" s="117">
        <f>Debate!K57</f>
        <v>2</v>
      </c>
      <c r="O57" s="117">
        <f>Debate!Q57</f>
        <v>2.9</v>
      </c>
      <c r="P57" s="117"/>
      <c r="Q57" s="117">
        <f>Debate!AC57</f>
        <v>2</v>
      </c>
      <c r="R57" s="117"/>
      <c r="S57" s="117">
        <f>Debate!AO57</f>
        <v>3.6666666666666665</v>
      </c>
      <c r="T57" s="117">
        <f>Debate!AU57</f>
        <v>3</v>
      </c>
      <c r="U57" s="116"/>
      <c r="V57" s="49"/>
      <c r="W57" s="117">
        <f>GD!Q57</f>
        <v>3.25</v>
      </c>
      <c r="X57" s="117">
        <f>GD!W57</f>
        <v>2</v>
      </c>
      <c r="Y57" s="117"/>
      <c r="Z57" s="117"/>
      <c r="AA57" s="49"/>
      <c r="AB57" s="117"/>
      <c r="AC57" s="116"/>
      <c r="AD57" s="117">
        <f>'Case study'!K57</f>
        <v>2.25</v>
      </c>
      <c r="AE57" s="117">
        <f>'Case study'!Q57</f>
        <v>3.4</v>
      </c>
      <c r="AF57" s="117">
        <f>'Case study'!W57</f>
        <v>4</v>
      </c>
      <c r="AG57" s="117"/>
      <c r="AH57" s="117"/>
      <c r="AI57" s="117">
        <f>'Case study'!AO57</f>
        <v>2.75</v>
      </c>
      <c r="AJ57" s="117">
        <f>'Case study'!AU57</f>
        <v>3</v>
      </c>
      <c r="AK57" s="116"/>
      <c r="AL57" s="117">
        <f>Capstone!K57</f>
        <v>3.6666666666666665</v>
      </c>
      <c r="AM57" s="117">
        <f>Capstone!Q58</f>
        <v>4.5</v>
      </c>
      <c r="AN57" s="117">
        <f>Capstone!W58</f>
        <v>4</v>
      </c>
      <c r="AO57" s="117"/>
      <c r="AP57" s="117"/>
      <c r="AQ57" s="117">
        <f>Capstone!AO58</f>
        <v>4.5</v>
      </c>
      <c r="AR57" s="117"/>
      <c r="AS57" s="116"/>
      <c r="AT57" s="117">
        <f>IFERROR(AVERAGE(Table110461117[[#This Row],[Column2]],Table110461117[[#This Row],[Column11]],Table110461117[[#This Row],[Column29]]),"0")</f>
        <v>2.1666666666666665</v>
      </c>
      <c r="AU57" s="117">
        <f>IFERROR(AVERAGE(Table110461117[[#This Row],[Column3]],Table110461117[[#This Row],[Column12]],Table110461117[[#This Row],[Column21]],Table110461117[[#This Row],[Column30]]),"0")</f>
        <v>3.2375000000000003</v>
      </c>
      <c r="AV57" s="117">
        <f>IFERROR(AVERAGE(Table110461117[[#This Row],[Column31]],Table110461117[[#This Row],[Column22]],Table110461117[[#This Row],[Column4]]),"0")</f>
        <v>3.3333333333333335</v>
      </c>
      <c r="AW57" s="117">
        <f>IFERROR(AVERAGE(Table110461117[[#This Row],[Column14]]),"0")</f>
        <v>2</v>
      </c>
      <c r="AX57" s="117"/>
      <c r="AY57" s="117">
        <f>IFERROR(AVERAGE(Table110461117[[#This Row],[Column34]],Table110461117[[#This Row],[Column16]],Table110461117[[#This Row],[Column7]]),"0")</f>
        <v>2.9722222222222219</v>
      </c>
      <c r="AZ57" s="117">
        <f>IFERROR(AVERAGE(Table110461117[[#This Row],[Column35]],Table110461117[[#This Row],[Column17]],Table110461117[[#This Row],[Column8]]),"0")</f>
        <v>3</v>
      </c>
      <c r="BA57" s="116"/>
      <c r="BB57" s="117"/>
      <c r="BC57" s="117">
        <f>IFERROR(AVERAGE('Book Review'!AY57,Debate!AY57,'Case study'!AY57,Capstone!AY57),"A")</f>
        <v>3</v>
      </c>
      <c r="BD57" s="117">
        <f>IFERROR(AVERAGE('Book Review'!AZ57,Debate!AZ57,'Case study'!AZ57),"A")</f>
        <v>3</v>
      </c>
    </row>
    <row r="58" spans="1:56" s="109" customFormat="1" ht="23.1" customHeight="1" x14ac:dyDescent="0.3">
      <c r="A58" s="6">
        <v>56</v>
      </c>
      <c r="B58" s="7" t="s">
        <v>124</v>
      </c>
      <c r="C58" s="7" t="s">
        <v>125</v>
      </c>
      <c r="D58" s="7" t="s">
        <v>542</v>
      </c>
      <c r="E58" s="7" t="s">
        <v>35</v>
      </c>
      <c r="F58" s="118">
        <f>'Book Review'!K58</f>
        <v>3</v>
      </c>
      <c r="G58" s="118">
        <f>'Book Review'!Q58</f>
        <v>3</v>
      </c>
      <c r="H58" s="118">
        <f>'Book Review'!W58</f>
        <v>4</v>
      </c>
      <c r="I58" s="118"/>
      <c r="J58" s="118"/>
      <c r="K58" s="118">
        <f>'Book Review'!AO58</f>
        <v>3</v>
      </c>
      <c r="L58" s="118">
        <f>'Book Review'!AU58</f>
        <v>3</v>
      </c>
      <c r="M58" s="116"/>
      <c r="N58" s="118">
        <f>Debate!K58</f>
        <v>3</v>
      </c>
      <c r="O58" s="118">
        <f>Debate!Q58</f>
        <v>2.8</v>
      </c>
      <c r="P58" s="118"/>
      <c r="Q58" s="118">
        <f>Debate!AC58</f>
        <v>4</v>
      </c>
      <c r="R58" s="118"/>
      <c r="S58" s="118">
        <f>Debate!AO58</f>
        <v>3.3333333333333335</v>
      </c>
      <c r="T58" s="118">
        <f>Debate!AU58</f>
        <v>3</v>
      </c>
      <c r="U58" s="116"/>
      <c r="V58" s="7"/>
      <c r="W58" s="118">
        <f>GD!Q58</f>
        <v>3</v>
      </c>
      <c r="X58" s="118">
        <f>GD!W58</f>
        <v>2</v>
      </c>
      <c r="Y58" s="118"/>
      <c r="Z58" s="118"/>
      <c r="AA58" s="7"/>
      <c r="AB58" s="118"/>
      <c r="AC58" s="116"/>
      <c r="AD58" s="118">
        <f>'Case study'!K58</f>
        <v>3</v>
      </c>
      <c r="AE58" s="118">
        <f>'Case study'!Q58</f>
        <v>3</v>
      </c>
      <c r="AF58" s="118">
        <f>'Case study'!W58</f>
        <v>4</v>
      </c>
      <c r="AG58" s="118"/>
      <c r="AH58" s="118"/>
      <c r="AI58" s="118">
        <f>'Case study'!AO58</f>
        <v>3</v>
      </c>
      <c r="AJ58" s="118">
        <f>'Case study'!AU58</f>
        <v>3</v>
      </c>
      <c r="AK58" s="116"/>
      <c r="AL58" s="118">
        <f>Capstone!K58</f>
        <v>4</v>
      </c>
      <c r="AM58" s="118">
        <f>Capstone!Q59</f>
        <v>4</v>
      </c>
      <c r="AN58" s="118">
        <f>Capstone!W59</f>
        <v>0</v>
      </c>
      <c r="AO58" s="118"/>
      <c r="AP58" s="118"/>
      <c r="AQ58" s="118">
        <f>Capstone!AO59</f>
        <v>4</v>
      </c>
      <c r="AR58" s="118"/>
      <c r="AS58" s="116"/>
      <c r="AT58" s="118">
        <f>IFERROR(AVERAGE(Table110461117[[#This Row],[Column2]],Table110461117[[#This Row],[Column11]],Table110461117[[#This Row],[Column29]]),"0")</f>
        <v>3</v>
      </c>
      <c r="AU58" s="118">
        <f>IFERROR(AVERAGE(Table110461117[[#This Row],[Column3]],Table110461117[[#This Row],[Column12]],Table110461117[[#This Row],[Column21]],Table110461117[[#This Row],[Column30]]),"0")</f>
        <v>2.95</v>
      </c>
      <c r="AV58" s="118">
        <f>IFERROR(AVERAGE(Table110461117[[#This Row],[Column31]],Table110461117[[#This Row],[Column22]],Table110461117[[#This Row],[Column4]]),"0")</f>
        <v>3.3333333333333335</v>
      </c>
      <c r="AW58" s="118">
        <f>IFERROR(AVERAGE(Table110461117[[#This Row],[Column14]]),"0")</f>
        <v>4</v>
      </c>
      <c r="AX58" s="118"/>
      <c r="AY58" s="118">
        <f>IFERROR(AVERAGE(Table110461117[[#This Row],[Column34]],Table110461117[[#This Row],[Column16]],Table110461117[[#This Row],[Column7]]),"0")</f>
        <v>3.1111111111111112</v>
      </c>
      <c r="AZ58" s="118">
        <f>IFERROR(AVERAGE(Table110461117[[#This Row],[Column35]],Table110461117[[#This Row],[Column17]],Table110461117[[#This Row],[Column8]]),"0")</f>
        <v>3</v>
      </c>
      <c r="BA58" s="116"/>
      <c r="BB58" s="118"/>
      <c r="BC58" s="118">
        <f>IFERROR(AVERAGE('Book Review'!AY58,Debate!AY58,'Case study'!AY58,Capstone!AY58),"A")</f>
        <v>3.5</v>
      </c>
      <c r="BD58" s="118">
        <f>IFERROR(AVERAGE('Book Review'!AZ58,Debate!AZ58,'Case study'!AZ58),"A")</f>
        <v>3</v>
      </c>
    </row>
    <row r="59" spans="1:56" s="109" customFormat="1" ht="23.1" customHeight="1" x14ac:dyDescent="0.3">
      <c r="A59" s="115">
        <v>57</v>
      </c>
      <c r="B59" s="49" t="s">
        <v>314</v>
      </c>
      <c r="C59" s="49" t="s">
        <v>315</v>
      </c>
      <c r="D59" s="49" t="s">
        <v>542</v>
      </c>
      <c r="E59" s="49" t="s">
        <v>493</v>
      </c>
      <c r="F59" s="117">
        <f>'Book Review'!K59</f>
        <v>3</v>
      </c>
      <c r="G59" s="117">
        <f>'Book Review'!Q59</f>
        <v>2.8</v>
      </c>
      <c r="H59" s="117">
        <f>'Book Review'!W59</f>
        <v>4</v>
      </c>
      <c r="I59" s="117"/>
      <c r="J59" s="117"/>
      <c r="K59" s="117">
        <f>'Book Review'!AO59</f>
        <v>2.5</v>
      </c>
      <c r="L59" s="117">
        <f>'Book Review'!AU59</f>
        <v>4</v>
      </c>
      <c r="M59" s="116"/>
      <c r="N59" s="117">
        <f>Debate!K59</f>
        <v>3</v>
      </c>
      <c r="O59" s="117">
        <f>Debate!Q59</f>
        <v>2.5</v>
      </c>
      <c r="P59" s="117"/>
      <c r="Q59" s="117">
        <f>Debate!AC59</f>
        <v>3</v>
      </c>
      <c r="R59" s="117"/>
      <c r="S59" s="117">
        <f>Debate!AO59</f>
        <v>2.6666666666666665</v>
      </c>
      <c r="T59" s="117">
        <f>Debate!AU59</f>
        <v>3</v>
      </c>
      <c r="U59" s="116"/>
      <c r="V59" s="49"/>
      <c r="W59" s="117">
        <f>GD!Q59</f>
        <v>3.25</v>
      </c>
      <c r="X59" s="117">
        <f>GD!W59</f>
        <v>2</v>
      </c>
      <c r="Y59" s="117"/>
      <c r="Z59" s="117"/>
      <c r="AA59" s="49"/>
      <c r="AB59" s="117"/>
      <c r="AC59" s="116"/>
      <c r="AD59" s="117">
        <f>'Case study'!K59</f>
        <v>0</v>
      </c>
      <c r="AE59" s="117">
        <f>'Case study'!Q59</f>
        <v>0</v>
      </c>
      <c r="AF59" s="117">
        <f>'Case study'!W59</f>
        <v>0</v>
      </c>
      <c r="AG59" s="117"/>
      <c r="AH59" s="117"/>
      <c r="AI59" s="117">
        <f>'Case study'!AO59</f>
        <v>0</v>
      </c>
      <c r="AJ59" s="117">
        <f>'Case study'!AU59</f>
        <v>0</v>
      </c>
      <c r="AK59" s="116"/>
      <c r="AL59" s="117">
        <f>Capstone!K59</f>
        <v>4</v>
      </c>
      <c r="AM59" s="117">
        <f>Capstone!Q60</f>
        <v>2</v>
      </c>
      <c r="AN59" s="117">
        <f>Capstone!W60</f>
        <v>2</v>
      </c>
      <c r="AO59" s="117"/>
      <c r="AP59" s="117"/>
      <c r="AQ59" s="117">
        <f>Capstone!AO60</f>
        <v>2.75</v>
      </c>
      <c r="AR59" s="117"/>
      <c r="AS59" s="116"/>
      <c r="AT59" s="117">
        <f>IFERROR(AVERAGE(Table110461117[[#This Row],[Column2]],Table110461117[[#This Row],[Column11]],Table110461117[[#This Row],[Column29]]),"0")</f>
        <v>2</v>
      </c>
      <c r="AU59" s="117">
        <f>IFERROR(AVERAGE(Table110461117[[#This Row],[Column3]],Table110461117[[#This Row],[Column12]],Table110461117[[#This Row],[Column21]],Table110461117[[#This Row],[Column30]]),"0")</f>
        <v>2.1375000000000002</v>
      </c>
      <c r="AV59" s="117">
        <f>IFERROR(AVERAGE(Table110461117[[#This Row],[Column31]],Table110461117[[#This Row],[Column22]],Table110461117[[#This Row],[Column4]]),"0")</f>
        <v>2</v>
      </c>
      <c r="AW59" s="117">
        <f>IFERROR(AVERAGE(Table110461117[[#This Row],[Column14]]),"0")</f>
        <v>3</v>
      </c>
      <c r="AX59" s="117"/>
      <c r="AY59" s="117">
        <f>IFERROR(AVERAGE(Table110461117[[#This Row],[Column34]],Table110461117[[#This Row],[Column16]],Table110461117[[#This Row],[Column7]]),"0")</f>
        <v>1.7222222222222221</v>
      </c>
      <c r="AZ59" s="117">
        <f>IFERROR(AVERAGE(Table110461117[[#This Row],[Column35]],Table110461117[[#This Row],[Column17]],Table110461117[[#This Row],[Column8]]),"0")</f>
        <v>2.3333333333333335</v>
      </c>
      <c r="BA59" s="116"/>
      <c r="BB59" s="117"/>
      <c r="BC59" s="117">
        <f>IFERROR(AVERAGE('Book Review'!AY59,Debate!AY59,'Case study'!AY59,Capstone!AY59),"A")</f>
        <v>3</v>
      </c>
      <c r="BD59" s="117">
        <f>IFERROR(AVERAGE('Book Review'!AZ59,Debate!AZ59,'Case study'!AZ59),"A")</f>
        <v>2.3333333333333335</v>
      </c>
    </row>
    <row r="60" spans="1:56" s="109" customFormat="1" ht="23.1" customHeight="1" x14ac:dyDescent="0.3">
      <c r="A60" s="6">
        <v>58</v>
      </c>
      <c r="B60" s="7" t="s">
        <v>316</v>
      </c>
      <c r="C60" s="7" t="s">
        <v>317</v>
      </c>
      <c r="D60" s="7" t="s">
        <v>450</v>
      </c>
      <c r="E60" s="7" t="s">
        <v>493</v>
      </c>
      <c r="F60" s="118">
        <f>'Book Review'!K60</f>
        <v>2</v>
      </c>
      <c r="G60" s="118">
        <f>'Book Review'!Q60</f>
        <v>2</v>
      </c>
      <c r="H60" s="118">
        <f>'Book Review'!W60</f>
        <v>2</v>
      </c>
      <c r="I60" s="118"/>
      <c r="J60" s="118"/>
      <c r="K60" s="118">
        <f>'Book Review'!AO60</f>
        <v>2</v>
      </c>
      <c r="L60" s="118">
        <f>'Book Review'!AU60</f>
        <v>3</v>
      </c>
      <c r="M60" s="116"/>
      <c r="N60" s="118">
        <f>Debate!K60</f>
        <v>2</v>
      </c>
      <c r="O60" s="118">
        <f>Debate!Q60</f>
        <v>2</v>
      </c>
      <c r="P60" s="118"/>
      <c r="Q60" s="118">
        <f>Debate!AC60</f>
        <v>2</v>
      </c>
      <c r="R60" s="118"/>
      <c r="S60" s="118">
        <f>Debate!AO60</f>
        <v>2</v>
      </c>
      <c r="T60" s="118">
        <f>Debate!AU60</f>
        <v>2</v>
      </c>
      <c r="U60" s="116"/>
      <c r="V60" s="7"/>
      <c r="W60" s="118">
        <f>GD!Q60</f>
        <v>2</v>
      </c>
      <c r="X60" s="118">
        <f>GD!W60</f>
        <v>2</v>
      </c>
      <c r="Y60" s="118"/>
      <c r="Z60" s="118"/>
      <c r="AA60" s="7"/>
      <c r="AB60" s="118"/>
      <c r="AC60" s="116"/>
      <c r="AD60" s="118">
        <f>'Case study'!K60</f>
        <v>2</v>
      </c>
      <c r="AE60" s="118">
        <f>'Case study'!Q60</f>
        <v>2</v>
      </c>
      <c r="AF60" s="118">
        <f>'Case study'!W60</f>
        <v>2</v>
      </c>
      <c r="AG60" s="118"/>
      <c r="AH60" s="118"/>
      <c r="AI60" s="118">
        <f>'Case study'!AO60</f>
        <v>2.5</v>
      </c>
      <c r="AJ60" s="118">
        <f>'Case study'!AU60</f>
        <v>3</v>
      </c>
      <c r="AK60" s="116"/>
      <c r="AL60" s="118">
        <f>Capstone!K60</f>
        <v>3</v>
      </c>
      <c r="AM60" s="118">
        <f>Capstone!Q61</f>
        <v>2</v>
      </c>
      <c r="AN60" s="118">
        <f>Capstone!W61</f>
        <v>2</v>
      </c>
      <c r="AO60" s="118"/>
      <c r="AP60" s="118"/>
      <c r="AQ60" s="118">
        <f>Capstone!AO61</f>
        <v>2</v>
      </c>
      <c r="AR60" s="118"/>
      <c r="AS60" s="116"/>
      <c r="AT60" s="118">
        <f>IFERROR(AVERAGE(Table110461117[[#This Row],[Column2]],Table110461117[[#This Row],[Column11]],Table110461117[[#This Row],[Column29]]),"0")</f>
        <v>2</v>
      </c>
      <c r="AU60" s="118">
        <f>IFERROR(AVERAGE(Table110461117[[#This Row],[Column3]],Table110461117[[#This Row],[Column12]],Table110461117[[#This Row],[Column21]],Table110461117[[#This Row],[Column30]]),"0")</f>
        <v>2</v>
      </c>
      <c r="AV60" s="118">
        <f>IFERROR(AVERAGE(Table110461117[[#This Row],[Column31]],Table110461117[[#This Row],[Column22]],Table110461117[[#This Row],[Column4]]),"0")</f>
        <v>2</v>
      </c>
      <c r="AW60" s="118">
        <f>IFERROR(AVERAGE(Table110461117[[#This Row],[Column14]]),"0")</f>
        <v>2</v>
      </c>
      <c r="AX60" s="118"/>
      <c r="AY60" s="118">
        <f>IFERROR(AVERAGE(Table110461117[[#This Row],[Column34]],Table110461117[[#This Row],[Column16]],Table110461117[[#This Row],[Column7]]),"0")</f>
        <v>2.1666666666666665</v>
      </c>
      <c r="AZ60" s="118">
        <f>IFERROR(AVERAGE(Table110461117[[#This Row],[Column35]],Table110461117[[#This Row],[Column17]],Table110461117[[#This Row],[Column8]]),"0")</f>
        <v>2.6666666666666665</v>
      </c>
      <c r="BA60" s="116"/>
      <c r="BB60" s="118"/>
      <c r="BC60" s="118">
        <f>IFERROR(AVERAGE('Book Review'!AY60,Debate!AY60,'Case study'!AY60,Capstone!AY60),"A")</f>
        <v>2.75</v>
      </c>
      <c r="BD60" s="118">
        <f>IFERROR(AVERAGE('Book Review'!AZ60,Debate!AZ60,'Case study'!AZ60),"A")</f>
        <v>2.6666666666666665</v>
      </c>
    </row>
    <row r="61" spans="1:56" s="109" customFormat="1" ht="23.1" customHeight="1" x14ac:dyDescent="0.3">
      <c r="A61" s="115">
        <v>59</v>
      </c>
      <c r="B61" s="49" t="s">
        <v>126</v>
      </c>
      <c r="C61" s="49" t="s">
        <v>127</v>
      </c>
      <c r="D61" s="49" t="s">
        <v>450</v>
      </c>
      <c r="E61" s="49" t="s">
        <v>35</v>
      </c>
      <c r="F61" s="117">
        <f>'Book Review'!K61</f>
        <v>2.75</v>
      </c>
      <c r="G61" s="117">
        <f>'Book Review'!Q61</f>
        <v>3.6</v>
      </c>
      <c r="H61" s="117">
        <f>'Book Review'!W61</f>
        <v>2</v>
      </c>
      <c r="I61" s="117"/>
      <c r="J61" s="117"/>
      <c r="K61" s="117">
        <f>'Book Review'!AO61</f>
        <v>3</v>
      </c>
      <c r="L61" s="117">
        <f>'Book Review'!AU61</f>
        <v>4</v>
      </c>
      <c r="M61" s="116"/>
      <c r="N61" s="117">
        <f>Debate!K61</f>
        <v>3</v>
      </c>
      <c r="O61" s="117">
        <f>Debate!Q61</f>
        <v>2.9</v>
      </c>
      <c r="P61" s="117"/>
      <c r="Q61" s="117">
        <f>Debate!AC61</f>
        <v>3</v>
      </c>
      <c r="R61" s="117"/>
      <c r="S61" s="117">
        <f>Debate!AO61</f>
        <v>3.6666666666666665</v>
      </c>
      <c r="T61" s="117">
        <f>Debate!AU61</f>
        <v>3</v>
      </c>
      <c r="U61" s="116"/>
      <c r="V61" s="49"/>
      <c r="W61" s="117">
        <f>GD!Q61</f>
        <v>3.5</v>
      </c>
      <c r="X61" s="117">
        <f>GD!W61</f>
        <v>3</v>
      </c>
      <c r="Y61" s="117"/>
      <c r="Z61" s="117"/>
      <c r="AA61" s="49"/>
      <c r="AB61" s="117"/>
      <c r="AC61" s="116"/>
      <c r="AD61" s="117">
        <f>'Case study'!K61</f>
        <v>2.75</v>
      </c>
      <c r="AE61" s="117">
        <f>'Case study'!Q61</f>
        <v>3.6</v>
      </c>
      <c r="AF61" s="117">
        <f>'Case study'!W61</f>
        <v>2</v>
      </c>
      <c r="AG61" s="117"/>
      <c r="AH61" s="117"/>
      <c r="AI61" s="117">
        <f>'Case study'!AO61</f>
        <v>3</v>
      </c>
      <c r="AJ61" s="117">
        <f>'Case study'!AU61</f>
        <v>3</v>
      </c>
      <c r="AK61" s="116"/>
      <c r="AL61" s="117">
        <f>Capstone!K61</f>
        <v>2</v>
      </c>
      <c r="AM61" s="117">
        <f>Capstone!Q62</f>
        <v>3</v>
      </c>
      <c r="AN61" s="117">
        <f>Capstone!W62</f>
        <v>3</v>
      </c>
      <c r="AO61" s="117"/>
      <c r="AP61" s="117"/>
      <c r="AQ61" s="117">
        <f>Capstone!AO62</f>
        <v>3.25</v>
      </c>
      <c r="AR61" s="117"/>
      <c r="AS61" s="116"/>
      <c r="AT61" s="117">
        <f>IFERROR(AVERAGE(Table110461117[[#This Row],[Column2]],Table110461117[[#This Row],[Column11]],Table110461117[[#This Row],[Column29]]),"0")</f>
        <v>2.8333333333333335</v>
      </c>
      <c r="AU61" s="117">
        <f>IFERROR(AVERAGE(Table110461117[[#This Row],[Column3]],Table110461117[[#This Row],[Column12]],Table110461117[[#This Row],[Column21]],Table110461117[[#This Row],[Column30]]),"0")</f>
        <v>3.4</v>
      </c>
      <c r="AV61" s="117">
        <f>IFERROR(AVERAGE(Table110461117[[#This Row],[Column31]],Table110461117[[#This Row],[Column22]],Table110461117[[#This Row],[Column4]]),"0")</f>
        <v>2.3333333333333335</v>
      </c>
      <c r="AW61" s="117">
        <f>IFERROR(AVERAGE(Table110461117[[#This Row],[Column14]]),"0")</f>
        <v>3</v>
      </c>
      <c r="AX61" s="117"/>
      <c r="AY61" s="117">
        <f>IFERROR(AVERAGE(Table110461117[[#This Row],[Column34]],Table110461117[[#This Row],[Column16]],Table110461117[[#This Row],[Column7]]),"0")</f>
        <v>3.2222222222222219</v>
      </c>
      <c r="AZ61" s="117">
        <f>IFERROR(AVERAGE(Table110461117[[#This Row],[Column35]],Table110461117[[#This Row],[Column17]],Table110461117[[#This Row],[Column8]]),"0")</f>
        <v>3.3333333333333335</v>
      </c>
      <c r="BA61" s="116"/>
      <c r="BB61" s="117"/>
      <c r="BC61" s="117">
        <f>IFERROR(AVERAGE('Book Review'!AY61,Debate!AY61,'Case study'!AY61,Capstone!AY61),"A")</f>
        <v>2.5</v>
      </c>
      <c r="BD61" s="117">
        <f>IFERROR(AVERAGE('Book Review'!AZ61,Debate!AZ61,'Case study'!AZ61),"A")</f>
        <v>2.6666666666666665</v>
      </c>
    </row>
    <row r="62" spans="1:56" s="109" customFormat="1" ht="23.1" customHeight="1" x14ac:dyDescent="0.3">
      <c r="A62" s="6">
        <v>60</v>
      </c>
      <c r="B62" s="7" t="s">
        <v>42</v>
      </c>
      <c r="C62" s="7" t="s">
        <v>43</v>
      </c>
      <c r="D62" s="7" t="s">
        <v>450</v>
      </c>
      <c r="E62" s="7" t="s">
        <v>35</v>
      </c>
      <c r="F62" s="118">
        <f>'Book Review'!K62</f>
        <v>2.875</v>
      </c>
      <c r="G62" s="118">
        <f>'Book Review'!Q62</f>
        <v>2.9</v>
      </c>
      <c r="H62" s="118">
        <f>'Book Review'!W62</f>
        <v>3</v>
      </c>
      <c r="I62" s="118"/>
      <c r="J62" s="118"/>
      <c r="K62" s="118">
        <f>'Book Review'!AO62</f>
        <v>2.75</v>
      </c>
      <c r="L62" s="118">
        <f>'Book Review'!AU62</f>
        <v>3</v>
      </c>
      <c r="M62" s="116"/>
      <c r="N62" s="118">
        <f>Debate!K62</f>
        <v>2.5</v>
      </c>
      <c r="O62" s="118">
        <f>Debate!Q62</f>
        <v>2.75</v>
      </c>
      <c r="P62" s="118"/>
      <c r="Q62" s="118">
        <f>Debate!AC62</f>
        <v>3</v>
      </c>
      <c r="R62" s="118"/>
      <c r="S62" s="118">
        <f>Debate!AO62</f>
        <v>3</v>
      </c>
      <c r="T62" s="118">
        <f>Debate!AU62</f>
        <v>3</v>
      </c>
      <c r="U62" s="116"/>
      <c r="V62" s="7"/>
      <c r="W62" s="118">
        <f>GD!Q62</f>
        <v>2.75</v>
      </c>
      <c r="X62" s="118">
        <f>GD!W62</f>
        <v>3</v>
      </c>
      <c r="Y62" s="118"/>
      <c r="Z62" s="118"/>
      <c r="AA62" s="7"/>
      <c r="AB62" s="118"/>
      <c r="AC62" s="116"/>
      <c r="AD62" s="118">
        <f>'Case study'!K62</f>
        <v>2.875</v>
      </c>
      <c r="AE62" s="118">
        <f>'Case study'!Q62</f>
        <v>2.9</v>
      </c>
      <c r="AF62" s="118">
        <f>'Case study'!W62</f>
        <v>3</v>
      </c>
      <c r="AG62" s="118"/>
      <c r="AH62" s="118"/>
      <c r="AI62" s="118">
        <f>'Case study'!AO62</f>
        <v>3</v>
      </c>
      <c r="AJ62" s="118">
        <f>'Case study'!AU62</f>
        <v>3</v>
      </c>
      <c r="AK62" s="116"/>
      <c r="AL62" s="118">
        <f>Capstone!K62</f>
        <v>4</v>
      </c>
      <c r="AM62" s="118">
        <f>Capstone!Q63</f>
        <v>4</v>
      </c>
      <c r="AN62" s="118">
        <f>Capstone!W63</f>
        <v>2</v>
      </c>
      <c r="AO62" s="118"/>
      <c r="AP62" s="118"/>
      <c r="AQ62" s="118">
        <f>Capstone!AO63</f>
        <v>4</v>
      </c>
      <c r="AR62" s="118"/>
      <c r="AS62" s="116"/>
      <c r="AT62" s="118">
        <f>IFERROR(AVERAGE(Table110461117[[#This Row],[Column2]],Table110461117[[#This Row],[Column11]],Table110461117[[#This Row],[Column29]]),"0")</f>
        <v>2.75</v>
      </c>
      <c r="AU62" s="118">
        <f>IFERROR(AVERAGE(Table110461117[[#This Row],[Column3]],Table110461117[[#This Row],[Column12]],Table110461117[[#This Row],[Column21]],Table110461117[[#This Row],[Column30]]),"0")</f>
        <v>2.8250000000000002</v>
      </c>
      <c r="AV62" s="118">
        <f>IFERROR(AVERAGE(Table110461117[[#This Row],[Column31]],Table110461117[[#This Row],[Column22]],Table110461117[[#This Row],[Column4]]),"0")</f>
        <v>3</v>
      </c>
      <c r="AW62" s="118">
        <f>IFERROR(AVERAGE(Table110461117[[#This Row],[Column14]]),"0")</f>
        <v>3</v>
      </c>
      <c r="AX62" s="118"/>
      <c r="AY62" s="118">
        <f>IFERROR(AVERAGE(Table110461117[[#This Row],[Column34]],Table110461117[[#This Row],[Column16]],Table110461117[[#This Row],[Column7]]),"0")</f>
        <v>2.9166666666666665</v>
      </c>
      <c r="AZ62" s="118">
        <f>IFERROR(AVERAGE(Table110461117[[#This Row],[Column35]],Table110461117[[#This Row],[Column17]],Table110461117[[#This Row],[Column8]]),"0")</f>
        <v>3</v>
      </c>
      <c r="BA62" s="116"/>
      <c r="BB62" s="118"/>
      <c r="BC62" s="118">
        <f>IFERROR(AVERAGE('Book Review'!AY62,Debate!AY62,'Case study'!AY62,Capstone!AY62),"A")</f>
        <v>2.625</v>
      </c>
      <c r="BD62" s="118">
        <f>IFERROR(AVERAGE('Book Review'!AZ62,Debate!AZ62,'Case study'!AZ62),"A")</f>
        <v>2.8333333333333335</v>
      </c>
    </row>
    <row r="63" spans="1:56" s="109" customFormat="1" ht="23.1" customHeight="1" x14ac:dyDescent="0.3">
      <c r="A63" s="115">
        <v>61</v>
      </c>
      <c r="B63" s="49" t="s">
        <v>128</v>
      </c>
      <c r="C63" s="49" t="s">
        <v>129</v>
      </c>
      <c r="D63" s="49" t="s">
        <v>450</v>
      </c>
      <c r="E63" s="49" t="s">
        <v>35</v>
      </c>
      <c r="F63" s="117">
        <f>'Book Review'!K63</f>
        <v>1</v>
      </c>
      <c r="G63" s="117">
        <f>'Book Review'!Q63</f>
        <v>1.6</v>
      </c>
      <c r="H63" s="117">
        <f>'Book Review'!W63</f>
        <v>1</v>
      </c>
      <c r="I63" s="117"/>
      <c r="J63" s="117"/>
      <c r="K63" s="117">
        <f>'Book Review'!AO63</f>
        <v>1</v>
      </c>
      <c r="L63" s="117">
        <f>'Book Review'!AU63</f>
        <v>1</v>
      </c>
      <c r="M63" s="116"/>
      <c r="N63" s="117">
        <f>Debate!K63</f>
        <v>2</v>
      </c>
      <c r="O63" s="117">
        <f>Debate!Q63</f>
        <v>2.8</v>
      </c>
      <c r="P63" s="117"/>
      <c r="Q63" s="117">
        <f>Debate!AC63</f>
        <v>3</v>
      </c>
      <c r="R63" s="117"/>
      <c r="S63" s="117">
        <f>Debate!AO63</f>
        <v>2</v>
      </c>
      <c r="T63" s="117">
        <f>Debate!AU63</f>
        <v>3</v>
      </c>
      <c r="U63" s="116"/>
      <c r="V63" s="49"/>
      <c r="W63" s="117">
        <f>GD!Q63</f>
        <v>2.5</v>
      </c>
      <c r="X63" s="117">
        <f>GD!W63</f>
        <v>1</v>
      </c>
      <c r="Y63" s="117"/>
      <c r="Z63" s="117"/>
      <c r="AA63" s="49"/>
      <c r="AB63" s="117"/>
      <c r="AC63" s="116"/>
      <c r="AD63" s="117">
        <f>'Case study'!K63</f>
        <v>2</v>
      </c>
      <c r="AE63" s="117">
        <f>'Case study'!Q63</f>
        <v>3</v>
      </c>
      <c r="AF63" s="117">
        <f>'Case study'!W63</f>
        <v>2</v>
      </c>
      <c r="AG63" s="117"/>
      <c r="AH63" s="117"/>
      <c r="AI63" s="117">
        <f>'Case study'!AO63</f>
        <v>2.75</v>
      </c>
      <c r="AJ63" s="117">
        <f>'Case study'!AU63</f>
        <v>3</v>
      </c>
      <c r="AK63" s="116"/>
      <c r="AL63" s="117">
        <f>Capstone!K63</f>
        <v>4</v>
      </c>
      <c r="AM63" s="117">
        <f>Capstone!Q64</f>
        <v>4.5</v>
      </c>
      <c r="AN63" s="117">
        <f>Capstone!W64</f>
        <v>1</v>
      </c>
      <c r="AO63" s="117"/>
      <c r="AP63" s="117"/>
      <c r="AQ63" s="117">
        <f>Capstone!AO64</f>
        <v>2.75</v>
      </c>
      <c r="AR63" s="117"/>
      <c r="AS63" s="116"/>
      <c r="AT63" s="117">
        <f>IFERROR(AVERAGE(Table110461117[[#This Row],[Column2]],Table110461117[[#This Row],[Column11]],Table110461117[[#This Row],[Column29]]),"0")</f>
        <v>1.6666666666666667</v>
      </c>
      <c r="AU63" s="117">
        <f>IFERROR(AVERAGE(Table110461117[[#This Row],[Column3]],Table110461117[[#This Row],[Column12]],Table110461117[[#This Row],[Column21]],Table110461117[[#This Row],[Column30]]),"0")</f>
        <v>2.4750000000000001</v>
      </c>
      <c r="AV63" s="117">
        <f>IFERROR(AVERAGE(Table110461117[[#This Row],[Column31]],Table110461117[[#This Row],[Column22]],Table110461117[[#This Row],[Column4]]),"0")</f>
        <v>1.3333333333333333</v>
      </c>
      <c r="AW63" s="117">
        <f>IFERROR(AVERAGE(Table110461117[[#This Row],[Column14]]),"0")</f>
        <v>3</v>
      </c>
      <c r="AX63" s="117"/>
      <c r="AY63" s="117">
        <f>IFERROR(AVERAGE(Table110461117[[#This Row],[Column34]],Table110461117[[#This Row],[Column16]],Table110461117[[#This Row],[Column7]]),"0")</f>
        <v>1.9166666666666667</v>
      </c>
      <c r="AZ63" s="117">
        <f>IFERROR(AVERAGE(Table110461117[[#This Row],[Column35]],Table110461117[[#This Row],[Column17]],Table110461117[[#This Row],[Column8]]),"0")</f>
        <v>2.3333333333333335</v>
      </c>
      <c r="BA63" s="116"/>
      <c r="BB63" s="117"/>
      <c r="BC63" s="117">
        <f>IFERROR(AVERAGE('Book Review'!AY63,Debate!AY63,'Case study'!AY63,Capstone!AY63),"A")</f>
        <v>2.75</v>
      </c>
      <c r="BD63" s="117">
        <f>IFERROR(AVERAGE('Book Review'!AZ63,Debate!AZ63,'Case study'!AZ63),"A")</f>
        <v>2.3333333333333335</v>
      </c>
    </row>
    <row r="64" spans="1:56" s="109" customFormat="1" ht="23.1" customHeight="1" x14ac:dyDescent="0.3">
      <c r="A64" s="6">
        <v>62</v>
      </c>
      <c r="B64" s="7" t="s">
        <v>275</v>
      </c>
      <c r="C64" s="7" t="s">
        <v>276</v>
      </c>
      <c r="D64" s="7" t="s">
        <v>542</v>
      </c>
      <c r="E64" s="7" t="s">
        <v>161</v>
      </c>
      <c r="F64" s="118">
        <f>'Book Review'!K64</f>
        <v>1.5</v>
      </c>
      <c r="G64" s="118">
        <f>'Book Review'!Q64</f>
        <v>2.6</v>
      </c>
      <c r="H64" s="118">
        <f>'Book Review'!W64</f>
        <v>1</v>
      </c>
      <c r="I64" s="118"/>
      <c r="J64" s="118"/>
      <c r="K64" s="118">
        <f>'Book Review'!AO64</f>
        <v>2.5</v>
      </c>
      <c r="L64" s="118">
        <f>'Book Review'!AU64</f>
        <v>3</v>
      </c>
      <c r="M64" s="116"/>
      <c r="N64" s="118">
        <f>Debate!K64</f>
        <v>2</v>
      </c>
      <c r="O64" s="118">
        <f>Debate!Q64</f>
        <v>1.9</v>
      </c>
      <c r="P64" s="118"/>
      <c r="Q64" s="118">
        <f>Debate!AC64</f>
        <v>2</v>
      </c>
      <c r="R64" s="118"/>
      <c r="S64" s="118">
        <f>Debate!AO64</f>
        <v>2.6666666666666665</v>
      </c>
      <c r="T64" s="118">
        <f>Debate!AU64</f>
        <v>3</v>
      </c>
      <c r="U64" s="116"/>
      <c r="V64" s="7"/>
      <c r="W64" s="118">
        <f>GD!Q64</f>
        <v>2.25</v>
      </c>
      <c r="X64" s="118">
        <f>GD!W64</f>
        <v>3</v>
      </c>
      <c r="Y64" s="118"/>
      <c r="Z64" s="118"/>
      <c r="AA64" s="7"/>
      <c r="AB64" s="118"/>
      <c r="AC64" s="116"/>
      <c r="AD64" s="118">
        <f>'Case study'!K64</f>
        <v>1.5</v>
      </c>
      <c r="AE64" s="118">
        <f>'Case study'!Q64</f>
        <v>2.6</v>
      </c>
      <c r="AF64" s="118">
        <f>'Case study'!W64</f>
        <v>1</v>
      </c>
      <c r="AG64" s="118"/>
      <c r="AH64" s="118"/>
      <c r="AI64" s="118">
        <f>'Case study'!AO64</f>
        <v>2.75</v>
      </c>
      <c r="AJ64" s="118">
        <f>'Case study'!AU64</f>
        <v>3</v>
      </c>
      <c r="AK64" s="116"/>
      <c r="AL64" s="118">
        <f>Capstone!K64</f>
        <v>3.3333333333333335</v>
      </c>
      <c r="AM64" s="118">
        <f>Capstone!Q65</f>
        <v>5</v>
      </c>
      <c r="AN64" s="118">
        <f>Capstone!W65</f>
        <v>4</v>
      </c>
      <c r="AO64" s="118"/>
      <c r="AP64" s="118"/>
      <c r="AQ64" s="118">
        <f>Capstone!AO65</f>
        <v>4</v>
      </c>
      <c r="AR64" s="118"/>
      <c r="AS64" s="116"/>
      <c r="AT64" s="118">
        <f>IFERROR(AVERAGE(Table110461117[[#This Row],[Column2]],Table110461117[[#This Row],[Column11]],Table110461117[[#This Row],[Column29]]),"0")</f>
        <v>1.6666666666666667</v>
      </c>
      <c r="AU64" s="118">
        <f>IFERROR(AVERAGE(Table110461117[[#This Row],[Column3]],Table110461117[[#This Row],[Column12]],Table110461117[[#This Row],[Column21]],Table110461117[[#This Row],[Column30]]),"0")</f>
        <v>2.3374999999999999</v>
      </c>
      <c r="AV64" s="118">
        <f>IFERROR(AVERAGE(Table110461117[[#This Row],[Column31]],Table110461117[[#This Row],[Column22]],Table110461117[[#This Row],[Column4]]),"0")</f>
        <v>1.6666666666666667</v>
      </c>
      <c r="AW64" s="118">
        <f>IFERROR(AVERAGE(Table110461117[[#This Row],[Column14]]),"0")</f>
        <v>2</v>
      </c>
      <c r="AX64" s="118"/>
      <c r="AY64" s="118">
        <f>IFERROR(AVERAGE(Table110461117[[#This Row],[Column34]],Table110461117[[#This Row],[Column16]],Table110461117[[#This Row],[Column7]]),"0")</f>
        <v>2.6388888888888888</v>
      </c>
      <c r="AZ64" s="118">
        <f>IFERROR(AVERAGE(Table110461117[[#This Row],[Column35]],Table110461117[[#This Row],[Column17]],Table110461117[[#This Row],[Column8]]),"0")</f>
        <v>3</v>
      </c>
      <c r="BA64" s="116"/>
      <c r="BB64" s="118"/>
      <c r="BC64" s="118">
        <f>IFERROR(AVERAGE('Book Review'!AY64,Debate!AY64,'Case study'!AY64,Capstone!AY64),"A")</f>
        <v>3</v>
      </c>
      <c r="BD64" s="118">
        <f>IFERROR(AVERAGE('Book Review'!AZ64,Debate!AZ64,'Case study'!AZ64),"A")</f>
        <v>3</v>
      </c>
    </row>
    <row r="65" spans="1:56" s="109" customFormat="1" ht="23.1" customHeight="1" x14ac:dyDescent="0.3">
      <c r="A65" s="115">
        <v>63</v>
      </c>
      <c r="B65" s="49" t="s">
        <v>60</v>
      </c>
      <c r="C65" s="49" t="s">
        <v>61</v>
      </c>
      <c r="D65" s="49" t="s">
        <v>450</v>
      </c>
      <c r="E65" s="49" t="s">
        <v>35</v>
      </c>
      <c r="F65" s="117">
        <f>'Book Review'!K65</f>
        <v>3.75</v>
      </c>
      <c r="G65" s="117">
        <f>'Book Review'!Q65</f>
        <v>4.2</v>
      </c>
      <c r="H65" s="117">
        <f>'Book Review'!W65</f>
        <v>4</v>
      </c>
      <c r="I65" s="117"/>
      <c r="J65" s="117"/>
      <c r="K65" s="117">
        <f>'Book Review'!AO65</f>
        <v>3.5</v>
      </c>
      <c r="L65" s="117">
        <f>'Book Review'!AU65</f>
        <v>3</v>
      </c>
      <c r="M65" s="116"/>
      <c r="N65" s="117">
        <f>Debate!K65</f>
        <v>2</v>
      </c>
      <c r="O65" s="117">
        <f>Debate!Q65</f>
        <v>3</v>
      </c>
      <c r="P65" s="117"/>
      <c r="Q65" s="117">
        <f>Debate!AC65</f>
        <v>3</v>
      </c>
      <c r="R65" s="117"/>
      <c r="S65" s="117">
        <f>Debate!AO65</f>
        <v>3</v>
      </c>
      <c r="T65" s="117">
        <f>Debate!AU65</f>
        <v>3</v>
      </c>
      <c r="U65" s="116"/>
      <c r="V65" s="49"/>
      <c r="W65" s="117">
        <f>GD!Q65</f>
        <v>3</v>
      </c>
      <c r="X65" s="117">
        <f>GD!W65</f>
        <v>2</v>
      </c>
      <c r="Y65" s="117"/>
      <c r="Z65" s="117"/>
      <c r="AA65" s="49"/>
      <c r="AB65" s="117"/>
      <c r="AC65" s="116"/>
      <c r="AD65" s="117">
        <f>'Case study'!K65</f>
        <v>4</v>
      </c>
      <c r="AE65" s="117">
        <f>'Case study'!Q65</f>
        <v>3.8</v>
      </c>
      <c r="AF65" s="117">
        <f>'Case study'!W65</f>
        <v>4</v>
      </c>
      <c r="AG65" s="117"/>
      <c r="AH65" s="117"/>
      <c r="AI65" s="117">
        <f>'Case study'!AO65</f>
        <v>4</v>
      </c>
      <c r="AJ65" s="117">
        <f>'Case study'!AU65</f>
        <v>3</v>
      </c>
      <c r="AK65" s="116"/>
      <c r="AL65" s="117">
        <f>Capstone!K65</f>
        <v>4</v>
      </c>
      <c r="AM65" s="117">
        <f>Capstone!Q66</f>
        <v>5</v>
      </c>
      <c r="AN65" s="117">
        <f>Capstone!W66</f>
        <v>2</v>
      </c>
      <c r="AO65" s="117"/>
      <c r="AP65" s="117"/>
      <c r="AQ65" s="117">
        <f>Capstone!AO66</f>
        <v>5</v>
      </c>
      <c r="AR65" s="117"/>
      <c r="AS65" s="116"/>
      <c r="AT65" s="117">
        <f>IFERROR(AVERAGE(Table110461117[[#This Row],[Column2]],Table110461117[[#This Row],[Column11]],Table110461117[[#This Row],[Column29]]),"0")</f>
        <v>3.25</v>
      </c>
      <c r="AU65" s="117">
        <f>IFERROR(AVERAGE(Table110461117[[#This Row],[Column3]],Table110461117[[#This Row],[Column12]],Table110461117[[#This Row],[Column21]],Table110461117[[#This Row],[Column30]]),"0")</f>
        <v>3.5</v>
      </c>
      <c r="AV65" s="117">
        <f>IFERROR(AVERAGE(Table110461117[[#This Row],[Column31]],Table110461117[[#This Row],[Column22]],Table110461117[[#This Row],[Column4]]),"0")</f>
        <v>3.3333333333333335</v>
      </c>
      <c r="AW65" s="117">
        <f>IFERROR(AVERAGE(Table110461117[[#This Row],[Column14]]),"0")</f>
        <v>3</v>
      </c>
      <c r="AX65" s="117"/>
      <c r="AY65" s="117">
        <f>IFERROR(AVERAGE(Table110461117[[#This Row],[Column34]],Table110461117[[#This Row],[Column16]],Table110461117[[#This Row],[Column7]]),"0")</f>
        <v>3.5</v>
      </c>
      <c r="AZ65" s="117">
        <f>IFERROR(AVERAGE(Table110461117[[#This Row],[Column35]],Table110461117[[#This Row],[Column17]],Table110461117[[#This Row],[Column8]]),"0")</f>
        <v>3</v>
      </c>
      <c r="BA65" s="116"/>
      <c r="BB65" s="117"/>
      <c r="BC65" s="117">
        <f>IFERROR(AVERAGE('Book Review'!AY65,Debate!AY65,'Case study'!AY65,Capstone!AY65),"A")</f>
        <v>4.5</v>
      </c>
      <c r="BD65" s="117">
        <f>IFERROR(AVERAGE('Book Review'!AZ65,Debate!AZ65,'Case study'!AZ65),"A")</f>
        <v>4.333333333333333</v>
      </c>
    </row>
    <row r="66" spans="1:56" s="109" customFormat="1" ht="23.1" customHeight="1" x14ac:dyDescent="0.3">
      <c r="A66" s="6">
        <v>64</v>
      </c>
      <c r="B66" s="7" t="s">
        <v>318</v>
      </c>
      <c r="C66" s="7" t="s">
        <v>319</v>
      </c>
      <c r="D66" s="7" t="s">
        <v>450</v>
      </c>
      <c r="E66" s="7" t="s">
        <v>493</v>
      </c>
      <c r="F66" s="118">
        <f>'Book Review'!K66</f>
        <v>4</v>
      </c>
      <c r="G66" s="118">
        <f>'Book Review'!Q66</f>
        <v>4</v>
      </c>
      <c r="H66" s="118">
        <f>'Book Review'!W66</f>
        <v>2</v>
      </c>
      <c r="I66" s="118"/>
      <c r="J66" s="118"/>
      <c r="K66" s="118">
        <f>'Book Review'!AO66</f>
        <v>4</v>
      </c>
      <c r="L66" s="118">
        <f>'Book Review'!AU66</f>
        <v>3</v>
      </c>
      <c r="M66" s="116"/>
      <c r="N66" s="118">
        <f>Debate!K66</f>
        <v>2</v>
      </c>
      <c r="O66" s="118">
        <f>Debate!Q66</f>
        <v>1.8</v>
      </c>
      <c r="P66" s="118"/>
      <c r="Q66" s="118">
        <f>Debate!AC66</f>
        <v>2</v>
      </c>
      <c r="R66" s="118"/>
      <c r="S66" s="118">
        <f>Debate!AO66</f>
        <v>2</v>
      </c>
      <c r="T66" s="118">
        <f>Debate!AU66</f>
        <v>2</v>
      </c>
      <c r="U66" s="116"/>
      <c r="V66" s="7"/>
      <c r="W66" s="118">
        <f>GD!Q66</f>
        <v>3.25</v>
      </c>
      <c r="X66" s="118">
        <f>GD!W66</f>
        <v>3</v>
      </c>
      <c r="Y66" s="118"/>
      <c r="Z66" s="118"/>
      <c r="AA66" s="7"/>
      <c r="AB66" s="118"/>
      <c r="AC66" s="116"/>
      <c r="AD66" s="118">
        <f>'Case study'!K66</f>
        <v>2.25</v>
      </c>
      <c r="AE66" s="118">
        <f>'Case study'!Q66</f>
        <v>2.8</v>
      </c>
      <c r="AF66" s="118">
        <f>'Case study'!W66</f>
        <v>2</v>
      </c>
      <c r="AG66" s="118"/>
      <c r="AH66" s="118"/>
      <c r="AI66" s="118">
        <f>'Case study'!AO66</f>
        <v>2</v>
      </c>
      <c r="AJ66" s="118">
        <f>'Case study'!AU66</f>
        <v>3</v>
      </c>
      <c r="AK66" s="116"/>
      <c r="AL66" s="118">
        <f>Capstone!K66</f>
        <v>5</v>
      </c>
      <c r="AM66" s="118">
        <f>Capstone!Q67</f>
        <v>2</v>
      </c>
      <c r="AN66" s="118">
        <f>Capstone!W67</f>
        <v>4</v>
      </c>
      <c r="AO66" s="118"/>
      <c r="AP66" s="118"/>
      <c r="AQ66" s="118">
        <f>Capstone!AO67</f>
        <v>2</v>
      </c>
      <c r="AR66" s="118"/>
      <c r="AS66" s="116"/>
      <c r="AT66" s="118">
        <f>IFERROR(AVERAGE(Table110461117[[#This Row],[Column2]],Table110461117[[#This Row],[Column11]],Table110461117[[#This Row],[Column29]]),"0")</f>
        <v>2.75</v>
      </c>
      <c r="AU66" s="118">
        <f>IFERROR(AVERAGE(Table110461117[[#This Row],[Column3]],Table110461117[[#This Row],[Column12]],Table110461117[[#This Row],[Column21]],Table110461117[[#This Row],[Column30]]),"0")</f>
        <v>2.9625000000000004</v>
      </c>
      <c r="AV66" s="118">
        <f>IFERROR(AVERAGE(Table110461117[[#This Row],[Column31]],Table110461117[[#This Row],[Column22]],Table110461117[[#This Row],[Column4]]),"0")</f>
        <v>2.3333333333333335</v>
      </c>
      <c r="AW66" s="118">
        <f>IFERROR(AVERAGE(Table110461117[[#This Row],[Column14]]),"0")</f>
        <v>2</v>
      </c>
      <c r="AX66" s="118"/>
      <c r="AY66" s="118">
        <f>IFERROR(AVERAGE(Table110461117[[#This Row],[Column34]],Table110461117[[#This Row],[Column16]],Table110461117[[#This Row],[Column7]]),"0")</f>
        <v>2.6666666666666665</v>
      </c>
      <c r="AZ66" s="118">
        <f>IFERROR(AVERAGE(Table110461117[[#This Row],[Column35]],Table110461117[[#This Row],[Column17]],Table110461117[[#This Row],[Column8]]),"0")</f>
        <v>2.6666666666666665</v>
      </c>
      <c r="BA66" s="116"/>
      <c r="BB66" s="118"/>
      <c r="BC66" s="118">
        <f>IFERROR(AVERAGE('Book Review'!AY66,Debate!AY66,'Case study'!AY66,Capstone!AY66),"A")</f>
        <v>3.25</v>
      </c>
      <c r="BD66" s="118">
        <f>IFERROR(AVERAGE('Book Review'!AZ66,Debate!AZ66,'Case study'!AZ66),"A")</f>
        <v>3</v>
      </c>
    </row>
    <row r="67" spans="1:56" s="109" customFormat="1" ht="23.1" customHeight="1" x14ac:dyDescent="0.3">
      <c r="A67" s="115">
        <v>65</v>
      </c>
      <c r="B67" s="49" t="s">
        <v>91</v>
      </c>
      <c r="C67" s="49" t="s">
        <v>92</v>
      </c>
      <c r="D67" s="49" t="s">
        <v>450</v>
      </c>
      <c r="E67" s="49" t="s">
        <v>35</v>
      </c>
      <c r="F67" s="117">
        <f>'Book Review'!K67</f>
        <v>3</v>
      </c>
      <c r="G67" s="117">
        <f>'Book Review'!Q67</f>
        <v>3.6</v>
      </c>
      <c r="H67" s="117">
        <f>'Book Review'!W67</f>
        <v>4</v>
      </c>
      <c r="I67" s="117"/>
      <c r="J67" s="117"/>
      <c r="K67" s="117">
        <f>'Book Review'!AO67</f>
        <v>3</v>
      </c>
      <c r="L67" s="117">
        <f>'Book Review'!AU67</f>
        <v>4</v>
      </c>
      <c r="M67" s="116"/>
      <c r="N67" s="117">
        <f>Debate!K67</f>
        <v>3</v>
      </c>
      <c r="O67" s="117">
        <f>Debate!Q67</f>
        <v>4</v>
      </c>
      <c r="P67" s="117"/>
      <c r="Q67" s="117">
        <f>Debate!AC67</f>
        <v>3</v>
      </c>
      <c r="R67" s="117"/>
      <c r="S67" s="117">
        <f>Debate!AO67</f>
        <v>3</v>
      </c>
      <c r="T67" s="117">
        <f>Debate!AU67</f>
        <v>3</v>
      </c>
      <c r="U67" s="116"/>
      <c r="V67" s="49"/>
      <c r="W67" s="117">
        <f>GD!Q67</f>
        <v>3.5</v>
      </c>
      <c r="X67" s="117">
        <f>GD!W67</f>
        <v>4</v>
      </c>
      <c r="Y67" s="117"/>
      <c r="Z67" s="117"/>
      <c r="AA67" s="49"/>
      <c r="AB67" s="117"/>
      <c r="AC67" s="116"/>
      <c r="AD67" s="117">
        <f>'Case study'!K67</f>
        <v>3</v>
      </c>
      <c r="AE67" s="117">
        <f>'Case study'!Q67</f>
        <v>3.6</v>
      </c>
      <c r="AF67" s="117">
        <f>'Case study'!W67</f>
        <v>4</v>
      </c>
      <c r="AG67" s="117"/>
      <c r="AH67" s="117"/>
      <c r="AI67" s="117">
        <f>'Case study'!AO67</f>
        <v>3.5</v>
      </c>
      <c r="AJ67" s="117">
        <f>'Case study'!AU67</f>
        <v>3</v>
      </c>
      <c r="AK67" s="116"/>
      <c r="AL67" s="117">
        <f>Capstone!K67</f>
        <v>2</v>
      </c>
      <c r="AM67" s="117" t="str">
        <f>Capstone!Q68</f>
        <v>0</v>
      </c>
      <c r="AN67" s="117" t="str">
        <f>Capstone!W68</f>
        <v>0</v>
      </c>
      <c r="AO67" s="117"/>
      <c r="AP67" s="117"/>
      <c r="AQ67" s="117" t="str">
        <f>Capstone!AO68</f>
        <v>0</v>
      </c>
      <c r="AR67" s="117"/>
      <c r="AS67" s="116"/>
      <c r="AT67" s="117">
        <f>IFERROR(AVERAGE(Table110461117[[#This Row],[Column2]],Table110461117[[#This Row],[Column11]],Table110461117[[#This Row],[Column29]]),"0")</f>
        <v>3</v>
      </c>
      <c r="AU67" s="117">
        <f>IFERROR(AVERAGE(Table110461117[[#This Row],[Column3]],Table110461117[[#This Row],[Column12]],Table110461117[[#This Row],[Column21]],Table110461117[[#This Row],[Column30]]),"0")</f>
        <v>3.6749999999999998</v>
      </c>
      <c r="AV67" s="117">
        <f>IFERROR(AVERAGE(Table110461117[[#This Row],[Column31]],Table110461117[[#This Row],[Column22]],Table110461117[[#This Row],[Column4]]),"0")</f>
        <v>4</v>
      </c>
      <c r="AW67" s="117">
        <f>IFERROR(AVERAGE(Table110461117[[#This Row],[Column14]]),"0")</f>
        <v>3</v>
      </c>
      <c r="AX67" s="117"/>
      <c r="AY67" s="117">
        <f>IFERROR(AVERAGE(Table110461117[[#This Row],[Column34]],Table110461117[[#This Row],[Column16]],Table110461117[[#This Row],[Column7]]),"0")</f>
        <v>3.1666666666666665</v>
      </c>
      <c r="AZ67" s="117">
        <f>IFERROR(AVERAGE(Table110461117[[#This Row],[Column35]],Table110461117[[#This Row],[Column17]],Table110461117[[#This Row],[Column8]]),"0")</f>
        <v>3.3333333333333335</v>
      </c>
      <c r="BA67" s="116"/>
      <c r="BB67" s="117"/>
      <c r="BC67" s="117">
        <f>IFERROR(AVERAGE('Book Review'!AY67,Debate!AY67,'Case study'!AY67,Capstone!AY67),"A")</f>
        <v>3.5</v>
      </c>
      <c r="BD67" s="117">
        <f>IFERROR(AVERAGE('Book Review'!AZ67,Debate!AZ67,'Case study'!AZ67),"A")</f>
        <v>4</v>
      </c>
    </row>
    <row r="68" spans="1:56" s="109" customFormat="1" ht="23.1" customHeight="1" x14ac:dyDescent="0.3">
      <c r="A68" s="6">
        <v>66</v>
      </c>
      <c r="B68" s="7" t="s">
        <v>261</v>
      </c>
      <c r="C68" s="7" t="s">
        <v>262</v>
      </c>
      <c r="D68" s="7" t="s">
        <v>450</v>
      </c>
      <c r="E68" s="7" t="s">
        <v>161</v>
      </c>
      <c r="F68" s="118" t="str">
        <f>'Book Review'!K68</f>
        <v>0</v>
      </c>
      <c r="G68" s="118" t="str">
        <f>'Book Review'!Q68</f>
        <v>0</v>
      </c>
      <c r="H68" s="118" t="str">
        <f>'Book Review'!W68</f>
        <v>0</v>
      </c>
      <c r="I68" s="118"/>
      <c r="J68" s="118"/>
      <c r="K68" s="118" t="str">
        <f>'Book Review'!AO68</f>
        <v>0</v>
      </c>
      <c r="L68" s="118" t="str">
        <f>'Book Review'!AU68</f>
        <v>0</v>
      </c>
      <c r="M68" s="116"/>
      <c r="N68" s="118" t="str">
        <f>Debate!K68</f>
        <v>0</v>
      </c>
      <c r="O68" s="118" t="str">
        <f>Debate!Q68</f>
        <v>0</v>
      </c>
      <c r="P68" s="118"/>
      <c r="Q68" s="118" t="str">
        <f>Debate!AC68</f>
        <v>0</v>
      </c>
      <c r="R68" s="118"/>
      <c r="S68" s="118" t="str">
        <f>Debate!AO68</f>
        <v>0</v>
      </c>
      <c r="T68" s="118">
        <f>Debate!AU68</f>
        <v>0</v>
      </c>
      <c r="U68" s="116"/>
      <c r="V68" s="7"/>
      <c r="W68" s="118" t="str">
        <f>GD!Q68</f>
        <v>0</v>
      </c>
      <c r="X68" s="118" t="str">
        <f>GD!W68</f>
        <v>0</v>
      </c>
      <c r="Y68" s="118"/>
      <c r="Z68" s="118"/>
      <c r="AA68" s="7"/>
      <c r="AB68" s="118"/>
      <c r="AC68" s="116"/>
      <c r="AD68" s="118" t="str">
        <f>'Case study'!K68</f>
        <v>0</v>
      </c>
      <c r="AE68" s="118" t="str">
        <f>'Case study'!Q68</f>
        <v>0</v>
      </c>
      <c r="AF68" s="118" t="str">
        <f>'Case study'!W68</f>
        <v>0</v>
      </c>
      <c r="AG68" s="118"/>
      <c r="AH68" s="118"/>
      <c r="AI68" s="118" t="str">
        <f>'Case study'!AO68</f>
        <v>0</v>
      </c>
      <c r="AJ68" s="118" t="str">
        <f>'Case study'!AU68</f>
        <v>0</v>
      </c>
      <c r="AK68" s="116"/>
      <c r="AL68" s="118" t="str">
        <f>Capstone!K68</f>
        <v>0</v>
      </c>
      <c r="AM68" s="118">
        <f>Capstone!Q69</f>
        <v>4</v>
      </c>
      <c r="AN68" s="118">
        <f>Capstone!W69</f>
        <v>2</v>
      </c>
      <c r="AO68" s="118"/>
      <c r="AP68" s="118"/>
      <c r="AQ68" s="118">
        <f>Capstone!AO69</f>
        <v>3.25</v>
      </c>
      <c r="AR68" s="118"/>
      <c r="AS68" s="116"/>
      <c r="AT68" s="118" t="str">
        <f>IFERROR(AVERAGE(Table110461117[[#This Row],[Column2]],Table110461117[[#This Row],[Column11]],Table110461117[[#This Row],[Column29]]),"0")</f>
        <v>0</v>
      </c>
      <c r="AU68" s="118" t="str">
        <f>IFERROR(AVERAGE(Table110461117[[#This Row],[Column3]],Table110461117[[#This Row],[Column12]],Table110461117[[#This Row],[Column21]],Table110461117[[#This Row],[Column30]]),"0")</f>
        <v>0</v>
      </c>
      <c r="AV68" s="118" t="str">
        <f>IFERROR(AVERAGE(Table110461117[[#This Row],[Column31]],Table110461117[[#This Row],[Column22]],Table110461117[[#This Row],[Column4]]),"0")</f>
        <v>0</v>
      </c>
      <c r="AW68" s="118" t="str">
        <f>IFERROR(AVERAGE(Table110461117[[#This Row],[Column14]]),"0")</f>
        <v>0</v>
      </c>
      <c r="AX68" s="118"/>
      <c r="AY68" s="118" t="str">
        <f>IFERROR(AVERAGE(Table110461117[[#This Row],[Column34]],Table110461117[[#This Row],[Column16]],Table110461117[[#This Row],[Column7]]),"0")</f>
        <v>0</v>
      </c>
      <c r="AZ68" s="118">
        <f>IFERROR(AVERAGE(Table110461117[[#This Row],[Column35]],Table110461117[[#This Row],[Column17]],Table110461117[[#This Row],[Column8]]),"0")</f>
        <v>0</v>
      </c>
      <c r="BA68" s="116"/>
      <c r="BB68" s="118"/>
      <c r="BC68" s="118">
        <f>IFERROR(AVERAGE('Book Review'!AY68,Debate!AY68,'Case study'!AY68,Capstone!AY68),"A")</f>
        <v>0</v>
      </c>
      <c r="BD68" s="118">
        <f>IFERROR(AVERAGE('Book Review'!AZ68,Debate!AZ68,'Case study'!AZ68),"A")</f>
        <v>0</v>
      </c>
    </row>
    <row r="69" spans="1:56" s="109" customFormat="1" ht="23.1" customHeight="1" x14ac:dyDescent="0.3">
      <c r="A69" s="115">
        <v>67</v>
      </c>
      <c r="B69" s="49" t="s">
        <v>277</v>
      </c>
      <c r="C69" s="49" t="s">
        <v>278</v>
      </c>
      <c r="D69" s="49" t="s">
        <v>450</v>
      </c>
      <c r="E69" s="49" t="s">
        <v>161</v>
      </c>
      <c r="F69" s="117">
        <f>'Book Review'!K69</f>
        <v>4</v>
      </c>
      <c r="G69" s="117">
        <f>'Book Review'!Q69</f>
        <v>3.6</v>
      </c>
      <c r="H69" s="117">
        <f>'Book Review'!W69</f>
        <v>2</v>
      </c>
      <c r="I69" s="117"/>
      <c r="J69" s="117"/>
      <c r="K69" s="117">
        <f>'Book Review'!AO69</f>
        <v>3.5</v>
      </c>
      <c r="L69" s="117">
        <f>'Book Review'!AU69</f>
        <v>3</v>
      </c>
      <c r="M69" s="116"/>
      <c r="N69" s="117">
        <f>Debate!K69</f>
        <v>3</v>
      </c>
      <c r="O69" s="117">
        <f>Debate!Q69</f>
        <v>3.6</v>
      </c>
      <c r="P69" s="117"/>
      <c r="Q69" s="117">
        <f>Debate!AC69</f>
        <v>4</v>
      </c>
      <c r="R69" s="117"/>
      <c r="S69" s="117">
        <f>Debate!AO69</f>
        <v>2.6666666666666665</v>
      </c>
      <c r="T69" s="117">
        <f>Debate!AU69</f>
        <v>3</v>
      </c>
      <c r="U69" s="116"/>
      <c r="V69" s="49"/>
      <c r="W69" s="117">
        <f>GD!Q69</f>
        <v>3.75</v>
      </c>
      <c r="X69" s="117">
        <f>GD!W69</f>
        <v>2</v>
      </c>
      <c r="Y69" s="117"/>
      <c r="Z69" s="117"/>
      <c r="AA69" s="49"/>
      <c r="AB69" s="117"/>
      <c r="AC69" s="116"/>
      <c r="AD69" s="117">
        <f>'Case study'!K69</f>
        <v>2.75</v>
      </c>
      <c r="AE69" s="117">
        <f>'Case study'!Q69</f>
        <v>3.6</v>
      </c>
      <c r="AF69" s="117">
        <f>'Case study'!W69</f>
        <v>2</v>
      </c>
      <c r="AG69" s="117"/>
      <c r="AH69" s="117"/>
      <c r="AI69" s="117">
        <f>'Case study'!AO69</f>
        <v>2.75</v>
      </c>
      <c r="AJ69" s="117">
        <f>'Case study'!AU69</f>
        <v>3</v>
      </c>
      <c r="AK69" s="116"/>
      <c r="AL69" s="117">
        <f>Capstone!K69</f>
        <v>4</v>
      </c>
      <c r="AM69" s="117">
        <f>Capstone!Q70</f>
        <v>5</v>
      </c>
      <c r="AN69" s="117">
        <f>Capstone!W70</f>
        <v>2</v>
      </c>
      <c r="AO69" s="117"/>
      <c r="AP69" s="117"/>
      <c r="AQ69" s="117">
        <f>Capstone!AO70</f>
        <v>5</v>
      </c>
      <c r="AR69" s="117"/>
      <c r="AS69" s="116"/>
      <c r="AT69" s="117">
        <f>IFERROR(AVERAGE(Table110461117[[#This Row],[Column2]],Table110461117[[#This Row],[Column11]],Table110461117[[#This Row],[Column29]]),"0")</f>
        <v>3.25</v>
      </c>
      <c r="AU69" s="117">
        <f>IFERROR(AVERAGE(Table110461117[[#This Row],[Column3]],Table110461117[[#This Row],[Column12]],Table110461117[[#This Row],[Column21]],Table110461117[[#This Row],[Column30]]),"0")</f>
        <v>3.6374999999999997</v>
      </c>
      <c r="AV69" s="117">
        <f>IFERROR(AVERAGE(Table110461117[[#This Row],[Column31]],Table110461117[[#This Row],[Column22]],Table110461117[[#This Row],[Column4]]),"0")</f>
        <v>2</v>
      </c>
      <c r="AW69" s="117">
        <f>IFERROR(AVERAGE(Table110461117[[#This Row],[Column14]]),"0")</f>
        <v>4</v>
      </c>
      <c r="AX69" s="117"/>
      <c r="AY69" s="117">
        <f>IFERROR(AVERAGE(Table110461117[[#This Row],[Column34]],Table110461117[[#This Row],[Column16]],Table110461117[[#This Row],[Column7]]),"0")</f>
        <v>2.9722222222222219</v>
      </c>
      <c r="AZ69" s="117">
        <f>IFERROR(AVERAGE(Table110461117[[#This Row],[Column35]],Table110461117[[#This Row],[Column17]],Table110461117[[#This Row],[Column8]]),"0")</f>
        <v>3</v>
      </c>
      <c r="BA69" s="116"/>
      <c r="BB69" s="117"/>
      <c r="BC69" s="117">
        <f>IFERROR(AVERAGE('Book Review'!AY69,Debate!AY69,'Case study'!AY69,Capstone!AY69),"A")</f>
        <v>3.75</v>
      </c>
      <c r="BD69" s="117">
        <f>IFERROR(AVERAGE('Book Review'!AZ69,Debate!AZ69,'Case study'!AZ69),"A")</f>
        <v>3.6666666666666665</v>
      </c>
    </row>
    <row r="70" spans="1:56" s="109" customFormat="1" ht="23.1" customHeight="1" x14ac:dyDescent="0.3">
      <c r="A70" s="6">
        <v>68</v>
      </c>
      <c r="B70" s="7" t="s">
        <v>164</v>
      </c>
      <c r="C70" s="7" t="s">
        <v>165</v>
      </c>
      <c r="D70" s="7" t="s">
        <v>450</v>
      </c>
      <c r="E70" s="7" t="s">
        <v>161</v>
      </c>
      <c r="F70" s="118">
        <f>'Book Review'!K70</f>
        <v>4</v>
      </c>
      <c r="G70" s="118">
        <f>'Book Review'!Q70</f>
        <v>3.2</v>
      </c>
      <c r="H70" s="118">
        <f>'Book Review'!W70</f>
        <v>3</v>
      </c>
      <c r="I70" s="118"/>
      <c r="J70" s="118"/>
      <c r="K70" s="118">
        <f>'Book Review'!AO70</f>
        <v>3.5</v>
      </c>
      <c r="L70" s="118">
        <f>'Book Review'!AU70</f>
        <v>3</v>
      </c>
      <c r="M70" s="116"/>
      <c r="N70" s="118">
        <f>Debate!K70</f>
        <v>2</v>
      </c>
      <c r="O70" s="118">
        <f>Debate!Q70</f>
        <v>2.5</v>
      </c>
      <c r="P70" s="118"/>
      <c r="Q70" s="118">
        <f>Debate!AC70</f>
        <v>2</v>
      </c>
      <c r="R70" s="118"/>
      <c r="S70" s="118">
        <f>Debate!AO70</f>
        <v>3.3333333333333335</v>
      </c>
      <c r="T70" s="118">
        <f>Debate!AU70</f>
        <v>3</v>
      </c>
      <c r="U70" s="116"/>
      <c r="V70" s="7"/>
      <c r="W70" s="118">
        <f>GD!Q70</f>
        <v>2</v>
      </c>
      <c r="X70" s="118">
        <f>GD!W70</f>
        <v>2</v>
      </c>
      <c r="Y70" s="118"/>
      <c r="Z70" s="118"/>
      <c r="AA70" s="7"/>
      <c r="AB70" s="118"/>
      <c r="AC70" s="116"/>
      <c r="AD70" s="118">
        <f>'Case study'!K70</f>
        <v>2.75</v>
      </c>
      <c r="AE70" s="118">
        <f>'Case study'!Q70</f>
        <v>3.6</v>
      </c>
      <c r="AF70" s="118">
        <f>'Case study'!W70</f>
        <v>2</v>
      </c>
      <c r="AG70" s="118"/>
      <c r="AH70" s="118"/>
      <c r="AI70" s="118">
        <f>'Case study'!AO70</f>
        <v>2.5</v>
      </c>
      <c r="AJ70" s="118">
        <f>'Case study'!AU70</f>
        <v>3</v>
      </c>
      <c r="AK70" s="116"/>
      <c r="AL70" s="118">
        <f>Capstone!K70</f>
        <v>5</v>
      </c>
      <c r="AM70" s="118">
        <f>Capstone!Q71</f>
        <v>3</v>
      </c>
      <c r="AN70" s="118">
        <f>Capstone!W71</f>
        <v>3</v>
      </c>
      <c r="AO70" s="118"/>
      <c r="AP70" s="118"/>
      <c r="AQ70" s="118">
        <f>Capstone!AO71</f>
        <v>3</v>
      </c>
      <c r="AR70" s="118"/>
      <c r="AS70" s="116"/>
      <c r="AT70" s="118">
        <f>IFERROR(AVERAGE(Table110461117[[#This Row],[Column2]],Table110461117[[#This Row],[Column11]],Table110461117[[#This Row],[Column29]]),"0")</f>
        <v>2.9166666666666665</v>
      </c>
      <c r="AU70" s="118">
        <f>IFERROR(AVERAGE(Table110461117[[#This Row],[Column3]],Table110461117[[#This Row],[Column12]],Table110461117[[#This Row],[Column21]],Table110461117[[#This Row],[Column30]]),"0")</f>
        <v>2.8250000000000002</v>
      </c>
      <c r="AV70" s="118">
        <f>IFERROR(AVERAGE(Table110461117[[#This Row],[Column31]],Table110461117[[#This Row],[Column22]],Table110461117[[#This Row],[Column4]]),"0")</f>
        <v>2.3333333333333335</v>
      </c>
      <c r="AW70" s="118">
        <f>IFERROR(AVERAGE(Table110461117[[#This Row],[Column14]]),"0")</f>
        <v>2</v>
      </c>
      <c r="AX70" s="118"/>
      <c r="AY70" s="118">
        <f>IFERROR(AVERAGE(Table110461117[[#This Row],[Column34]],Table110461117[[#This Row],[Column16]],Table110461117[[#This Row],[Column7]]),"0")</f>
        <v>3.1111111111111112</v>
      </c>
      <c r="AZ70" s="118">
        <f>IFERROR(AVERAGE(Table110461117[[#This Row],[Column35]],Table110461117[[#This Row],[Column17]],Table110461117[[#This Row],[Column8]]),"0")</f>
        <v>3</v>
      </c>
      <c r="BA70" s="116"/>
      <c r="BB70" s="118"/>
      <c r="BC70" s="118">
        <f>IFERROR(AVERAGE('Book Review'!AY70,Debate!AY70,'Case study'!AY70,Capstone!AY70),"A")</f>
        <v>3.25</v>
      </c>
      <c r="BD70" s="118">
        <f>IFERROR(AVERAGE('Book Review'!AZ70,Debate!AZ70,'Case study'!AZ70),"A")</f>
        <v>2.6666666666666665</v>
      </c>
    </row>
    <row r="71" spans="1:56" s="109" customFormat="1" ht="23.1" customHeight="1" x14ac:dyDescent="0.3">
      <c r="A71" s="115">
        <v>69</v>
      </c>
      <c r="B71" s="49" t="s">
        <v>130</v>
      </c>
      <c r="C71" s="49" t="s">
        <v>131</v>
      </c>
      <c r="D71" s="49" t="s">
        <v>542</v>
      </c>
      <c r="E71" s="49" t="s">
        <v>35</v>
      </c>
      <c r="F71" s="117">
        <f>'Book Review'!K71</f>
        <v>2.25</v>
      </c>
      <c r="G71" s="117">
        <f>'Book Review'!Q71</f>
        <v>3</v>
      </c>
      <c r="H71" s="117">
        <f>'Book Review'!W71</f>
        <v>3</v>
      </c>
      <c r="I71" s="117"/>
      <c r="J71" s="117"/>
      <c r="K71" s="117">
        <f>'Book Review'!AO71</f>
        <v>3</v>
      </c>
      <c r="L71" s="117">
        <f>'Book Review'!AU71</f>
        <v>2</v>
      </c>
      <c r="M71" s="116"/>
      <c r="N71" s="117">
        <f>Debate!K71</f>
        <v>3</v>
      </c>
      <c r="O71" s="117">
        <f>Debate!Q71</f>
        <v>2.6</v>
      </c>
      <c r="P71" s="117"/>
      <c r="Q71" s="117">
        <f>Debate!AC71</f>
        <v>3</v>
      </c>
      <c r="R71" s="117"/>
      <c r="S71" s="117">
        <f>Debate!AO71</f>
        <v>3</v>
      </c>
      <c r="T71" s="117">
        <f>Debate!AU71</f>
        <v>3</v>
      </c>
      <c r="U71" s="116"/>
      <c r="V71" s="49"/>
      <c r="W71" s="117">
        <f>GD!Q71</f>
        <v>2.75</v>
      </c>
      <c r="X71" s="117">
        <f>GD!W71</f>
        <v>3</v>
      </c>
      <c r="Y71" s="117"/>
      <c r="Z71" s="117"/>
      <c r="AA71" s="49"/>
      <c r="AB71" s="117"/>
      <c r="AC71" s="116"/>
      <c r="AD71" s="117">
        <f>'Case study'!K71</f>
        <v>2.25</v>
      </c>
      <c r="AE71" s="117">
        <f>'Case study'!Q71</f>
        <v>3</v>
      </c>
      <c r="AF71" s="117">
        <f>'Case study'!W71</f>
        <v>3</v>
      </c>
      <c r="AG71" s="117"/>
      <c r="AH71" s="117"/>
      <c r="AI71" s="117">
        <f>'Case study'!AO71</f>
        <v>2.75</v>
      </c>
      <c r="AJ71" s="117">
        <f>'Case study'!AU71</f>
        <v>3</v>
      </c>
      <c r="AK71" s="116"/>
      <c r="AL71" s="117">
        <f>Capstone!K71</f>
        <v>3</v>
      </c>
      <c r="AM71" s="117">
        <f>Capstone!Q72</f>
        <v>3</v>
      </c>
      <c r="AN71" s="117">
        <f>Capstone!W72</f>
        <v>3</v>
      </c>
      <c r="AO71" s="117"/>
      <c r="AP71" s="117"/>
      <c r="AQ71" s="117">
        <f>Capstone!AO72</f>
        <v>3</v>
      </c>
      <c r="AR71" s="117"/>
      <c r="AS71" s="116"/>
      <c r="AT71" s="117">
        <f>IFERROR(AVERAGE(Table110461117[[#This Row],[Column2]],Table110461117[[#This Row],[Column11]],Table110461117[[#This Row],[Column29]]),"0")</f>
        <v>2.5</v>
      </c>
      <c r="AU71" s="117">
        <f>IFERROR(AVERAGE(Table110461117[[#This Row],[Column3]],Table110461117[[#This Row],[Column12]],Table110461117[[#This Row],[Column21]],Table110461117[[#This Row],[Column30]]),"0")</f>
        <v>2.8374999999999999</v>
      </c>
      <c r="AV71" s="117">
        <f>IFERROR(AVERAGE(Table110461117[[#This Row],[Column31]],Table110461117[[#This Row],[Column22]],Table110461117[[#This Row],[Column4]]),"0")</f>
        <v>3</v>
      </c>
      <c r="AW71" s="117">
        <f>IFERROR(AVERAGE(Table110461117[[#This Row],[Column14]]),"0")</f>
        <v>3</v>
      </c>
      <c r="AX71" s="117"/>
      <c r="AY71" s="117">
        <f>IFERROR(AVERAGE(Table110461117[[#This Row],[Column34]],Table110461117[[#This Row],[Column16]],Table110461117[[#This Row],[Column7]]),"0")</f>
        <v>2.9166666666666665</v>
      </c>
      <c r="AZ71" s="117">
        <f>IFERROR(AVERAGE(Table110461117[[#This Row],[Column35]],Table110461117[[#This Row],[Column17]],Table110461117[[#This Row],[Column8]]),"0")</f>
        <v>2.6666666666666665</v>
      </c>
      <c r="BA71" s="116"/>
      <c r="BB71" s="117"/>
      <c r="BC71" s="117">
        <f>IFERROR(AVERAGE('Book Review'!AY71,Debate!AY71,'Case study'!AY71,Capstone!AY71),"A")</f>
        <v>3.125</v>
      </c>
      <c r="BD71" s="117">
        <f>IFERROR(AVERAGE('Book Review'!AZ71,Debate!AZ71,'Case study'!AZ71),"A")</f>
        <v>2.3333333333333335</v>
      </c>
    </row>
    <row r="72" spans="1:56" s="109" customFormat="1" ht="23.1" customHeight="1" x14ac:dyDescent="0.3">
      <c r="A72" s="6">
        <v>70</v>
      </c>
      <c r="B72" s="7" t="s">
        <v>320</v>
      </c>
      <c r="C72" s="7" t="s">
        <v>321</v>
      </c>
      <c r="D72" s="7" t="s">
        <v>542</v>
      </c>
      <c r="E72" s="7" t="s">
        <v>493</v>
      </c>
      <c r="F72" s="118">
        <f>'Book Review'!K72</f>
        <v>3</v>
      </c>
      <c r="G72" s="118">
        <f>'Book Review'!Q72</f>
        <v>3</v>
      </c>
      <c r="H72" s="118">
        <f>'Book Review'!W72</f>
        <v>4</v>
      </c>
      <c r="I72" s="118"/>
      <c r="J72" s="118"/>
      <c r="K72" s="118">
        <f>'Book Review'!AO72</f>
        <v>3</v>
      </c>
      <c r="L72" s="118">
        <f>'Book Review'!AU72</f>
        <v>3</v>
      </c>
      <c r="M72" s="116"/>
      <c r="N72" s="118">
        <f>Debate!K72</f>
        <v>2</v>
      </c>
      <c r="O72" s="118">
        <f>Debate!Q72</f>
        <v>3.1</v>
      </c>
      <c r="P72" s="118"/>
      <c r="Q72" s="118">
        <f>Debate!AC72</f>
        <v>2</v>
      </c>
      <c r="R72" s="118"/>
      <c r="S72" s="118">
        <f>Debate!AO72</f>
        <v>2</v>
      </c>
      <c r="T72" s="118">
        <f>Debate!AU72</f>
        <v>3</v>
      </c>
      <c r="U72" s="116"/>
      <c r="V72" s="7"/>
      <c r="W72" s="118">
        <f>GD!Q72</f>
        <v>2.5</v>
      </c>
      <c r="X72" s="118">
        <f>GD!W72</f>
        <v>2</v>
      </c>
      <c r="Y72" s="118"/>
      <c r="Z72" s="118"/>
      <c r="AA72" s="7"/>
      <c r="AB72" s="118"/>
      <c r="AC72" s="116"/>
      <c r="AD72" s="118">
        <f>'Case study'!K72</f>
        <v>3.5</v>
      </c>
      <c r="AE72" s="118">
        <f>'Case study'!Q72</f>
        <v>3.2</v>
      </c>
      <c r="AF72" s="118">
        <f>'Case study'!W72</f>
        <v>3</v>
      </c>
      <c r="AG72" s="118"/>
      <c r="AH72" s="118"/>
      <c r="AI72" s="118">
        <f>'Case study'!AO72</f>
        <v>3.5</v>
      </c>
      <c r="AJ72" s="118">
        <f>'Case study'!AU72</f>
        <v>3</v>
      </c>
      <c r="AK72" s="116"/>
      <c r="AL72" s="118">
        <f>Capstone!K72</f>
        <v>2.6666666666666665</v>
      </c>
      <c r="AM72" s="118" t="str">
        <f>Capstone!Q73</f>
        <v>0</v>
      </c>
      <c r="AN72" s="118">
        <f>Capstone!W73</f>
        <v>0</v>
      </c>
      <c r="AO72" s="118"/>
      <c r="AP72" s="118"/>
      <c r="AQ72" s="118" t="str">
        <f>Capstone!AO73</f>
        <v>0</v>
      </c>
      <c r="AR72" s="118"/>
      <c r="AS72" s="116"/>
      <c r="AT72" s="118">
        <f>IFERROR(AVERAGE(Table110461117[[#This Row],[Column2]],Table110461117[[#This Row],[Column11]],Table110461117[[#This Row],[Column29]]),"0")</f>
        <v>2.8333333333333335</v>
      </c>
      <c r="AU72" s="118">
        <f>IFERROR(AVERAGE(Table110461117[[#This Row],[Column3]],Table110461117[[#This Row],[Column12]],Table110461117[[#This Row],[Column21]],Table110461117[[#This Row],[Column30]]),"0")</f>
        <v>2.95</v>
      </c>
      <c r="AV72" s="118">
        <f>IFERROR(AVERAGE(Table110461117[[#This Row],[Column31]],Table110461117[[#This Row],[Column22]],Table110461117[[#This Row],[Column4]]),"0")</f>
        <v>3</v>
      </c>
      <c r="AW72" s="118">
        <f>IFERROR(AVERAGE(Table110461117[[#This Row],[Column14]]),"0")</f>
        <v>2</v>
      </c>
      <c r="AX72" s="118"/>
      <c r="AY72" s="118">
        <f>IFERROR(AVERAGE(Table110461117[[#This Row],[Column34]],Table110461117[[#This Row],[Column16]],Table110461117[[#This Row],[Column7]]),"0")</f>
        <v>2.8333333333333335</v>
      </c>
      <c r="AZ72" s="118">
        <f>IFERROR(AVERAGE(Table110461117[[#This Row],[Column35]],Table110461117[[#This Row],[Column17]],Table110461117[[#This Row],[Column8]]),"0")</f>
        <v>3</v>
      </c>
      <c r="BA72" s="116"/>
      <c r="BB72" s="118"/>
      <c r="BC72" s="118">
        <f>IFERROR(AVERAGE('Book Review'!AY72,Debate!AY72,'Case study'!AY72,Capstone!AY72),"A")</f>
        <v>3.5</v>
      </c>
      <c r="BD72" s="118">
        <f>IFERROR(AVERAGE('Book Review'!AZ72,Debate!AZ72,'Case study'!AZ72),"A")</f>
        <v>3.6666666666666665</v>
      </c>
    </row>
    <row r="73" spans="1:56" s="109" customFormat="1" ht="23.1" customHeight="1" x14ac:dyDescent="0.3">
      <c r="A73" s="115">
        <v>71</v>
      </c>
      <c r="B73" s="49" t="s">
        <v>132</v>
      </c>
      <c r="C73" s="49" t="s">
        <v>133</v>
      </c>
      <c r="D73" s="49" t="s">
        <v>542</v>
      </c>
      <c r="E73" s="49" t="s">
        <v>35</v>
      </c>
      <c r="F73" s="117">
        <f>'Book Review'!K73</f>
        <v>0</v>
      </c>
      <c r="G73" s="117">
        <f>'Book Review'!Q73</f>
        <v>0</v>
      </c>
      <c r="H73" s="117">
        <f>'Book Review'!W73</f>
        <v>0</v>
      </c>
      <c r="I73" s="117"/>
      <c r="J73" s="117"/>
      <c r="K73" s="117">
        <f>'Book Review'!AO73</f>
        <v>0</v>
      </c>
      <c r="L73" s="117">
        <f>'Book Review'!AU73</f>
        <v>0</v>
      </c>
      <c r="M73" s="116"/>
      <c r="N73" s="117">
        <f>Debate!K73</f>
        <v>0</v>
      </c>
      <c r="O73" s="117">
        <f>Debate!Q73</f>
        <v>0</v>
      </c>
      <c r="P73" s="117"/>
      <c r="Q73" s="117">
        <f>Debate!AC73</f>
        <v>0</v>
      </c>
      <c r="R73" s="117"/>
      <c r="S73" s="117">
        <f>Debate!AO73</f>
        <v>0</v>
      </c>
      <c r="T73" s="117">
        <f>Debate!AU73</f>
        <v>0</v>
      </c>
      <c r="U73" s="116"/>
      <c r="V73" s="49"/>
      <c r="W73" s="117">
        <f>GD!Q73</f>
        <v>0</v>
      </c>
      <c r="X73" s="117">
        <f>GD!W73</f>
        <v>0</v>
      </c>
      <c r="Y73" s="117"/>
      <c r="Z73" s="117"/>
      <c r="AA73" s="49"/>
      <c r="AB73" s="117"/>
      <c r="AC73" s="116"/>
      <c r="AD73" s="117">
        <f>'Case study'!K73</f>
        <v>0</v>
      </c>
      <c r="AE73" s="117">
        <f>'Case study'!Q73</f>
        <v>0</v>
      </c>
      <c r="AF73" s="117">
        <f>'Case study'!W73</f>
        <v>0</v>
      </c>
      <c r="AG73" s="117"/>
      <c r="AH73" s="117"/>
      <c r="AI73" s="117">
        <f>'Case study'!AO73</f>
        <v>0</v>
      </c>
      <c r="AJ73" s="117">
        <f>'Case study'!AU73</f>
        <v>0</v>
      </c>
      <c r="AK73" s="116"/>
      <c r="AL73" s="117" t="str">
        <f>Capstone!K73</f>
        <v>0</v>
      </c>
      <c r="AM73" s="117">
        <f>Capstone!Q74</f>
        <v>2.25</v>
      </c>
      <c r="AN73" s="117">
        <f>Capstone!W74</f>
        <v>2.5</v>
      </c>
      <c r="AO73" s="117"/>
      <c r="AP73" s="117"/>
      <c r="AQ73" s="117">
        <f>Capstone!AO74</f>
        <v>3.25</v>
      </c>
      <c r="AR73" s="117"/>
      <c r="AS73" s="116"/>
      <c r="AT73" s="117">
        <f>IFERROR(AVERAGE(Table110461117[[#This Row],[Column2]],Table110461117[[#This Row],[Column11]],Table110461117[[#This Row],[Column29]]),"0")</f>
        <v>0</v>
      </c>
      <c r="AU73" s="117">
        <f>IFERROR(AVERAGE(Table110461117[[#This Row],[Column3]],Table110461117[[#This Row],[Column12]],Table110461117[[#This Row],[Column21]],Table110461117[[#This Row],[Column30]]),"0")</f>
        <v>0</v>
      </c>
      <c r="AV73" s="117">
        <f>IFERROR(AVERAGE(Table110461117[[#This Row],[Column31]],Table110461117[[#This Row],[Column22]],Table110461117[[#This Row],[Column4]]),"0")</f>
        <v>0</v>
      </c>
      <c r="AW73" s="117">
        <f>IFERROR(AVERAGE(Table110461117[[#This Row],[Column14]]),"0")</f>
        <v>0</v>
      </c>
      <c r="AX73" s="117"/>
      <c r="AY73" s="117">
        <f>IFERROR(AVERAGE(Table110461117[[#This Row],[Column34]],Table110461117[[#This Row],[Column16]],Table110461117[[#This Row],[Column7]]),"0")</f>
        <v>0</v>
      </c>
      <c r="AZ73" s="117">
        <f>IFERROR(AVERAGE(Table110461117[[#This Row],[Column35]],Table110461117[[#This Row],[Column17]],Table110461117[[#This Row],[Column8]]),"0")</f>
        <v>0</v>
      </c>
      <c r="BA73" s="116"/>
      <c r="BB73" s="117"/>
      <c r="BC73" s="117">
        <f>IFERROR(AVERAGE('Book Review'!AY73,Debate!AY73,'Case study'!AY73,Capstone!AY73),"A")</f>
        <v>1</v>
      </c>
      <c r="BD73" s="117">
        <f>IFERROR(AVERAGE('Book Review'!AZ73,Debate!AZ73,'Case study'!AZ73),"A")</f>
        <v>0.66666666666666663</v>
      </c>
    </row>
    <row r="74" spans="1:56" s="109" customFormat="1" ht="23.1" customHeight="1" x14ac:dyDescent="0.3">
      <c r="A74" s="6">
        <v>72</v>
      </c>
      <c r="B74" s="7" t="s">
        <v>166</v>
      </c>
      <c r="C74" s="7" t="s">
        <v>167</v>
      </c>
      <c r="D74" s="7" t="s">
        <v>542</v>
      </c>
      <c r="E74" s="7" t="s">
        <v>161</v>
      </c>
      <c r="F74" s="118">
        <f>'Book Review'!K74</f>
        <v>2.125</v>
      </c>
      <c r="G74" s="118">
        <f>'Book Review'!Q74</f>
        <v>2.2000000000000002</v>
      </c>
      <c r="H74" s="118">
        <f>'Book Review'!W74</f>
        <v>2</v>
      </c>
      <c r="I74" s="118"/>
      <c r="J74" s="118"/>
      <c r="K74" s="118">
        <f>'Book Review'!AO74</f>
        <v>2</v>
      </c>
      <c r="L74" s="118">
        <f>'Book Review'!AU74</f>
        <v>2.5</v>
      </c>
      <c r="M74" s="116"/>
      <c r="N74" s="118">
        <f>Debate!K74</f>
        <v>2</v>
      </c>
      <c r="O74" s="118">
        <f>Debate!Q74</f>
        <v>2.15</v>
      </c>
      <c r="P74" s="118"/>
      <c r="Q74" s="118">
        <f>Debate!AC74</f>
        <v>2.5</v>
      </c>
      <c r="R74" s="118"/>
      <c r="S74" s="118">
        <f>Debate!AO74</f>
        <v>2.1666666666666665</v>
      </c>
      <c r="T74" s="118">
        <f>Debate!AU74</f>
        <v>2.5</v>
      </c>
      <c r="U74" s="116"/>
      <c r="V74" s="7"/>
      <c r="W74" s="118">
        <f>GD!Q74</f>
        <v>2.125</v>
      </c>
      <c r="X74" s="118">
        <f>GD!W74</f>
        <v>2.5</v>
      </c>
      <c r="Y74" s="118"/>
      <c r="Z74" s="118"/>
      <c r="AA74" s="7"/>
      <c r="AB74" s="118"/>
      <c r="AC74" s="116"/>
      <c r="AD74" s="118">
        <f>'Case study'!K74</f>
        <v>2.125</v>
      </c>
      <c r="AE74" s="118">
        <f>'Case study'!Q74</f>
        <v>2.2000000000000002</v>
      </c>
      <c r="AF74" s="118">
        <f>'Case study'!W74</f>
        <v>2.5</v>
      </c>
      <c r="AG74" s="118"/>
      <c r="AH74" s="118"/>
      <c r="AI74" s="118">
        <f>'Case study'!AO74</f>
        <v>2.375</v>
      </c>
      <c r="AJ74" s="118">
        <f>'Case study'!AU74</f>
        <v>2</v>
      </c>
      <c r="AK74" s="116"/>
      <c r="AL74" s="118">
        <f>Capstone!K74</f>
        <v>4</v>
      </c>
      <c r="AM74" s="118">
        <f>Capstone!Q75</f>
        <v>3</v>
      </c>
      <c r="AN74" s="118">
        <f>Capstone!W75</f>
        <v>3</v>
      </c>
      <c r="AO74" s="118"/>
      <c r="AP74" s="118"/>
      <c r="AQ74" s="118">
        <f>Capstone!AO75</f>
        <v>2.75</v>
      </c>
      <c r="AR74" s="118"/>
      <c r="AS74" s="116"/>
      <c r="AT74" s="118">
        <f>IFERROR(AVERAGE(Table110461117[[#This Row],[Column2]],Table110461117[[#This Row],[Column11]],Table110461117[[#This Row],[Column29]]),"0")</f>
        <v>2.0833333333333335</v>
      </c>
      <c r="AU74" s="118">
        <f>IFERROR(AVERAGE(Table110461117[[#This Row],[Column3]],Table110461117[[#This Row],[Column12]],Table110461117[[#This Row],[Column21]],Table110461117[[#This Row],[Column30]]),"0")</f>
        <v>2.1687500000000002</v>
      </c>
      <c r="AV74" s="118">
        <f>IFERROR(AVERAGE(Table110461117[[#This Row],[Column31]],Table110461117[[#This Row],[Column22]],Table110461117[[#This Row],[Column4]]),"0")</f>
        <v>2.3333333333333335</v>
      </c>
      <c r="AW74" s="118">
        <f>IFERROR(AVERAGE(Table110461117[[#This Row],[Column14]]),"0")</f>
        <v>2.5</v>
      </c>
      <c r="AX74" s="118"/>
      <c r="AY74" s="118">
        <f>IFERROR(AVERAGE(Table110461117[[#This Row],[Column34]],Table110461117[[#This Row],[Column16]],Table110461117[[#This Row],[Column7]]),"0")</f>
        <v>2.1805555555555554</v>
      </c>
      <c r="AZ74" s="118">
        <f>IFERROR(AVERAGE(Table110461117[[#This Row],[Column35]],Table110461117[[#This Row],[Column17]],Table110461117[[#This Row],[Column8]]),"0")</f>
        <v>2.3333333333333335</v>
      </c>
      <c r="BA74" s="116"/>
      <c r="BB74" s="118"/>
      <c r="BC74" s="118">
        <f>IFERROR(AVERAGE('Book Review'!AY74,Debate!AY74,'Case study'!AY74,Capstone!AY74),"A")</f>
        <v>2.125</v>
      </c>
      <c r="BD74" s="118">
        <f>IFERROR(AVERAGE('Book Review'!AZ74,Debate!AZ74,'Case study'!AZ74),"A")</f>
        <v>2.3333333333333335</v>
      </c>
    </row>
    <row r="75" spans="1:56" s="109" customFormat="1" ht="23.1" customHeight="1" x14ac:dyDescent="0.3">
      <c r="A75" s="115">
        <v>73</v>
      </c>
      <c r="B75" s="49" t="s">
        <v>182</v>
      </c>
      <c r="C75" s="49" t="s">
        <v>183</v>
      </c>
      <c r="D75" s="49" t="s">
        <v>450</v>
      </c>
      <c r="E75" s="49" t="s">
        <v>161</v>
      </c>
      <c r="F75" s="117">
        <f>'Book Review'!K75</f>
        <v>3.25</v>
      </c>
      <c r="G75" s="117">
        <f>'Book Review'!Q75</f>
        <v>3</v>
      </c>
      <c r="H75" s="117">
        <f>'Book Review'!W75</f>
        <v>3</v>
      </c>
      <c r="I75" s="117"/>
      <c r="J75" s="117"/>
      <c r="K75" s="117">
        <f>'Book Review'!AO75</f>
        <v>3</v>
      </c>
      <c r="L75" s="117">
        <f>'Book Review'!AU75</f>
        <v>4</v>
      </c>
      <c r="M75" s="116"/>
      <c r="N75" s="117">
        <f>Debate!K75</f>
        <v>3</v>
      </c>
      <c r="O75" s="117">
        <f>Debate!Q75</f>
        <v>2.9</v>
      </c>
      <c r="P75" s="117"/>
      <c r="Q75" s="117">
        <f>Debate!AC75</f>
        <v>4</v>
      </c>
      <c r="R75" s="117"/>
      <c r="S75" s="117">
        <f>Debate!AO75</f>
        <v>3</v>
      </c>
      <c r="T75" s="117">
        <f>Debate!AU75</f>
        <v>3</v>
      </c>
      <c r="U75" s="116"/>
      <c r="V75" s="49"/>
      <c r="W75" s="117">
        <f>GD!Q75</f>
        <v>2.75</v>
      </c>
      <c r="X75" s="117">
        <f>GD!W75</f>
        <v>3</v>
      </c>
      <c r="Y75" s="117"/>
      <c r="Z75" s="117"/>
      <c r="AA75" s="49"/>
      <c r="AB75" s="117"/>
      <c r="AC75" s="116"/>
      <c r="AD75" s="117">
        <f>'Case study'!K75</f>
        <v>3.25</v>
      </c>
      <c r="AE75" s="117">
        <f>'Case study'!Q75</f>
        <v>3</v>
      </c>
      <c r="AF75" s="117">
        <f>'Case study'!W75</f>
        <v>3</v>
      </c>
      <c r="AG75" s="117"/>
      <c r="AH75" s="117"/>
      <c r="AI75" s="117">
        <f>'Case study'!AO75</f>
        <v>3.5</v>
      </c>
      <c r="AJ75" s="117">
        <f>'Case study'!AU75</f>
        <v>3</v>
      </c>
      <c r="AK75" s="116"/>
      <c r="AL75" s="117">
        <f>Capstone!K75</f>
        <v>3.3333333333333335</v>
      </c>
      <c r="AM75" s="117">
        <f>Capstone!Q76</f>
        <v>4</v>
      </c>
      <c r="AN75" s="117">
        <f>Capstone!W76</f>
        <v>2</v>
      </c>
      <c r="AO75" s="117"/>
      <c r="AP75" s="117"/>
      <c r="AQ75" s="117">
        <f>Capstone!AO76</f>
        <v>4.25</v>
      </c>
      <c r="AR75" s="117"/>
      <c r="AS75" s="116"/>
      <c r="AT75" s="117">
        <f>IFERROR(AVERAGE(Table110461117[[#This Row],[Column2]],Table110461117[[#This Row],[Column11]],Table110461117[[#This Row],[Column29]]),"0")</f>
        <v>3.1666666666666665</v>
      </c>
      <c r="AU75" s="117">
        <f>IFERROR(AVERAGE(Table110461117[[#This Row],[Column3]],Table110461117[[#This Row],[Column12]],Table110461117[[#This Row],[Column21]],Table110461117[[#This Row],[Column30]]),"0")</f>
        <v>2.9125000000000001</v>
      </c>
      <c r="AV75" s="117">
        <f>IFERROR(AVERAGE(Table110461117[[#This Row],[Column31]],Table110461117[[#This Row],[Column22]],Table110461117[[#This Row],[Column4]]),"0")</f>
        <v>3</v>
      </c>
      <c r="AW75" s="117">
        <f>IFERROR(AVERAGE(Table110461117[[#This Row],[Column14]]),"0")</f>
        <v>4</v>
      </c>
      <c r="AX75" s="117"/>
      <c r="AY75" s="117">
        <f>IFERROR(AVERAGE(Table110461117[[#This Row],[Column34]],Table110461117[[#This Row],[Column16]],Table110461117[[#This Row],[Column7]]),"0")</f>
        <v>3.1666666666666665</v>
      </c>
      <c r="AZ75" s="117">
        <f>IFERROR(AVERAGE(Table110461117[[#This Row],[Column35]],Table110461117[[#This Row],[Column17]],Table110461117[[#This Row],[Column8]]),"0")</f>
        <v>3.3333333333333335</v>
      </c>
      <c r="BA75" s="116"/>
      <c r="BB75" s="117"/>
      <c r="BC75" s="117">
        <f>IFERROR(AVERAGE('Book Review'!AY75,Debate!AY75,'Case study'!AY75,Capstone!AY75),"A")</f>
        <v>3.25</v>
      </c>
      <c r="BD75" s="117">
        <f>IFERROR(AVERAGE('Book Review'!AZ75,Debate!AZ75,'Case study'!AZ75),"A")</f>
        <v>3.3333333333333335</v>
      </c>
    </row>
    <row r="76" spans="1:56" s="109" customFormat="1" ht="23.1" customHeight="1" x14ac:dyDescent="0.3">
      <c r="A76" s="6">
        <v>74</v>
      </c>
      <c r="B76" s="7" t="s">
        <v>322</v>
      </c>
      <c r="C76" s="7" t="s">
        <v>323</v>
      </c>
      <c r="D76" s="7" t="s">
        <v>450</v>
      </c>
      <c r="E76" s="7" t="s">
        <v>493</v>
      </c>
      <c r="F76" s="118">
        <f>'Book Review'!K76</f>
        <v>2</v>
      </c>
      <c r="G76" s="118">
        <f>'Book Review'!Q76</f>
        <v>2</v>
      </c>
      <c r="H76" s="118">
        <f>'Book Review'!W76</f>
        <v>1</v>
      </c>
      <c r="I76" s="118"/>
      <c r="J76" s="118"/>
      <c r="K76" s="118">
        <f>'Book Review'!AO76</f>
        <v>2.5</v>
      </c>
      <c r="L76" s="118">
        <f>'Book Review'!AU76</f>
        <v>2</v>
      </c>
      <c r="M76" s="116"/>
      <c r="N76" s="118">
        <f>Debate!K76</f>
        <v>2</v>
      </c>
      <c r="O76" s="118">
        <f>Debate!Q76</f>
        <v>3</v>
      </c>
      <c r="P76" s="118"/>
      <c r="Q76" s="118">
        <f>Debate!AC76</f>
        <v>3</v>
      </c>
      <c r="R76" s="118"/>
      <c r="S76" s="118">
        <f>Debate!AO76</f>
        <v>2.3333333333333335</v>
      </c>
      <c r="T76" s="118">
        <f>Debate!AU76</f>
        <v>3</v>
      </c>
      <c r="U76" s="116"/>
      <c r="V76" s="7"/>
      <c r="W76" s="118">
        <f>GD!Q76</f>
        <v>2.75</v>
      </c>
      <c r="X76" s="118">
        <f>GD!W76</f>
        <v>2</v>
      </c>
      <c r="Y76" s="118"/>
      <c r="Z76" s="118"/>
      <c r="AA76" s="7"/>
      <c r="AB76" s="118"/>
      <c r="AC76" s="116"/>
      <c r="AD76" s="118">
        <f>'Case study'!K76</f>
        <v>2.5</v>
      </c>
      <c r="AE76" s="118">
        <f>'Case study'!Q76</f>
        <v>2.6</v>
      </c>
      <c r="AF76" s="118">
        <f>'Case study'!W76</f>
        <v>2</v>
      </c>
      <c r="AG76" s="118"/>
      <c r="AH76" s="118"/>
      <c r="AI76" s="118">
        <f>'Case study'!AO76</f>
        <v>2.5</v>
      </c>
      <c r="AJ76" s="118">
        <f>'Case study'!AU76</f>
        <v>3</v>
      </c>
      <c r="AK76" s="116"/>
      <c r="AL76" s="118">
        <f>Capstone!K76</f>
        <v>4.333333333333333</v>
      </c>
      <c r="AM76" s="118">
        <f>Capstone!Q77</f>
        <v>2.25</v>
      </c>
      <c r="AN76" s="118">
        <f>Capstone!W77</f>
        <v>2</v>
      </c>
      <c r="AO76" s="118"/>
      <c r="AP76" s="118"/>
      <c r="AQ76" s="118">
        <f>Capstone!AO77</f>
        <v>4.75</v>
      </c>
      <c r="AR76" s="118"/>
      <c r="AS76" s="116"/>
      <c r="AT76" s="118">
        <f>IFERROR(AVERAGE(Table110461117[[#This Row],[Column2]],Table110461117[[#This Row],[Column11]],Table110461117[[#This Row],[Column29]]),"0")</f>
        <v>2.1666666666666665</v>
      </c>
      <c r="AU76" s="118">
        <f>IFERROR(AVERAGE(Table110461117[[#This Row],[Column3]],Table110461117[[#This Row],[Column12]],Table110461117[[#This Row],[Column21]],Table110461117[[#This Row],[Column30]]),"0")</f>
        <v>2.5874999999999999</v>
      </c>
      <c r="AV76" s="118">
        <f>IFERROR(AVERAGE(Table110461117[[#This Row],[Column31]],Table110461117[[#This Row],[Column22]],Table110461117[[#This Row],[Column4]]),"0")</f>
        <v>1.6666666666666667</v>
      </c>
      <c r="AW76" s="118">
        <f>IFERROR(AVERAGE(Table110461117[[#This Row],[Column14]]),"0")</f>
        <v>3</v>
      </c>
      <c r="AX76" s="118"/>
      <c r="AY76" s="118">
        <f>IFERROR(AVERAGE(Table110461117[[#This Row],[Column34]],Table110461117[[#This Row],[Column16]],Table110461117[[#This Row],[Column7]]),"0")</f>
        <v>2.4444444444444446</v>
      </c>
      <c r="AZ76" s="118">
        <f>IFERROR(AVERAGE(Table110461117[[#This Row],[Column35]],Table110461117[[#This Row],[Column17]],Table110461117[[#This Row],[Column8]]),"0")</f>
        <v>2.6666666666666665</v>
      </c>
      <c r="BA76" s="116"/>
      <c r="BB76" s="118"/>
      <c r="BC76" s="118">
        <f>IFERROR(AVERAGE('Book Review'!AY76,Debate!AY76,'Case study'!AY76,Capstone!AY76),"A")</f>
        <v>3.75</v>
      </c>
      <c r="BD76" s="118">
        <f>IFERROR(AVERAGE('Book Review'!AZ76,Debate!AZ76,'Case study'!AZ76),"A")</f>
        <v>3</v>
      </c>
    </row>
    <row r="77" spans="1:56" s="109" customFormat="1" ht="23.1" customHeight="1" x14ac:dyDescent="0.3">
      <c r="A77" s="115">
        <v>75</v>
      </c>
      <c r="B77" s="49" t="s">
        <v>324</v>
      </c>
      <c r="C77" s="49" t="s">
        <v>325</v>
      </c>
      <c r="D77" s="49" t="s">
        <v>450</v>
      </c>
      <c r="E77" s="49" t="s">
        <v>493</v>
      </c>
      <c r="F77" s="117">
        <f>'Book Review'!K77</f>
        <v>2.125</v>
      </c>
      <c r="G77" s="117">
        <f>'Book Review'!Q77</f>
        <v>2.2000000000000002</v>
      </c>
      <c r="H77" s="117">
        <f>'Book Review'!W77</f>
        <v>2.5</v>
      </c>
      <c r="I77" s="117"/>
      <c r="J77" s="117"/>
      <c r="K77" s="117">
        <f>'Book Review'!AO77</f>
        <v>2</v>
      </c>
      <c r="L77" s="117">
        <f>'Book Review'!AU77</f>
        <v>2</v>
      </c>
      <c r="M77" s="116"/>
      <c r="N77" s="117">
        <f>Debate!K77</f>
        <v>2.5</v>
      </c>
      <c r="O77" s="117">
        <f>Debate!Q77</f>
        <v>2.25</v>
      </c>
      <c r="P77" s="117"/>
      <c r="Q77" s="117">
        <f>Debate!AC77</f>
        <v>2</v>
      </c>
      <c r="R77" s="117"/>
      <c r="S77" s="117">
        <f>Debate!AO77</f>
        <v>2.1666666666666665</v>
      </c>
      <c r="T77" s="117">
        <f>Debate!AU77</f>
        <v>2</v>
      </c>
      <c r="U77" s="116"/>
      <c r="V77" s="49"/>
      <c r="W77" s="117">
        <f>GD!Q77</f>
        <v>2.25</v>
      </c>
      <c r="X77" s="117">
        <f>GD!W77</f>
        <v>2</v>
      </c>
      <c r="Y77" s="117"/>
      <c r="Z77" s="117"/>
      <c r="AA77" s="49"/>
      <c r="AB77" s="117"/>
      <c r="AC77" s="116"/>
      <c r="AD77" s="117">
        <f>'Case study'!K77</f>
        <v>2.25</v>
      </c>
      <c r="AE77" s="117">
        <f>'Case study'!Q77</f>
        <v>2.2000000000000002</v>
      </c>
      <c r="AF77" s="117">
        <f>'Case study'!W77</f>
        <v>2</v>
      </c>
      <c r="AG77" s="117"/>
      <c r="AH77" s="117"/>
      <c r="AI77" s="117">
        <f>'Case study'!AO77</f>
        <v>2.125</v>
      </c>
      <c r="AJ77" s="117">
        <f>'Case study'!AU77</f>
        <v>2.5</v>
      </c>
      <c r="AK77" s="116"/>
      <c r="AL77" s="117">
        <f>Capstone!K77</f>
        <v>4.333333333333333</v>
      </c>
      <c r="AM77" s="117">
        <f>Capstone!Q78</f>
        <v>5</v>
      </c>
      <c r="AN77" s="117">
        <f>Capstone!W78</f>
        <v>4</v>
      </c>
      <c r="AO77" s="117"/>
      <c r="AP77" s="117"/>
      <c r="AQ77" s="117">
        <f>Capstone!AO78</f>
        <v>4.25</v>
      </c>
      <c r="AR77" s="117"/>
      <c r="AS77" s="116"/>
      <c r="AT77" s="117">
        <f>IFERROR(AVERAGE(Table110461117[[#This Row],[Column2]],Table110461117[[#This Row],[Column11]],Table110461117[[#This Row],[Column29]]),"0")</f>
        <v>2.2916666666666665</v>
      </c>
      <c r="AU77" s="117">
        <f>IFERROR(AVERAGE(Table110461117[[#This Row],[Column3]],Table110461117[[#This Row],[Column12]],Table110461117[[#This Row],[Column21]],Table110461117[[#This Row],[Column30]]),"0")</f>
        <v>2.2250000000000001</v>
      </c>
      <c r="AV77" s="117">
        <f>IFERROR(AVERAGE(Table110461117[[#This Row],[Column31]],Table110461117[[#This Row],[Column22]],Table110461117[[#This Row],[Column4]]),"0")</f>
        <v>2.1666666666666665</v>
      </c>
      <c r="AW77" s="117">
        <f>IFERROR(AVERAGE(Table110461117[[#This Row],[Column14]]),"0")</f>
        <v>2</v>
      </c>
      <c r="AX77" s="117"/>
      <c r="AY77" s="117">
        <f>IFERROR(AVERAGE(Table110461117[[#This Row],[Column34]],Table110461117[[#This Row],[Column16]],Table110461117[[#This Row],[Column7]]),"0")</f>
        <v>2.0972222222222219</v>
      </c>
      <c r="AZ77" s="117">
        <f>IFERROR(AVERAGE(Table110461117[[#This Row],[Column35]],Table110461117[[#This Row],[Column17]],Table110461117[[#This Row],[Column8]]),"0")</f>
        <v>2.1666666666666665</v>
      </c>
      <c r="BA77" s="116"/>
      <c r="BB77" s="117"/>
      <c r="BC77" s="117">
        <f>IFERROR(AVERAGE('Book Review'!AY77,Debate!AY77,'Case study'!AY77,Capstone!AY77),"A")</f>
        <v>2.25</v>
      </c>
      <c r="BD77" s="117">
        <f>IFERROR(AVERAGE('Book Review'!AZ77,Debate!AZ77,'Case study'!AZ77),"A")</f>
        <v>2.1666666666666665</v>
      </c>
    </row>
    <row r="78" spans="1:56" s="109" customFormat="1" ht="23.1" customHeight="1" x14ac:dyDescent="0.3">
      <c r="A78" s="6">
        <v>76</v>
      </c>
      <c r="B78" s="7" t="s">
        <v>326</v>
      </c>
      <c r="C78" s="7" t="s">
        <v>327</v>
      </c>
      <c r="D78" s="7" t="s">
        <v>450</v>
      </c>
      <c r="E78" s="7" t="s">
        <v>493</v>
      </c>
      <c r="F78" s="118">
        <f>'Book Review'!K78</f>
        <v>3.5</v>
      </c>
      <c r="G78" s="118">
        <f>'Book Review'!Q78</f>
        <v>4.2</v>
      </c>
      <c r="H78" s="118">
        <f>'Book Review'!W78</f>
        <v>4</v>
      </c>
      <c r="I78" s="118"/>
      <c r="J78" s="118"/>
      <c r="K78" s="118">
        <f>'Book Review'!AO78</f>
        <v>3</v>
      </c>
      <c r="L78" s="118">
        <f>'Book Review'!AU78</f>
        <v>4</v>
      </c>
      <c r="M78" s="116"/>
      <c r="N78" s="118">
        <f>Debate!K78</f>
        <v>3</v>
      </c>
      <c r="O78" s="118">
        <f>Debate!Q78</f>
        <v>4</v>
      </c>
      <c r="P78" s="118"/>
      <c r="Q78" s="118">
        <f>Debate!AC78</f>
        <v>4</v>
      </c>
      <c r="R78" s="118"/>
      <c r="S78" s="118">
        <f>Debate!AO78</f>
        <v>4</v>
      </c>
      <c r="T78" s="118">
        <f>Debate!AU78</f>
        <v>3</v>
      </c>
      <c r="U78" s="116"/>
      <c r="V78" s="7"/>
      <c r="W78" s="118">
        <f>GD!Q78</f>
        <v>4</v>
      </c>
      <c r="X78" s="118">
        <f>GD!W78</f>
        <v>4</v>
      </c>
      <c r="Y78" s="118"/>
      <c r="Z78" s="118"/>
      <c r="AA78" s="7"/>
      <c r="AB78" s="118"/>
      <c r="AC78" s="116"/>
      <c r="AD78" s="118">
        <f>'Case study'!K78</f>
        <v>3.5</v>
      </c>
      <c r="AE78" s="118">
        <f>'Case study'!Q78</f>
        <v>4.2</v>
      </c>
      <c r="AF78" s="118">
        <f>'Case study'!W78</f>
        <v>4</v>
      </c>
      <c r="AG78" s="118"/>
      <c r="AH78" s="118"/>
      <c r="AI78" s="118">
        <f>'Case study'!AO78</f>
        <v>3.5</v>
      </c>
      <c r="AJ78" s="118">
        <f>'Case study'!AU78</f>
        <v>3</v>
      </c>
      <c r="AK78" s="116"/>
      <c r="AL78" s="118">
        <f>Capstone!K78</f>
        <v>4.333333333333333</v>
      </c>
      <c r="AM78" s="118">
        <f>Capstone!Q79</f>
        <v>2</v>
      </c>
      <c r="AN78" s="118">
        <f>Capstone!W79</f>
        <v>2</v>
      </c>
      <c r="AO78" s="118"/>
      <c r="AP78" s="118"/>
      <c r="AQ78" s="118">
        <f>Capstone!AO79</f>
        <v>2</v>
      </c>
      <c r="AR78" s="118"/>
      <c r="AS78" s="116"/>
      <c r="AT78" s="118">
        <f>IFERROR(AVERAGE(Table110461117[[#This Row],[Column2]],Table110461117[[#This Row],[Column11]],Table110461117[[#This Row],[Column29]]),"0")</f>
        <v>3.3333333333333335</v>
      </c>
      <c r="AU78" s="118">
        <f>IFERROR(AVERAGE(Table110461117[[#This Row],[Column3]],Table110461117[[#This Row],[Column12]],Table110461117[[#This Row],[Column21]],Table110461117[[#This Row],[Column30]]),"0")</f>
        <v>4.0999999999999996</v>
      </c>
      <c r="AV78" s="118">
        <f>IFERROR(AVERAGE(Table110461117[[#This Row],[Column31]],Table110461117[[#This Row],[Column22]],Table110461117[[#This Row],[Column4]]),"0")</f>
        <v>4</v>
      </c>
      <c r="AW78" s="118">
        <f>IFERROR(AVERAGE(Table110461117[[#This Row],[Column14]]),"0")</f>
        <v>4</v>
      </c>
      <c r="AX78" s="118"/>
      <c r="AY78" s="118">
        <f>IFERROR(AVERAGE(Table110461117[[#This Row],[Column34]],Table110461117[[#This Row],[Column16]],Table110461117[[#This Row],[Column7]]),"0")</f>
        <v>3.5</v>
      </c>
      <c r="AZ78" s="118">
        <f>IFERROR(AVERAGE(Table110461117[[#This Row],[Column35]],Table110461117[[#This Row],[Column17]],Table110461117[[#This Row],[Column8]]),"0")</f>
        <v>3.3333333333333335</v>
      </c>
      <c r="BA78" s="116"/>
      <c r="BB78" s="118"/>
      <c r="BC78" s="118">
        <f>IFERROR(AVERAGE('Book Review'!AY78,Debate!AY78,'Case study'!AY78,Capstone!AY78),"A")</f>
        <v>3.75</v>
      </c>
      <c r="BD78" s="118">
        <f>IFERROR(AVERAGE('Book Review'!AZ78,Debate!AZ78,'Case study'!AZ78),"A")</f>
        <v>3.3333333333333335</v>
      </c>
    </row>
    <row r="79" spans="1:56" s="109" customFormat="1" ht="23.1" customHeight="1" x14ac:dyDescent="0.3">
      <c r="A79" s="115">
        <v>77</v>
      </c>
      <c r="B79" s="49" t="s">
        <v>328</v>
      </c>
      <c r="C79" s="49" t="s">
        <v>329</v>
      </c>
      <c r="D79" s="49" t="s">
        <v>450</v>
      </c>
      <c r="E79" s="49" t="s">
        <v>493</v>
      </c>
      <c r="F79" s="117">
        <f>'Book Review'!K79</f>
        <v>2.75</v>
      </c>
      <c r="G79" s="117">
        <f>'Book Review'!Q79</f>
        <v>2.8</v>
      </c>
      <c r="H79" s="117">
        <f>'Book Review'!W79</f>
        <v>2</v>
      </c>
      <c r="I79" s="117"/>
      <c r="J79" s="117"/>
      <c r="K79" s="117">
        <f>'Book Review'!AO79</f>
        <v>3</v>
      </c>
      <c r="L79" s="117">
        <f>'Book Review'!AU79</f>
        <v>3</v>
      </c>
      <c r="M79" s="116"/>
      <c r="N79" s="117">
        <f>Debate!K79</f>
        <v>3</v>
      </c>
      <c r="O79" s="117">
        <f>Debate!Q79</f>
        <v>2.4</v>
      </c>
      <c r="P79" s="117"/>
      <c r="Q79" s="117">
        <f>Debate!AC79</f>
        <v>3</v>
      </c>
      <c r="R79" s="117"/>
      <c r="S79" s="117">
        <f>Debate!AO79</f>
        <v>3</v>
      </c>
      <c r="T79" s="117">
        <f>Debate!AU79</f>
        <v>3</v>
      </c>
      <c r="U79" s="116"/>
      <c r="V79" s="49"/>
      <c r="W79" s="117">
        <f>GD!Q79</f>
        <v>2.75</v>
      </c>
      <c r="X79" s="117">
        <f>GD!W79</f>
        <v>2</v>
      </c>
      <c r="Y79" s="117"/>
      <c r="Z79" s="117"/>
      <c r="AA79" s="49"/>
      <c r="AB79" s="117"/>
      <c r="AC79" s="116"/>
      <c r="AD79" s="117">
        <f>'Case study'!K79</f>
        <v>2.75</v>
      </c>
      <c r="AE79" s="117">
        <f>'Case study'!Q79</f>
        <v>2.8</v>
      </c>
      <c r="AF79" s="117">
        <f>'Case study'!W79</f>
        <v>2</v>
      </c>
      <c r="AG79" s="117"/>
      <c r="AH79" s="117"/>
      <c r="AI79" s="117">
        <f>'Case study'!AO79</f>
        <v>3</v>
      </c>
      <c r="AJ79" s="117">
        <f>'Case study'!AU79</f>
        <v>3</v>
      </c>
      <c r="AK79" s="116"/>
      <c r="AL79" s="117">
        <f>Capstone!K79</f>
        <v>2.3333333333333335</v>
      </c>
      <c r="AM79" s="117">
        <f>Capstone!Q80</f>
        <v>3.5</v>
      </c>
      <c r="AN79" s="117">
        <f>Capstone!W80</f>
        <v>3</v>
      </c>
      <c r="AO79" s="117"/>
      <c r="AP79" s="117"/>
      <c r="AQ79" s="117">
        <f>Capstone!AO80</f>
        <v>3.5</v>
      </c>
      <c r="AR79" s="117"/>
      <c r="AS79" s="116"/>
      <c r="AT79" s="117">
        <f>IFERROR(AVERAGE(Table110461117[[#This Row],[Column2]],Table110461117[[#This Row],[Column11]],Table110461117[[#This Row],[Column29]]),"0")</f>
        <v>2.8333333333333335</v>
      </c>
      <c r="AU79" s="117">
        <f>IFERROR(AVERAGE(Table110461117[[#This Row],[Column3]],Table110461117[[#This Row],[Column12]],Table110461117[[#This Row],[Column21]],Table110461117[[#This Row],[Column30]]),"0")</f>
        <v>2.6875</v>
      </c>
      <c r="AV79" s="117">
        <f>IFERROR(AVERAGE(Table110461117[[#This Row],[Column31]],Table110461117[[#This Row],[Column22]],Table110461117[[#This Row],[Column4]]),"0")</f>
        <v>2</v>
      </c>
      <c r="AW79" s="117">
        <f>IFERROR(AVERAGE(Table110461117[[#This Row],[Column14]]),"0")</f>
        <v>3</v>
      </c>
      <c r="AX79" s="117"/>
      <c r="AY79" s="117">
        <f>IFERROR(AVERAGE(Table110461117[[#This Row],[Column34]],Table110461117[[#This Row],[Column16]],Table110461117[[#This Row],[Column7]]),"0")</f>
        <v>3</v>
      </c>
      <c r="AZ79" s="117">
        <f>IFERROR(AVERAGE(Table110461117[[#This Row],[Column35]],Table110461117[[#This Row],[Column17]],Table110461117[[#This Row],[Column8]]),"0")</f>
        <v>3</v>
      </c>
      <c r="BA79" s="116"/>
      <c r="BB79" s="117"/>
      <c r="BC79" s="117">
        <f>IFERROR(AVERAGE('Book Review'!AY79,Debate!AY79,'Case study'!AY79,Capstone!AY79),"A")</f>
        <v>2.75</v>
      </c>
      <c r="BD79" s="117">
        <f>IFERROR(AVERAGE('Book Review'!AZ79,Debate!AZ79,'Case study'!AZ79),"A")</f>
        <v>3</v>
      </c>
    </row>
    <row r="80" spans="1:56" s="109" customFormat="1" ht="23.1" customHeight="1" x14ac:dyDescent="0.3">
      <c r="A80" s="6">
        <v>78</v>
      </c>
      <c r="B80" s="7" t="s">
        <v>330</v>
      </c>
      <c r="C80" s="7" t="s">
        <v>331</v>
      </c>
      <c r="D80" s="7" t="s">
        <v>450</v>
      </c>
      <c r="E80" s="7" t="s">
        <v>493</v>
      </c>
      <c r="F80" s="118">
        <f>'Book Review'!K80</f>
        <v>2.25</v>
      </c>
      <c r="G80" s="118">
        <f>'Book Review'!Q80</f>
        <v>3</v>
      </c>
      <c r="H80" s="118">
        <f>'Book Review'!W80</f>
        <v>3</v>
      </c>
      <c r="I80" s="118"/>
      <c r="J80" s="118"/>
      <c r="K80" s="118">
        <f>'Book Review'!AO80</f>
        <v>3</v>
      </c>
      <c r="L80" s="118">
        <f>'Book Review'!AU80</f>
        <v>3</v>
      </c>
      <c r="M80" s="116"/>
      <c r="N80" s="118">
        <f>Debate!K80</f>
        <v>3</v>
      </c>
      <c r="O80" s="118">
        <f>Debate!Q80</f>
        <v>2.7</v>
      </c>
      <c r="P80" s="118"/>
      <c r="Q80" s="118">
        <f>Debate!AC80</f>
        <v>3</v>
      </c>
      <c r="R80" s="118"/>
      <c r="S80" s="118">
        <f>Debate!AO80</f>
        <v>3</v>
      </c>
      <c r="T80" s="118">
        <f>Debate!AU80</f>
        <v>3</v>
      </c>
      <c r="U80" s="116"/>
      <c r="V80" s="7"/>
      <c r="W80" s="118">
        <f>GD!Q80</f>
        <v>3</v>
      </c>
      <c r="X80" s="118">
        <f>GD!W80</f>
        <v>3</v>
      </c>
      <c r="Y80" s="118"/>
      <c r="Z80" s="118"/>
      <c r="AA80" s="7"/>
      <c r="AB80" s="118"/>
      <c r="AC80" s="116"/>
      <c r="AD80" s="118">
        <f>'Case study'!K80</f>
        <v>2.25</v>
      </c>
      <c r="AE80" s="118">
        <f>'Case study'!Q80</f>
        <v>3</v>
      </c>
      <c r="AF80" s="118">
        <f>'Case study'!W80</f>
        <v>3</v>
      </c>
      <c r="AG80" s="118"/>
      <c r="AH80" s="118"/>
      <c r="AI80" s="118">
        <f>'Case study'!AO80</f>
        <v>3</v>
      </c>
      <c r="AJ80" s="118">
        <f>'Case study'!AU80</f>
        <v>2</v>
      </c>
      <c r="AK80" s="116"/>
      <c r="AL80" s="118">
        <f>Capstone!K80</f>
        <v>3</v>
      </c>
      <c r="AM80" s="118">
        <f>Capstone!Q81</f>
        <v>4</v>
      </c>
      <c r="AN80" s="118">
        <f>Capstone!W81</f>
        <v>2</v>
      </c>
      <c r="AO80" s="118"/>
      <c r="AP80" s="118"/>
      <c r="AQ80" s="118">
        <f>Capstone!AO81</f>
        <v>3.5</v>
      </c>
      <c r="AR80" s="118"/>
      <c r="AS80" s="116"/>
      <c r="AT80" s="118">
        <f>IFERROR(AVERAGE(Table110461117[[#This Row],[Column2]],Table110461117[[#This Row],[Column11]],Table110461117[[#This Row],[Column29]]),"0")</f>
        <v>2.5</v>
      </c>
      <c r="AU80" s="118">
        <f>IFERROR(AVERAGE(Table110461117[[#This Row],[Column3]],Table110461117[[#This Row],[Column12]],Table110461117[[#This Row],[Column21]],Table110461117[[#This Row],[Column30]]),"0")</f>
        <v>2.9249999999999998</v>
      </c>
      <c r="AV80" s="118">
        <f>IFERROR(AVERAGE(Table110461117[[#This Row],[Column31]],Table110461117[[#This Row],[Column22]],Table110461117[[#This Row],[Column4]]),"0")</f>
        <v>3</v>
      </c>
      <c r="AW80" s="118">
        <f>IFERROR(AVERAGE(Table110461117[[#This Row],[Column14]]),"0")</f>
        <v>3</v>
      </c>
      <c r="AX80" s="118"/>
      <c r="AY80" s="118">
        <f>IFERROR(AVERAGE(Table110461117[[#This Row],[Column34]],Table110461117[[#This Row],[Column16]],Table110461117[[#This Row],[Column7]]),"0")</f>
        <v>3</v>
      </c>
      <c r="AZ80" s="118">
        <f>IFERROR(AVERAGE(Table110461117[[#This Row],[Column35]],Table110461117[[#This Row],[Column17]],Table110461117[[#This Row],[Column8]]),"0")</f>
        <v>2.6666666666666665</v>
      </c>
      <c r="BA80" s="116"/>
      <c r="BB80" s="118"/>
      <c r="BC80" s="118">
        <f>IFERROR(AVERAGE('Book Review'!AY80,Debate!AY80,'Case study'!AY80,Capstone!AY80),"A")</f>
        <v>2.5</v>
      </c>
      <c r="BD80" s="118">
        <f>IFERROR(AVERAGE('Book Review'!AZ80,Debate!AZ80,'Case study'!AZ80),"A")</f>
        <v>2</v>
      </c>
    </row>
    <row r="81" spans="1:56" s="109" customFormat="1" ht="23.1" customHeight="1" x14ac:dyDescent="0.3">
      <c r="A81" s="115">
        <v>79</v>
      </c>
      <c r="B81" s="49" t="s">
        <v>199</v>
      </c>
      <c r="C81" s="49" t="s">
        <v>200</v>
      </c>
      <c r="D81" s="49" t="s">
        <v>450</v>
      </c>
      <c r="E81" s="49" t="s">
        <v>161</v>
      </c>
      <c r="F81" s="117">
        <f>'Book Review'!K81</f>
        <v>2</v>
      </c>
      <c r="G81" s="117">
        <f>'Book Review'!Q81</f>
        <v>2.2000000000000002</v>
      </c>
      <c r="H81" s="117">
        <f>'Book Review'!W81</f>
        <v>2</v>
      </c>
      <c r="I81" s="117"/>
      <c r="J81" s="117"/>
      <c r="K81" s="117">
        <f>'Book Review'!AO81</f>
        <v>2</v>
      </c>
      <c r="L81" s="117">
        <f>'Book Review'!AU81</f>
        <v>3</v>
      </c>
      <c r="M81" s="116"/>
      <c r="N81" s="117">
        <f>Debate!K81</f>
        <v>2</v>
      </c>
      <c r="O81" s="117">
        <f>Debate!Q81</f>
        <v>2</v>
      </c>
      <c r="P81" s="117"/>
      <c r="Q81" s="117">
        <f>Debate!AC81</f>
        <v>2</v>
      </c>
      <c r="R81" s="117"/>
      <c r="S81" s="117">
        <f>Debate!AO81</f>
        <v>3.3333333333333335</v>
      </c>
      <c r="T81" s="117">
        <f>Debate!AU81</f>
        <v>3</v>
      </c>
      <c r="U81" s="116"/>
      <c r="V81" s="49"/>
      <c r="W81" s="117">
        <f>GD!Q81</f>
        <v>2</v>
      </c>
      <c r="X81" s="117">
        <f>GD!W81</f>
        <v>2</v>
      </c>
      <c r="Y81" s="117"/>
      <c r="Z81" s="117"/>
      <c r="AA81" s="49"/>
      <c r="AB81" s="117"/>
      <c r="AC81" s="116"/>
      <c r="AD81" s="117">
        <f>'Case study'!K81</f>
        <v>2.25</v>
      </c>
      <c r="AE81" s="117">
        <f>'Case study'!Q81</f>
        <v>2.6</v>
      </c>
      <c r="AF81" s="117">
        <f>'Case study'!W81</f>
        <v>2</v>
      </c>
      <c r="AG81" s="117"/>
      <c r="AH81" s="117"/>
      <c r="AI81" s="117">
        <f>'Case study'!AO81</f>
        <v>2.75</v>
      </c>
      <c r="AJ81" s="117">
        <f>'Case study'!AU81</f>
        <v>3</v>
      </c>
      <c r="AK81" s="116"/>
      <c r="AL81" s="117">
        <f>Capstone!K81</f>
        <v>2.6666666666666665</v>
      </c>
      <c r="AM81" s="117">
        <f>Capstone!Q82</f>
        <v>3</v>
      </c>
      <c r="AN81" s="117">
        <f>Capstone!W82</f>
        <v>2</v>
      </c>
      <c r="AO81" s="117"/>
      <c r="AP81" s="117"/>
      <c r="AQ81" s="117">
        <f>Capstone!AO82</f>
        <v>4.25</v>
      </c>
      <c r="AR81" s="117"/>
      <c r="AS81" s="116"/>
      <c r="AT81" s="117">
        <f>IFERROR(AVERAGE(Table110461117[[#This Row],[Column2]],Table110461117[[#This Row],[Column11]],Table110461117[[#This Row],[Column29]]),"0")</f>
        <v>2.0833333333333335</v>
      </c>
      <c r="AU81" s="117">
        <f>IFERROR(AVERAGE(Table110461117[[#This Row],[Column3]],Table110461117[[#This Row],[Column12]],Table110461117[[#This Row],[Column21]],Table110461117[[#This Row],[Column30]]),"0")</f>
        <v>2.2000000000000002</v>
      </c>
      <c r="AV81" s="117">
        <f>IFERROR(AVERAGE(Table110461117[[#This Row],[Column31]],Table110461117[[#This Row],[Column22]],Table110461117[[#This Row],[Column4]]),"0")</f>
        <v>2</v>
      </c>
      <c r="AW81" s="117">
        <f>IFERROR(AVERAGE(Table110461117[[#This Row],[Column14]]),"0")</f>
        <v>2</v>
      </c>
      <c r="AX81" s="117"/>
      <c r="AY81" s="117">
        <f>IFERROR(AVERAGE(Table110461117[[#This Row],[Column34]],Table110461117[[#This Row],[Column16]],Table110461117[[#This Row],[Column7]]),"0")</f>
        <v>2.6944444444444446</v>
      </c>
      <c r="AZ81" s="117">
        <f>IFERROR(AVERAGE(Table110461117[[#This Row],[Column35]],Table110461117[[#This Row],[Column17]],Table110461117[[#This Row],[Column8]]),"0")</f>
        <v>3</v>
      </c>
      <c r="BA81" s="116"/>
      <c r="BB81" s="117"/>
      <c r="BC81" s="117">
        <f>IFERROR(AVERAGE('Book Review'!AY81,Debate!AY81,'Case study'!AY81,Capstone!AY81),"A")</f>
        <v>3</v>
      </c>
      <c r="BD81" s="117">
        <f>IFERROR(AVERAGE('Book Review'!AZ81,Debate!AZ81,'Case study'!AZ81),"A")</f>
        <v>3</v>
      </c>
    </row>
    <row r="82" spans="1:56" s="109" customFormat="1" ht="23.1" customHeight="1" x14ac:dyDescent="0.3">
      <c r="A82" s="6">
        <v>80</v>
      </c>
      <c r="B82" s="7" t="s">
        <v>332</v>
      </c>
      <c r="C82" s="7" t="s">
        <v>333</v>
      </c>
      <c r="D82" s="7" t="s">
        <v>450</v>
      </c>
      <c r="E82" s="7" t="s">
        <v>493</v>
      </c>
      <c r="F82" s="118">
        <f>'Book Review'!K82</f>
        <v>2.5</v>
      </c>
      <c r="G82" s="118">
        <f>'Book Review'!Q82</f>
        <v>3</v>
      </c>
      <c r="H82" s="118">
        <f>'Book Review'!W82</f>
        <v>3</v>
      </c>
      <c r="I82" s="118"/>
      <c r="J82" s="118"/>
      <c r="K82" s="118">
        <f>'Book Review'!AO82</f>
        <v>2.5</v>
      </c>
      <c r="L82" s="118">
        <f>'Book Review'!AU82</f>
        <v>4</v>
      </c>
      <c r="M82" s="116"/>
      <c r="N82" s="118">
        <f>Debate!K82</f>
        <v>3</v>
      </c>
      <c r="O82" s="118">
        <f>Debate!Q82</f>
        <v>2.9</v>
      </c>
      <c r="P82" s="118"/>
      <c r="Q82" s="118">
        <f>Debate!AC82</f>
        <v>3</v>
      </c>
      <c r="R82" s="118"/>
      <c r="S82" s="118">
        <f>Debate!AO82</f>
        <v>2.6666666666666665</v>
      </c>
      <c r="T82" s="118">
        <f>Debate!AU82</f>
        <v>3</v>
      </c>
      <c r="U82" s="116"/>
      <c r="V82" s="7"/>
      <c r="W82" s="118">
        <f>GD!Q82</f>
        <v>2.75</v>
      </c>
      <c r="X82" s="118">
        <f>GD!W82</f>
        <v>2</v>
      </c>
      <c r="Y82" s="118"/>
      <c r="Z82" s="118"/>
      <c r="AA82" s="7"/>
      <c r="AB82" s="118"/>
      <c r="AC82" s="116"/>
      <c r="AD82" s="118">
        <f>'Case study'!K82</f>
        <v>2</v>
      </c>
      <c r="AE82" s="118">
        <f>'Case study'!Q82</f>
        <v>2.6</v>
      </c>
      <c r="AF82" s="118">
        <f>'Case study'!W82</f>
        <v>2</v>
      </c>
      <c r="AG82" s="118"/>
      <c r="AH82" s="118"/>
      <c r="AI82" s="118">
        <f>'Case study'!AO82</f>
        <v>2</v>
      </c>
      <c r="AJ82" s="118">
        <f>'Case study'!AU82</f>
        <v>3</v>
      </c>
      <c r="AK82" s="116"/>
      <c r="AL82" s="118">
        <f>Capstone!K82</f>
        <v>3.6666666666666665</v>
      </c>
      <c r="AM82" s="118">
        <f>Capstone!Q83</f>
        <v>2</v>
      </c>
      <c r="AN82" s="118">
        <f>Capstone!W83</f>
        <v>3</v>
      </c>
      <c r="AO82" s="118"/>
      <c r="AP82" s="118"/>
      <c r="AQ82" s="118">
        <f>Capstone!AO83</f>
        <v>2.25</v>
      </c>
      <c r="AR82" s="118"/>
      <c r="AS82" s="116"/>
      <c r="AT82" s="118">
        <f>IFERROR(AVERAGE(Table110461117[[#This Row],[Column2]],Table110461117[[#This Row],[Column11]],Table110461117[[#This Row],[Column29]]),"0")</f>
        <v>2.5</v>
      </c>
      <c r="AU82" s="118">
        <f>IFERROR(AVERAGE(Table110461117[[#This Row],[Column3]],Table110461117[[#This Row],[Column12]],Table110461117[[#This Row],[Column21]],Table110461117[[#This Row],[Column30]]),"0")</f>
        <v>2.8125</v>
      </c>
      <c r="AV82" s="118">
        <f>IFERROR(AVERAGE(Table110461117[[#This Row],[Column31]],Table110461117[[#This Row],[Column22]],Table110461117[[#This Row],[Column4]]),"0")</f>
        <v>2.3333333333333335</v>
      </c>
      <c r="AW82" s="118">
        <f>IFERROR(AVERAGE(Table110461117[[#This Row],[Column14]]),"0")</f>
        <v>3</v>
      </c>
      <c r="AX82" s="118"/>
      <c r="AY82" s="118">
        <f>IFERROR(AVERAGE(Table110461117[[#This Row],[Column34]],Table110461117[[#This Row],[Column16]],Table110461117[[#This Row],[Column7]]),"0")</f>
        <v>2.3888888888888888</v>
      </c>
      <c r="AZ82" s="118">
        <f>IFERROR(AVERAGE(Table110461117[[#This Row],[Column35]],Table110461117[[#This Row],[Column17]],Table110461117[[#This Row],[Column8]]),"0")</f>
        <v>3.3333333333333335</v>
      </c>
      <c r="BA82" s="116"/>
      <c r="BB82" s="118"/>
      <c r="BC82" s="118">
        <f>IFERROR(AVERAGE('Book Review'!AY82,Debate!AY82,'Case study'!AY82,Capstone!AY82),"A")</f>
        <v>3.25</v>
      </c>
      <c r="BD82" s="118">
        <f>IFERROR(AVERAGE('Book Review'!AZ82,Debate!AZ82,'Case study'!AZ82),"A")</f>
        <v>3</v>
      </c>
    </row>
    <row r="83" spans="1:56" s="109" customFormat="1" ht="23.1" customHeight="1" x14ac:dyDescent="0.3">
      <c r="A83" s="115">
        <v>81</v>
      </c>
      <c r="B83" s="49" t="s">
        <v>334</v>
      </c>
      <c r="C83" s="49" t="s">
        <v>335</v>
      </c>
      <c r="D83" s="49" t="s">
        <v>542</v>
      </c>
      <c r="E83" s="49" t="s">
        <v>493</v>
      </c>
      <c r="F83" s="117">
        <f>'Book Review'!K83</f>
        <v>3</v>
      </c>
      <c r="G83" s="117">
        <f>'Book Review'!Q83</f>
        <v>2.4</v>
      </c>
      <c r="H83" s="117">
        <f>'Book Review'!W83</f>
        <v>3</v>
      </c>
      <c r="I83" s="117"/>
      <c r="J83" s="117"/>
      <c r="K83" s="117">
        <f>'Book Review'!AO83</f>
        <v>2.5</v>
      </c>
      <c r="L83" s="117">
        <f>'Book Review'!AU83</f>
        <v>3</v>
      </c>
      <c r="M83" s="116"/>
      <c r="N83" s="117">
        <f>Debate!K83</f>
        <v>2</v>
      </c>
      <c r="O83" s="117">
        <f>Debate!Q83</f>
        <v>2.6</v>
      </c>
      <c r="P83" s="117"/>
      <c r="Q83" s="117">
        <f>Debate!AC83</f>
        <v>2</v>
      </c>
      <c r="R83" s="117"/>
      <c r="S83" s="117">
        <f>Debate!AO83</f>
        <v>2.6666666666666665</v>
      </c>
      <c r="T83" s="117">
        <f>Debate!AU83</f>
        <v>3</v>
      </c>
      <c r="U83" s="116"/>
      <c r="V83" s="49"/>
      <c r="W83" s="117">
        <f>GD!Q83</f>
        <v>2.5</v>
      </c>
      <c r="X83" s="117">
        <f>GD!W83</f>
        <v>2</v>
      </c>
      <c r="Y83" s="117"/>
      <c r="Z83" s="117"/>
      <c r="AA83" s="49"/>
      <c r="AB83" s="117"/>
      <c r="AC83" s="116"/>
      <c r="AD83" s="117">
        <f>'Case study'!K83</f>
        <v>3</v>
      </c>
      <c r="AE83" s="117">
        <f>'Case study'!Q83</f>
        <v>2.4</v>
      </c>
      <c r="AF83" s="117">
        <f>'Case study'!W83</f>
        <v>3</v>
      </c>
      <c r="AG83" s="117"/>
      <c r="AH83" s="117"/>
      <c r="AI83" s="117">
        <f>'Case study'!AO83</f>
        <v>2.5</v>
      </c>
      <c r="AJ83" s="117">
        <f>'Case study'!AU83</f>
        <v>3</v>
      </c>
      <c r="AK83" s="116"/>
      <c r="AL83" s="117">
        <f>Capstone!K83</f>
        <v>2</v>
      </c>
      <c r="AM83" s="117">
        <f>Capstone!Q84</f>
        <v>4.25</v>
      </c>
      <c r="AN83" s="117">
        <f>Capstone!W84</f>
        <v>4</v>
      </c>
      <c r="AO83" s="117"/>
      <c r="AP83" s="117"/>
      <c r="AQ83" s="117">
        <f>Capstone!AO84</f>
        <v>4.75</v>
      </c>
      <c r="AR83" s="117"/>
      <c r="AS83" s="116"/>
      <c r="AT83" s="117">
        <f>IFERROR(AVERAGE(Table110461117[[#This Row],[Column2]],Table110461117[[#This Row],[Column11]],Table110461117[[#This Row],[Column29]]),"0")</f>
        <v>2.6666666666666665</v>
      </c>
      <c r="AU83" s="117">
        <f>IFERROR(AVERAGE(Table110461117[[#This Row],[Column3]],Table110461117[[#This Row],[Column12]],Table110461117[[#This Row],[Column21]],Table110461117[[#This Row],[Column30]]),"0")</f>
        <v>2.4750000000000001</v>
      </c>
      <c r="AV83" s="117">
        <f>IFERROR(AVERAGE(Table110461117[[#This Row],[Column31]],Table110461117[[#This Row],[Column22]],Table110461117[[#This Row],[Column4]]),"0")</f>
        <v>2.6666666666666665</v>
      </c>
      <c r="AW83" s="117">
        <f>IFERROR(AVERAGE(Table110461117[[#This Row],[Column14]]),"0")</f>
        <v>2</v>
      </c>
      <c r="AX83" s="117"/>
      <c r="AY83" s="117">
        <f>IFERROR(AVERAGE(Table110461117[[#This Row],[Column34]],Table110461117[[#This Row],[Column16]],Table110461117[[#This Row],[Column7]]),"0")</f>
        <v>2.5555555555555554</v>
      </c>
      <c r="AZ83" s="117">
        <f>IFERROR(AVERAGE(Table110461117[[#This Row],[Column35]],Table110461117[[#This Row],[Column17]],Table110461117[[#This Row],[Column8]]),"0")</f>
        <v>3</v>
      </c>
      <c r="BA83" s="116"/>
      <c r="BB83" s="117"/>
      <c r="BC83" s="117">
        <f>IFERROR(AVERAGE('Book Review'!AY83,Debate!AY83,'Case study'!AY83,Capstone!AY83),"A")</f>
        <v>2.5</v>
      </c>
      <c r="BD83" s="117">
        <f>IFERROR(AVERAGE('Book Review'!AZ83,Debate!AZ83,'Case study'!AZ83),"A")</f>
        <v>2.3333333333333335</v>
      </c>
    </row>
    <row r="84" spans="1:56" s="109" customFormat="1" ht="23.1" customHeight="1" x14ac:dyDescent="0.3">
      <c r="A84" s="6">
        <v>82</v>
      </c>
      <c r="B84" s="7" t="s">
        <v>81</v>
      </c>
      <c r="C84" s="7" t="s">
        <v>82</v>
      </c>
      <c r="D84" s="7" t="s">
        <v>542</v>
      </c>
      <c r="E84" s="7" t="s">
        <v>35</v>
      </c>
      <c r="F84" s="118">
        <f>'Book Review'!K84</f>
        <v>3.875</v>
      </c>
      <c r="G84" s="118">
        <f>'Book Review'!Q84</f>
        <v>3.5</v>
      </c>
      <c r="H84" s="118">
        <f>'Book Review'!W84</f>
        <v>4.5</v>
      </c>
      <c r="I84" s="118"/>
      <c r="J84" s="118"/>
      <c r="K84" s="118">
        <f>'Book Review'!AO84</f>
        <v>2.75</v>
      </c>
      <c r="L84" s="118">
        <f>'Book Review'!AU84</f>
        <v>4</v>
      </c>
      <c r="M84" s="116"/>
      <c r="N84" s="118">
        <f>Debate!K84</f>
        <v>4.5</v>
      </c>
      <c r="O84" s="118">
        <f>Debate!Q84</f>
        <v>3.5</v>
      </c>
      <c r="P84" s="118"/>
      <c r="Q84" s="118">
        <f>Debate!AC84</f>
        <v>3</v>
      </c>
      <c r="R84" s="118"/>
      <c r="S84" s="118">
        <f>Debate!AO84</f>
        <v>3.6666666666666665</v>
      </c>
      <c r="T84" s="118">
        <f>Debate!AU84</f>
        <v>4</v>
      </c>
      <c r="U84" s="116"/>
      <c r="V84" s="7"/>
      <c r="W84" s="118">
        <f>GD!Q84</f>
        <v>3.5</v>
      </c>
      <c r="X84" s="118">
        <f>GD!W84</f>
        <v>2.5</v>
      </c>
      <c r="Y84" s="118"/>
      <c r="Z84" s="118"/>
      <c r="AA84" s="7"/>
      <c r="AB84" s="118"/>
      <c r="AC84" s="116"/>
      <c r="AD84" s="118">
        <f>'Case study'!K84</f>
        <v>3.75</v>
      </c>
      <c r="AE84" s="118">
        <f>'Case study'!Q84</f>
        <v>3.8</v>
      </c>
      <c r="AF84" s="118">
        <f>'Case study'!W84</f>
        <v>4</v>
      </c>
      <c r="AG84" s="118"/>
      <c r="AH84" s="118"/>
      <c r="AI84" s="118">
        <f>'Case study'!AO84</f>
        <v>4.125</v>
      </c>
      <c r="AJ84" s="118">
        <f>'Case study'!AU84</f>
        <v>3.5</v>
      </c>
      <c r="AK84" s="116"/>
      <c r="AL84" s="118">
        <f>Capstone!K84</f>
        <v>4.333333333333333</v>
      </c>
      <c r="AM84" s="118">
        <f>Capstone!Q85</f>
        <v>2.75</v>
      </c>
      <c r="AN84" s="118">
        <f>Capstone!W85</f>
        <v>2</v>
      </c>
      <c r="AO84" s="118"/>
      <c r="AP84" s="118"/>
      <c r="AQ84" s="118">
        <f>Capstone!AO85</f>
        <v>3</v>
      </c>
      <c r="AR84" s="118"/>
      <c r="AS84" s="116"/>
      <c r="AT84" s="118">
        <f>IFERROR(AVERAGE(Table110461117[[#This Row],[Column2]],Table110461117[[#This Row],[Column11]],Table110461117[[#This Row],[Column29]]),"0")</f>
        <v>4.041666666666667</v>
      </c>
      <c r="AU84" s="118">
        <f>IFERROR(AVERAGE(Table110461117[[#This Row],[Column3]],Table110461117[[#This Row],[Column12]],Table110461117[[#This Row],[Column21]],Table110461117[[#This Row],[Column30]]),"0")</f>
        <v>3.5750000000000002</v>
      </c>
      <c r="AV84" s="118">
        <f>IFERROR(AVERAGE(Table110461117[[#This Row],[Column31]],Table110461117[[#This Row],[Column22]],Table110461117[[#This Row],[Column4]]),"0")</f>
        <v>3.6666666666666665</v>
      </c>
      <c r="AW84" s="118">
        <f>IFERROR(AVERAGE(Table110461117[[#This Row],[Column14]]),"0")</f>
        <v>3</v>
      </c>
      <c r="AX84" s="118"/>
      <c r="AY84" s="118">
        <f>IFERROR(AVERAGE(Table110461117[[#This Row],[Column34]],Table110461117[[#This Row],[Column16]],Table110461117[[#This Row],[Column7]]),"0")</f>
        <v>3.5138888888888888</v>
      </c>
      <c r="AZ84" s="118">
        <f>IFERROR(AVERAGE(Table110461117[[#This Row],[Column35]],Table110461117[[#This Row],[Column17]],Table110461117[[#This Row],[Column8]]),"0")</f>
        <v>3.8333333333333335</v>
      </c>
      <c r="BA84" s="116"/>
      <c r="BB84" s="118"/>
      <c r="BC84" s="118">
        <f>IFERROR(AVERAGE('Book Review'!AY84,Debate!AY84,'Case study'!AY84,Capstone!AY84),"A")</f>
        <v>3.75</v>
      </c>
      <c r="BD84" s="118">
        <f>IFERROR(AVERAGE('Book Review'!AZ84,Debate!AZ84,'Case study'!AZ84),"A")</f>
        <v>3.8333333333333335</v>
      </c>
    </row>
    <row r="85" spans="1:56" s="109" customFormat="1" ht="23.1" customHeight="1" x14ac:dyDescent="0.3">
      <c r="A85" s="115">
        <v>83</v>
      </c>
      <c r="B85" s="49" t="s">
        <v>70</v>
      </c>
      <c r="C85" s="49" t="s">
        <v>71</v>
      </c>
      <c r="D85" s="49" t="s">
        <v>450</v>
      </c>
      <c r="E85" s="49" t="s">
        <v>35</v>
      </c>
      <c r="F85" s="117">
        <f>'Book Review'!K85</f>
        <v>2.25</v>
      </c>
      <c r="G85" s="117">
        <f>'Book Review'!Q85</f>
        <v>2.4</v>
      </c>
      <c r="H85" s="117">
        <f>'Book Review'!W85</f>
        <v>2</v>
      </c>
      <c r="I85" s="117"/>
      <c r="J85" s="117"/>
      <c r="K85" s="117">
        <f>'Book Review'!AO85</f>
        <v>3</v>
      </c>
      <c r="L85" s="117">
        <f>'Book Review'!AU85</f>
        <v>2</v>
      </c>
      <c r="M85" s="116"/>
      <c r="N85" s="117">
        <f>Debate!K85</f>
        <v>3</v>
      </c>
      <c r="O85" s="117">
        <f>Debate!Q85</f>
        <v>2</v>
      </c>
      <c r="P85" s="117"/>
      <c r="Q85" s="117">
        <f>Debate!AC85</f>
        <v>3</v>
      </c>
      <c r="R85" s="117"/>
      <c r="S85" s="117">
        <f>Debate!AO85</f>
        <v>2.6666666666666665</v>
      </c>
      <c r="T85" s="117">
        <f>Debate!AU85</f>
        <v>3</v>
      </c>
      <c r="U85" s="116"/>
      <c r="V85" s="49"/>
      <c r="W85" s="117">
        <f>GD!Q85</f>
        <v>2.5</v>
      </c>
      <c r="X85" s="117">
        <f>GD!W85</f>
        <v>2</v>
      </c>
      <c r="Y85" s="117"/>
      <c r="Z85" s="117"/>
      <c r="AA85" s="49"/>
      <c r="AB85" s="117"/>
      <c r="AC85" s="116"/>
      <c r="AD85" s="117">
        <f>'Case study'!K85</f>
        <v>2.25</v>
      </c>
      <c r="AE85" s="117">
        <f>'Case study'!Q85</f>
        <v>2.4</v>
      </c>
      <c r="AF85" s="117">
        <f>'Case study'!W85</f>
        <v>2</v>
      </c>
      <c r="AG85" s="117"/>
      <c r="AH85" s="117"/>
      <c r="AI85" s="117">
        <f>'Case study'!AO85</f>
        <v>2.5</v>
      </c>
      <c r="AJ85" s="117">
        <f>'Case study'!AU85</f>
        <v>3</v>
      </c>
      <c r="AK85" s="116"/>
      <c r="AL85" s="117">
        <f>Capstone!K85</f>
        <v>3</v>
      </c>
      <c r="AM85" s="117">
        <f>Capstone!Q86</f>
        <v>4.25</v>
      </c>
      <c r="AN85" s="117">
        <f>Capstone!W86</f>
        <v>3</v>
      </c>
      <c r="AO85" s="117"/>
      <c r="AP85" s="117"/>
      <c r="AQ85" s="117">
        <f>Capstone!AO86</f>
        <v>4.125</v>
      </c>
      <c r="AR85" s="117"/>
      <c r="AS85" s="116"/>
      <c r="AT85" s="117">
        <f>IFERROR(AVERAGE(Table110461117[[#This Row],[Column2]],Table110461117[[#This Row],[Column11]],Table110461117[[#This Row],[Column29]]),"0")</f>
        <v>2.5</v>
      </c>
      <c r="AU85" s="117">
        <f>IFERROR(AVERAGE(Table110461117[[#This Row],[Column3]],Table110461117[[#This Row],[Column12]],Table110461117[[#This Row],[Column21]],Table110461117[[#This Row],[Column30]]),"0")</f>
        <v>2.3250000000000002</v>
      </c>
      <c r="AV85" s="117">
        <f>IFERROR(AVERAGE(Table110461117[[#This Row],[Column31]],Table110461117[[#This Row],[Column22]],Table110461117[[#This Row],[Column4]]),"0")</f>
        <v>2</v>
      </c>
      <c r="AW85" s="117">
        <f>IFERROR(AVERAGE(Table110461117[[#This Row],[Column14]]),"0")</f>
        <v>3</v>
      </c>
      <c r="AX85" s="117"/>
      <c r="AY85" s="117">
        <f>IFERROR(AVERAGE(Table110461117[[#This Row],[Column34]],Table110461117[[#This Row],[Column16]],Table110461117[[#This Row],[Column7]]),"0")</f>
        <v>2.7222222222222219</v>
      </c>
      <c r="AZ85" s="117">
        <f>IFERROR(AVERAGE(Table110461117[[#This Row],[Column35]],Table110461117[[#This Row],[Column17]],Table110461117[[#This Row],[Column8]]),"0")</f>
        <v>2.6666666666666665</v>
      </c>
      <c r="BA85" s="116"/>
      <c r="BB85" s="117"/>
      <c r="BC85" s="117">
        <f>IFERROR(AVERAGE('Book Review'!AY85,Debate!AY85,'Case study'!AY85,Capstone!AY85),"A")</f>
        <v>2.875</v>
      </c>
      <c r="BD85" s="117">
        <f>IFERROR(AVERAGE('Book Review'!AZ85,Debate!AZ85,'Case study'!AZ85),"A")</f>
        <v>3.3333333333333335</v>
      </c>
    </row>
    <row r="86" spans="1:56" s="109" customFormat="1" ht="23.1" customHeight="1" x14ac:dyDescent="0.3">
      <c r="A86" s="6">
        <v>84</v>
      </c>
      <c r="B86" s="7" t="s">
        <v>336</v>
      </c>
      <c r="C86" s="7" t="s">
        <v>337</v>
      </c>
      <c r="D86" s="7" t="s">
        <v>450</v>
      </c>
      <c r="E86" s="7" t="s">
        <v>493</v>
      </c>
      <c r="F86" s="118">
        <f>'Book Review'!K86</f>
        <v>3</v>
      </c>
      <c r="G86" s="118">
        <f>'Book Review'!Q86</f>
        <v>3</v>
      </c>
      <c r="H86" s="118">
        <f>'Book Review'!W86</f>
        <v>3</v>
      </c>
      <c r="I86" s="118"/>
      <c r="J86" s="118"/>
      <c r="K86" s="118">
        <f>'Book Review'!AO86</f>
        <v>3</v>
      </c>
      <c r="L86" s="118">
        <f>'Book Review'!AU86</f>
        <v>3</v>
      </c>
      <c r="M86" s="116"/>
      <c r="N86" s="118">
        <f>Debate!K86</f>
        <v>3</v>
      </c>
      <c r="O86" s="118">
        <f>Debate!Q86</f>
        <v>3</v>
      </c>
      <c r="P86" s="118"/>
      <c r="Q86" s="118">
        <f>Debate!AC86</f>
        <v>3</v>
      </c>
      <c r="R86" s="118"/>
      <c r="S86" s="118">
        <f>Debate!AO86</f>
        <v>3</v>
      </c>
      <c r="T86" s="118">
        <f>Debate!AU86</f>
        <v>3</v>
      </c>
      <c r="U86" s="116"/>
      <c r="V86" s="7"/>
      <c r="W86" s="118">
        <f>GD!Q86</f>
        <v>3</v>
      </c>
      <c r="X86" s="118">
        <f>GD!W86</f>
        <v>3</v>
      </c>
      <c r="Y86" s="118"/>
      <c r="Z86" s="118"/>
      <c r="AA86" s="7"/>
      <c r="AB86" s="118"/>
      <c r="AC86" s="116"/>
      <c r="AD86" s="118">
        <f>'Case study'!K86</f>
        <v>3</v>
      </c>
      <c r="AE86" s="118">
        <f>'Case study'!Q86</f>
        <v>3</v>
      </c>
      <c r="AF86" s="118">
        <f>'Case study'!W86</f>
        <v>3</v>
      </c>
      <c r="AG86" s="118"/>
      <c r="AH86" s="118"/>
      <c r="AI86" s="118">
        <f>'Case study'!AO86</f>
        <v>3</v>
      </c>
      <c r="AJ86" s="118">
        <f>'Case study'!AU86</f>
        <v>3</v>
      </c>
      <c r="AK86" s="116"/>
      <c r="AL86" s="118">
        <f>Capstone!K86</f>
        <v>4</v>
      </c>
      <c r="AM86" s="118">
        <f>Capstone!Q87</f>
        <v>3</v>
      </c>
      <c r="AN86" s="118">
        <f>Capstone!W87</f>
        <v>4</v>
      </c>
      <c r="AO86" s="118"/>
      <c r="AP86" s="118"/>
      <c r="AQ86" s="118">
        <f>Capstone!AO87</f>
        <v>3</v>
      </c>
      <c r="AR86" s="118"/>
      <c r="AS86" s="116"/>
      <c r="AT86" s="118">
        <f>IFERROR(AVERAGE(Table110461117[[#This Row],[Column2]],Table110461117[[#This Row],[Column11]],Table110461117[[#This Row],[Column29]]),"0")</f>
        <v>3</v>
      </c>
      <c r="AU86" s="118">
        <f>IFERROR(AVERAGE(Table110461117[[#This Row],[Column3]],Table110461117[[#This Row],[Column12]],Table110461117[[#This Row],[Column21]],Table110461117[[#This Row],[Column30]]),"0")</f>
        <v>3</v>
      </c>
      <c r="AV86" s="118">
        <f>IFERROR(AVERAGE(Table110461117[[#This Row],[Column31]],Table110461117[[#This Row],[Column22]],Table110461117[[#This Row],[Column4]]),"0")</f>
        <v>3</v>
      </c>
      <c r="AW86" s="118">
        <f>IFERROR(AVERAGE(Table110461117[[#This Row],[Column14]]),"0")</f>
        <v>3</v>
      </c>
      <c r="AX86" s="118"/>
      <c r="AY86" s="118">
        <f>IFERROR(AVERAGE(Table110461117[[#This Row],[Column34]],Table110461117[[#This Row],[Column16]],Table110461117[[#This Row],[Column7]]),"0")</f>
        <v>3</v>
      </c>
      <c r="AZ86" s="118">
        <f>IFERROR(AVERAGE(Table110461117[[#This Row],[Column35]],Table110461117[[#This Row],[Column17]],Table110461117[[#This Row],[Column8]]),"0")</f>
        <v>3</v>
      </c>
      <c r="BA86" s="116"/>
      <c r="BB86" s="118"/>
      <c r="BC86" s="118">
        <f>IFERROR(AVERAGE('Book Review'!AY86,Debate!AY86,'Case study'!AY86,Capstone!AY86),"A")</f>
        <v>3.125</v>
      </c>
      <c r="BD86" s="118">
        <f>IFERROR(AVERAGE('Book Review'!AZ86,Debate!AZ86,'Case study'!AZ86),"A")</f>
        <v>2</v>
      </c>
    </row>
    <row r="87" spans="1:56" s="109" customFormat="1" ht="23.1" customHeight="1" x14ac:dyDescent="0.3">
      <c r="A87" s="115">
        <v>85</v>
      </c>
      <c r="B87" s="49" t="s">
        <v>134</v>
      </c>
      <c r="C87" s="49" t="s">
        <v>135</v>
      </c>
      <c r="D87" s="49" t="s">
        <v>450</v>
      </c>
      <c r="E87" s="49" t="s">
        <v>35</v>
      </c>
      <c r="F87" s="117">
        <f>'Book Review'!K87</f>
        <v>4</v>
      </c>
      <c r="G87" s="117">
        <f>'Book Review'!Q87</f>
        <v>4</v>
      </c>
      <c r="H87" s="117">
        <f>'Book Review'!W87</f>
        <v>4</v>
      </c>
      <c r="I87" s="117"/>
      <c r="J87" s="117"/>
      <c r="K87" s="117">
        <f>'Book Review'!AO87</f>
        <v>4</v>
      </c>
      <c r="L87" s="117">
        <f>'Book Review'!AU87</f>
        <v>4</v>
      </c>
      <c r="M87" s="116"/>
      <c r="N87" s="117">
        <f>Debate!K87</f>
        <v>4</v>
      </c>
      <c r="O87" s="117">
        <f>Debate!Q87</f>
        <v>4</v>
      </c>
      <c r="P87" s="117"/>
      <c r="Q87" s="117">
        <f>Debate!AC87</f>
        <v>4</v>
      </c>
      <c r="R87" s="117"/>
      <c r="S87" s="117">
        <f>Debate!AO87</f>
        <v>4</v>
      </c>
      <c r="T87" s="117">
        <f>Debate!AU87</f>
        <v>4</v>
      </c>
      <c r="U87" s="116"/>
      <c r="V87" s="49"/>
      <c r="W87" s="117">
        <f>GD!Q87</f>
        <v>4</v>
      </c>
      <c r="X87" s="117">
        <f>GD!W87</f>
        <v>4</v>
      </c>
      <c r="Y87" s="117"/>
      <c r="Z87" s="117"/>
      <c r="AA87" s="49"/>
      <c r="AB87" s="117"/>
      <c r="AC87" s="116"/>
      <c r="AD87" s="117">
        <f>'Case study'!K87</f>
        <v>4</v>
      </c>
      <c r="AE87" s="117">
        <f>'Case study'!Q87</f>
        <v>4</v>
      </c>
      <c r="AF87" s="117">
        <f>'Case study'!W87</f>
        <v>4</v>
      </c>
      <c r="AG87" s="117"/>
      <c r="AH87" s="117"/>
      <c r="AI87" s="117">
        <f>'Case study'!AO87</f>
        <v>4</v>
      </c>
      <c r="AJ87" s="117">
        <f>'Case study'!AU87</f>
        <v>3</v>
      </c>
      <c r="AK87" s="116"/>
      <c r="AL87" s="117">
        <f>Capstone!K87</f>
        <v>3</v>
      </c>
      <c r="AM87" s="117">
        <f>Capstone!Q88</f>
        <v>4</v>
      </c>
      <c r="AN87" s="117">
        <f>Capstone!W88</f>
        <v>3</v>
      </c>
      <c r="AO87" s="117"/>
      <c r="AP87" s="117"/>
      <c r="AQ87" s="117">
        <f>Capstone!AO88</f>
        <v>4</v>
      </c>
      <c r="AR87" s="117"/>
      <c r="AS87" s="116"/>
      <c r="AT87" s="117">
        <f>IFERROR(AVERAGE(Table110461117[[#This Row],[Column2]],Table110461117[[#This Row],[Column11]],Table110461117[[#This Row],[Column29]]),"0")</f>
        <v>4</v>
      </c>
      <c r="AU87" s="117">
        <f>IFERROR(AVERAGE(Table110461117[[#This Row],[Column3]],Table110461117[[#This Row],[Column12]],Table110461117[[#This Row],[Column21]],Table110461117[[#This Row],[Column30]]),"0")</f>
        <v>4</v>
      </c>
      <c r="AV87" s="117">
        <f>IFERROR(AVERAGE(Table110461117[[#This Row],[Column31]],Table110461117[[#This Row],[Column22]],Table110461117[[#This Row],[Column4]]),"0")</f>
        <v>4</v>
      </c>
      <c r="AW87" s="117">
        <f>IFERROR(AVERAGE(Table110461117[[#This Row],[Column14]]),"0")</f>
        <v>4</v>
      </c>
      <c r="AX87" s="117"/>
      <c r="AY87" s="117">
        <f>IFERROR(AVERAGE(Table110461117[[#This Row],[Column34]],Table110461117[[#This Row],[Column16]],Table110461117[[#This Row],[Column7]]),"0")</f>
        <v>4</v>
      </c>
      <c r="AZ87" s="117">
        <f>IFERROR(AVERAGE(Table110461117[[#This Row],[Column35]],Table110461117[[#This Row],[Column17]],Table110461117[[#This Row],[Column8]]),"0")</f>
        <v>3.6666666666666665</v>
      </c>
      <c r="BA87" s="116"/>
      <c r="BB87" s="117"/>
      <c r="BC87" s="117">
        <f>IFERROR(AVERAGE('Book Review'!AY87,Debate!AY87,'Case study'!AY87,Capstone!AY87),"A")</f>
        <v>3.375</v>
      </c>
      <c r="BD87" s="117">
        <f>IFERROR(AVERAGE('Book Review'!AZ87,Debate!AZ87,'Case study'!AZ87),"A")</f>
        <v>3.3333333333333335</v>
      </c>
    </row>
    <row r="88" spans="1:56" s="109" customFormat="1" ht="23.1" customHeight="1" x14ac:dyDescent="0.3">
      <c r="A88" s="6">
        <v>86</v>
      </c>
      <c r="B88" s="7" t="s">
        <v>215</v>
      </c>
      <c r="C88" s="7" t="s">
        <v>216</v>
      </c>
      <c r="D88" s="7" t="s">
        <v>450</v>
      </c>
      <c r="E88" s="7" t="s">
        <v>161</v>
      </c>
      <c r="F88" s="118">
        <f>'Book Review'!K88</f>
        <v>3.25</v>
      </c>
      <c r="G88" s="118">
        <f>'Book Review'!Q88</f>
        <v>3</v>
      </c>
      <c r="H88" s="118">
        <f>'Book Review'!W88</f>
        <v>3</v>
      </c>
      <c r="I88" s="118"/>
      <c r="J88" s="118"/>
      <c r="K88" s="118">
        <f>'Book Review'!AO88</f>
        <v>3.5</v>
      </c>
      <c r="L88" s="118">
        <f>'Book Review'!AU88</f>
        <v>4</v>
      </c>
      <c r="M88" s="116"/>
      <c r="N88" s="118">
        <f>Debate!K88</f>
        <v>2</v>
      </c>
      <c r="O88" s="118">
        <f>Debate!Q88</f>
        <v>2.1</v>
      </c>
      <c r="P88" s="118"/>
      <c r="Q88" s="118">
        <f>Debate!AC88</f>
        <v>2</v>
      </c>
      <c r="R88" s="118"/>
      <c r="S88" s="118">
        <f>Debate!AO88</f>
        <v>2.6666666666666665</v>
      </c>
      <c r="T88" s="118">
        <f>Debate!AU88</f>
        <v>3</v>
      </c>
      <c r="U88" s="116"/>
      <c r="V88" s="7"/>
      <c r="W88" s="118">
        <f>GD!Q88</f>
        <v>3</v>
      </c>
      <c r="X88" s="118">
        <f>GD!W88</f>
        <v>2</v>
      </c>
      <c r="Y88" s="118"/>
      <c r="Z88" s="118"/>
      <c r="AA88" s="7"/>
      <c r="AB88" s="118"/>
      <c r="AC88" s="116"/>
      <c r="AD88" s="118">
        <f>'Case study'!K88</f>
        <v>3.25</v>
      </c>
      <c r="AE88" s="118">
        <f>'Case study'!Q88</f>
        <v>3</v>
      </c>
      <c r="AF88" s="118">
        <f>'Case study'!W88</f>
        <v>3</v>
      </c>
      <c r="AG88" s="118"/>
      <c r="AH88" s="118"/>
      <c r="AI88" s="118">
        <f>'Case study'!AO88</f>
        <v>2.75</v>
      </c>
      <c r="AJ88" s="118">
        <f>'Case study'!AU88</f>
        <v>3</v>
      </c>
      <c r="AK88" s="116"/>
      <c r="AL88" s="118">
        <f>Capstone!K88</f>
        <v>3.3333333333333335</v>
      </c>
      <c r="AM88" s="118">
        <f>Capstone!Q89</f>
        <v>4</v>
      </c>
      <c r="AN88" s="118">
        <f>Capstone!W89</f>
        <v>4</v>
      </c>
      <c r="AO88" s="118"/>
      <c r="AP88" s="118"/>
      <c r="AQ88" s="118">
        <f>Capstone!AO89</f>
        <v>4</v>
      </c>
      <c r="AR88" s="118"/>
      <c r="AS88" s="116"/>
      <c r="AT88" s="118">
        <f>IFERROR(AVERAGE(Table110461117[[#This Row],[Column2]],Table110461117[[#This Row],[Column11]],Table110461117[[#This Row],[Column29]]),"0")</f>
        <v>2.8333333333333335</v>
      </c>
      <c r="AU88" s="118">
        <f>IFERROR(AVERAGE(Table110461117[[#This Row],[Column3]],Table110461117[[#This Row],[Column12]],Table110461117[[#This Row],[Column21]],Table110461117[[#This Row],[Column30]]),"0")</f>
        <v>2.7749999999999999</v>
      </c>
      <c r="AV88" s="118">
        <f>IFERROR(AVERAGE(Table110461117[[#This Row],[Column31]],Table110461117[[#This Row],[Column22]],Table110461117[[#This Row],[Column4]]),"0")</f>
        <v>2.6666666666666665</v>
      </c>
      <c r="AW88" s="118">
        <f>IFERROR(AVERAGE(Table110461117[[#This Row],[Column14]]),"0")</f>
        <v>2</v>
      </c>
      <c r="AX88" s="118"/>
      <c r="AY88" s="118">
        <f>IFERROR(AVERAGE(Table110461117[[#This Row],[Column34]],Table110461117[[#This Row],[Column16]],Table110461117[[#This Row],[Column7]]),"0")</f>
        <v>2.9722222222222219</v>
      </c>
      <c r="AZ88" s="118">
        <f>IFERROR(AVERAGE(Table110461117[[#This Row],[Column35]],Table110461117[[#This Row],[Column17]],Table110461117[[#This Row],[Column8]]),"0")</f>
        <v>3.3333333333333335</v>
      </c>
      <c r="BA88" s="116"/>
      <c r="BB88" s="118"/>
      <c r="BC88" s="118">
        <f>IFERROR(AVERAGE('Book Review'!AY88,Debate!AY88,'Case study'!AY88,Capstone!AY88),"A")</f>
        <v>3.5</v>
      </c>
      <c r="BD88" s="118">
        <f>IFERROR(AVERAGE('Book Review'!AZ88,Debate!AZ88,'Case study'!AZ88),"A")</f>
        <v>4</v>
      </c>
    </row>
    <row r="89" spans="1:56" s="109" customFormat="1" ht="23.1" customHeight="1" x14ac:dyDescent="0.3">
      <c r="A89" s="115">
        <v>87</v>
      </c>
      <c r="B89" s="49" t="s">
        <v>338</v>
      </c>
      <c r="C89" s="49" t="s">
        <v>339</v>
      </c>
      <c r="D89" s="49" t="s">
        <v>542</v>
      </c>
      <c r="E89" s="49" t="s">
        <v>493</v>
      </c>
      <c r="F89" s="117">
        <f>'Book Review'!K89</f>
        <v>3</v>
      </c>
      <c r="G89" s="117">
        <f>'Book Review'!Q89</f>
        <v>3.4</v>
      </c>
      <c r="H89" s="117">
        <f>'Book Review'!W89</f>
        <v>4</v>
      </c>
      <c r="I89" s="117"/>
      <c r="J89" s="117"/>
      <c r="K89" s="117">
        <f>'Book Review'!AO89</f>
        <v>4</v>
      </c>
      <c r="L89" s="117">
        <f>'Book Review'!AU89</f>
        <v>4</v>
      </c>
      <c r="M89" s="116"/>
      <c r="N89" s="117">
        <f>Debate!K89</f>
        <v>4</v>
      </c>
      <c r="O89" s="117">
        <f>Debate!Q89</f>
        <v>3.3</v>
      </c>
      <c r="P89" s="117"/>
      <c r="Q89" s="117">
        <f>Debate!AC89</f>
        <v>4</v>
      </c>
      <c r="R89" s="117"/>
      <c r="S89" s="117">
        <f>Debate!AO89</f>
        <v>3.3333333333333335</v>
      </c>
      <c r="T89" s="117">
        <f>Debate!AU89</f>
        <v>4</v>
      </c>
      <c r="U89" s="116"/>
      <c r="V89" s="49"/>
      <c r="W89" s="117">
        <f>GD!Q89</f>
        <v>3.25</v>
      </c>
      <c r="X89" s="117">
        <f>GD!W89</f>
        <v>3</v>
      </c>
      <c r="Y89" s="117"/>
      <c r="Z89" s="117"/>
      <c r="AA89" s="49"/>
      <c r="AB89" s="117"/>
      <c r="AC89" s="116"/>
      <c r="AD89" s="117">
        <f>'Case study'!K89</f>
        <v>3</v>
      </c>
      <c r="AE89" s="117">
        <f>'Case study'!Q89</f>
        <v>3.4</v>
      </c>
      <c r="AF89" s="117">
        <f>'Case study'!W89</f>
        <v>4</v>
      </c>
      <c r="AG89" s="117"/>
      <c r="AH89" s="117"/>
      <c r="AI89" s="117">
        <f>'Case study'!AO89</f>
        <v>4</v>
      </c>
      <c r="AJ89" s="117">
        <f>'Case study'!AU89</f>
        <v>2</v>
      </c>
      <c r="AK89" s="116"/>
      <c r="AL89" s="117">
        <f>Capstone!K89</f>
        <v>4</v>
      </c>
      <c r="AM89" s="117">
        <f>Capstone!Q90</f>
        <v>5</v>
      </c>
      <c r="AN89" s="117">
        <f>Capstone!W90</f>
        <v>3</v>
      </c>
      <c r="AO89" s="117"/>
      <c r="AP89" s="117"/>
      <c r="AQ89" s="117">
        <f>Capstone!AO90</f>
        <v>5</v>
      </c>
      <c r="AR89" s="117"/>
      <c r="AS89" s="116"/>
      <c r="AT89" s="117">
        <f>IFERROR(AVERAGE(Table110461117[[#This Row],[Column2]],Table110461117[[#This Row],[Column11]],Table110461117[[#This Row],[Column29]]),"0")</f>
        <v>3.3333333333333335</v>
      </c>
      <c r="AU89" s="117">
        <f>IFERROR(AVERAGE(Table110461117[[#This Row],[Column3]],Table110461117[[#This Row],[Column12]],Table110461117[[#This Row],[Column21]],Table110461117[[#This Row],[Column30]]),"0")</f>
        <v>3.3374999999999999</v>
      </c>
      <c r="AV89" s="117">
        <f>IFERROR(AVERAGE(Table110461117[[#This Row],[Column31]],Table110461117[[#This Row],[Column22]],Table110461117[[#This Row],[Column4]]),"0")</f>
        <v>3.6666666666666665</v>
      </c>
      <c r="AW89" s="117">
        <f>IFERROR(AVERAGE(Table110461117[[#This Row],[Column14]]),"0")</f>
        <v>4</v>
      </c>
      <c r="AX89" s="117"/>
      <c r="AY89" s="117">
        <f>IFERROR(AVERAGE(Table110461117[[#This Row],[Column34]],Table110461117[[#This Row],[Column16]],Table110461117[[#This Row],[Column7]]),"0")</f>
        <v>3.7777777777777781</v>
      </c>
      <c r="AZ89" s="117">
        <f>IFERROR(AVERAGE(Table110461117[[#This Row],[Column35]],Table110461117[[#This Row],[Column17]],Table110461117[[#This Row],[Column8]]),"0")</f>
        <v>3.3333333333333335</v>
      </c>
      <c r="BA89" s="116"/>
      <c r="BB89" s="117"/>
      <c r="BC89" s="117">
        <f>IFERROR(AVERAGE('Book Review'!AY89,Debate!AY89,'Case study'!AY89,Capstone!AY89),"A")</f>
        <v>3.25</v>
      </c>
      <c r="BD89" s="117">
        <f>IFERROR(AVERAGE('Book Review'!AZ89,Debate!AZ89,'Case study'!AZ89),"A")</f>
        <v>2.6666666666666665</v>
      </c>
    </row>
    <row r="90" spans="1:56" s="109" customFormat="1" ht="23.1" customHeight="1" x14ac:dyDescent="0.3">
      <c r="A90" s="6">
        <v>88</v>
      </c>
      <c r="B90" s="7" t="s">
        <v>136</v>
      </c>
      <c r="C90" s="7" t="s">
        <v>137</v>
      </c>
      <c r="D90" s="7" t="s">
        <v>542</v>
      </c>
      <c r="E90" s="7" t="s">
        <v>35</v>
      </c>
      <c r="F90" s="118">
        <f>'Book Review'!K90</f>
        <v>3</v>
      </c>
      <c r="G90" s="118">
        <f>'Book Review'!Q90</f>
        <v>3.6</v>
      </c>
      <c r="H90" s="118">
        <f>'Book Review'!W90</f>
        <v>3</v>
      </c>
      <c r="I90" s="118"/>
      <c r="J90" s="118"/>
      <c r="K90" s="118">
        <f>'Book Review'!AO90</f>
        <v>3</v>
      </c>
      <c r="L90" s="118">
        <f>'Book Review'!AU90</f>
        <v>3</v>
      </c>
      <c r="M90" s="116"/>
      <c r="N90" s="118">
        <f>Debate!K90</f>
        <v>3</v>
      </c>
      <c r="O90" s="118">
        <f>Debate!Q90</f>
        <v>3.1</v>
      </c>
      <c r="P90" s="118"/>
      <c r="Q90" s="118">
        <f>Debate!AC90</f>
        <v>4</v>
      </c>
      <c r="R90" s="118"/>
      <c r="S90" s="118">
        <f>Debate!AO90</f>
        <v>3.6666666666666665</v>
      </c>
      <c r="T90" s="118">
        <f>Debate!AU90</f>
        <v>3</v>
      </c>
      <c r="U90" s="116"/>
      <c r="V90" s="7"/>
      <c r="W90" s="118">
        <f>GD!Q90</f>
        <v>3.5</v>
      </c>
      <c r="X90" s="118">
        <f>GD!W90</f>
        <v>3</v>
      </c>
      <c r="Y90" s="118"/>
      <c r="Z90" s="118"/>
      <c r="AA90" s="7"/>
      <c r="AB90" s="118"/>
      <c r="AC90" s="116"/>
      <c r="AD90" s="118">
        <f>'Case study'!K90</f>
        <v>3</v>
      </c>
      <c r="AE90" s="118">
        <f>'Case study'!Q90</f>
        <v>3.6</v>
      </c>
      <c r="AF90" s="118">
        <f>'Case study'!W90</f>
        <v>3</v>
      </c>
      <c r="AG90" s="118"/>
      <c r="AH90" s="118"/>
      <c r="AI90" s="118">
        <f>'Case study'!AO90</f>
        <v>3.25</v>
      </c>
      <c r="AJ90" s="118">
        <f>'Case study'!AU90</f>
        <v>3</v>
      </c>
      <c r="AK90" s="116"/>
      <c r="AL90" s="118">
        <f>Capstone!K90</f>
        <v>4.666666666666667</v>
      </c>
      <c r="AM90" s="118">
        <f>Capstone!Q91</f>
        <v>3.5</v>
      </c>
      <c r="AN90" s="118">
        <f>Capstone!W91</f>
        <v>4</v>
      </c>
      <c r="AO90" s="118"/>
      <c r="AP90" s="118"/>
      <c r="AQ90" s="118">
        <f>Capstone!AO91</f>
        <v>3.5</v>
      </c>
      <c r="AR90" s="118"/>
      <c r="AS90" s="116"/>
      <c r="AT90" s="118">
        <f>IFERROR(AVERAGE(Table110461117[[#This Row],[Column2]],Table110461117[[#This Row],[Column11]],Table110461117[[#This Row],[Column29]]),"0")</f>
        <v>3</v>
      </c>
      <c r="AU90" s="118">
        <f>IFERROR(AVERAGE(Table110461117[[#This Row],[Column3]],Table110461117[[#This Row],[Column12]],Table110461117[[#This Row],[Column21]],Table110461117[[#This Row],[Column30]]),"0")</f>
        <v>3.4499999999999997</v>
      </c>
      <c r="AV90" s="118">
        <f>IFERROR(AVERAGE(Table110461117[[#This Row],[Column31]],Table110461117[[#This Row],[Column22]],Table110461117[[#This Row],[Column4]]),"0")</f>
        <v>3</v>
      </c>
      <c r="AW90" s="118">
        <f>IFERROR(AVERAGE(Table110461117[[#This Row],[Column14]]),"0")</f>
        <v>4</v>
      </c>
      <c r="AX90" s="118"/>
      <c r="AY90" s="118">
        <f>IFERROR(AVERAGE(Table110461117[[#This Row],[Column34]],Table110461117[[#This Row],[Column16]],Table110461117[[#This Row],[Column7]]),"0")</f>
        <v>3.3055555555555554</v>
      </c>
      <c r="AZ90" s="118">
        <f>IFERROR(AVERAGE(Table110461117[[#This Row],[Column35]],Table110461117[[#This Row],[Column17]],Table110461117[[#This Row],[Column8]]),"0")</f>
        <v>3</v>
      </c>
      <c r="BA90" s="116"/>
      <c r="BB90" s="118"/>
      <c r="BC90" s="118">
        <f>IFERROR(AVERAGE('Book Review'!AY90,Debate!AY90,'Case study'!AY90,Capstone!AY90),"A")</f>
        <v>4</v>
      </c>
      <c r="BD90" s="118">
        <f>IFERROR(AVERAGE('Book Review'!AZ90,Debate!AZ90,'Case study'!AZ90),"A")</f>
        <v>3.3333333333333335</v>
      </c>
    </row>
    <row r="91" spans="1:56" s="109" customFormat="1" ht="23.1" customHeight="1" x14ac:dyDescent="0.3">
      <c r="A91" s="115">
        <v>89</v>
      </c>
      <c r="B91" s="49" t="s">
        <v>62</v>
      </c>
      <c r="C91" s="49" t="s">
        <v>63</v>
      </c>
      <c r="D91" s="49" t="s">
        <v>542</v>
      </c>
      <c r="E91" s="49" t="s">
        <v>35</v>
      </c>
      <c r="F91" s="117">
        <f>'Book Review'!K91</f>
        <v>4</v>
      </c>
      <c r="G91" s="117">
        <f>'Book Review'!Q91</f>
        <v>4</v>
      </c>
      <c r="H91" s="117">
        <f>'Book Review'!W91</f>
        <v>4</v>
      </c>
      <c r="I91" s="117"/>
      <c r="J91" s="117"/>
      <c r="K91" s="117">
        <f>'Book Review'!AO91</f>
        <v>4</v>
      </c>
      <c r="L91" s="117">
        <f>'Book Review'!AU91</f>
        <v>3</v>
      </c>
      <c r="M91" s="116"/>
      <c r="N91" s="117">
        <f>Debate!K91</f>
        <v>4</v>
      </c>
      <c r="O91" s="117">
        <f>Debate!Q91</f>
        <v>4</v>
      </c>
      <c r="P91" s="117"/>
      <c r="Q91" s="117">
        <f>Debate!AC91</f>
        <v>4</v>
      </c>
      <c r="R91" s="117"/>
      <c r="S91" s="117">
        <f>Debate!AO91</f>
        <v>4</v>
      </c>
      <c r="T91" s="117">
        <f>Debate!AU91</f>
        <v>4</v>
      </c>
      <c r="U91" s="116"/>
      <c r="V91" s="49"/>
      <c r="W91" s="117">
        <f>GD!Q91</f>
        <v>4</v>
      </c>
      <c r="X91" s="117">
        <f>GD!W91</f>
        <v>4</v>
      </c>
      <c r="Y91" s="117"/>
      <c r="Z91" s="117"/>
      <c r="AA91" s="49"/>
      <c r="AB91" s="117"/>
      <c r="AC91" s="116"/>
      <c r="AD91" s="117">
        <f>'Case study'!K91</f>
        <v>4</v>
      </c>
      <c r="AE91" s="117">
        <f>'Case study'!Q91</f>
        <v>4</v>
      </c>
      <c r="AF91" s="117">
        <f>'Case study'!W91</f>
        <v>4</v>
      </c>
      <c r="AG91" s="117"/>
      <c r="AH91" s="117"/>
      <c r="AI91" s="117">
        <f>'Case study'!AO91</f>
        <v>3.75</v>
      </c>
      <c r="AJ91" s="117">
        <f>'Case study'!AU91</f>
        <v>3</v>
      </c>
      <c r="AK91" s="116"/>
      <c r="AL91" s="117">
        <f>Capstone!K91</f>
        <v>3.6666666666666665</v>
      </c>
      <c r="AM91" s="117">
        <f>Capstone!Q92</f>
        <v>4</v>
      </c>
      <c r="AN91" s="117">
        <f>Capstone!W92</f>
        <v>2</v>
      </c>
      <c r="AO91" s="117"/>
      <c r="AP91" s="117"/>
      <c r="AQ91" s="117">
        <f>Capstone!AO92</f>
        <v>3.5</v>
      </c>
      <c r="AR91" s="117"/>
      <c r="AS91" s="116"/>
      <c r="AT91" s="117">
        <f>IFERROR(AVERAGE(Table110461117[[#This Row],[Column2]],Table110461117[[#This Row],[Column11]],Table110461117[[#This Row],[Column29]]),"0")</f>
        <v>4</v>
      </c>
      <c r="AU91" s="117">
        <f>IFERROR(AVERAGE(Table110461117[[#This Row],[Column3]],Table110461117[[#This Row],[Column12]],Table110461117[[#This Row],[Column21]],Table110461117[[#This Row],[Column30]]),"0")</f>
        <v>4</v>
      </c>
      <c r="AV91" s="117">
        <f>IFERROR(AVERAGE(Table110461117[[#This Row],[Column31]],Table110461117[[#This Row],[Column22]],Table110461117[[#This Row],[Column4]]),"0")</f>
        <v>4</v>
      </c>
      <c r="AW91" s="117">
        <f>IFERROR(AVERAGE(Table110461117[[#This Row],[Column14]]),"0")</f>
        <v>4</v>
      </c>
      <c r="AX91" s="117"/>
      <c r="AY91" s="117">
        <f>IFERROR(AVERAGE(Table110461117[[#This Row],[Column34]],Table110461117[[#This Row],[Column16]],Table110461117[[#This Row],[Column7]]),"0")</f>
        <v>3.9166666666666665</v>
      </c>
      <c r="AZ91" s="117">
        <f>IFERROR(AVERAGE(Table110461117[[#This Row],[Column35]],Table110461117[[#This Row],[Column17]],Table110461117[[#This Row],[Column8]]),"0")</f>
        <v>3.3333333333333335</v>
      </c>
      <c r="BA91" s="116"/>
      <c r="BB91" s="117"/>
      <c r="BC91" s="117">
        <f>IFERROR(AVERAGE('Book Review'!AY91,Debate!AY91,'Case study'!AY91,Capstone!AY91),"A")</f>
        <v>3.25</v>
      </c>
      <c r="BD91" s="117">
        <f>IFERROR(AVERAGE('Book Review'!AZ91,Debate!AZ91,'Case study'!AZ91),"A")</f>
        <v>3.3333333333333335</v>
      </c>
    </row>
    <row r="92" spans="1:56" s="109" customFormat="1" ht="23.1" customHeight="1" x14ac:dyDescent="0.3">
      <c r="A92" s="6">
        <v>90</v>
      </c>
      <c r="B92" s="7" t="s">
        <v>38</v>
      </c>
      <c r="C92" s="7" t="s">
        <v>39</v>
      </c>
      <c r="D92" s="7" t="s">
        <v>544</v>
      </c>
      <c r="E92" s="7" t="s">
        <v>35</v>
      </c>
      <c r="F92" s="118">
        <f>'Book Review'!K92</f>
        <v>3.25</v>
      </c>
      <c r="G92" s="118">
        <f>'Book Review'!Q92</f>
        <v>3.6</v>
      </c>
      <c r="H92" s="118">
        <f>'Book Review'!W92</f>
        <v>3</v>
      </c>
      <c r="I92" s="118"/>
      <c r="J92" s="118"/>
      <c r="K92" s="118">
        <f>'Book Review'!AO92</f>
        <v>2.5</v>
      </c>
      <c r="L92" s="118">
        <f>'Book Review'!AU92</f>
        <v>4</v>
      </c>
      <c r="M92" s="116"/>
      <c r="N92" s="118">
        <f>Debate!K92</f>
        <v>3</v>
      </c>
      <c r="O92" s="118">
        <f>Debate!Q92</f>
        <v>3.1</v>
      </c>
      <c r="P92" s="118"/>
      <c r="Q92" s="118">
        <f>Debate!AC92</f>
        <v>3</v>
      </c>
      <c r="R92" s="118"/>
      <c r="S92" s="118">
        <f>Debate!AO92</f>
        <v>2.3333333333333335</v>
      </c>
      <c r="T92" s="118">
        <f>Debate!AU92</f>
        <v>3</v>
      </c>
      <c r="U92" s="116"/>
      <c r="V92" s="7"/>
      <c r="W92" s="118">
        <f>GD!Q92</f>
        <v>1.5</v>
      </c>
      <c r="X92" s="118">
        <f>GD!W92</f>
        <v>1</v>
      </c>
      <c r="Y92" s="118"/>
      <c r="Z92" s="118"/>
      <c r="AA92" s="7"/>
      <c r="AB92" s="118"/>
      <c r="AC92" s="116"/>
      <c r="AD92" s="118">
        <f>'Case study'!K92</f>
        <v>2.75</v>
      </c>
      <c r="AE92" s="118">
        <f>'Case study'!Q92</f>
        <v>3.2</v>
      </c>
      <c r="AF92" s="118">
        <f>'Case study'!W92</f>
        <v>2</v>
      </c>
      <c r="AG92" s="118"/>
      <c r="AH92" s="118"/>
      <c r="AI92" s="118">
        <f>'Case study'!AO92</f>
        <v>3</v>
      </c>
      <c r="AJ92" s="118">
        <f>'Case study'!AU92</f>
        <v>3</v>
      </c>
      <c r="AK92" s="116"/>
      <c r="AL92" s="118">
        <f>Capstone!K92</f>
        <v>3</v>
      </c>
      <c r="AM92" s="118">
        <f>Capstone!Q93</f>
        <v>2.5</v>
      </c>
      <c r="AN92" s="118">
        <f>Capstone!W93</f>
        <v>1</v>
      </c>
      <c r="AO92" s="118"/>
      <c r="AP92" s="118"/>
      <c r="AQ92" s="118">
        <f>Capstone!AO93</f>
        <v>1.75</v>
      </c>
      <c r="AR92" s="118"/>
      <c r="AS92" s="116"/>
      <c r="AT92" s="118">
        <f>IFERROR(AVERAGE(Table110461117[[#This Row],[Column2]],Table110461117[[#This Row],[Column11]],Table110461117[[#This Row],[Column29]]),"0")</f>
        <v>3</v>
      </c>
      <c r="AU92" s="118">
        <f>IFERROR(AVERAGE(Table110461117[[#This Row],[Column3]],Table110461117[[#This Row],[Column12]],Table110461117[[#This Row],[Column21]],Table110461117[[#This Row],[Column30]]),"0")</f>
        <v>2.8499999999999996</v>
      </c>
      <c r="AV92" s="118">
        <f>IFERROR(AVERAGE(Table110461117[[#This Row],[Column31]],Table110461117[[#This Row],[Column22]],Table110461117[[#This Row],[Column4]]),"0")</f>
        <v>2</v>
      </c>
      <c r="AW92" s="118">
        <f>IFERROR(AVERAGE(Table110461117[[#This Row],[Column14]]),"0")</f>
        <v>3</v>
      </c>
      <c r="AX92" s="118"/>
      <c r="AY92" s="118">
        <f>IFERROR(AVERAGE(Table110461117[[#This Row],[Column34]],Table110461117[[#This Row],[Column16]],Table110461117[[#This Row],[Column7]]),"0")</f>
        <v>2.6111111111111112</v>
      </c>
      <c r="AZ92" s="118">
        <f>IFERROR(AVERAGE(Table110461117[[#This Row],[Column35]],Table110461117[[#This Row],[Column17]],Table110461117[[#This Row],[Column8]]),"0")</f>
        <v>3.3333333333333335</v>
      </c>
      <c r="BA92" s="116"/>
      <c r="BB92" s="118"/>
      <c r="BC92" s="118">
        <f>IFERROR(AVERAGE('Book Review'!AY92,Debate!AY92,'Case study'!AY92,Capstone!AY92),"A")</f>
        <v>3.75</v>
      </c>
      <c r="BD92" s="118">
        <f>IFERROR(AVERAGE('Book Review'!AZ92,Debate!AZ92,'Case study'!AZ92),"A")</f>
        <v>3.3333333333333335</v>
      </c>
    </row>
    <row r="93" spans="1:56" s="109" customFormat="1" ht="23.1" customHeight="1" x14ac:dyDescent="0.3">
      <c r="A93" s="115">
        <v>91</v>
      </c>
      <c r="B93" s="49" t="s">
        <v>138</v>
      </c>
      <c r="C93" s="49" t="s">
        <v>139</v>
      </c>
      <c r="D93" s="49" t="s">
        <v>450</v>
      </c>
      <c r="E93" s="49" t="s">
        <v>35</v>
      </c>
      <c r="F93" s="117">
        <f>'Book Review'!K93</f>
        <v>1</v>
      </c>
      <c r="G93" s="117">
        <f>'Book Review'!Q93</f>
        <v>1.6</v>
      </c>
      <c r="H93" s="117">
        <f>'Book Review'!W93</f>
        <v>1</v>
      </c>
      <c r="I93" s="117"/>
      <c r="J93" s="117"/>
      <c r="K93" s="117">
        <f>'Book Review'!AO93</f>
        <v>1</v>
      </c>
      <c r="L93" s="117">
        <f>'Book Review'!AU93</f>
        <v>1</v>
      </c>
      <c r="M93" s="116"/>
      <c r="N93" s="117">
        <f>Debate!K93</f>
        <v>2</v>
      </c>
      <c r="O93" s="117">
        <f>Debate!Q93</f>
        <v>1.8</v>
      </c>
      <c r="P93" s="117"/>
      <c r="Q93" s="117">
        <f>Debate!AC93</f>
        <v>1</v>
      </c>
      <c r="R93" s="117"/>
      <c r="S93" s="117">
        <f>Debate!AO93</f>
        <v>1</v>
      </c>
      <c r="T93" s="117">
        <f>Debate!AU93</f>
        <v>3</v>
      </c>
      <c r="U93" s="116"/>
      <c r="V93" s="49"/>
      <c r="W93" s="117">
        <f>GD!Q93</f>
        <v>0.5</v>
      </c>
      <c r="X93" s="117">
        <f>GD!W93</f>
        <v>0</v>
      </c>
      <c r="Y93" s="117"/>
      <c r="Z93" s="117"/>
      <c r="AA93" s="49"/>
      <c r="AB93" s="117"/>
      <c r="AC93" s="116"/>
      <c r="AD93" s="117">
        <f>'Case study'!K93</f>
        <v>1</v>
      </c>
      <c r="AE93" s="117">
        <f>'Case study'!Q93</f>
        <v>2.6</v>
      </c>
      <c r="AF93" s="117">
        <f>'Case study'!W93</f>
        <v>1</v>
      </c>
      <c r="AG93" s="117"/>
      <c r="AH93" s="117"/>
      <c r="AI93" s="117">
        <f>'Case study'!AO93</f>
        <v>1.5</v>
      </c>
      <c r="AJ93" s="117">
        <f>'Case study'!AU93</f>
        <v>3</v>
      </c>
      <c r="AK93" s="116"/>
      <c r="AL93" s="117">
        <f>Capstone!K93</f>
        <v>1.6666666666666667</v>
      </c>
      <c r="AM93" s="117">
        <f>Capstone!Q94</f>
        <v>2.5</v>
      </c>
      <c r="AN93" s="117">
        <f>Capstone!W94</f>
        <v>3</v>
      </c>
      <c r="AO93" s="117"/>
      <c r="AP93" s="117"/>
      <c r="AQ93" s="117">
        <f>Capstone!AO94</f>
        <v>2.25</v>
      </c>
      <c r="AR93" s="117"/>
      <c r="AS93" s="116"/>
      <c r="AT93" s="117">
        <f>IFERROR(AVERAGE(Table110461117[[#This Row],[Column2]],Table110461117[[#This Row],[Column11]],Table110461117[[#This Row],[Column29]]),"0")</f>
        <v>1.3333333333333333</v>
      </c>
      <c r="AU93" s="117">
        <f>IFERROR(AVERAGE(Table110461117[[#This Row],[Column3]],Table110461117[[#This Row],[Column12]],Table110461117[[#This Row],[Column21]],Table110461117[[#This Row],[Column30]]),"0")</f>
        <v>1.625</v>
      </c>
      <c r="AV93" s="117">
        <f>IFERROR(AVERAGE(Table110461117[[#This Row],[Column31]],Table110461117[[#This Row],[Column22]],Table110461117[[#This Row],[Column4]]),"0")</f>
        <v>0.66666666666666663</v>
      </c>
      <c r="AW93" s="117">
        <f>IFERROR(AVERAGE(Table110461117[[#This Row],[Column14]]),"0")</f>
        <v>1</v>
      </c>
      <c r="AX93" s="117"/>
      <c r="AY93" s="117">
        <f>IFERROR(AVERAGE(Table110461117[[#This Row],[Column34]],Table110461117[[#This Row],[Column16]],Table110461117[[#This Row],[Column7]]),"0")</f>
        <v>1.1666666666666667</v>
      </c>
      <c r="AZ93" s="117">
        <f>IFERROR(AVERAGE(Table110461117[[#This Row],[Column35]],Table110461117[[#This Row],[Column17]],Table110461117[[#This Row],[Column8]]),"0")</f>
        <v>2.3333333333333335</v>
      </c>
      <c r="BA93" s="116"/>
      <c r="BB93" s="117"/>
      <c r="BC93" s="117">
        <f>IFERROR(AVERAGE('Book Review'!AY93,Debate!AY93,'Case study'!AY93,Capstone!AY93),"A")</f>
        <v>1.25</v>
      </c>
      <c r="BD93" s="117">
        <f>IFERROR(AVERAGE('Book Review'!AZ93,Debate!AZ93,'Case study'!AZ93),"A")</f>
        <v>1.3333333333333333</v>
      </c>
    </row>
    <row r="94" spans="1:56" s="109" customFormat="1" ht="23.1" customHeight="1" x14ac:dyDescent="0.3">
      <c r="A94" s="6">
        <v>92</v>
      </c>
      <c r="B94" s="7" t="s">
        <v>231</v>
      </c>
      <c r="C94" s="7" t="s">
        <v>232</v>
      </c>
      <c r="D94" s="7" t="s">
        <v>450</v>
      </c>
      <c r="E94" s="7" t="s">
        <v>161</v>
      </c>
      <c r="F94" s="118">
        <f>'Book Review'!K94</f>
        <v>3.5</v>
      </c>
      <c r="G94" s="118">
        <f>'Book Review'!Q94</f>
        <v>3</v>
      </c>
      <c r="H94" s="118">
        <f>'Book Review'!W94</f>
        <v>4</v>
      </c>
      <c r="I94" s="118"/>
      <c r="J94" s="118"/>
      <c r="K94" s="118">
        <f>'Book Review'!AO94</f>
        <v>3.5</v>
      </c>
      <c r="L94" s="118">
        <f>'Book Review'!AU94</f>
        <v>4</v>
      </c>
      <c r="M94" s="116"/>
      <c r="N94" s="118">
        <f>Debate!K94</f>
        <v>3</v>
      </c>
      <c r="O94" s="118">
        <f>Debate!Q94</f>
        <v>2.5</v>
      </c>
      <c r="P94" s="118"/>
      <c r="Q94" s="118">
        <f>Debate!AC94</f>
        <v>3</v>
      </c>
      <c r="R94" s="118"/>
      <c r="S94" s="118">
        <f>Debate!AO94</f>
        <v>3</v>
      </c>
      <c r="T94" s="118">
        <f>Debate!AU94</f>
        <v>3</v>
      </c>
      <c r="U94" s="116"/>
      <c r="V94" s="7"/>
      <c r="W94" s="118">
        <f>GD!Q94</f>
        <v>3.25</v>
      </c>
      <c r="X94" s="118">
        <f>GD!W94</f>
        <v>2</v>
      </c>
      <c r="Y94" s="118"/>
      <c r="Z94" s="118"/>
      <c r="AA94" s="7"/>
      <c r="AB94" s="118"/>
      <c r="AC94" s="116"/>
      <c r="AD94" s="118">
        <f>'Case study'!K94</f>
        <v>3.5</v>
      </c>
      <c r="AE94" s="118">
        <f>'Case study'!Q94</f>
        <v>2.8</v>
      </c>
      <c r="AF94" s="118">
        <f>'Case study'!W94</f>
        <v>3</v>
      </c>
      <c r="AG94" s="118"/>
      <c r="AH94" s="118"/>
      <c r="AI94" s="118">
        <f>'Case study'!AO94</f>
        <v>3.5</v>
      </c>
      <c r="AJ94" s="118">
        <f>'Case study'!AU94</f>
        <v>3</v>
      </c>
      <c r="AK94" s="116"/>
      <c r="AL94" s="118">
        <f>Capstone!K94</f>
        <v>2.3333333333333335</v>
      </c>
      <c r="AM94" s="118">
        <f>Capstone!Q95</f>
        <v>4</v>
      </c>
      <c r="AN94" s="118">
        <f>Capstone!W95</f>
        <v>2</v>
      </c>
      <c r="AO94" s="118"/>
      <c r="AP94" s="118"/>
      <c r="AQ94" s="118">
        <f>Capstone!AO95</f>
        <v>2.75</v>
      </c>
      <c r="AR94" s="118"/>
      <c r="AS94" s="116"/>
      <c r="AT94" s="118">
        <f>IFERROR(AVERAGE(Table110461117[[#This Row],[Column2]],Table110461117[[#This Row],[Column11]],Table110461117[[#This Row],[Column29]]),"0")</f>
        <v>3.3333333333333335</v>
      </c>
      <c r="AU94" s="118">
        <f>IFERROR(AVERAGE(Table110461117[[#This Row],[Column3]],Table110461117[[#This Row],[Column12]],Table110461117[[#This Row],[Column21]],Table110461117[[#This Row],[Column30]]),"0")</f>
        <v>2.8875000000000002</v>
      </c>
      <c r="AV94" s="118">
        <f>IFERROR(AVERAGE(Table110461117[[#This Row],[Column31]],Table110461117[[#This Row],[Column22]],Table110461117[[#This Row],[Column4]]),"0")</f>
        <v>3</v>
      </c>
      <c r="AW94" s="118">
        <f>IFERROR(AVERAGE(Table110461117[[#This Row],[Column14]]),"0")</f>
        <v>3</v>
      </c>
      <c r="AX94" s="118"/>
      <c r="AY94" s="118">
        <f>IFERROR(AVERAGE(Table110461117[[#This Row],[Column34]],Table110461117[[#This Row],[Column16]],Table110461117[[#This Row],[Column7]]),"0")</f>
        <v>3.3333333333333335</v>
      </c>
      <c r="AZ94" s="118">
        <f>IFERROR(AVERAGE(Table110461117[[#This Row],[Column35]],Table110461117[[#This Row],[Column17]],Table110461117[[#This Row],[Column8]]),"0")</f>
        <v>3.3333333333333335</v>
      </c>
      <c r="BA94" s="116"/>
      <c r="BB94" s="118"/>
      <c r="BC94" s="118">
        <f>IFERROR(AVERAGE('Book Review'!AY94,Debate!AY94,'Case study'!AY94,Capstone!AY94),"A")</f>
        <v>3.25</v>
      </c>
      <c r="BD94" s="118">
        <f>IFERROR(AVERAGE('Book Review'!AZ94,Debate!AZ94,'Case study'!AZ94),"A")</f>
        <v>3.6666666666666665</v>
      </c>
    </row>
    <row r="95" spans="1:56" s="109" customFormat="1" ht="23.1" customHeight="1" x14ac:dyDescent="0.3">
      <c r="A95" s="115">
        <v>93</v>
      </c>
      <c r="B95" s="49" t="s">
        <v>340</v>
      </c>
      <c r="C95" s="49" t="s">
        <v>341</v>
      </c>
      <c r="D95" s="49" t="s">
        <v>542</v>
      </c>
      <c r="E95" s="49" t="s">
        <v>493</v>
      </c>
      <c r="F95" s="117">
        <f>'Book Review'!K95</f>
        <v>2.25</v>
      </c>
      <c r="G95" s="117">
        <f>'Book Review'!Q95</f>
        <v>2</v>
      </c>
      <c r="H95" s="117">
        <f>'Book Review'!W95</f>
        <v>2</v>
      </c>
      <c r="I95" s="117"/>
      <c r="J95" s="117"/>
      <c r="K95" s="117">
        <f>'Book Review'!AO95</f>
        <v>2.5</v>
      </c>
      <c r="L95" s="117">
        <f>'Book Review'!AU95</f>
        <v>2</v>
      </c>
      <c r="M95" s="116"/>
      <c r="N95" s="117">
        <f>Debate!K95</f>
        <v>2</v>
      </c>
      <c r="O95" s="117">
        <f>Debate!Q95</f>
        <v>2.2000000000000002</v>
      </c>
      <c r="P95" s="117"/>
      <c r="Q95" s="117">
        <f>Debate!AC95</f>
        <v>2</v>
      </c>
      <c r="R95" s="117"/>
      <c r="S95" s="117">
        <f>Debate!AO95</f>
        <v>2</v>
      </c>
      <c r="T95" s="117">
        <f>Debate!AU95</f>
        <v>3</v>
      </c>
      <c r="U95" s="116"/>
      <c r="V95" s="49"/>
      <c r="W95" s="117">
        <f>GD!Q95</f>
        <v>2.25</v>
      </c>
      <c r="X95" s="117">
        <f>GD!W95</f>
        <v>2</v>
      </c>
      <c r="Y95" s="117"/>
      <c r="Z95" s="117"/>
      <c r="AA95" s="49"/>
      <c r="AB95" s="117"/>
      <c r="AC95" s="116"/>
      <c r="AD95" s="117">
        <f>'Case study'!K95</f>
        <v>2.25</v>
      </c>
      <c r="AE95" s="117">
        <f>'Case study'!Q95</f>
        <v>2</v>
      </c>
      <c r="AF95" s="117">
        <f>'Case study'!W95</f>
        <v>2</v>
      </c>
      <c r="AG95" s="117"/>
      <c r="AH95" s="117"/>
      <c r="AI95" s="117">
        <f>'Case study'!AO95</f>
        <v>2.25</v>
      </c>
      <c r="AJ95" s="117">
        <f>'Case study'!AU95</f>
        <v>3</v>
      </c>
      <c r="AK95" s="116"/>
      <c r="AL95" s="117">
        <f>Capstone!K95</f>
        <v>3</v>
      </c>
      <c r="AM95" s="117">
        <f>Capstone!Q96</f>
        <v>1.5</v>
      </c>
      <c r="AN95" s="117">
        <f>Capstone!W96</f>
        <v>2</v>
      </c>
      <c r="AO95" s="117"/>
      <c r="AP95" s="117"/>
      <c r="AQ95" s="117">
        <f>Capstone!AO96</f>
        <v>1.5</v>
      </c>
      <c r="AR95" s="117"/>
      <c r="AS95" s="116"/>
      <c r="AT95" s="117">
        <f>IFERROR(AVERAGE(Table110461117[[#This Row],[Column2]],Table110461117[[#This Row],[Column11]],Table110461117[[#This Row],[Column29]]),"0")</f>
        <v>2.1666666666666665</v>
      </c>
      <c r="AU95" s="117">
        <f>IFERROR(AVERAGE(Table110461117[[#This Row],[Column3]],Table110461117[[#This Row],[Column12]],Table110461117[[#This Row],[Column21]],Table110461117[[#This Row],[Column30]]),"0")</f>
        <v>2.1124999999999998</v>
      </c>
      <c r="AV95" s="117">
        <f>IFERROR(AVERAGE(Table110461117[[#This Row],[Column31]],Table110461117[[#This Row],[Column22]],Table110461117[[#This Row],[Column4]]),"0")</f>
        <v>2</v>
      </c>
      <c r="AW95" s="117">
        <f>IFERROR(AVERAGE(Table110461117[[#This Row],[Column14]]),"0")</f>
        <v>2</v>
      </c>
      <c r="AX95" s="117"/>
      <c r="AY95" s="117">
        <f>IFERROR(AVERAGE(Table110461117[[#This Row],[Column34]],Table110461117[[#This Row],[Column16]],Table110461117[[#This Row],[Column7]]),"0")</f>
        <v>2.25</v>
      </c>
      <c r="AZ95" s="117">
        <f>IFERROR(AVERAGE(Table110461117[[#This Row],[Column35]],Table110461117[[#This Row],[Column17]],Table110461117[[#This Row],[Column8]]),"0")</f>
        <v>2.6666666666666665</v>
      </c>
      <c r="BA95" s="116"/>
      <c r="BB95" s="117"/>
      <c r="BC95" s="117">
        <f>IFERROR(AVERAGE('Book Review'!AY95,Debate!AY95,'Case study'!AY95,Capstone!AY95),"A")</f>
        <v>2.25</v>
      </c>
      <c r="BD95" s="117">
        <f>IFERROR(AVERAGE('Book Review'!AZ95,Debate!AZ95,'Case study'!AZ95),"A")</f>
        <v>1.6666666666666667</v>
      </c>
    </row>
    <row r="96" spans="1:56" s="109" customFormat="1" ht="23.1" customHeight="1" x14ac:dyDescent="0.3">
      <c r="A96" s="6">
        <v>94</v>
      </c>
      <c r="B96" s="7" t="s">
        <v>97</v>
      </c>
      <c r="C96" s="7" t="s">
        <v>98</v>
      </c>
      <c r="D96" s="7" t="s">
        <v>450</v>
      </c>
      <c r="E96" s="7" t="s">
        <v>35</v>
      </c>
      <c r="F96" s="118">
        <f>'Book Review'!K96</f>
        <v>2.5</v>
      </c>
      <c r="G96" s="118">
        <f>'Book Review'!Q96</f>
        <v>3.4</v>
      </c>
      <c r="H96" s="118">
        <f>'Book Review'!W96</f>
        <v>2</v>
      </c>
      <c r="I96" s="118"/>
      <c r="J96" s="118"/>
      <c r="K96" s="118">
        <f>'Book Review'!AO96</f>
        <v>3</v>
      </c>
      <c r="L96" s="118">
        <f>'Book Review'!AU96</f>
        <v>4</v>
      </c>
      <c r="M96" s="116"/>
      <c r="N96" s="118">
        <f>Debate!K96</f>
        <v>3</v>
      </c>
      <c r="O96" s="118">
        <f>Debate!Q96</f>
        <v>2.8</v>
      </c>
      <c r="P96" s="118"/>
      <c r="Q96" s="118">
        <f>Debate!AC96</f>
        <v>3</v>
      </c>
      <c r="R96" s="118"/>
      <c r="S96" s="118">
        <f>Debate!AO96</f>
        <v>3.3333333333333335</v>
      </c>
      <c r="T96" s="118">
        <f>Debate!AU96</f>
        <v>3</v>
      </c>
      <c r="U96" s="116"/>
      <c r="V96" s="7"/>
      <c r="W96" s="118">
        <f>GD!Q96</f>
        <v>3.25</v>
      </c>
      <c r="X96" s="118">
        <f>GD!W96</f>
        <v>3</v>
      </c>
      <c r="Y96" s="118"/>
      <c r="Z96" s="118"/>
      <c r="AA96" s="7"/>
      <c r="AB96" s="118"/>
      <c r="AC96" s="116"/>
      <c r="AD96" s="118">
        <f>'Case study'!K96</f>
        <v>2.5</v>
      </c>
      <c r="AE96" s="118">
        <f>'Case study'!Q96</f>
        <v>3.4</v>
      </c>
      <c r="AF96" s="118">
        <f>'Case study'!W96</f>
        <v>2</v>
      </c>
      <c r="AG96" s="118"/>
      <c r="AH96" s="118"/>
      <c r="AI96" s="118">
        <f>'Case study'!AO96</f>
        <v>3</v>
      </c>
      <c r="AJ96" s="118">
        <f>'Case study'!AU96</f>
        <v>3</v>
      </c>
      <c r="AK96" s="116"/>
      <c r="AL96" s="118">
        <f>Capstone!K96</f>
        <v>1</v>
      </c>
      <c r="AM96" s="118">
        <f>Capstone!Q97</f>
        <v>3.5</v>
      </c>
      <c r="AN96" s="118">
        <f>Capstone!W97</f>
        <v>3</v>
      </c>
      <c r="AO96" s="118"/>
      <c r="AP96" s="118"/>
      <c r="AQ96" s="118">
        <f>Capstone!AO97</f>
        <v>3.5</v>
      </c>
      <c r="AR96" s="118"/>
      <c r="AS96" s="116"/>
      <c r="AT96" s="118">
        <f>IFERROR(AVERAGE(Table110461117[[#This Row],[Column2]],Table110461117[[#This Row],[Column11]],Table110461117[[#This Row],[Column29]]),"0")</f>
        <v>2.6666666666666665</v>
      </c>
      <c r="AU96" s="118">
        <f>IFERROR(AVERAGE(Table110461117[[#This Row],[Column3]],Table110461117[[#This Row],[Column12]],Table110461117[[#This Row],[Column21]],Table110461117[[#This Row],[Column30]]),"0")</f>
        <v>3.2124999999999999</v>
      </c>
      <c r="AV96" s="118">
        <f>IFERROR(AVERAGE(Table110461117[[#This Row],[Column31]],Table110461117[[#This Row],[Column22]],Table110461117[[#This Row],[Column4]]),"0")</f>
        <v>2.3333333333333335</v>
      </c>
      <c r="AW96" s="118">
        <f>IFERROR(AVERAGE(Table110461117[[#This Row],[Column14]]),"0")</f>
        <v>3</v>
      </c>
      <c r="AX96" s="118"/>
      <c r="AY96" s="118">
        <f>IFERROR(AVERAGE(Table110461117[[#This Row],[Column34]],Table110461117[[#This Row],[Column16]],Table110461117[[#This Row],[Column7]]),"0")</f>
        <v>3.1111111111111112</v>
      </c>
      <c r="AZ96" s="118">
        <f>IFERROR(AVERAGE(Table110461117[[#This Row],[Column35]],Table110461117[[#This Row],[Column17]],Table110461117[[#This Row],[Column8]]),"0")</f>
        <v>3.3333333333333335</v>
      </c>
      <c r="BA96" s="116"/>
      <c r="BB96" s="118"/>
      <c r="BC96" s="118">
        <f>IFERROR(AVERAGE('Book Review'!AY96,Debate!AY96,'Case study'!AY96,Capstone!AY96),"A")</f>
        <v>3.25</v>
      </c>
      <c r="BD96" s="118">
        <f>IFERROR(AVERAGE('Book Review'!AZ96,Debate!AZ96,'Case study'!AZ96),"A")</f>
        <v>4.666666666666667</v>
      </c>
    </row>
    <row r="97" spans="1:56" s="109" customFormat="1" ht="23.1" customHeight="1" x14ac:dyDescent="0.3">
      <c r="A97" s="115">
        <v>95</v>
      </c>
      <c r="B97" s="49" t="s">
        <v>249</v>
      </c>
      <c r="C97" s="49" t="s">
        <v>250</v>
      </c>
      <c r="D97" s="49" t="s">
        <v>450</v>
      </c>
      <c r="E97" s="49" t="s">
        <v>161</v>
      </c>
      <c r="F97" s="117">
        <f>'Book Review'!K97</f>
        <v>2.25</v>
      </c>
      <c r="G97" s="117">
        <f>'Book Review'!Q97</f>
        <v>3</v>
      </c>
      <c r="H97" s="117">
        <f>'Book Review'!W97</f>
        <v>3</v>
      </c>
      <c r="I97" s="117"/>
      <c r="J97" s="117"/>
      <c r="K97" s="117">
        <f>'Book Review'!AO97</f>
        <v>2.5</v>
      </c>
      <c r="L97" s="117">
        <f>'Book Review'!AU97</f>
        <v>3</v>
      </c>
      <c r="M97" s="116"/>
      <c r="N97" s="117">
        <f>Debate!K97</f>
        <v>2</v>
      </c>
      <c r="O97" s="117">
        <f>Debate!Q97</f>
        <v>2.7</v>
      </c>
      <c r="P97" s="117"/>
      <c r="Q97" s="117">
        <f>Debate!AC97</f>
        <v>3</v>
      </c>
      <c r="R97" s="117"/>
      <c r="S97" s="117">
        <f>Debate!AO97</f>
        <v>3</v>
      </c>
      <c r="T97" s="117">
        <f>Debate!AU97</f>
        <v>3</v>
      </c>
      <c r="U97" s="116"/>
      <c r="V97" s="49"/>
      <c r="W97" s="117">
        <f>GD!Q97</f>
        <v>3</v>
      </c>
      <c r="X97" s="117">
        <f>GD!W97</f>
        <v>3</v>
      </c>
      <c r="Y97" s="117"/>
      <c r="Z97" s="117"/>
      <c r="AA97" s="49"/>
      <c r="AB97" s="117"/>
      <c r="AC97" s="116"/>
      <c r="AD97" s="117">
        <f>'Case study'!K97</f>
        <v>2.25</v>
      </c>
      <c r="AE97" s="117">
        <f>'Case study'!Q97</f>
        <v>3</v>
      </c>
      <c r="AF97" s="117">
        <f>'Case study'!W97</f>
        <v>3</v>
      </c>
      <c r="AG97" s="117"/>
      <c r="AH97" s="117"/>
      <c r="AI97" s="117">
        <f>'Case study'!AO97</f>
        <v>2.75</v>
      </c>
      <c r="AJ97" s="117">
        <f>'Case study'!AU97</f>
        <v>3</v>
      </c>
      <c r="AK97" s="116"/>
      <c r="AL97" s="117">
        <f>Capstone!K97</f>
        <v>3.6666666666666665</v>
      </c>
      <c r="AM97" s="117">
        <f>Capstone!Q98</f>
        <v>3</v>
      </c>
      <c r="AN97" s="117">
        <f>Capstone!W98</f>
        <v>3</v>
      </c>
      <c r="AO97" s="117"/>
      <c r="AP97" s="117"/>
      <c r="AQ97" s="117">
        <f>Capstone!AO98</f>
        <v>3.25</v>
      </c>
      <c r="AR97" s="117"/>
      <c r="AS97" s="116"/>
      <c r="AT97" s="117">
        <f>IFERROR(AVERAGE(Table110461117[[#This Row],[Column2]],Table110461117[[#This Row],[Column11]],Table110461117[[#This Row],[Column29]]),"0")</f>
        <v>2.1666666666666665</v>
      </c>
      <c r="AU97" s="117">
        <f>IFERROR(AVERAGE(Table110461117[[#This Row],[Column3]],Table110461117[[#This Row],[Column12]],Table110461117[[#This Row],[Column21]],Table110461117[[#This Row],[Column30]]),"0")</f>
        <v>2.9249999999999998</v>
      </c>
      <c r="AV97" s="117">
        <f>IFERROR(AVERAGE(Table110461117[[#This Row],[Column31]],Table110461117[[#This Row],[Column22]],Table110461117[[#This Row],[Column4]]),"0")</f>
        <v>3</v>
      </c>
      <c r="AW97" s="117">
        <f>IFERROR(AVERAGE(Table110461117[[#This Row],[Column14]]),"0")</f>
        <v>3</v>
      </c>
      <c r="AX97" s="117"/>
      <c r="AY97" s="117">
        <f>IFERROR(AVERAGE(Table110461117[[#This Row],[Column34]],Table110461117[[#This Row],[Column16]],Table110461117[[#This Row],[Column7]]),"0")</f>
        <v>2.75</v>
      </c>
      <c r="AZ97" s="117">
        <f>IFERROR(AVERAGE(Table110461117[[#This Row],[Column35]],Table110461117[[#This Row],[Column17]],Table110461117[[#This Row],[Column8]]),"0")</f>
        <v>3</v>
      </c>
      <c r="BA97" s="116"/>
      <c r="BB97" s="117"/>
      <c r="BC97" s="117">
        <f>IFERROR(AVERAGE('Book Review'!AY97,Debate!AY97,'Case study'!AY97,Capstone!AY97),"A")</f>
        <v>3</v>
      </c>
      <c r="BD97" s="117">
        <f>IFERROR(AVERAGE('Book Review'!AZ97,Debate!AZ97,'Case study'!AZ97),"A")</f>
        <v>3</v>
      </c>
    </row>
    <row r="98" spans="1:56" s="109" customFormat="1" ht="23.1" customHeight="1" x14ac:dyDescent="0.3">
      <c r="A98" s="6">
        <v>96</v>
      </c>
      <c r="B98" s="7" t="s">
        <v>342</v>
      </c>
      <c r="C98" s="7" t="s">
        <v>343</v>
      </c>
      <c r="D98" s="7" t="s">
        <v>450</v>
      </c>
      <c r="E98" s="7" t="s">
        <v>493</v>
      </c>
      <c r="F98" s="118">
        <f>'Book Review'!K98</f>
        <v>2.25</v>
      </c>
      <c r="G98" s="118">
        <f>'Book Review'!Q98</f>
        <v>3</v>
      </c>
      <c r="H98" s="118">
        <f>'Book Review'!W98</f>
        <v>3</v>
      </c>
      <c r="I98" s="118"/>
      <c r="J98" s="118"/>
      <c r="K98" s="118">
        <f>'Book Review'!AO98</f>
        <v>2.5</v>
      </c>
      <c r="L98" s="118">
        <f>'Book Review'!AU98</f>
        <v>2</v>
      </c>
      <c r="M98" s="116"/>
      <c r="N98" s="118">
        <f>Debate!K98</f>
        <v>2</v>
      </c>
      <c r="O98" s="118">
        <f>Debate!Q98</f>
        <v>2.5</v>
      </c>
      <c r="P98" s="118"/>
      <c r="Q98" s="118">
        <f>Debate!AC98</f>
        <v>2</v>
      </c>
      <c r="R98" s="118"/>
      <c r="S98" s="118">
        <f>Debate!AO98</f>
        <v>3.3333333333333335</v>
      </c>
      <c r="T98" s="118">
        <f>Debate!AU98</f>
        <v>3</v>
      </c>
      <c r="U98" s="116"/>
      <c r="V98" s="7"/>
      <c r="W98" s="118">
        <f>GD!Q98</f>
        <v>3</v>
      </c>
      <c r="X98" s="118">
        <f>GD!W98</f>
        <v>2</v>
      </c>
      <c r="Y98" s="118"/>
      <c r="Z98" s="118"/>
      <c r="AA98" s="7"/>
      <c r="AB98" s="118"/>
      <c r="AC98" s="116"/>
      <c r="AD98" s="118">
        <f>'Case study'!K98</f>
        <v>2.25</v>
      </c>
      <c r="AE98" s="118">
        <f>'Case study'!Q98</f>
        <v>3</v>
      </c>
      <c r="AF98" s="118">
        <f>'Case study'!W98</f>
        <v>3</v>
      </c>
      <c r="AG98" s="118"/>
      <c r="AH98" s="118"/>
      <c r="AI98" s="118">
        <f>'Case study'!AO98</f>
        <v>2.25</v>
      </c>
      <c r="AJ98" s="118">
        <f>'Case study'!AU98</f>
        <v>3</v>
      </c>
      <c r="AK98" s="116"/>
      <c r="AL98" s="118">
        <f>Capstone!K98</f>
        <v>3.6666666666666665</v>
      </c>
      <c r="AM98" s="118">
        <f>Capstone!Q99</f>
        <v>3.25</v>
      </c>
      <c r="AN98" s="118">
        <f>Capstone!W99</f>
        <v>3.5</v>
      </c>
      <c r="AO98" s="118"/>
      <c r="AP98" s="118"/>
      <c r="AQ98" s="118">
        <f>Capstone!AO99</f>
        <v>4.75</v>
      </c>
      <c r="AR98" s="118"/>
      <c r="AS98" s="116"/>
      <c r="AT98" s="118">
        <f>IFERROR(AVERAGE(Table110461117[[#This Row],[Column2]],Table110461117[[#This Row],[Column11]],Table110461117[[#This Row],[Column29]]),"0")</f>
        <v>2.1666666666666665</v>
      </c>
      <c r="AU98" s="118">
        <f>IFERROR(AVERAGE(Table110461117[[#This Row],[Column3]],Table110461117[[#This Row],[Column12]],Table110461117[[#This Row],[Column21]],Table110461117[[#This Row],[Column30]]),"0")</f>
        <v>2.875</v>
      </c>
      <c r="AV98" s="118">
        <f>IFERROR(AVERAGE(Table110461117[[#This Row],[Column31]],Table110461117[[#This Row],[Column22]],Table110461117[[#This Row],[Column4]]),"0")</f>
        <v>2.6666666666666665</v>
      </c>
      <c r="AW98" s="118">
        <f>IFERROR(AVERAGE(Table110461117[[#This Row],[Column14]]),"0")</f>
        <v>2</v>
      </c>
      <c r="AX98" s="118"/>
      <c r="AY98" s="118">
        <f>IFERROR(AVERAGE(Table110461117[[#This Row],[Column34]],Table110461117[[#This Row],[Column16]],Table110461117[[#This Row],[Column7]]),"0")</f>
        <v>2.6944444444444446</v>
      </c>
      <c r="AZ98" s="118">
        <f>IFERROR(AVERAGE(Table110461117[[#This Row],[Column35]],Table110461117[[#This Row],[Column17]],Table110461117[[#This Row],[Column8]]),"0")</f>
        <v>2.6666666666666665</v>
      </c>
      <c r="BA98" s="116"/>
      <c r="BB98" s="118"/>
      <c r="BC98" s="118">
        <f>IFERROR(AVERAGE('Book Review'!AY98,Debate!AY98,'Case study'!AY98,Capstone!AY98),"A")</f>
        <v>3</v>
      </c>
      <c r="BD98" s="118">
        <f>IFERROR(AVERAGE('Book Review'!AZ98,Debate!AZ98,'Case study'!AZ98),"A")</f>
        <v>2.6666666666666665</v>
      </c>
    </row>
    <row r="99" spans="1:56" s="109" customFormat="1" ht="23.1" customHeight="1" x14ac:dyDescent="0.3">
      <c r="A99" s="115">
        <v>97</v>
      </c>
      <c r="B99" s="49" t="s">
        <v>184</v>
      </c>
      <c r="C99" s="49" t="s">
        <v>185</v>
      </c>
      <c r="D99" s="49" t="s">
        <v>542</v>
      </c>
      <c r="E99" s="49" t="s">
        <v>161</v>
      </c>
      <c r="F99" s="117">
        <f>'Book Review'!K99</f>
        <v>3.125</v>
      </c>
      <c r="G99" s="117">
        <f>'Book Review'!Q99</f>
        <v>3.2</v>
      </c>
      <c r="H99" s="117">
        <f>'Book Review'!W99</f>
        <v>3.5</v>
      </c>
      <c r="I99" s="117"/>
      <c r="J99" s="117"/>
      <c r="K99" s="117">
        <f>'Book Review'!AO99</f>
        <v>3</v>
      </c>
      <c r="L99" s="117">
        <f>'Book Review'!AU99</f>
        <v>3</v>
      </c>
      <c r="M99" s="116"/>
      <c r="N99" s="117">
        <f>Debate!K99</f>
        <v>3.5</v>
      </c>
      <c r="O99" s="117">
        <f>Debate!Q99</f>
        <v>3.25</v>
      </c>
      <c r="P99" s="117"/>
      <c r="Q99" s="117">
        <f>Debate!AC99</f>
        <v>3</v>
      </c>
      <c r="R99" s="117"/>
      <c r="S99" s="117">
        <f>Debate!AO99</f>
        <v>3.1666666666666665</v>
      </c>
      <c r="T99" s="117">
        <f>Debate!AU99</f>
        <v>3</v>
      </c>
      <c r="U99" s="116"/>
      <c r="V99" s="49"/>
      <c r="W99" s="117">
        <f>GD!Q99</f>
        <v>3.25</v>
      </c>
      <c r="X99" s="117">
        <f>GD!W99</f>
        <v>3</v>
      </c>
      <c r="Y99" s="117"/>
      <c r="Z99" s="117"/>
      <c r="AA99" s="49"/>
      <c r="AB99" s="117"/>
      <c r="AC99" s="116"/>
      <c r="AD99" s="117">
        <f>'Case study'!K99</f>
        <v>3.25</v>
      </c>
      <c r="AE99" s="117">
        <f>'Case study'!Q99</f>
        <v>3.2</v>
      </c>
      <c r="AF99" s="117">
        <f>'Case study'!W99</f>
        <v>3.5</v>
      </c>
      <c r="AG99" s="117"/>
      <c r="AH99" s="117"/>
      <c r="AI99" s="117">
        <f>'Case study'!AO99</f>
        <v>3.25</v>
      </c>
      <c r="AJ99" s="117">
        <f>'Case study'!AU99</f>
        <v>3.5</v>
      </c>
      <c r="AK99" s="116"/>
      <c r="AL99" s="117">
        <f>Capstone!K99</f>
        <v>4.333333333333333</v>
      </c>
      <c r="AM99" s="117">
        <f>Capstone!Q100</f>
        <v>5</v>
      </c>
      <c r="AN99" s="117">
        <f>Capstone!W100</f>
        <v>3</v>
      </c>
      <c r="AO99" s="117"/>
      <c r="AP99" s="117"/>
      <c r="AQ99" s="117">
        <f>Capstone!AO100</f>
        <v>3.25</v>
      </c>
      <c r="AR99" s="117"/>
      <c r="AS99" s="116"/>
      <c r="AT99" s="117">
        <f>IFERROR(AVERAGE(Table110461117[[#This Row],[Column2]],Table110461117[[#This Row],[Column11]],Table110461117[[#This Row],[Column29]]),"0")</f>
        <v>3.2916666666666665</v>
      </c>
      <c r="AU99" s="117">
        <f>IFERROR(AVERAGE(Table110461117[[#This Row],[Column3]],Table110461117[[#This Row],[Column12]],Table110461117[[#This Row],[Column21]],Table110461117[[#This Row],[Column30]]),"0")</f>
        <v>3.2249999999999996</v>
      </c>
      <c r="AV99" s="117">
        <f>IFERROR(AVERAGE(Table110461117[[#This Row],[Column31]],Table110461117[[#This Row],[Column22]],Table110461117[[#This Row],[Column4]]),"0")</f>
        <v>3.3333333333333335</v>
      </c>
      <c r="AW99" s="117">
        <f>IFERROR(AVERAGE(Table110461117[[#This Row],[Column14]]),"0")</f>
        <v>3</v>
      </c>
      <c r="AX99" s="117"/>
      <c r="AY99" s="117">
        <f>IFERROR(AVERAGE(Table110461117[[#This Row],[Column34]],Table110461117[[#This Row],[Column16]],Table110461117[[#This Row],[Column7]]),"0")</f>
        <v>3.1388888888888888</v>
      </c>
      <c r="AZ99" s="117">
        <f>IFERROR(AVERAGE(Table110461117[[#This Row],[Column35]],Table110461117[[#This Row],[Column17]],Table110461117[[#This Row],[Column8]]),"0")</f>
        <v>3.1666666666666665</v>
      </c>
      <c r="BA99" s="116"/>
      <c r="BB99" s="117"/>
      <c r="BC99" s="117">
        <f>IFERROR(AVERAGE('Book Review'!AY99,Debate!AY99,'Case study'!AY99,Capstone!AY99),"A")</f>
        <v>3.25</v>
      </c>
      <c r="BD99" s="117">
        <f>IFERROR(AVERAGE('Book Review'!AZ99,Debate!AZ99,'Case study'!AZ99),"A")</f>
        <v>3.1666666666666665</v>
      </c>
    </row>
    <row r="100" spans="1:56" s="109" customFormat="1" ht="23.1" customHeight="1" x14ac:dyDescent="0.3">
      <c r="A100" s="6">
        <v>98</v>
      </c>
      <c r="B100" s="7" t="s">
        <v>344</v>
      </c>
      <c r="C100" s="7" t="s">
        <v>345</v>
      </c>
      <c r="D100" s="7" t="s">
        <v>542</v>
      </c>
      <c r="E100" s="7" t="s">
        <v>493</v>
      </c>
      <c r="F100" s="118">
        <f>'Book Review'!K100</f>
        <v>2</v>
      </c>
      <c r="G100" s="118">
        <f>'Book Review'!Q100</f>
        <v>2.6</v>
      </c>
      <c r="H100" s="118">
        <f>'Book Review'!W100</f>
        <v>2</v>
      </c>
      <c r="I100" s="118"/>
      <c r="J100" s="118"/>
      <c r="K100" s="118">
        <f>'Book Review'!AO100</f>
        <v>2.5</v>
      </c>
      <c r="L100" s="118">
        <f>'Book Review'!AU100</f>
        <v>3</v>
      </c>
      <c r="M100" s="116"/>
      <c r="N100" s="118">
        <f>Debate!K100</f>
        <v>3</v>
      </c>
      <c r="O100" s="118">
        <f>Debate!Q100</f>
        <v>2.5</v>
      </c>
      <c r="P100" s="118"/>
      <c r="Q100" s="118">
        <f>Debate!AC100</f>
        <v>3</v>
      </c>
      <c r="R100" s="118"/>
      <c r="S100" s="118">
        <f>Debate!AO100</f>
        <v>2.3333333333333335</v>
      </c>
      <c r="T100" s="118">
        <f>Debate!AU100</f>
        <v>3</v>
      </c>
      <c r="U100" s="116"/>
      <c r="V100" s="7"/>
      <c r="W100" s="118">
        <f>GD!Q100</f>
        <v>2.75</v>
      </c>
      <c r="X100" s="118">
        <f>GD!W100</f>
        <v>3</v>
      </c>
      <c r="Y100" s="118"/>
      <c r="Z100" s="118"/>
      <c r="AA100" s="7"/>
      <c r="AB100" s="118"/>
      <c r="AC100" s="116"/>
      <c r="AD100" s="118">
        <f>'Case study'!K100</f>
        <v>2.25</v>
      </c>
      <c r="AE100" s="118">
        <f>'Case study'!Q100</f>
        <v>3.2</v>
      </c>
      <c r="AF100" s="118">
        <f>'Case study'!W100</f>
        <v>3</v>
      </c>
      <c r="AG100" s="118"/>
      <c r="AH100" s="118"/>
      <c r="AI100" s="118">
        <f>'Case study'!AO100</f>
        <v>2.75</v>
      </c>
      <c r="AJ100" s="118">
        <f>'Case study'!AU100</f>
        <v>3</v>
      </c>
      <c r="AK100" s="116"/>
      <c r="AL100" s="118">
        <f>Capstone!K100</f>
        <v>3.6666666666666665</v>
      </c>
      <c r="AM100" s="118">
        <f>Capstone!Q101</f>
        <v>3</v>
      </c>
      <c r="AN100" s="118">
        <f>Capstone!W101</f>
        <v>1</v>
      </c>
      <c r="AO100" s="118"/>
      <c r="AP100" s="118"/>
      <c r="AQ100" s="118">
        <f>Capstone!AO101</f>
        <v>2.5</v>
      </c>
      <c r="AR100" s="118"/>
      <c r="AS100" s="116"/>
      <c r="AT100" s="118">
        <f>IFERROR(AVERAGE(Table110461117[[#This Row],[Column2]],Table110461117[[#This Row],[Column11]],Table110461117[[#This Row],[Column29]]),"0")</f>
        <v>2.4166666666666665</v>
      </c>
      <c r="AU100" s="118">
        <f>IFERROR(AVERAGE(Table110461117[[#This Row],[Column3]],Table110461117[[#This Row],[Column12]],Table110461117[[#This Row],[Column21]],Table110461117[[#This Row],[Column30]]),"0")</f>
        <v>2.7625000000000002</v>
      </c>
      <c r="AV100" s="118">
        <f>IFERROR(AVERAGE(Table110461117[[#This Row],[Column31]],Table110461117[[#This Row],[Column22]],Table110461117[[#This Row],[Column4]]),"0")</f>
        <v>2.6666666666666665</v>
      </c>
      <c r="AW100" s="118">
        <f>IFERROR(AVERAGE(Table110461117[[#This Row],[Column14]]),"0")</f>
        <v>3</v>
      </c>
      <c r="AX100" s="118"/>
      <c r="AY100" s="118">
        <f>IFERROR(AVERAGE(Table110461117[[#This Row],[Column34]],Table110461117[[#This Row],[Column16]],Table110461117[[#This Row],[Column7]]),"0")</f>
        <v>2.5277777777777781</v>
      </c>
      <c r="AZ100" s="118">
        <f>IFERROR(AVERAGE(Table110461117[[#This Row],[Column35]],Table110461117[[#This Row],[Column17]],Table110461117[[#This Row],[Column8]]),"0")</f>
        <v>3</v>
      </c>
      <c r="BA100" s="116"/>
      <c r="BB100" s="118"/>
      <c r="BC100" s="118">
        <f>IFERROR(AVERAGE('Book Review'!AY100,Debate!AY100,'Case study'!AY100,Capstone!AY100),"A")</f>
        <v>3</v>
      </c>
      <c r="BD100" s="118">
        <f>IFERROR(AVERAGE('Book Review'!AZ100,Debate!AZ100,'Case study'!AZ100),"A")</f>
        <v>2.6666666666666665</v>
      </c>
    </row>
    <row r="101" spans="1:56" s="109" customFormat="1" ht="23.1" customHeight="1" x14ac:dyDescent="0.3">
      <c r="A101" s="115">
        <v>99</v>
      </c>
      <c r="B101" s="49" t="s">
        <v>263</v>
      </c>
      <c r="C101" s="49" t="s">
        <v>264</v>
      </c>
      <c r="D101" s="49" t="s">
        <v>450</v>
      </c>
      <c r="E101" s="49" t="s">
        <v>161</v>
      </c>
      <c r="F101" s="117">
        <f>'Book Review'!K101</f>
        <v>0</v>
      </c>
      <c r="G101" s="117">
        <f>'Book Review'!Q101</f>
        <v>0</v>
      </c>
      <c r="H101" s="117">
        <f>'Book Review'!W101</f>
        <v>0</v>
      </c>
      <c r="I101" s="117"/>
      <c r="J101" s="117"/>
      <c r="K101" s="117">
        <f>'Book Review'!AO101</f>
        <v>0</v>
      </c>
      <c r="L101" s="117">
        <f>'Book Review'!AU101</f>
        <v>0</v>
      </c>
      <c r="M101" s="116"/>
      <c r="N101" s="117">
        <f>Debate!K101</f>
        <v>1</v>
      </c>
      <c r="O101" s="117">
        <f>Debate!Q101</f>
        <v>1.5</v>
      </c>
      <c r="P101" s="117"/>
      <c r="Q101" s="117">
        <f>Debate!AC101</f>
        <v>1</v>
      </c>
      <c r="R101" s="117"/>
      <c r="S101" s="117">
        <f>Debate!AO101</f>
        <v>1</v>
      </c>
      <c r="T101" s="117">
        <f>Debate!AU101</f>
        <v>3</v>
      </c>
      <c r="U101" s="116"/>
      <c r="V101" s="49"/>
      <c r="W101" s="117">
        <f>GD!Q101</f>
        <v>1.5</v>
      </c>
      <c r="X101" s="117">
        <f>GD!W101</f>
        <v>1</v>
      </c>
      <c r="Y101" s="117"/>
      <c r="Z101" s="117"/>
      <c r="AA101" s="49"/>
      <c r="AB101" s="117"/>
      <c r="AC101" s="116"/>
      <c r="AD101" s="117">
        <f>'Case study'!K101</f>
        <v>1</v>
      </c>
      <c r="AE101" s="117">
        <f>'Case study'!Q101</f>
        <v>2</v>
      </c>
      <c r="AF101" s="117">
        <f>'Case study'!W101</f>
        <v>1</v>
      </c>
      <c r="AG101" s="117"/>
      <c r="AH101" s="117"/>
      <c r="AI101" s="117">
        <f>'Case study'!AO101</f>
        <v>1</v>
      </c>
      <c r="AJ101" s="117">
        <f>'Case study'!AU101</f>
        <v>3</v>
      </c>
      <c r="AK101" s="116"/>
      <c r="AL101" s="117">
        <f>Capstone!K101</f>
        <v>2.3333333333333335</v>
      </c>
      <c r="AM101" s="117">
        <f>Capstone!Q102</f>
        <v>3</v>
      </c>
      <c r="AN101" s="117">
        <f>Capstone!W102</f>
        <v>1</v>
      </c>
      <c r="AO101" s="117"/>
      <c r="AP101" s="117"/>
      <c r="AQ101" s="117">
        <f>Capstone!AO102</f>
        <v>3.5</v>
      </c>
      <c r="AR101" s="117"/>
      <c r="AS101" s="116"/>
      <c r="AT101" s="117">
        <f>IFERROR(AVERAGE(Table110461117[[#This Row],[Column2]],Table110461117[[#This Row],[Column11]],Table110461117[[#This Row],[Column29]]),"0")</f>
        <v>0.66666666666666663</v>
      </c>
      <c r="AU101" s="117">
        <f>IFERROR(AVERAGE(Table110461117[[#This Row],[Column3]],Table110461117[[#This Row],[Column12]],Table110461117[[#This Row],[Column21]],Table110461117[[#This Row],[Column30]]),"0")</f>
        <v>1.25</v>
      </c>
      <c r="AV101" s="117">
        <f>IFERROR(AVERAGE(Table110461117[[#This Row],[Column31]],Table110461117[[#This Row],[Column22]],Table110461117[[#This Row],[Column4]]),"0")</f>
        <v>0.66666666666666663</v>
      </c>
      <c r="AW101" s="117">
        <f>IFERROR(AVERAGE(Table110461117[[#This Row],[Column14]]),"0")</f>
        <v>1</v>
      </c>
      <c r="AX101" s="117"/>
      <c r="AY101" s="117">
        <f>IFERROR(AVERAGE(Table110461117[[#This Row],[Column34]],Table110461117[[#This Row],[Column16]],Table110461117[[#This Row],[Column7]]),"0")</f>
        <v>0.66666666666666663</v>
      </c>
      <c r="AZ101" s="117">
        <f>IFERROR(AVERAGE(Table110461117[[#This Row],[Column35]],Table110461117[[#This Row],[Column17]],Table110461117[[#This Row],[Column8]]),"0")</f>
        <v>2</v>
      </c>
      <c r="BA101" s="116"/>
      <c r="BB101" s="117"/>
      <c r="BC101" s="117">
        <f>IFERROR(AVERAGE('Book Review'!AY101,Debate!AY101,'Case study'!AY101,Capstone!AY101),"A")</f>
        <v>1.25</v>
      </c>
      <c r="BD101" s="117">
        <f>IFERROR(AVERAGE('Book Review'!AZ101,Debate!AZ101,'Case study'!AZ101),"A")</f>
        <v>0.66666666666666663</v>
      </c>
    </row>
    <row r="102" spans="1:56" s="109" customFormat="1" ht="23.1" customHeight="1" x14ac:dyDescent="0.3">
      <c r="A102" s="6">
        <v>100</v>
      </c>
      <c r="B102" s="7" t="s">
        <v>140</v>
      </c>
      <c r="C102" s="7" t="s">
        <v>141</v>
      </c>
      <c r="D102" s="7" t="s">
        <v>450</v>
      </c>
      <c r="E102" s="7" t="s">
        <v>35</v>
      </c>
      <c r="F102" s="118">
        <f>'Book Review'!K102</f>
        <v>0</v>
      </c>
      <c r="G102" s="118">
        <f>'Book Review'!Q102</f>
        <v>0</v>
      </c>
      <c r="H102" s="118">
        <f>'Book Review'!W102</f>
        <v>0</v>
      </c>
      <c r="I102" s="118"/>
      <c r="J102" s="118"/>
      <c r="K102" s="118">
        <f>'Book Review'!AO102</f>
        <v>0</v>
      </c>
      <c r="L102" s="118">
        <f>'Book Review'!AU102</f>
        <v>0</v>
      </c>
      <c r="M102" s="116"/>
      <c r="N102" s="118">
        <f>Debate!K102</f>
        <v>1</v>
      </c>
      <c r="O102" s="118">
        <f>Debate!Q102</f>
        <v>1.4</v>
      </c>
      <c r="P102" s="118"/>
      <c r="Q102" s="118">
        <f>Debate!AC102</f>
        <v>1</v>
      </c>
      <c r="R102" s="118"/>
      <c r="S102" s="118">
        <f>Debate!AO102</f>
        <v>1.6666666666666667</v>
      </c>
      <c r="T102" s="118">
        <f>Debate!AU102</f>
        <v>3</v>
      </c>
      <c r="U102" s="116"/>
      <c r="V102" s="7"/>
      <c r="W102" s="118">
        <f>GD!Q102</f>
        <v>1</v>
      </c>
      <c r="X102" s="118">
        <f>GD!W102</f>
        <v>1</v>
      </c>
      <c r="Y102" s="118"/>
      <c r="Z102" s="118"/>
      <c r="AA102" s="7"/>
      <c r="AB102" s="118"/>
      <c r="AC102" s="116"/>
      <c r="AD102" s="118">
        <f>'Case study'!K102</f>
        <v>1</v>
      </c>
      <c r="AE102" s="118">
        <f>'Case study'!Q102</f>
        <v>2</v>
      </c>
      <c r="AF102" s="118">
        <f>'Case study'!W102</f>
        <v>1</v>
      </c>
      <c r="AG102" s="118"/>
      <c r="AH102" s="118"/>
      <c r="AI102" s="118">
        <f>'Case study'!AO102</f>
        <v>1</v>
      </c>
      <c r="AJ102" s="118">
        <f>'Case study'!AU102</f>
        <v>3</v>
      </c>
      <c r="AK102" s="116"/>
      <c r="AL102" s="118">
        <f>Capstone!K102</f>
        <v>2.6666666666666665</v>
      </c>
      <c r="AM102" s="118">
        <f>Capstone!Q103</f>
        <v>3</v>
      </c>
      <c r="AN102" s="118">
        <f>Capstone!W103</f>
        <v>4</v>
      </c>
      <c r="AO102" s="118"/>
      <c r="AP102" s="118"/>
      <c r="AQ102" s="118">
        <f>Capstone!AO103</f>
        <v>3</v>
      </c>
      <c r="AR102" s="118"/>
      <c r="AS102" s="116"/>
      <c r="AT102" s="118">
        <f>IFERROR(AVERAGE(Table110461117[[#This Row],[Column2]],Table110461117[[#This Row],[Column11]],Table110461117[[#This Row],[Column29]]),"0")</f>
        <v>0.66666666666666663</v>
      </c>
      <c r="AU102" s="118">
        <f>IFERROR(AVERAGE(Table110461117[[#This Row],[Column3]],Table110461117[[#This Row],[Column12]],Table110461117[[#This Row],[Column21]],Table110461117[[#This Row],[Column30]]),"0")</f>
        <v>1.1000000000000001</v>
      </c>
      <c r="AV102" s="118">
        <f>IFERROR(AVERAGE(Table110461117[[#This Row],[Column31]],Table110461117[[#This Row],[Column22]],Table110461117[[#This Row],[Column4]]),"0")</f>
        <v>0.66666666666666663</v>
      </c>
      <c r="AW102" s="118">
        <f>IFERROR(AVERAGE(Table110461117[[#This Row],[Column14]]),"0")</f>
        <v>1</v>
      </c>
      <c r="AX102" s="118"/>
      <c r="AY102" s="118">
        <f>IFERROR(AVERAGE(Table110461117[[#This Row],[Column34]],Table110461117[[#This Row],[Column16]],Table110461117[[#This Row],[Column7]]),"0")</f>
        <v>0.88888888888888895</v>
      </c>
      <c r="AZ102" s="118">
        <f>IFERROR(AVERAGE(Table110461117[[#This Row],[Column35]],Table110461117[[#This Row],[Column17]],Table110461117[[#This Row],[Column8]]),"0")</f>
        <v>2</v>
      </c>
      <c r="BA102" s="116"/>
      <c r="BB102" s="118"/>
      <c r="BC102" s="118">
        <f>IFERROR(AVERAGE('Book Review'!AY102,Debate!AY102,'Case study'!AY102,Capstone!AY102),"A")</f>
        <v>1.25</v>
      </c>
      <c r="BD102" s="118">
        <f>IFERROR(AVERAGE('Book Review'!AZ102,Debate!AZ102,'Case study'!AZ102),"A")</f>
        <v>0.66666666666666663</v>
      </c>
    </row>
    <row r="103" spans="1:56" s="109" customFormat="1" ht="23.1" customHeight="1" x14ac:dyDescent="0.3">
      <c r="A103" s="115">
        <v>101</v>
      </c>
      <c r="B103" s="49" t="s">
        <v>346</v>
      </c>
      <c r="C103" s="49" t="s">
        <v>347</v>
      </c>
      <c r="D103" s="49" t="s">
        <v>450</v>
      </c>
      <c r="E103" s="49" t="s">
        <v>493</v>
      </c>
      <c r="F103" s="117">
        <f>'Book Review'!K103</f>
        <v>3.5</v>
      </c>
      <c r="G103" s="117">
        <f>'Book Review'!Q103</f>
        <v>3.4</v>
      </c>
      <c r="H103" s="117">
        <f>'Book Review'!W103</f>
        <v>4</v>
      </c>
      <c r="I103" s="117"/>
      <c r="J103" s="117"/>
      <c r="K103" s="117">
        <f>'Book Review'!AO103</f>
        <v>3.5</v>
      </c>
      <c r="L103" s="117">
        <f>'Book Review'!AU103</f>
        <v>4</v>
      </c>
      <c r="M103" s="116"/>
      <c r="N103" s="117">
        <f>Debate!K103</f>
        <v>4</v>
      </c>
      <c r="O103" s="117">
        <f>Debate!Q103</f>
        <v>3.8</v>
      </c>
      <c r="P103" s="117"/>
      <c r="Q103" s="117">
        <f>Debate!AC103</f>
        <v>2</v>
      </c>
      <c r="R103" s="117"/>
      <c r="S103" s="117">
        <f>Debate!AO103</f>
        <v>3.3333333333333335</v>
      </c>
      <c r="T103" s="117">
        <f>Debate!AU103</f>
        <v>3</v>
      </c>
      <c r="U103" s="116"/>
      <c r="V103" s="49"/>
      <c r="W103" s="117">
        <f>GD!Q103</f>
        <v>3.5</v>
      </c>
      <c r="X103" s="117">
        <f>GD!W103</f>
        <v>3</v>
      </c>
      <c r="Y103" s="117"/>
      <c r="Z103" s="117"/>
      <c r="AA103" s="49"/>
      <c r="AB103" s="117"/>
      <c r="AC103" s="116"/>
      <c r="AD103" s="117">
        <f>'Case study'!K103</f>
        <v>3.5</v>
      </c>
      <c r="AE103" s="117">
        <f>'Case study'!Q103</f>
        <v>3.4</v>
      </c>
      <c r="AF103" s="117">
        <f>'Case study'!W103</f>
        <v>4</v>
      </c>
      <c r="AG103" s="117"/>
      <c r="AH103" s="117"/>
      <c r="AI103" s="117">
        <f>'Case study'!AO103</f>
        <v>3.75</v>
      </c>
      <c r="AJ103" s="117">
        <f>'Case study'!AU103</f>
        <v>3</v>
      </c>
      <c r="AK103" s="116"/>
      <c r="AL103" s="117">
        <f>Capstone!K103</f>
        <v>3</v>
      </c>
      <c r="AM103" s="117">
        <f>Capstone!Q104</f>
        <v>5</v>
      </c>
      <c r="AN103" s="117">
        <f>Capstone!W104</f>
        <v>3</v>
      </c>
      <c r="AO103" s="117"/>
      <c r="AP103" s="117"/>
      <c r="AQ103" s="117">
        <f>Capstone!AO104</f>
        <v>3.25</v>
      </c>
      <c r="AR103" s="117"/>
      <c r="AS103" s="116"/>
      <c r="AT103" s="117">
        <f>IFERROR(AVERAGE(Table110461117[[#This Row],[Column2]],Table110461117[[#This Row],[Column11]],Table110461117[[#This Row],[Column29]]),"0")</f>
        <v>3.6666666666666665</v>
      </c>
      <c r="AU103" s="117">
        <f>IFERROR(AVERAGE(Table110461117[[#This Row],[Column3]],Table110461117[[#This Row],[Column12]],Table110461117[[#This Row],[Column21]],Table110461117[[#This Row],[Column30]]),"0")</f>
        <v>3.5249999999999999</v>
      </c>
      <c r="AV103" s="117">
        <f>IFERROR(AVERAGE(Table110461117[[#This Row],[Column31]],Table110461117[[#This Row],[Column22]],Table110461117[[#This Row],[Column4]]),"0")</f>
        <v>3.6666666666666665</v>
      </c>
      <c r="AW103" s="117">
        <f>IFERROR(AVERAGE(Table110461117[[#This Row],[Column14]]),"0")</f>
        <v>2</v>
      </c>
      <c r="AX103" s="117"/>
      <c r="AY103" s="117">
        <f>IFERROR(AVERAGE(Table110461117[[#This Row],[Column34]],Table110461117[[#This Row],[Column16]],Table110461117[[#This Row],[Column7]]),"0")</f>
        <v>3.5277777777777781</v>
      </c>
      <c r="AZ103" s="117">
        <f>IFERROR(AVERAGE(Table110461117[[#This Row],[Column35]],Table110461117[[#This Row],[Column17]],Table110461117[[#This Row],[Column8]]),"0")</f>
        <v>3.3333333333333335</v>
      </c>
      <c r="BA103" s="116"/>
      <c r="BB103" s="117"/>
      <c r="BC103" s="117">
        <f>IFERROR(AVERAGE('Book Review'!AY103,Debate!AY103,'Case study'!AY103,Capstone!AY103),"A")</f>
        <v>3.25</v>
      </c>
      <c r="BD103" s="117">
        <f>IFERROR(AVERAGE('Book Review'!AZ103,Debate!AZ103,'Case study'!AZ103),"A")</f>
        <v>3.3333333333333335</v>
      </c>
    </row>
    <row r="104" spans="1:56" s="109" customFormat="1" ht="23.1" customHeight="1" x14ac:dyDescent="0.3">
      <c r="A104" s="6">
        <v>102</v>
      </c>
      <c r="B104" s="7" t="s">
        <v>348</v>
      </c>
      <c r="C104" s="7" t="s">
        <v>349</v>
      </c>
      <c r="D104" s="7" t="s">
        <v>542</v>
      </c>
      <c r="E104" s="7" t="s">
        <v>493</v>
      </c>
      <c r="F104" s="118">
        <f>'Book Review'!K104</f>
        <v>2.5</v>
      </c>
      <c r="G104" s="118">
        <f>'Book Review'!Q104</f>
        <v>3.2</v>
      </c>
      <c r="H104" s="118">
        <f>'Book Review'!W104</f>
        <v>2</v>
      </c>
      <c r="I104" s="118"/>
      <c r="J104" s="118"/>
      <c r="K104" s="118">
        <f>'Book Review'!AO104</f>
        <v>3</v>
      </c>
      <c r="L104" s="118">
        <f>'Book Review'!AU104</f>
        <v>3</v>
      </c>
      <c r="M104" s="116"/>
      <c r="N104" s="118">
        <f>Debate!K104</f>
        <v>3</v>
      </c>
      <c r="O104" s="118">
        <f>Debate!Q104</f>
        <v>3.1</v>
      </c>
      <c r="P104" s="118"/>
      <c r="Q104" s="118">
        <f>Debate!AC104</f>
        <v>3</v>
      </c>
      <c r="R104" s="118"/>
      <c r="S104" s="118">
        <f>Debate!AO104</f>
        <v>3.6666666666666665</v>
      </c>
      <c r="T104" s="118">
        <f>Debate!AU104</f>
        <v>3</v>
      </c>
      <c r="U104" s="116"/>
      <c r="V104" s="7"/>
      <c r="W104" s="118">
        <f>GD!Q104</f>
        <v>3.25</v>
      </c>
      <c r="X104" s="118">
        <f>GD!W104</f>
        <v>3</v>
      </c>
      <c r="Y104" s="118"/>
      <c r="Z104" s="118"/>
      <c r="AA104" s="7"/>
      <c r="AB104" s="118"/>
      <c r="AC104" s="116"/>
      <c r="AD104" s="118">
        <f>'Case study'!K104</f>
        <v>3</v>
      </c>
      <c r="AE104" s="118">
        <f>'Case study'!Q104</f>
        <v>3.6</v>
      </c>
      <c r="AF104" s="118">
        <f>'Case study'!W104</f>
        <v>3</v>
      </c>
      <c r="AG104" s="118"/>
      <c r="AH104" s="118"/>
      <c r="AI104" s="118">
        <f>'Case study'!AO104</f>
        <v>3</v>
      </c>
      <c r="AJ104" s="118">
        <f>'Case study'!AU104</f>
        <v>3</v>
      </c>
      <c r="AK104" s="116"/>
      <c r="AL104" s="118">
        <f>Capstone!K104</f>
        <v>4</v>
      </c>
      <c r="AM104" s="118">
        <f>Capstone!Q105</f>
        <v>3</v>
      </c>
      <c r="AN104" s="118">
        <f>Capstone!W105</f>
        <v>2</v>
      </c>
      <c r="AO104" s="118"/>
      <c r="AP104" s="118"/>
      <c r="AQ104" s="118">
        <f>Capstone!AO105</f>
        <v>2.5</v>
      </c>
      <c r="AR104" s="118"/>
      <c r="AS104" s="116"/>
      <c r="AT104" s="118">
        <f>IFERROR(AVERAGE(Table110461117[[#This Row],[Column2]],Table110461117[[#This Row],[Column11]],Table110461117[[#This Row],[Column29]]),"0")</f>
        <v>2.8333333333333335</v>
      </c>
      <c r="AU104" s="118">
        <f>IFERROR(AVERAGE(Table110461117[[#This Row],[Column3]],Table110461117[[#This Row],[Column12]],Table110461117[[#This Row],[Column21]],Table110461117[[#This Row],[Column30]]),"0")</f>
        <v>3.2875000000000001</v>
      </c>
      <c r="AV104" s="118">
        <f>IFERROR(AVERAGE(Table110461117[[#This Row],[Column31]],Table110461117[[#This Row],[Column22]],Table110461117[[#This Row],[Column4]]),"0")</f>
        <v>2.6666666666666665</v>
      </c>
      <c r="AW104" s="118">
        <f>IFERROR(AVERAGE(Table110461117[[#This Row],[Column14]]),"0")</f>
        <v>3</v>
      </c>
      <c r="AX104" s="118"/>
      <c r="AY104" s="118">
        <f>IFERROR(AVERAGE(Table110461117[[#This Row],[Column34]],Table110461117[[#This Row],[Column16]],Table110461117[[#This Row],[Column7]]),"0")</f>
        <v>3.2222222222222219</v>
      </c>
      <c r="AZ104" s="118">
        <f>IFERROR(AVERAGE(Table110461117[[#This Row],[Column35]],Table110461117[[#This Row],[Column17]],Table110461117[[#This Row],[Column8]]),"0")</f>
        <v>3</v>
      </c>
      <c r="BA104" s="116"/>
      <c r="BB104" s="118"/>
      <c r="BC104" s="118">
        <f>IFERROR(AVERAGE('Book Review'!AY104,Debate!AY104,'Case study'!AY104,Capstone!AY104),"A")</f>
        <v>3.75</v>
      </c>
      <c r="BD104" s="118">
        <f>IFERROR(AVERAGE('Book Review'!AZ104,Debate!AZ104,'Case study'!AZ104),"A")</f>
        <v>3</v>
      </c>
    </row>
    <row r="105" spans="1:56" s="109" customFormat="1" ht="23.1" customHeight="1" x14ac:dyDescent="0.3">
      <c r="A105" s="115">
        <v>103</v>
      </c>
      <c r="B105" s="49" t="s">
        <v>142</v>
      </c>
      <c r="C105" s="49" t="s">
        <v>143</v>
      </c>
      <c r="D105" s="49" t="s">
        <v>542</v>
      </c>
      <c r="E105" s="49" t="s">
        <v>35</v>
      </c>
      <c r="F105" s="117">
        <f>'Book Review'!K105</f>
        <v>2.5</v>
      </c>
      <c r="G105" s="117">
        <f>'Book Review'!Q105</f>
        <v>3</v>
      </c>
      <c r="H105" s="117">
        <f>'Book Review'!W105</f>
        <v>2</v>
      </c>
      <c r="I105" s="117"/>
      <c r="J105" s="117"/>
      <c r="K105" s="117">
        <f>'Book Review'!AO105</f>
        <v>2.5</v>
      </c>
      <c r="L105" s="117">
        <f>'Book Review'!AU105</f>
        <v>2</v>
      </c>
      <c r="M105" s="116"/>
      <c r="N105" s="117">
        <f>Debate!K105</f>
        <v>2</v>
      </c>
      <c r="O105" s="117">
        <f>Debate!Q105</f>
        <v>2.2999999999999998</v>
      </c>
      <c r="P105" s="117"/>
      <c r="Q105" s="117">
        <f>Debate!AC105</f>
        <v>3</v>
      </c>
      <c r="R105" s="117"/>
      <c r="S105" s="117">
        <f>Debate!AO105</f>
        <v>2.3333333333333335</v>
      </c>
      <c r="T105" s="117">
        <f>Debate!AU105</f>
        <v>3</v>
      </c>
      <c r="U105" s="116"/>
      <c r="V105" s="49"/>
      <c r="W105" s="117">
        <f>GD!Q105</f>
        <v>2.75</v>
      </c>
      <c r="X105" s="117">
        <f>GD!W105</f>
        <v>2</v>
      </c>
      <c r="Y105" s="117"/>
      <c r="Z105" s="117"/>
      <c r="AA105" s="49"/>
      <c r="AB105" s="117"/>
      <c r="AC105" s="116"/>
      <c r="AD105" s="117">
        <f>'Case study'!K105</f>
        <v>2</v>
      </c>
      <c r="AE105" s="117">
        <f>'Case study'!Q105</f>
        <v>2.8</v>
      </c>
      <c r="AF105" s="117">
        <f>'Case study'!W105</f>
        <v>2</v>
      </c>
      <c r="AG105" s="117"/>
      <c r="AH105" s="117"/>
      <c r="AI105" s="117">
        <f>'Case study'!AO105</f>
        <v>2</v>
      </c>
      <c r="AJ105" s="117">
        <f>'Case study'!AU105</f>
        <v>3</v>
      </c>
      <c r="AK105" s="116"/>
      <c r="AL105" s="117">
        <f>Capstone!K105</f>
        <v>2</v>
      </c>
      <c r="AM105" s="117">
        <f>Capstone!Q106</f>
        <v>3</v>
      </c>
      <c r="AN105" s="117">
        <f>Capstone!W106</f>
        <v>3</v>
      </c>
      <c r="AO105" s="117"/>
      <c r="AP105" s="117"/>
      <c r="AQ105" s="117">
        <f>Capstone!AO106</f>
        <v>2.75</v>
      </c>
      <c r="AR105" s="117"/>
      <c r="AS105" s="116"/>
      <c r="AT105" s="117">
        <f>IFERROR(AVERAGE(Table110461117[[#This Row],[Column2]],Table110461117[[#This Row],[Column11]],Table110461117[[#This Row],[Column29]]),"0")</f>
        <v>2.1666666666666665</v>
      </c>
      <c r="AU105" s="117">
        <f>IFERROR(AVERAGE(Table110461117[[#This Row],[Column3]],Table110461117[[#This Row],[Column12]],Table110461117[[#This Row],[Column21]],Table110461117[[#This Row],[Column30]]),"0")</f>
        <v>2.7125000000000004</v>
      </c>
      <c r="AV105" s="117">
        <f>IFERROR(AVERAGE(Table110461117[[#This Row],[Column31]],Table110461117[[#This Row],[Column22]],Table110461117[[#This Row],[Column4]]),"0")</f>
        <v>2</v>
      </c>
      <c r="AW105" s="117">
        <f>IFERROR(AVERAGE(Table110461117[[#This Row],[Column14]]),"0")</f>
        <v>3</v>
      </c>
      <c r="AX105" s="117"/>
      <c r="AY105" s="117">
        <f>IFERROR(AVERAGE(Table110461117[[#This Row],[Column34]],Table110461117[[#This Row],[Column16]],Table110461117[[#This Row],[Column7]]),"0")</f>
        <v>2.2777777777777781</v>
      </c>
      <c r="AZ105" s="117">
        <f>IFERROR(AVERAGE(Table110461117[[#This Row],[Column35]],Table110461117[[#This Row],[Column17]],Table110461117[[#This Row],[Column8]]),"0")</f>
        <v>2.6666666666666665</v>
      </c>
      <c r="BA105" s="116"/>
      <c r="BB105" s="117"/>
      <c r="BC105" s="117">
        <f>IFERROR(AVERAGE('Book Review'!AY105,Debate!AY105,'Case study'!AY105,Capstone!AY105),"A")</f>
        <v>3.25</v>
      </c>
      <c r="BD105" s="117">
        <f>IFERROR(AVERAGE('Book Review'!AZ105,Debate!AZ105,'Case study'!AZ105),"A")</f>
        <v>2.3333333333333335</v>
      </c>
    </row>
    <row r="106" spans="1:56" s="109" customFormat="1" ht="23.1" customHeight="1" x14ac:dyDescent="0.3">
      <c r="A106" s="6">
        <v>104</v>
      </c>
      <c r="B106" s="7" t="s">
        <v>77</v>
      </c>
      <c r="C106" s="7" t="s">
        <v>78</v>
      </c>
      <c r="D106" s="7" t="s">
        <v>450</v>
      </c>
      <c r="E106" s="7" t="s">
        <v>35</v>
      </c>
      <c r="F106" s="118">
        <f>'Book Review'!K106</f>
        <v>3.75</v>
      </c>
      <c r="G106" s="118">
        <f>'Book Review'!Q106</f>
        <v>4.2</v>
      </c>
      <c r="H106" s="118">
        <f>'Book Review'!W106</f>
        <v>4</v>
      </c>
      <c r="I106" s="118"/>
      <c r="J106" s="118"/>
      <c r="K106" s="118">
        <f>'Book Review'!AO106</f>
        <v>4</v>
      </c>
      <c r="L106" s="118">
        <f>'Book Review'!AU106</f>
        <v>4</v>
      </c>
      <c r="M106" s="116"/>
      <c r="N106" s="118">
        <f>Debate!K106</f>
        <v>3</v>
      </c>
      <c r="O106" s="118">
        <f>Debate!Q106</f>
        <v>4.3</v>
      </c>
      <c r="P106" s="118"/>
      <c r="Q106" s="118">
        <f>Debate!AC106</f>
        <v>3</v>
      </c>
      <c r="R106" s="118"/>
      <c r="S106" s="118">
        <f>Debate!AO106</f>
        <v>3.6666666666666665</v>
      </c>
      <c r="T106" s="118">
        <f>Debate!AU106</f>
        <v>3</v>
      </c>
      <c r="U106" s="116"/>
      <c r="V106" s="7"/>
      <c r="W106" s="118">
        <f>GD!Q106</f>
        <v>3.5</v>
      </c>
      <c r="X106" s="118">
        <f>GD!W106</f>
        <v>4</v>
      </c>
      <c r="Y106" s="118"/>
      <c r="Z106" s="118"/>
      <c r="AA106" s="7"/>
      <c r="AB106" s="118"/>
      <c r="AC106" s="116"/>
      <c r="AD106" s="118">
        <f>'Case study'!K106</f>
        <v>4</v>
      </c>
      <c r="AE106" s="118">
        <f>'Case study'!Q106</f>
        <v>4.5999999999999996</v>
      </c>
      <c r="AF106" s="118">
        <f>'Case study'!W106</f>
        <v>3</v>
      </c>
      <c r="AG106" s="118"/>
      <c r="AH106" s="118"/>
      <c r="AI106" s="118">
        <f>'Case study'!AO106</f>
        <v>4</v>
      </c>
      <c r="AJ106" s="118">
        <f>'Case study'!AU106</f>
        <v>3</v>
      </c>
      <c r="AK106" s="116"/>
      <c r="AL106" s="118">
        <f>Capstone!K106</f>
        <v>2.6666666666666665</v>
      </c>
      <c r="AM106" s="118">
        <f>Capstone!Q107</f>
        <v>4.5</v>
      </c>
      <c r="AN106" s="118">
        <f>Capstone!W107</f>
        <v>4</v>
      </c>
      <c r="AO106" s="118"/>
      <c r="AP106" s="118"/>
      <c r="AQ106" s="118">
        <f>Capstone!AO107</f>
        <v>4.25</v>
      </c>
      <c r="AR106" s="118"/>
      <c r="AS106" s="116"/>
      <c r="AT106" s="118">
        <f>IFERROR(AVERAGE(Table110461117[[#This Row],[Column2]],Table110461117[[#This Row],[Column11]],Table110461117[[#This Row],[Column29]]),"0")</f>
        <v>3.5833333333333335</v>
      </c>
      <c r="AU106" s="118">
        <f>IFERROR(AVERAGE(Table110461117[[#This Row],[Column3]],Table110461117[[#This Row],[Column12]],Table110461117[[#This Row],[Column21]],Table110461117[[#This Row],[Column30]]),"0")</f>
        <v>4.1500000000000004</v>
      </c>
      <c r="AV106" s="118">
        <f>IFERROR(AVERAGE(Table110461117[[#This Row],[Column31]],Table110461117[[#This Row],[Column22]],Table110461117[[#This Row],[Column4]]),"0")</f>
        <v>3.6666666666666665</v>
      </c>
      <c r="AW106" s="118">
        <f>IFERROR(AVERAGE(Table110461117[[#This Row],[Column14]]),"0")</f>
        <v>3</v>
      </c>
      <c r="AX106" s="118"/>
      <c r="AY106" s="118">
        <f>IFERROR(AVERAGE(Table110461117[[#This Row],[Column34]],Table110461117[[#This Row],[Column16]],Table110461117[[#This Row],[Column7]]),"0")</f>
        <v>3.8888888888888888</v>
      </c>
      <c r="AZ106" s="118">
        <f>IFERROR(AVERAGE(Table110461117[[#This Row],[Column35]],Table110461117[[#This Row],[Column17]],Table110461117[[#This Row],[Column8]]),"0")</f>
        <v>3.3333333333333335</v>
      </c>
      <c r="BA106" s="116"/>
      <c r="BB106" s="118"/>
      <c r="BC106" s="118">
        <f>IFERROR(AVERAGE('Book Review'!AY106,Debate!AY106,'Case study'!AY106,Capstone!AY106),"A")</f>
        <v>3.5</v>
      </c>
      <c r="BD106" s="118">
        <f>IFERROR(AVERAGE('Book Review'!AZ106,Debate!AZ106,'Case study'!AZ106),"A")</f>
        <v>4</v>
      </c>
    </row>
    <row r="107" spans="1:56" s="109" customFormat="1" ht="23.1" customHeight="1" x14ac:dyDescent="0.3">
      <c r="A107" s="115">
        <v>105</v>
      </c>
      <c r="B107" s="49" t="s">
        <v>144</v>
      </c>
      <c r="C107" s="49" t="s">
        <v>145</v>
      </c>
      <c r="D107" s="49" t="s">
        <v>542</v>
      </c>
      <c r="E107" s="49" t="s">
        <v>35</v>
      </c>
      <c r="F107" s="117">
        <f>'Book Review'!K107</f>
        <v>3.25</v>
      </c>
      <c r="G107" s="117">
        <f>'Book Review'!Q107</f>
        <v>4</v>
      </c>
      <c r="H107" s="117">
        <f>'Book Review'!W107</f>
        <v>4</v>
      </c>
      <c r="I107" s="117"/>
      <c r="J107" s="117"/>
      <c r="K107" s="117">
        <f>'Book Review'!AO107</f>
        <v>3</v>
      </c>
      <c r="L107" s="117">
        <f>'Book Review'!AU107</f>
        <v>3</v>
      </c>
      <c r="M107" s="116"/>
      <c r="N107" s="117">
        <f>Debate!K107</f>
        <v>3</v>
      </c>
      <c r="O107" s="117">
        <f>Debate!Q107</f>
        <v>4</v>
      </c>
      <c r="P107" s="117"/>
      <c r="Q107" s="117">
        <f>Debate!AC107</f>
        <v>3</v>
      </c>
      <c r="R107" s="117"/>
      <c r="S107" s="117">
        <f>Debate!AO107</f>
        <v>3.6666666666666665</v>
      </c>
      <c r="T107" s="117">
        <f>Debate!AU107</f>
        <v>3</v>
      </c>
      <c r="U107" s="116"/>
      <c r="V107" s="49"/>
      <c r="W107" s="117">
        <f>GD!Q107</f>
        <v>3.75</v>
      </c>
      <c r="X107" s="117">
        <f>GD!W107</f>
        <v>4</v>
      </c>
      <c r="Y107" s="117"/>
      <c r="Z107" s="117"/>
      <c r="AA107" s="49"/>
      <c r="AB107" s="117"/>
      <c r="AC107" s="116"/>
      <c r="AD107" s="117">
        <f>'Case study'!K107</f>
        <v>3.25</v>
      </c>
      <c r="AE107" s="117">
        <f>'Case study'!Q107</f>
        <v>4</v>
      </c>
      <c r="AF107" s="117">
        <f>'Case study'!W107</f>
        <v>4</v>
      </c>
      <c r="AG107" s="117"/>
      <c r="AH107" s="117"/>
      <c r="AI107" s="117">
        <f>'Case study'!AO107</f>
        <v>3</v>
      </c>
      <c r="AJ107" s="117">
        <f>'Case study'!AU107</f>
        <v>3</v>
      </c>
      <c r="AK107" s="116"/>
      <c r="AL107" s="117">
        <f>Capstone!K107</f>
        <v>4</v>
      </c>
      <c r="AM107" s="117">
        <f>Capstone!Q108</f>
        <v>2.5</v>
      </c>
      <c r="AN107" s="117">
        <f>Capstone!W108</f>
        <v>3</v>
      </c>
      <c r="AO107" s="117"/>
      <c r="AP107" s="117"/>
      <c r="AQ107" s="117">
        <f>Capstone!AO108</f>
        <v>2.125</v>
      </c>
      <c r="AR107" s="117"/>
      <c r="AS107" s="116"/>
      <c r="AT107" s="117">
        <f>IFERROR(AVERAGE(Table110461117[[#This Row],[Column2]],Table110461117[[#This Row],[Column11]],Table110461117[[#This Row],[Column29]]),"0")</f>
        <v>3.1666666666666665</v>
      </c>
      <c r="AU107" s="117">
        <f>IFERROR(AVERAGE(Table110461117[[#This Row],[Column3]],Table110461117[[#This Row],[Column12]],Table110461117[[#This Row],[Column21]],Table110461117[[#This Row],[Column30]]),"0")</f>
        <v>3.9375</v>
      </c>
      <c r="AV107" s="117">
        <f>IFERROR(AVERAGE(Table110461117[[#This Row],[Column31]],Table110461117[[#This Row],[Column22]],Table110461117[[#This Row],[Column4]]),"0")</f>
        <v>4</v>
      </c>
      <c r="AW107" s="117">
        <f>IFERROR(AVERAGE(Table110461117[[#This Row],[Column14]]),"0")</f>
        <v>3</v>
      </c>
      <c r="AX107" s="117"/>
      <c r="AY107" s="117">
        <f>IFERROR(AVERAGE(Table110461117[[#This Row],[Column34]],Table110461117[[#This Row],[Column16]],Table110461117[[#This Row],[Column7]]),"0")</f>
        <v>3.2222222222222219</v>
      </c>
      <c r="AZ107" s="117">
        <f>IFERROR(AVERAGE(Table110461117[[#This Row],[Column35]],Table110461117[[#This Row],[Column17]],Table110461117[[#This Row],[Column8]]),"0")</f>
        <v>3</v>
      </c>
      <c r="BA107" s="116"/>
      <c r="BB107" s="117"/>
      <c r="BC107" s="117">
        <f>IFERROR(AVERAGE('Book Review'!AY107,Debate!AY107,'Case study'!AY107,Capstone!AY107),"A")</f>
        <v>4</v>
      </c>
      <c r="BD107" s="117">
        <f>IFERROR(AVERAGE('Book Review'!AZ107,Debate!AZ107,'Case study'!AZ107),"A")</f>
        <v>4</v>
      </c>
    </row>
    <row r="108" spans="1:56" s="109" customFormat="1" ht="23.1" customHeight="1" x14ac:dyDescent="0.3">
      <c r="A108" s="6">
        <v>106</v>
      </c>
      <c r="B108" s="7" t="s">
        <v>350</v>
      </c>
      <c r="C108" s="7" t="s">
        <v>351</v>
      </c>
      <c r="D108" s="7" t="s">
        <v>450</v>
      </c>
      <c r="E108" s="7" t="s">
        <v>493</v>
      </c>
      <c r="F108" s="118">
        <f>'Book Review'!K108</f>
        <v>2.25</v>
      </c>
      <c r="G108" s="118">
        <f>'Book Review'!Q108</f>
        <v>3</v>
      </c>
      <c r="H108" s="118">
        <f>'Book Review'!W108</f>
        <v>3</v>
      </c>
      <c r="I108" s="118"/>
      <c r="J108" s="118"/>
      <c r="K108" s="118">
        <f>'Book Review'!AO108</f>
        <v>3</v>
      </c>
      <c r="L108" s="118">
        <f>'Book Review'!AU108</f>
        <v>4</v>
      </c>
      <c r="M108" s="116"/>
      <c r="N108" s="118">
        <f>Debate!K108</f>
        <v>3</v>
      </c>
      <c r="O108" s="118">
        <f>Debate!Q108</f>
        <v>2.7</v>
      </c>
      <c r="P108" s="118"/>
      <c r="Q108" s="118">
        <f>Debate!AC108</f>
        <v>3</v>
      </c>
      <c r="R108" s="118"/>
      <c r="S108" s="118">
        <f>Debate!AO108</f>
        <v>3</v>
      </c>
      <c r="T108" s="118">
        <f>Debate!AU108</f>
        <v>3</v>
      </c>
      <c r="U108" s="116"/>
      <c r="V108" s="7"/>
      <c r="W108" s="118">
        <f>GD!Q108</f>
        <v>3</v>
      </c>
      <c r="X108" s="118">
        <f>GD!W108</f>
        <v>3</v>
      </c>
      <c r="Y108" s="118"/>
      <c r="Z108" s="118"/>
      <c r="AA108" s="7"/>
      <c r="AB108" s="118"/>
      <c r="AC108" s="116"/>
      <c r="AD108" s="118">
        <f>'Case study'!K108</f>
        <v>2.25</v>
      </c>
      <c r="AE108" s="118">
        <f>'Case study'!Q108</f>
        <v>3</v>
      </c>
      <c r="AF108" s="118">
        <f>'Case study'!W108</f>
        <v>3</v>
      </c>
      <c r="AG108" s="118"/>
      <c r="AH108" s="118"/>
      <c r="AI108" s="118">
        <f>'Case study'!AO108</f>
        <v>3.5</v>
      </c>
      <c r="AJ108" s="118">
        <f>'Case study'!AU108</f>
        <v>3</v>
      </c>
      <c r="AK108" s="116"/>
      <c r="AL108" s="118">
        <f>Capstone!K108</f>
        <v>2.1666666666666665</v>
      </c>
      <c r="AM108" s="118">
        <f>Capstone!Q109</f>
        <v>4</v>
      </c>
      <c r="AN108" s="118">
        <f>Capstone!W109</f>
        <v>3</v>
      </c>
      <c r="AO108" s="118"/>
      <c r="AP108" s="118"/>
      <c r="AQ108" s="118">
        <f>Capstone!AO109</f>
        <v>4.75</v>
      </c>
      <c r="AR108" s="118"/>
      <c r="AS108" s="116"/>
      <c r="AT108" s="118">
        <f>IFERROR(AVERAGE(Table110461117[[#This Row],[Column2]],Table110461117[[#This Row],[Column11]],Table110461117[[#This Row],[Column29]]),"0")</f>
        <v>2.5</v>
      </c>
      <c r="AU108" s="118">
        <f>IFERROR(AVERAGE(Table110461117[[#This Row],[Column3]],Table110461117[[#This Row],[Column12]],Table110461117[[#This Row],[Column21]],Table110461117[[#This Row],[Column30]]),"0")</f>
        <v>2.9249999999999998</v>
      </c>
      <c r="AV108" s="118">
        <f>IFERROR(AVERAGE(Table110461117[[#This Row],[Column31]],Table110461117[[#This Row],[Column22]],Table110461117[[#This Row],[Column4]]),"0")</f>
        <v>3</v>
      </c>
      <c r="AW108" s="118">
        <f>IFERROR(AVERAGE(Table110461117[[#This Row],[Column14]]),"0")</f>
        <v>3</v>
      </c>
      <c r="AX108" s="118"/>
      <c r="AY108" s="118">
        <f>IFERROR(AVERAGE(Table110461117[[#This Row],[Column34]],Table110461117[[#This Row],[Column16]],Table110461117[[#This Row],[Column7]]),"0")</f>
        <v>3.1666666666666665</v>
      </c>
      <c r="AZ108" s="118">
        <f>IFERROR(AVERAGE(Table110461117[[#This Row],[Column35]],Table110461117[[#This Row],[Column17]],Table110461117[[#This Row],[Column8]]),"0")</f>
        <v>3.3333333333333335</v>
      </c>
      <c r="BA108" s="116"/>
      <c r="BB108" s="118"/>
      <c r="BC108" s="118">
        <f>IFERROR(AVERAGE('Book Review'!AY108,Debate!AY108,'Case study'!AY108,Capstone!AY108),"A")</f>
        <v>3.375</v>
      </c>
      <c r="BD108" s="118">
        <f>IFERROR(AVERAGE('Book Review'!AZ108,Debate!AZ108,'Case study'!AZ108),"A")</f>
        <v>3.6666666666666665</v>
      </c>
    </row>
    <row r="109" spans="1:56" s="109" customFormat="1" ht="23.1" customHeight="1" x14ac:dyDescent="0.3">
      <c r="A109" s="115">
        <v>107</v>
      </c>
      <c r="B109" s="49" t="s">
        <v>352</v>
      </c>
      <c r="C109" s="49" t="s">
        <v>353</v>
      </c>
      <c r="D109" s="49" t="s">
        <v>542</v>
      </c>
      <c r="E109" s="49" t="s">
        <v>493</v>
      </c>
      <c r="F109" s="117">
        <f>'Book Review'!K109</f>
        <v>3.25</v>
      </c>
      <c r="G109" s="117">
        <f>'Book Review'!Q109</f>
        <v>4.4000000000000004</v>
      </c>
      <c r="H109" s="117">
        <f>'Book Review'!W109</f>
        <v>4</v>
      </c>
      <c r="I109" s="117"/>
      <c r="J109" s="117"/>
      <c r="K109" s="117">
        <f>'Book Review'!AO109</f>
        <v>3</v>
      </c>
      <c r="L109" s="117">
        <f>'Book Review'!AU109</f>
        <v>3</v>
      </c>
      <c r="M109" s="116"/>
      <c r="N109" s="117">
        <f>Debate!K109</f>
        <v>2</v>
      </c>
      <c r="O109" s="117">
        <f>Debate!Q109</f>
        <v>4.0999999999999996</v>
      </c>
      <c r="P109" s="117"/>
      <c r="Q109" s="117">
        <f>Debate!AC109</f>
        <v>2</v>
      </c>
      <c r="R109" s="117"/>
      <c r="S109" s="117">
        <f>Debate!AO109</f>
        <v>3.3333333333333335</v>
      </c>
      <c r="T109" s="117">
        <f>Debate!AU109</f>
        <v>3</v>
      </c>
      <c r="U109" s="116"/>
      <c r="V109" s="49"/>
      <c r="W109" s="117">
        <f>GD!Q109</f>
        <v>4</v>
      </c>
      <c r="X109" s="117">
        <f>GD!W109</f>
        <v>2</v>
      </c>
      <c r="Y109" s="117"/>
      <c r="Z109" s="117"/>
      <c r="AA109" s="49"/>
      <c r="AB109" s="117"/>
      <c r="AC109" s="116"/>
      <c r="AD109" s="117">
        <f>'Case study'!K109</f>
        <v>2</v>
      </c>
      <c r="AE109" s="117">
        <f>'Case study'!Q109</f>
        <v>4.4000000000000004</v>
      </c>
      <c r="AF109" s="117">
        <f>'Case study'!W109</f>
        <v>3</v>
      </c>
      <c r="AG109" s="117"/>
      <c r="AH109" s="117"/>
      <c r="AI109" s="117">
        <f>'Case study'!AO109</f>
        <v>2</v>
      </c>
      <c r="AJ109" s="117">
        <f>'Case study'!AU109</f>
        <v>3</v>
      </c>
      <c r="AK109" s="116"/>
      <c r="AL109" s="117">
        <f>Capstone!K109</f>
        <v>4.333333333333333</v>
      </c>
      <c r="AM109" s="117">
        <f>Capstone!Q110</f>
        <v>4</v>
      </c>
      <c r="AN109" s="117">
        <f>Capstone!W110</f>
        <v>2</v>
      </c>
      <c r="AO109" s="117"/>
      <c r="AP109" s="117"/>
      <c r="AQ109" s="117">
        <f>Capstone!AO110</f>
        <v>4</v>
      </c>
      <c r="AR109" s="117"/>
      <c r="AS109" s="116"/>
      <c r="AT109" s="117">
        <f>IFERROR(AVERAGE(Table110461117[[#This Row],[Column2]],Table110461117[[#This Row],[Column11]],Table110461117[[#This Row],[Column29]]),"0")</f>
        <v>2.4166666666666665</v>
      </c>
      <c r="AU109" s="117">
        <f>IFERROR(AVERAGE(Table110461117[[#This Row],[Column3]],Table110461117[[#This Row],[Column12]],Table110461117[[#This Row],[Column21]],Table110461117[[#This Row],[Column30]]),"0")</f>
        <v>4.2249999999999996</v>
      </c>
      <c r="AV109" s="117">
        <f>IFERROR(AVERAGE(Table110461117[[#This Row],[Column31]],Table110461117[[#This Row],[Column22]],Table110461117[[#This Row],[Column4]]),"0")</f>
        <v>3</v>
      </c>
      <c r="AW109" s="117">
        <f>IFERROR(AVERAGE(Table110461117[[#This Row],[Column14]]),"0")</f>
        <v>2</v>
      </c>
      <c r="AX109" s="117"/>
      <c r="AY109" s="117">
        <f>IFERROR(AVERAGE(Table110461117[[#This Row],[Column34]],Table110461117[[#This Row],[Column16]],Table110461117[[#This Row],[Column7]]),"0")</f>
        <v>2.7777777777777781</v>
      </c>
      <c r="AZ109" s="117">
        <f>IFERROR(AVERAGE(Table110461117[[#This Row],[Column35]],Table110461117[[#This Row],[Column17]],Table110461117[[#This Row],[Column8]]),"0")</f>
        <v>3</v>
      </c>
      <c r="BA109" s="116"/>
      <c r="BB109" s="117"/>
      <c r="BC109" s="117">
        <f>IFERROR(AVERAGE('Book Review'!AY109,Debate!AY109,'Case study'!AY109,Capstone!AY109),"A")</f>
        <v>3.25</v>
      </c>
      <c r="BD109" s="117">
        <f>IFERROR(AVERAGE('Book Review'!AZ109,Debate!AZ109,'Case study'!AZ109),"A")</f>
        <v>3.3333333333333335</v>
      </c>
    </row>
    <row r="110" spans="1:56" s="109" customFormat="1" ht="23.1" customHeight="1" x14ac:dyDescent="0.3">
      <c r="A110" s="6">
        <v>108</v>
      </c>
      <c r="B110" s="7" t="s">
        <v>279</v>
      </c>
      <c r="C110" s="7" t="s">
        <v>280</v>
      </c>
      <c r="D110" s="7" t="s">
        <v>450</v>
      </c>
      <c r="E110" s="7" t="s">
        <v>161</v>
      </c>
      <c r="F110" s="118">
        <f>'Book Review'!K110</f>
        <v>3</v>
      </c>
      <c r="G110" s="118">
        <f>'Book Review'!Q110</f>
        <v>2.4</v>
      </c>
      <c r="H110" s="118">
        <f>'Book Review'!W110</f>
        <v>3</v>
      </c>
      <c r="I110" s="118"/>
      <c r="J110" s="118"/>
      <c r="K110" s="118">
        <f>'Book Review'!AO110</f>
        <v>2</v>
      </c>
      <c r="L110" s="118">
        <f>'Book Review'!AU110</f>
        <v>4</v>
      </c>
      <c r="M110" s="116"/>
      <c r="N110" s="118">
        <f>Debate!K110</f>
        <v>2</v>
      </c>
      <c r="O110" s="118">
        <f>Debate!Q110</f>
        <v>2.2000000000000002</v>
      </c>
      <c r="P110" s="118"/>
      <c r="Q110" s="118">
        <f>Debate!AC110</f>
        <v>2</v>
      </c>
      <c r="R110" s="118"/>
      <c r="S110" s="118">
        <f>Debate!AO110</f>
        <v>2.6666666666666665</v>
      </c>
      <c r="T110" s="118">
        <f>Debate!AU110</f>
        <v>3</v>
      </c>
      <c r="U110" s="116"/>
      <c r="V110" s="7"/>
      <c r="W110" s="118">
        <f>GD!Q110</f>
        <v>2</v>
      </c>
      <c r="X110" s="118">
        <f>GD!W110</f>
        <v>1</v>
      </c>
      <c r="Y110" s="118"/>
      <c r="Z110" s="118"/>
      <c r="AA110" s="7"/>
      <c r="AB110" s="118"/>
      <c r="AC110" s="116"/>
      <c r="AD110" s="118">
        <f>'Case study'!K110</f>
        <v>1.75</v>
      </c>
      <c r="AE110" s="118">
        <f>'Case study'!Q110</f>
        <v>2.4</v>
      </c>
      <c r="AF110" s="118">
        <f>'Case study'!W110</f>
        <v>2</v>
      </c>
      <c r="AG110" s="118"/>
      <c r="AH110" s="118"/>
      <c r="AI110" s="118">
        <f>'Case study'!AO110</f>
        <v>2.25</v>
      </c>
      <c r="AJ110" s="118">
        <f>'Case study'!AU110</f>
        <v>3</v>
      </c>
      <c r="AK110" s="116"/>
      <c r="AL110" s="118">
        <f>Capstone!K110</f>
        <v>4</v>
      </c>
      <c r="AM110" s="118">
        <f>Capstone!Q111</f>
        <v>4.5</v>
      </c>
      <c r="AN110" s="118">
        <f>Capstone!W111</f>
        <v>4</v>
      </c>
      <c r="AO110" s="118"/>
      <c r="AP110" s="118"/>
      <c r="AQ110" s="118">
        <f>Capstone!AO111</f>
        <v>4</v>
      </c>
      <c r="AR110" s="118"/>
      <c r="AS110" s="116"/>
      <c r="AT110" s="118">
        <f>IFERROR(AVERAGE(Table110461117[[#This Row],[Column2]],Table110461117[[#This Row],[Column11]],Table110461117[[#This Row],[Column29]]),"0")</f>
        <v>2.25</v>
      </c>
      <c r="AU110" s="118">
        <f>IFERROR(AVERAGE(Table110461117[[#This Row],[Column3]],Table110461117[[#This Row],[Column12]],Table110461117[[#This Row],[Column21]],Table110461117[[#This Row],[Column30]]),"0")</f>
        <v>2.25</v>
      </c>
      <c r="AV110" s="118">
        <f>IFERROR(AVERAGE(Table110461117[[#This Row],[Column31]],Table110461117[[#This Row],[Column22]],Table110461117[[#This Row],[Column4]]),"0")</f>
        <v>2</v>
      </c>
      <c r="AW110" s="118">
        <f>IFERROR(AVERAGE(Table110461117[[#This Row],[Column14]]),"0")</f>
        <v>2</v>
      </c>
      <c r="AX110" s="118"/>
      <c r="AY110" s="118">
        <f>IFERROR(AVERAGE(Table110461117[[#This Row],[Column34]],Table110461117[[#This Row],[Column16]],Table110461117[[#This Row],[Column7]]),"0")</f>
        <v>2.3055555555555554</v>
      </c>
      <c r="AZ110" s="118">
        <f>IFERROR(AVERAGE(Table110461117[[#This Row],[Column35]],Table110461117[[#This Row],[Column17]],Table110461117[[#This Row],[Column8]]),"0")</f>
        <v>3.3333333333333335</v>
      </c>
      <c r="BA110" s="116"/>
      <c r="BB110" s="118"/>
      <c r="BC110" s="118">
        <f>IFERROR(AVERAGE('Book Review'!AY110,Debate!AY110,'Case study'!AY110,Capstone!AY110),"A")</f>
        <v>3</v>
      </c>
      <c r="BD110" s="118">
        <f>IFERROR(AVERAGE('Book Review'!AZ110,Debate!AZ110,'Case study'!AZ110),"A")</f>
        <v>2.6666666666666665</v>
      </c>
    </row>
    <row r="111" spans="1:56" s="109" customFormat="1" ht="23.1" customHeight="1" x14ac:dyDescent="0.3">
      <c r="A111" s="115">
        <v>109</v>
      </c>
      <c r="B111" s="49" t="s">
        <v>168</v>
      </c>
      <c r="C111" s="49" t="s">
        <v>169</v>
      </c>
      <c r="D111" s="49" t="s">
        <v>450</v>
      </c>
      <c r="E111" s="49" t="s">
        <v>161</v>
      </c>
      <c r="F111" s="117">
        <f>'Book Review'!K111</f>
        <v>2.75</v>
      </c>
      <c r="G111" s="117">
        <f>'Book Review'!Q111</f>
        <v>3</v>
      </c>
      <c r="H111" s="117">
        <f>'Book Review'!W111</f>
        <v>4</v>
      </c>
      <c r="I111" s="117"/>
      <c r="J111" s="117"/>
      <c r="K111" s="117">
        <f>'Book Review'!AO111</f>
        <v>2.5</v>
      </c>
      <c r="L111" s="117">
        <f>'Book Review'!AU111</f>
        <v>3</v>
      </c>
      <c r="M111" s="116"/>
      <c r="N111" s="117">
        <f>Debate!K111</f>
        <v>2</v>
      </c>
      <c r="O111" s="117">
        <f>Debate!Q111</f>
        <v>2.9</v>
      </c>
      <c r="P111" s="117"/>
      <c r="Q111" s="117">
        <f>Debate!AC111</f>
        <v>2</v>
      </c>
      <c r="R111" s="117"/>
      <c r="S111" s="117">
        <f>Debate!AO111</f>
        <v>3.3333333333333335</v>
      </c>
      <c r="T111" s="117">
        <f>Debate!AU111</f>
        <v>3</v>
      </c>
      <c r="U111" s="116"/>
      <c r="V111" s="49"/>
      <c r="W111" s="117">
        <f>GD!Q111</f>
        <v>3</v>
      </c>
      <c r="X111" s="117">
        <f>GD!W111</f>
        <v>2</v>
      </c>
      <c r="Y111" s="117"/>
      <c r="Z111" s="117"/>
      <c r="AA111" s="49"/>
      <c r="AB111" s="117"/>
      <c r="AC111" s="116"/>
      <c r="AD111" s="117">
        <f>'Case study'!K111</f>
        <v>2.75</v>
      </c>
      <c r="AE111" s="117">
        <f>'Case study'!Q111</f>
        <v>3</v>
      </c>
      <c r="AF111" s="117">
        <f>'Case study'!W111</f>
        <v>4</v>
      </c>
      <c r="AG111" s="117"/>
      <c r="AH111" s="117"/>
      <c r="AI111" s="117">
        <f>'Case study'!AO111</f>
        <v>2.75</v>
      </c>
      <c r="AJ111" s="117">
        <f>'Case study'!AU111</f>
        <v>3</v>
      </c>
      <c r="AK111" s="116"/>
      <c r="AL111" s="117">
        <f>Capstone!K111</f>
        <v>3.6666666666666665</v>
      </c>
      <c r="AM111" s="117" t="str">
        <f>Capstone!Q112</f>
        <v>0</v>
      </c>
      <c r="AN111" s="117">
        <f>Capstone!W112</f>
        <v>2</v>
      </c>
      <c r="AO111" s="117"/>
      <c r="AP111" s="117"/>
      <c r="AQ111" s="117" t="str">
        <f>Capstone!AO112</f>
        <v>0</v>
      </c>
      <c r="AR111" s="117"/>
      <c r="AS111" s="116"/>
      <c r="AT111" s="117">
        <f>IFERROR(AVERAGE(Table110461117[[#This Row],[Column2]],Table110461117[[#This Row],[Column11]],Table110461117[[#This Row],[Column29]]),"0")</f>
        <v>2.5</v>
      </c>
      <c r="AU111" s="117">
        <f>IFERROR(AVERAGE(Table110461117[[#This Row],[Column3]],Table110461117[[#This Row],[Column12]],Table110461117[[#This Row],[Column21]],Table110461117[[#This Row],[Column30]]),"0")</f>
        <v>2.9750000000000001</v>
      </c>
      <c r="AV111" s="117">
        <f>IFERROR(AVERAGE(Table110461117[[#This Row],[Column31]],Table110461117[[#This Row],[Column22]],Table110461117[[#This Row],[Column4]]),"0")</f>
        <v>3.3333333333333335</v>
      </c>
      <c r="AW111" s="117">
        <f>IFERROR(AVERAGE(Table110461117[[#This Row],[Column14]]),"0")</f>
        <v>2</v>
      </c>
      <c r="AX111" s="117"/>
      <c r="AY111" s="117">
        <f>IFERROR(AVERAGE(Table110461117[[#This Row],[Column34]],Table110461117[[#This Row],[Column16]],Table110461117[[#This Row],[Column7]]),"0")</f>
        <v>2.8611111111111112</v>
      </c>
      <c r="AZ111" s="117">
        <f>IFERROR(AVERAGE(Table110461117[[#This Row],[Column35]],Table110461117[[#This Row],[Column17]],Table110461117[[#This Row],[Column8]]),"0")</f>
        <v>3</v>
      </c>
      <c r="BA111" s="116"/>
      <c r="BB111" s="117"/>
      <c r="BC111" s="117">
        <f>IFERROR(AVERAGE('Book Review'!AY111,Debate!AY111,'Case study'!AY111,Capstone!AY111),"A")</f>
        <v>2.75</v>
      </c>
      <c r="BD111" s="117">
        <f>IFERROR(AVERAGE('Book Review'!AZ111,Debate!AZ111,'Case study'!AZ111),"A")</f>
        <v>2.3333333333333335</v>
      </c>
    </row>
    <row r="112" spans="1:56" s="109" customFormat="1" ht="23.1" customHeight="1" x14ac:dyDescent="0.3">
      <c r="A112" s="6">
        <v>110</v>
      </c>
      <c r="B112" s="7" t="s">
        <v>186</v>
      </c>
      <c r="C112" s="7" t="s">
        <v>187</v>
      </c>
      <c r="D112" s="7" t="s">
        <v>450</v>
      </c>
      <c r="E112" s="7" t="s">
        <v>161</v>
      </c>
      <c r="F112" s="118">
        <f>'Book Review'!K112</f>
        <v>1.75</v>
      </c>
      <c r="G112" s="118">
        <f>'Book Review'!Q112</f>
        <v>2.2000000000000002</v>
      </c>
      <c r="H112" s="118">
        <f>'Book Review'!W112</f>
        <v>2</v>
      </c>
      <c r="I112" s="118"/>
      <c r="J112" s="118"/>
      <c r="K112" s="118">
        <f>'Book Review'!AO112</f>
        <v>2</v>
      </c>
      <c r="L112" s="118">
        <f>'Book Review'!AU112</f>
        <v>2</v>
      </c>
      <c r="M112" s="116"/>
      <c r="N112" s="118">
        <f>Debate!K112</f>
        <v>2</v>
      </c>
      <c r="O112" s="118">
        <f>Debate!Q112</f>
        <v>2.1</v>
      </c>
      <c r="P112" s="118"/>
      <c r="Q112" s="118">
        <f>Debate!AC112</f>
        <v>2</v>
      </c>
      <c r="R112" s="118"/>
      <c r="S112" s="118">
        <f>Debate!AO112</f>
        <v>2.3333333333333335</v>
      </c>
      <c r="T112" s="118">
        <f>Debate!AU112</f>
        <v>2</v>
      </c>
      <c r="U112" s="116"/>
      <c r="V112" s="7"/>
      <c r="W112" s="118">
        <f>GD!Q112</f>
        <v>2.25</v>
      </c>
      <c r="X112" s="118">
        <f>GD!W112</f>
        <v>2</v>
      </c>
      <c r="Y112" s="118"/>
      <c r="Z112" s="118"/>
      <c r="AA112" s="7"/>
      <c r="AB112" s="118"/>
      <c r="AC112" s="116"/>
      <c r="AD112" s="118">
        <f>'Case study'!K112</f>
        <v>1.75</v>
      </c>
      <c r="AE112" s="118">
        <f>'Case study'!Q112</f>
        <v>2.2000000000000002</v>
      </c>
      <c r="AF112" s="118">
        <f>'Case study'!W112</f>
        <v>2</v>
      </c>
      <c r="AG112" s="118"/>
      <c r="AH112" s="118"/>
      <c r="AI112" s="118">
        <f>'Case study'!AO112</f>
        <v>2</v>
      </c>
      <c r="AJ112" s="118">
        <f>'Case study'!AU112</f>
        <v>3</v>
      </c>
      <c r="AK112" s="116"/>
      <c r="AL112" s="118" t="str">
        <f>Capstone!K112</f>
        <v>0</v>
      </c>
      <c r="AM112" s="118">
        <f>Capstone!Q113</f>
        <v>4</v>
      </c>
      <c r="AN112" s="118">
        <f>Capstone!W113</f>
        <v>2</v>
      </c>
      <c r="AO112" s="118"/>
      <c r="AP112" s="118"/>
      <c r="AQ112" s="118">
        <f>Capstone!AO113</f>
        <v>4</v>
      </c>
      <c r="AR112" s="118"/>
      <c r="AS112" s="116"/>
      <c r="AT112" s="118">
        <f>IFERROR(AVERAGE(Table110461117[[#This Row],[Column2]],Table110461117[[#This Row],[Column11]],Table110461117[[#This Row],[Column29]]),"0")</f>
        <v>1.8333333333333333</v>
      </c>
      <c r="AU112" s="118">
        <f>IFERROR(AVERAGE(Table110461117[[#This Row],[Column3]],Table110461117[[#This Row],[Column12]],Table110461117[[#This Row],[Column21]],Table110461117[[#This Row],[Column30]]),"0")</f>
        <v>2.1875</v>
      </c>
      <c r="AV112" s="118">
        <f>IFERROR(AVERAGE(Table110461117[[#This Row],[Column31]],Table110461117[[#This Row],[Column22]],Table110461117[[#This Row],[Column4]]),"0")</f>
        <v>2</v>
      </c>
      <c r="AW112" s="118">
        <f>IFERROR(AVERAGE(Table110461117[[#This Row],[Column14]]),"0")</f>
        <v>2</v>
      </c>
      <c r="AX112" s="118"/>
      <c r="AY112" s="118">
        <f>IFERROR(AVERAGE(Table110461117[[#This Row],[Column34]],Table110461117[[#This Row],[Column16]],Table110461117[[#This Row],[Column7]]),"0")</f>
        <v>2.1111111111111112</v>
      </c>
      <c r="AZ112" s="118">
        <f>IFERROR(AVERAGE(Table110461117[[#This Row],[Column35]],Table110461117[[#This Row],[Column17]],Table110461117[[#This Row],[Column8]]),"0")</f>
        <v>2.3333333333333335</v>
      </c>
      <c r="BA112" s="116"/>
      <c r="BB112" s="118"/>
      <c r="BC112" s="118">
        <f>IFERROR(AVERAGE('Book Review'!AY112,Debate!AY112,'Case study'!AY112,Capstone!AY112),"A")</f>
        <v>2.3333333333333335</v>
      </c>
      <c r="BD112" s="118">
        <f>IFERROR(AVERAGE('Book Review'!AZ112,Debate!AZ112,'Case study'!AZ112),"A")</f>
        <v>2</v>
      </c>
    </row>
    <row r="113" spans="1:56" s="109" customFormat="1" ht="23.1" customHeight="1" x14ac:dyDescent="0.3">
      <c r="A113" s="115">
        <v>111</v>
      </c>
      <c r="B113" s="49" t="s">
        <v>233</v>
      </c>
      <c r="C113" s="49" t="s">
        <v>234</v>
      </c>
      <c r="D113" s="49" t="s">
        <v>450</v>
      </c>
      <c r="E113" s="49" t="s">
        <v>161</v>
      </c>
      <c r="F113" s="117">
        <f>'Book Review'!K113</f>
        <v>2.25</v>
      </c>
      <c r="G113" s="117">
        <f>'Book Review'!Q113</f>
        <v>2.4</v>
      </c>
      <c r="H113" s="117">
        <f>'Book Review'!W113</f>
        <v>2</v>
      </c>
      <c r="I113" s="117"/>
      <c r="J113" s="117"/>
      <c r="K113" s="117">
        <f>'Book Review'!AO113</f>
        <v>2</v>
      </c>
      <c r="L113" s="117">
        <f>'Book Review'!AU113</f>
        <v>2</v>
      </c>
      <c r="M113" s="116"/>
      <c r="N113" s="117">
        <f>Debate!K113</f>
        <v>2</v>
      </c>
      <c r="O113" s="117">
        <f>Debate!Q113</f>
        <v>2.2000000000000002</v>
      </c>
      <c r="P113" s="117"/>
      <c r="Q113" s="117">
        <f>Debate!AC113</f>
        <v>3</v>
      </c>
      <c r="R113" s="117"/>
      <c r="S113" s="117">
        <f>Debate!AO113</f>
        <v>2.3333333333333335</v>
      </c>
      <c r="T113" s="117">
        <f>Debate!AU113</f>
        <v>2</v>
      </c>
      <c r="U113" s="116"/>
      <c r="V113" s="49"/>
      <c r="W113" s="117">
        <f>GD!Q113</f>
        <v>2.25</v>
      </c>
      <c r="X113" s="117">
        <f>GD!W113</f>
        <v>2</v>
      </c>
      <c r="Y113" s="117"/>
      <c r="Z113" s="117"/>
      <c r="AA113" s="49"/>
      <c r="AB113" s="117"/>
      <c r="AC113" s="116"/>
      <c r="AD113" s="117">
        <f>'Case study'!K113</f>
        <v>2.25</v>
      </c>
      <c r="AE113" s="117">
        <f>'Case study'!Q113</f>
        <v>2.4</v>
      </c>
      <c r="AF113" s="117">
        <f>'Case study'!W113</f>
        <v>2</v>
      </c>
      <c r="AG113" s="117"/>
      <c r="AH113" s="117"/>
      <c r="AI113" s="117">
        <f>'Case study'!AO113</f>
        <v>2</v>
      </c>
      <c r="AJ113" s="117">
        <f>'Case study'!AU113</f>
        <v>1</v>
      </c>
      <c r="AK113" s="116"/>
      <c r="AL113" s="117">
        <f>Capstone!K113</f>
        <v>4</v>
      </c>
      <c r="AM113" s="117">
        <f>Capstone!Q114</f>
        <v>5</v>
      </c>
      <c r="AN113" s="117">
        <f>Capstone!W114</f>
        <v>3</v>
      </c>
      <c r="AO113" s="117"/>
      <c r="AP113" s="117"/>
      <c r="AQ113" s="117">
        <f>Capstone!AO114</f>
        <v>4.75</v>
      </c>
      <c r="AR113" s="117"/>
      <c r="AS113" s="116"/>
      <c r="AT113" s="117">
        <f>IFERROR(AVERAGE(Table110461117[[#This Row],[Column2]],Table110461117[[#This Row],[Column11]],Table110461117[[#This Row],[Column29]]),"0")</f>
        <v>2.1666666666666665</v>
      </c>
      <c r="AU113" s="117">
        <f>IFERROR(AVERAGE(Table110461117[[#This Row],[Column3]],Table110461117[[#This Row],[Column12]],Table110461117[[#This Row],[Column21]],Table110461117[[#This Row],[Column30]]),"0")</f>
        <v>2.3125</v>
      </c>
      <c r="AV113" s="117">
        <f>IFERROR(AVERAGE(Table110461117[[#This Row],[Column31]],Table110461117[[#This Row],[Column22]],Table110461117[[#This Row],[Column4]]),"0")</f>
        <v>2</v>
      </c>
      <c r="AW113" s="117">
        <f>IFERROR(AVERAGE(Table110461117[[#This Row],[Column14]]),"0")</f>
        <v>3</v>
      </c>
      <c r="AX113" s="117"/>
      <c r="AY113" s="117">
        <f>IFERROR(AVERAGE(Table110461117[[#This Row],[Column34]],Table110461117[[#This Row],[Column16]],Table110461117[[#This Row],[Column7]]),"0")</f>
        <v>2.1111111111111112</v>
      </c>
      <c r="AZ113" s="117">
        <f>IFERROR(AVERAGE(Table110461117[[#This Row],[Column35]],Table110461117[[#This Row],[Column17]],Table110461117[[#This Row],[Column8]]),"0")</f>
        <v>1.6666666666666667</v>
      </c>
      <c r="BA113" s="116"/>
      <c r="BB113" s="117"/>
      <c r="BC113" s="117">
        <f>IFERROR(AVERAGE('Book Review'!AY113,Debate!AY113,'Case study'!AY113,Capstone!AY113),"A")</f>
        <v>2.25</v>
      </c>
      <c r="BD113" s="117">
        <f>IFERROR(AVERAGE('Book Review'!AZ113,Debate!AZ113,'Case study'!AZ113),"A")</f>
        <v>1.3333333333333333</v>
      </c>
    </row>
    <row r="114" spans="1:56" s="109" customFormat="1" ht="23.1" customHeight="1" x14ac:dyDescent="0.3">
      <c r="A114" s="6">
        <v>112</v>
      </c>
      <c r="B114" s="7" t="s">
        <v>146</v>
      </c>
      <c r="C114" s="7" t="s">
        <v>147</v>
      </c>
      <c r="D114" s="7" t="s">
        <v>450</v>
      </c>
      <c r="E114" s="7" t="s">
        <v>35</v>
      </c>
      <c r="F114" s="118">
        <f>'Book Review'!K114</f>
        <v>2</v>
      </c>
      <c r="G114" s="118">
        <f>'Book Review'!Q114</f>
        <v>2.8</v>
      </c>
      <c r="H114" s="118">
        <f>'Book Review'!W114</f>
        <v>2</v>
      </c>
      <c r="I114" s="118"/>
      <c r="J114" s="118"/>
      <c r="K114" s="118">
        <f>'Book Review'!AO114</f>
        <v>2</v>
      </c>
      <c r="L114" s="118">
        <f>'Book Review'!AU114</f>
        <v>3</v>
      </c>
      <c r="M114" s="116"/>
      <c r="N114" s="118">
        <f>Debate!K114</f>
        <v>2</v>
      </c>
      <c r="O114" s="118">
        <f>Debate!Q114</f>
        <v>2.1</v>
      </c>
      <c r="P114" s="118"/>
      <c r="Q114" s="118">
        <f>Debate!AC114</f>
        <v>2</v>
      </c>
      <c r="R114" s="118"/>
      <c r="S114" s="118">
        <f>Debate!AO114</f>
        <v>2</v>
      </c>
      <c r="T114" s="118">
        <f>Debate!AU114</f>
        <v>3</v>
      </c>
      <c r="U114" s="116"/>
      <c r="V114" s="7"/>
      <c r="W114" s="118">
        <f>GD!Q114</f>
        <v>2.75</v>
      </c>
      <c r="X114" s="118">
        <f>GD!W114</f>
        <v>1</v>
      </c>
      <c r="Y114" s="118"/>
      <c r="Z114" s="118"/>
      <c r="AA114" s="7"/>
      <c r="AB114" s="118"/>
      <c r="AC114" s="116"/>
      <c r="AD114" s="118">
        <f>'Case study'!K114</f>
        <v>3</v>
      </c>
      <c r="AE114" s="118">
        <f>'Case study'!Q114</f>
        <v>3</v>
      </c>
      <c r="AF114" s="118">
        <f>'Case study'!W114</f>
        <v>3</v>
      </c>
      <c r="AG114" s="118"/>
      <c r="AH114" s="118"/>
      <c r="AI114" s="118">
        <f>'Case study'!AO114</f>
        <v>2.5</v>
      </c>
      <c r="AJ114" s="118">
        <f>'Case study'!AU114</f>
        <v>3</v>
      </c>
      <c r="AK114" s="116"/>
      <c r="AL114" s="118">
        <f>Capstone!K114</f>
        <v>4.333333333333333</v>
      </c>
      <c r="AM114" s="118">
        <f>Capstone!Q115</f>
        <v>3.5</v>
      </c>
      <c r="AN114" s="118">
        <f>Capstone!W115</f>
        <v>3</v>
      </c>
      <c r="AO114" s="118"/>
      <c r="AP114" s="118"/>
      <c r="AQ114" s="118">
        <f>Capstone!AO115</f>
        <v>3</v>
      </c>
      <c r="AR114" s="118"/>
      <c r="AS114" s="116"/>
      <c r="AT114" s="118">
        <f>IFERROR(AVERAGE(Table110461117[[#This Row],[Column2]],Table110461117[[#This Row],[Column11]],Table110461117[[#This Row],[Column29]]),"0")</f>
        <v>2.3333333333333335</v>
      </c>
      <c r="AU114" s="118">
        <f>IFERROR(AVERAGE(Table110461117[[#This Row],[Column3]],Table110461117[[#This Row],[Column12]],Table110461117[[#This Row],[Column21]],Table110461117[[#This Row],[Column30]]),"0")</f>
        <v>2.6625000000000001</v>
      </c>
      <c r="AV114" s="118">
        <f>IFERROR(AVERAGE(Table110461117[[#This Row],[Column31]],Table110461117[[#This Row],[Column22]],Table110461117[[#This Row],[Column4]]),"0")</f>
        <v>2</v>
      </c>
      <c r="AW114" s="118">
        <f>IFERROR(AVERAGE(Table110461117[[#This Row],[Column14]]),"0")</f>
        <v>2</v>
      </c>
      <c r="AX114" s="118"/>
      <c r="AY114" s="118">
        <f>IFERROR(AVERAGE(Table110461117[[#This Row],[Column34]],Table110461117[[#This Row],[Column16]],Table110461117[[#This Row],[Column7]]),"0")</f>
        <v>2.1666666666666665</v>
      </c>
      <c r="AZ114" s="118">
        <f>IFERROR(AVERAGE(Table110461117[[#This Row],[Column35]],Table110461117[[#This Row],[Column17]],Table110461117[[#This Row],[Column8]]),"0")</f>
        <v>3</v>
      </c>
      <c r="BA114" s="116"/>
      <c r="BB114" s="118"/>
      <c r="BC114" s="118">
        <f>IFERROR(AVERAGE('Book Review'!AY114,Debate!AY114,'Case study'!AY114,Capstone!AY114),"A")</f>
        <v>3</v>
      </c>
      <c r="BD114" s="118">
        <f>IFERROR(AVERAGE('Book Review'!AZ114,Debate!AZ114,'Case study'!AZ114),"A")</f>
        <v>2.6666666666666665</v>
      </c>
    </row>
    <row r="115" spans="1:56" s="109" customFormat="1" ht="23.1" customHeight="1" x14ac:dyDescent="0.3">
      <c r="A115" s="115">
        <v>113</v>
      </c>
      <c r="B115" s="49" t="s">
        <v>201</v>
      </c>
      <c r="C115" s="49" t="s">
        <v>202</v>
      </c>
      <c r="D115" s="49" t="s">
        <v>450</v>
      </c>
      <c r="E115" s="49" t="s">
        <v>161</v>
      </c>
      <c r="F115" s="117">
        <f>'Book Review'!K115</f>
        <v>3.25</v>
      </c>
      <c r="G115" s="117">
        <f>'Book Review'!Q115</f>
        <v>3.2</v>
      </c>
      <c r="H115" s="117">
        <f>'Book Review'!W115</f>
        <v>2</v>
      </c>
      <c r="I115" s="117"/>
      <c r="J115" s="117"/>
      <c r="K115" s="117">
        <f>'Book Review'!AO115</f>
        <v>2.5</v>
      </c>
      <c r="L115" s="117">
        <f>'Book Review'!AU115</f>
        <v>3</v>
      </c>
      <c r="M115" s="116"/>
      <c r="N115" s="117">
        <f>Debate!K115</f>
        <v>2</v>
      </c>
      <c r="O115" s="117">
        <f>Debate!Q115</f>
        <v>3.1</v>
      </c>
      <c r="P115" s="117"/>
      <c r="Q115" s="117">
        <f>Debate!AC115</f>
        <v>3</v>
      </c>
      <c r="R115" s="117"/>
      <c r="S115" s="117">
        <f>Debate!AO115</f>
        <v>3</v>
      </c>
      <c r="T115" s="117">
        <f>Debate!AU115</f>
        <v>3</v>
      </c>
      <c r="U115" s="116"/>
      <c r="V115" s="49"/>
      <c r="W115" s="117">
        <f>GD!Q115</f>
        <v>3</v>
      </c>
      <c r="X115" s="117">
        <f>GD!W115</f>
        <v>3</v>
      </c>
      <c r="Y115" s="117"/>
      <c r="Z115" s="117"/>
      <c r="AA115" s="49"/>
      <c r="AB115" s="117"/>
      <c r="AC115" s="116"/>
      <c r="AD115" s="117">
        <f>'Case study'!K115</f>
        <v>4</v>
      </c>
      <c r="AE115" s="117">
        <f>'Case study'!Q115</f>
        <v>3</v>
      </c>
      <c r="AF115" s="117">
        <f>'Case study'!W115</f>
        <v>3</v>
      </c>
      <c r="AG115" s="117"/>
      <c r="AH115" s="117"/>
      <c r="AI115" s="117">
        <f>'Case study'!AO115</f>
        <v>3.5</v>
      </c>
      <c r="AJ115" s="117">
        <f>'Case study'!AU115</f>
        <v>3</v>
      </c>
      <c r="AK115" s="116"/>
      <c r="AL115" s="117">
        <f>Capstone!K115</f>
        <v>2.6666666666666665</v>
      </c>
      <c r="AM115" s="117">
        <f>Capstone!Q116</f>
        <v>2</v>
      </c>
      <c r="AN115" s="117">
        <f>Capstone!W116</f>
        <v>2</v>
      </c>
      <c r="AO115" s="117"/>
      <c r="AP115" s="117"/>
      <c r="AQ115" s="117">
        <f>Capstone!AO116</f>
        <v>2</v>
      </c>
      <c r="AR115" s="117"/>
      <c r="AS115" s="116"/>
      <c r="AT115" s="117">
        <f>IFERROR(AVERAGE(Table110461117[[#This Row],[Column2]],Table110461117[[#This Row],[Column11]],Table110461117[[#This Row],[Column29]]),"0")</f>
        <v>3.0833333333333335</v>
      </c>
      <c r="AU115" s="117">
        <f>IFERROR(AVERAGE(Table110461117[[#This Row],[Column3]],Table110461117[[#This Row],[Column12]],Table110461117[[#This Row],[Column21]],Table110461117[[#This Row],[Column30]]),"0")</f>
        <v>3.0750000000000002</v>
      </c>
      <c r="AV115" s="117">
        <f>IFERROR(AVERAGE(Table110461117[[#This Row],[Column31]],Table110461117[[#This Row],[Column22]],Table110461117[[#This Row],[Column4]]),"0")</f>
        <v>2.6666666666666665</v>
      </c>
      <c r="AW115" s="117">
        <f>IFERROR(AVERAGE(Table110461117[[#This Row],[Column14]]),"0")</f>
        <v>3</v>
      </c>
      <c r="AX115" s="117"/>
      <c r="AY115" s="117">
        <f>IFERROR(AVERAGE(Table110461117[[#This Row],[Column34]],Table110461117[[#This Row],[Column16]],Table110461117[[#This Row],[Column7]]),"0")</f>
        <v>3</v>
      </c>
      <c r="AZ115" s="117">
        <f>IFERROR(AVERAGE(Table110461117[[#This Row],[Column35]],Table110461117[[#This Row],[Column17]],Table110461117[[#This Row],[Column8]]),"0")</f>
        <v>3</v>
      </c>
      <c r="BA115" s="116"/>
      <c r="BB115" s="117"/>
      <c r="BC115" s="117">
        <f>IFERROR(AVERAGE('Book Review'!AY115,Debate!AY115,'Case study'!AY115,Capstone!AY115),"A")</f>
        <v>3.5</v>
      </c>
      <c r="BD115" s="117">
        <f>IFERROR(AVERAGE('Book Review'!AZ115,Debate!AZ115,'Case study'!AZ115),"A")</f>
        <v>3.3333333333333335</v>
      </c>
    </row>
    <row r="116" spans="1:56" s="109" customFormat="1" ht="23.1" customHeight="1" x14ac:dyDescent="0.3">
      <c r="A116" s="6">
        <v>114</v>
      </c>
      <c r="B116" s="7" t="s">
        <v>217</v>
      </c>
      <c r="C116" s="7" t="s">
        <v>218</v>
      </c>
      <c r="D116" s="7" t="s">
        <v>450</v>
      </c>
      <c r="E116" s="7" t="s">
        <v>161</v>
      </c>
      <c r="F116" s="118">
        <f>'Book Review'!K116</f>
        <v>1.5</v>
      </c>
      <c r="G116" s="118">
        <f>'Book Review'!Q116</f>
        <v>2</v>
      </c>
      <c r="H116" s="118">
        <f>'Book Review'!W116</f>
        <v>2</v>
      </c>
      <c r="I116" s="118"/>
      <c r="J116" s="118"/>
      <c r="K116" s="118">
        <f>'Book Review'!AO116</f>
        <v>2</v>
      </c>
      <c r="L116" s="118">
        <f>'Book Review'!AU116</f>
        <v>2</v>
      </c>
      <c r="M116" s="116"/>
      <c r="N116" s="118">
        <f>Debate!K116</f>
        <v>2</v>
      </c>
      <c r="O116" s="118">
        <f>Debate!Q116</f>
        <v>1.8</v>
      </c>
      <c r="P116" s="118"/>
      <c r="Q116" s="118">
        <f>Debate!AC116</f>
        <v>2</v>
      </c>
      <c r="R116" s="118"/>
      <c r="S116" s="118">
        <f>Debate!AO116</f>
        <v>2</v>
      </c>
      <c r="T116" s="118">
        <f>Debate!AU116</f>
        <v>2</v>
      </c>
      <c r="U116" s="116"/>
      <c r="V116" s="7"/>
      <c r="W116" s="118">
        <f>GD!Q116</f>
        <v>2</v>
      </c>
      <c r="X116" s="118">
        <f>GD!W116</f>
        <v>2</v>
      </c>
      <c r="Y116" s="118"/>
      <c r="Z116" s="118"/>
      <c r="AA116" s="7"/>
      <c r="AB116" s="118"/>
      <c r="AC116" s="116"/>
      <c r="AD116" s="118">
        <f>'Case study'!K116</f>
        <v>1.5</v>
      </c>
      <c r="AE116" s="118">
        <f>'Case study'!Q116</f>
        <v>2</v>
      </c>
      <c r="AF116" s="118">
        <f>'Case study'!W116</f>
        <v>2</v>
      </c>
      <c r="AG116" s="118"/>
      <c r="AH116" s="118"/>
      <c r="AI116" s="118">
        <f>'Case study'!AO116</f>
        <v>2</v>
      </c>
      <c r="AJ116" s="118">
        <f>'Case study'!AU116</f>
        <v>3</v>
      </c>
      <c r="AK116" s="116"/>
      <c r="AL116" s="118">
        <f>Capstone!K116</f>
        <v>2</v>
      </c>
      <c r="AM116" s="118">
        <f>Capstone!Q117</f>
        <v>2.5</v>
      </c>
      <c r="AN116" s="118">
        <f>Capstone!W117</f>
        <v>2.5</v>
      </c>
      <c r="AO116" s="118"/>
      <c r="AP116" s="118"/>
      <c r="AQ116" s="118">
        <f>Capstone!AO117</f>
        <v>3.25</v>
      </c>
      <c r="AR116" s="118"/>
      <c r="AS116" s="116"/>
      <c r="AT116" s="118">
        <f>IFERROR(AVERAGE(Table110461117[[#This Row],[Column2]],Table110461117[[#This Row],[Column11]],Table110461117[[#This Row],[Column29]]),"0")</f>
        <v>1.6666666666666667</v>
      </c>
      <c r="AU116" s="118">
        <f>IFERROR(AVERAGE(Table110461117[[#This Row],[Column3]],Table110461117[[#This Row],[Column12]],Table110461117[[#This Row],[Column21]],Table110461117[[#This Row],[Column30]]),"0")</f>
        <v>1.95</v>
      </c>
      <c r="AV116" s="118">
        <f>IFERROR(AVERAGE(Table110461117[[#This Row],[Column31]],Table110461117[[#This Row],[Column22]],Table110461117[[#This Row],[Column4]]),"0")</f>
        <v>2</v>
      </c>
      <c r="AW116" s="118">
        <f>IFERROR(AVERAGE(Table110461117[[#This Row],[Column14]]),"0")</f>
        <v>2</v>
      </c>
      <c r="AX116" s="118"/>
      <c r="AY116" s="118">
        <f>IFERROR(AVERAGE(Table110461117[[#This Row],[Column34]],Table110461117[[#This Row],[Column16]],Table110461117[[#This Row],[Column7]]),"0")</f>
        <v>2</v>
      </c>
      <c r="AZ116" s="118">
        <f>IFERROR(AVERAGE(Table110461117[[#This Row],[Column35]],Table110461117[[#This Row],[Column17]],Table110461117[[#This Row],[Column8]]),"0")</f>
        <v>2.3333333333333335</v>
      </c>
      <c r="BA116" s="116"/>
      <c r="BB116" s="118"/>
      <c r="BC116" s="118">
        <f>IFERROR(AVERAGE('Book Review'!AY116,Debate!AY116,'Case study'!AY116,Capstone!AY116),"A")</f>
        <v>2.5</v>
      </c>
      <c r="BD116" s="118">
        <f>IFERROR(AVERAGE('Book Review'!AZ116,Debate!AZ116,'Case study'!AZ116),"A")</f>
        <v>2</v>
      </c>
    </row>
    <row r="117" spans="1:56" s="109" customFormat="1" ht="23.1" customHeight="1" x14ac:dyDescent="0.3">
      <c r="A117" s="115">
        <v>115</v>
      </c>
      <c r="B117" s="49" t="s">
        <v>235</v>
      </c>
      <c r="C117" s="49" t="s">
        <v>236</v>
      </c>
      <c r="D117" s="49" t="s">
        <v>450</v>
      </c>
      <c r="E117" s="49" t="s">
        <v>161</v>
      </c>
      <c r="F117" s="117">
        <f>'Book Review'!K117</f>
        <v>2.5</v>
      </c>
      <c r="G117" s="117">
        <f>'Book Review'!Q117</f>
        <v>2.5</v>
      </c>
      <c r="H117" s="117">
        <f>'Book Review'!W117</f>
        <v>2.5</v>
      </c>
      <c r="I117" s="117"/>
      <c r="J117" s="117"/>
      <c r="K117" s="117">
        <f>'Book Review'!AO117</f>
        <v>2.5</v>
      </c>
      <c r="L117" s="117">
        <f>'Book Review'!AU117</f>
        <v>2.5</v>
      </c>
      <c r="M117" s="116"/>
      <c r="N117" s="117">
        <f>Debate!K117</f>
        <v>2.5</v>
      </c>
      <c r="O117" s="117">
        <f>Debate!Q117</f>
        <v>2.5</v>
      </c>
      <c r="P117" s="117"/>
      <c r="Q117" s="117">
        <f>Debate!AC117</f>
        <v>2.5</v>
      </c>
      <c r="R117" s="117"/>
      <c r="S117" s="117">
        <f>Debate!AO117</f>
        <v>2.5</v>
      </c>
      <c r="T117" s="117">
        <f>Debate!AU117</f>
        <v>2.5</v>
      </c>
      <c r="U117" s="116"/>
      <c r="V117" s="49"/>
      <c r="W117" s="117">
        <f>GD!Q117</f>
        <v>2.5</v>
      </c>
      <c r="X117" s="117">
        <f>GD!W117</f>
        <v>2.5</v>
      </c>
      <c r="Y117" s="117"/>
      <c r="Z117" s="117"/>
      <c r="AA117" s="49"/>
      <c r="AB117" s="117"/>
      <c r="AC117" s="116"/>
      <c r="AD117" s="117">
        <f>'Case study'!K117</f>
        <v>2.5</v>
      </c>
      <c r="AE117" s="117">
        <f>'Case study'!Q117</f>
        <v>2.5</v>
      </c>
      <c r="AF117" s="117">
        <f>'Case study'!W117</f>
        <v>2.5</v>
      </c>
      <c r="AG117" s="117"/>
      <c r="AH117" s="117"/>
      <c r="AI117" s="117">
        <f>'Case study'!AO117</f>
        <v>2.5</v>
      </c>
      <c r="AJ117" s="117">
        <f>'Case study'!AU117</f>
        <v>2.5</v>
      </c>
      <c r="AK117" s="116"/>
      <c r="AL117" s="117">
        <f>Capstone!K117</f>
        <v>4</v>
      </c>
      <c r="AM117" s="117">
        <f>Capstone!Q118</f>
        <v>4</v>
      </c>
      <c r="AN117" s="117">
        <f>Capstone!W118</f>
        <v>4</v>
      </c>
      <c r="AO117" s="117"/>
      <c r="AP117" s="117"/>
      <c r="AQ117" s="117">
        <f>Capstone!AO118</f>
        <v>4</v>
      </c>
      <c r="AR117" s="117"/>
      <c r="AS117" s="116"/>
      <c r="AT117" s="117">
        <f>IFERROR(AVERAGE(Table110461117[[#This Row],[Column2]],Table110461117[[#This Row],[Column11]],Table110461117[[#This Row],[Column29]]),"0")</f>
        <v>2.5</v>
      </c>
      <c r="AU117" s="117">
        <f>IFERROR(AVERAGE(Table110461117[[#This Row],[Column3]],Table110461117[[#This Row],[Column12]],Table110461117[[#This Row],[Column21]],Table110461117[[#This Row],[Column30]]),"0")</f>
        <v>2.5</v>
      </c>
      <c r="AV117" s="117">
        <f>IFERROR(AVERAGE(Table110461117[[#This Row],[Column31]],Table110461117[[#This Row],[Column22]],Table110461117[[#This Row],[Column4]]),"0")</f>
        <v>2.5</v>
      </c>
      <c r="AW117" s="117">
        <f>IFERROR(AVERAGE(Table110461117[[#This Row],[Column14]]),"0")</f>
        <v>2.5</v>
      </c>
      <c r="AX117" s="117"/>
      <c r="AY117" s="117">
        <f>IFERROR(AVERAGE(Table110461117[[#This Row],[Column34]],Table110461117[[#This Row],[Column16]],Table110461117[[#This Row],[Column7]]),"0")</f>
        <v>2.5</v>
      </c>
      <c r="AZ117" s="117">
        <f>IFERROR(AVERAGE(Table110461117[[#This Row],[Column35]],Table110461117[[#This Row],[Column17]],Table110461117[[#This Row],[Column8]]),"0")</f>
        <v>2.5</v>
      </c>
      <c r="BA117" s="116"/>
      <c r="BB117" s="117"/>
      <c r="BC117" s="117">
        <f>IFERROR(AVERAGE('Book Review'!AY117,Debate!AY117,'Case study'!AY117,Capstone!AY117),"A")</f>
        <v>2.5</v>
      </c>
      <c r="BD117" s="117">
        <f>IFERROR(AVERAGE('Book Review'!AZ117,Debate!AZ117,'Case study'!AZ117),"A")</f>
        <v>2.5</v>
      </c>
    </row>
    <row r="118" spans="1:56" s="109" customFormat="1" ht="23.1" customHeight="1" x14ac:dyDescent="0.3">
      <c r="A118" s="6">
        <v>116</v>
      </c>
      <c r="B118" s="7" t="s">
        <v>354</v>
      </c>
      <c r="C118" s="7" t="s">
        <v>355</v>
      </c>
      <c r="D118" s="7" t="s">
        <v>544</v>
      </c>
      <c r="E118" s="7" t="s">
        <v>493</v>
      </c>
      <c r="F118" s="118">
        <f>'Book Review'!K118</f>
        <v>4</v>
      </c>
      <c r="G118" s="118">
        <f>'Book Review'!Q118</f>
        <v>4</v>
      </c>
      <c r="H118" s="118">
        <f>'Book Review'!W118</f>
        <v>2</v>
      </c>
      <c r="I118" s="118"/>
      <c r="J118" s="118"/>
      <c r="K118" s="118">
        <f>'Book Review'!AO118</f>
        <v>3.5</v>
      </c>
      <c r="L118" s="118">
        <f>'Book Review'!AU118</f>
        <v>3</v>
      </c>
      <c r="M118" s="116"/>
      <c r="N118" s="118">
        <f>Debate!K118</f>
        <v>4</v>
      </c>
      <c r="O118" s="118">
        <f>Debate!Q118</f>
        <v>3.8</v>
      </c>
      <c r="P118" s="118"/>
      <c r="Q118" s="118">
        <f>Debate!AC118</f>
        <v>4</v>
      </c>
      <c r="R118" s="118"/>
      <c r="S118" s="118">
        <f>Debate!AO118</f>
        <v>4</v>
      </c>
      <c r="T118" s="118">
        <f>Debate!AU118</f>
        <v>3</v>
      </c>
      <c r="U118" s="116"/>
      <c r="V118" s="7"/>
      <c r="W118" s="118">
        <f>GD!Q118</f>
        <v>4</v>
      </c>
      <c r="X118" s="118">
        <f>GD!W118</f>
        <v>4</v>
      </c>
      <c r="Y118" s="118"/>
      <c r="Z118" s="118"/>
      <c r="AA118" s="7"/>
      <c r="AB118" s="118"/>
      <c r="AC118" s="116"/>
      <c r="AD118" s="118">
        <f>'Case study'!K118</f>
        <v>4</v>
      </c>
      <c r="AE118" s="118">
        <f>'Case study'!Q118</f>
        <v>4</v>
      </c>
      <c r="AF118" s="118">
        <f>'Case study'!W118</f>
        <v>4</v>
      </c>
      <c r="AG118" s="118"/>
      <c r="AH118" s="118"/>
      <c r="AI118" s="118">
        <f>'Case study'!AO118</f>
        <v>4</v>
      </c>
      <c r="AJ118" s="118">
        <f>'Case study'!AU118</f>
        <v>3</v>
      </c>
      <c r="AK118" s="116"/>
      <c r="AL118" s="118">
        <f>Capstone!K118</f>
        <v>3.3333333333333335</v>
      </c>
      <c r="AM118" s="118">
        <f>Capstone!Q119</f>
        <v>4</v>
      </c>
      <c r="AN118" s="118">
        <f>Capstone!W119</f>
        <v>4</v>
      </c>
      <c r="AO118" s="118"/>
      <c r="AP118" s="118"/>
      <c r="AQ118" s="118">
        <f>Capstone!AO119</f>
        <v>4.25</v>
      </c>
      <c r="AR118" s="118"/>
      <c r="AS118" s="116"/>
      <c r="AT118" s="118">
        <f>IFERROR(AVERAGE(Table110461117[[#This Row],[Column2]],Table110461117[[#This Row],[Column11]],Table110461117[[#This Row],[Column29]]),"0")</f>
        <v>4</v>
      </c>
      <c r="AU118" s="118">
        <f>IFERROR(AVERAGE(Table110461117[[#This Row],[Column3]],Table110461117[[#This Row],[Column12]],Table110461117[[#This Row],[Column21]],Table110461117[[#This Row],[Column30]]),"0")</f>
        <v>3.95</v>
      </c>
      <c r="AV118" s="118">
        <f>IFERROR(AVERAGE(Table110461117[[#This Row],[Column31]],Table110461117[[#This Row],[Column22]],Table110461117[[#This Row],[Column4]]),"0")</f>
        <v>3.3333333333333335</v>
      </c>
      <c r="AW118" s="118">
        <f>IFERROR(AVERAGE(Table110461117[[#This Row],[Column14]]),"0")</f>
        <v>4</v>
      </c>
      <c r="AX118" s="118"/>
      <c r="AY118" s="118">
        <f>IFERROR(AVERAGE(Table110461117[[#This Row],[Column34]],Table110461117[[#This Row],[Column16]],Table110461117[[#This Row],[Column7]]),"0")</f>
        <v>3.8333333333333335</v>
      </c>
      <c r="AZ118" s="118">
        <f>IFERROR(AVERAGE(Table110461117[[#This Row],[Column35]],Table110461117[[#This Row],[Column17]],Table110461117[[#This Row],[Column8]]),"0")</f>
        <v>3</v>
      </c>
      <c r="BA118" s="116"/>
      <c r="BB118" s="118"/>
      <c r="BC118" s="118">
        <f>IFERROR(AVERAGE('Book Review'!AY118,Debate!AY118,'Case study'!AY118,Capstone!AY118),"A")</f>
        <v>4</v>
      </c>
      <c r="BD118" s="118">
        <f>IFERROR(AVERAGE('Book Review'!AZ118,Debate!AZ118,'Case study'!AZ118),"A")</f>
        <v>4</v>
      </c>
    </row>
    <row r="119" spans="1:56" s="109" customFormat="1" ht="23.1" customHeight="1" x14ac:dyDescent="0.3">
      <c r="A119" s="115">
        <v>117</v>
      </c>
      <c r="B119" s="49" t="s">
        <v>203</v>
      </c>
      <c r="C119" s="49" t="s">
        <v>204</v>
      </c>
      <c r="D119" s="49" t="s">
        <v>542</v>
      </c>
      <c r="E119" s="49" t="s">
        <v>161</v>
      </c>
      <c r="F119" s="117">
        <f>'Book Review'!K119</f>
        <v>3.5</v>
      </c>
      <c r="G119" s="117">
        <f>'Book Review'!Q119</f>
        <v>3.8</v>
      </c>
      <c r="H119" s="117">
        <f>'Book Review'!W119</f>
        <v>4</v>
      </c>
      <c r="I119" s="117"/>
      <c r="J119" s="117"/>
      <c r="K119" s="117">
        <f>'Book Review'!AO119</f>
        <v>3.5</v>
      </c>
      <c r="L119" s="117">
        <f>'Book Review'!AU119</f>
        <v>4</v>
      </c>
      <c r="M119" s="116"/>
      <c r="N119" s="117">
        <f>Debate!K119</f>
        <v>3</v>
      </c>
      <c r="O119" s="117">
        <f>Debate!Q119</f>
        <v>3.8</v>
      </c>
      <c r="P119" s="117"/>
      <c r="Q119" s="117">
        <f>Debate!AC119</f>
        <v>4</v>
      </c>
      <c r="R119" s="117"/>
      <c r="S119" s="117">
        <f>Debate!AO119</f>
        <v>3.6666666666666665</v>
      </c>
      <c r="T119" s="117">
        <f>Debate!AU119</f>
        <v>3</v>
      </c>
      <c r="U119" s="116"/>
      <c r="V119" s="49"/>
      <c r="W119" s="117">
        <f>GD!Q119</f>
        <v>3.75</v>
      </c>
      <c r="X119" s="117">
        <f>GD!W119</f>
        <v>3</v>
      </c>
      <c r="Y119" s="117"/>
      <c r="Z119" s="117"/>
      <c r="AA119" s="49"/>
      <c r="AB119" s="117"/>
      <c r="AC119" s="116"/>
      <c r="AD119" s="117">
        <f>'Case study'!K119</f>
        <v>4</v>
      </c>
      <c r="AE119" s="117">
        <f>'Case study'!Q119</f>
        <v>3.6</v>
      </c>
      <c r="AF119" s="117">
        <f>'Case study'!W119</f>
        <v>4</v>
      </c>
      <c r="AG119" s="117"/>
      <c r="AH119" s="117"/>
      <c r="AI119" s="117">
        <f>'Case study'!AO119</f>
        <v>4</v>
      </c>
      <c r="AJ119" s="117">
        <f>'Case study'!AU119</f>
        <v>3</v>
      </c>
      <c r="AK119" s="116"/>
      <c r="AL119" s="117">
        <f>Capstone!K119</f>
        <v>4.333333333333333</v>
      </c>
      <c r="AM119" s="117">
        <f>Capstone!Q120</f>
        <v>3</v>
      </c>
      <c r="AN119" s="117">
        <f>Capstone!W120</f>
        <v>2</v>
      </c>
      <c r="AO119" s="117"/>
      <c r="AP119" s="117"/>
      <c r="AQ119" s="117">
        <f>Capstone!AO120</f>
        <v>3</v>
      </c>
      <c r="AR119" s="117"/>
      <c r="AS119" s="116"/>
      <c r="AT119" s="117">
        <f>IFERROR(AVERAGE(Table110461117[[#This Row],[Column2]],Table110461117[[#This Row],[Column11]],Table110461117[[#This Row],[Column29]]),"0")</f>
        <v>3.5</v>
      </c>
      <c r="AU119" s="117">
        <f>IFERROR(AVERAGE(Table110461117[[#This Row],[Column3]],Table110461117[[#This Row],[Column12]],Table110461117[[#This Row],[Column21]],Table110461117[[#This Row],[Column30]]),"0")</f>
        <v>3.7374999999999998</v>
      </c>
      <c r="AV119" s="117">
        <f>IFERROR(AVERAGE(Table110461117[[#This Row],[Column31]],Table110461117[[#This Row],[Column22]],Table110461117[[#This Row],[Column4]]),"0")</f>
        <v>3.6666666666666665</v>
      </c>
      <c r="AW119" s="117">
        <f>IFERROR(AVERAGE(Table110461117[[#This Row],[Column14]]),"0")</f>
        <v>4</v>
      </c>
      <c r="AX119" s="117"/>
      <c r="AY119" s="117">
        <f>IFERROR(AVERAGE(Table110461117[[#This Row],[Column34]],Table110461117[[#This Row],[Column16]],Table110461117[[#This Row],[Column7]]),"0")</f>
        <v>3.7222222222222219</v>
      </c>
      <c r="AZ119" s="117">
        <f>IFERROR(AVERAGE(Table110461117[[#This Row],[Column35]],Table110461117[[#This Row],[Column17]],Table110461117[[#This Row],[Column8]]),"0")</f>
        <v>3.3333333333333335</v>
      </c>
      <c r="BA119" s="116"/>
      <c r="BB119" s="117"/>
      <c r="BC119" s="117">
        <f>IFERROR(AVERAGE('Book Review'!AY119,Debate!AY119,'Case study'!AY119,Capstone!AY119),"A")</f>
        <v>4.25</v>
      </c>
      <c r="BD119" s="117">
        <f>IFERROR(AVERAGE('Book Review'!AZ119,Debate!AZ119,'Case study'!AZ119),"A")</f>
        <v>4</v>
      </c>
    </row>
    <row r="120" spans="1:56" s="109" customFormat="1" ht="23.1" customHeight="1" x14ac:dyDescent="0.3">
      <c r="A120" s="6">
        <v>118</v>
      </c>
      <c r="B120" s="7" t="s">
        <v>356</v>
      </c>
      <c r="C120" s="7" t="s">
        <v>357</v>
      </c>
      <c r="D120" s="7" t="s">
        <v>542</v>
      </c>
      <c r="E120" s="7" t="s">
        <v>493</v>
      </c>
      <c r="F120" s="118">
        <f>'Book Review'!K120</f>
        <v>2.5</v>
      </c>
      <c r="G120" s="118">
        <f>'Book Review'!Q120</f>
        <v>2.8</v>
      </c>
      <c r="H120" s="118">
        <f>'Book Review'!W120</f>
        <v>2</v>
      </c>
      <c r="I120" s="118"/>
      <c r="J120" s="118"/>
      <c r="K120" s="118">
        <f>'Book Review'!AO120</f>
        <v>2.5</v>
      </c>
      <c r="L120" s="118">
        <f>'Book Review'!AU120</f>
        <v>2</v>
      </c>
      <c r="M120" s="116"/>
      <c r="N120" s="118">
        <f>Debate!K120</f>
        <v>2</v>
      </c>
      <c r="O120" s="118">
        <f>Debate!Q120</f>
        <v>2.5</v>
      </c>
      <c r="P120" s="118"/>
      <c r="Q120" s="118">
        <f>Debate!AC120</f>
        <v>3</v>
      </c>
      <c r="R120" s="118"/>
      <c r="S120" s="118">
        <f>Debate!AO120</f>
        <v>2.6666666666666665</v>
      </c>
      <c r="T120" s="118">
        <f>Debate!AU120</f>
        <v>3</v>
      </c>
      <c r="U120" s="116"/>
      <c r="V120" s="7"/>
      <c r="W120" s="118">
        <f>GD!Q120</f>
        <v>2.5</v>
      </c>
      <c r="X120" s="118">
        <f>GD!W120</f>
        <v>3</v>
      </c>
      <c r="Y120" s="118"/>
      <c r="Z120" s="118"/>
      <c r="AA120" s="7"/>
      <c r="AB120" s="118"/>
      <c r="AC120" s="116"/>
      <c r="AD120" s="118">
        <f>'Case study'!K120</f>
        <v>2.5</v>
      </c>
      <c r="AE120" s="118">
        <f>'Case study'!Q120</f>
        <v>2.8</v>
      </c>
      <c r="AF120" s="118">
        <f>'Case study'!W120</f>
        <v>2</v>
      </c>
      <c r="AG120" s="118"/>
      <c r="AH120" s="118"/>
      <c r="AI120" s="118">
        <f>'Case study'!AO120</f>
        <v>2.25</v>
      </c>
      <c r="AJ120" s="118">
        <f>'Case study'!AU120</f>
        <v>3</v>
      </c>
      <c r="AK120" s="116"/>
      <c r="AL120" s="118">
        <f>Capstone!K120</f>
        <v>3</v>
      </c>
      <c r="AM120" s="118">
        <f>Capstone!Q121</f>
        <v>3.75</v>
      </c>
      <c r="AN120" s="118">
        <f>Capstone!W121</f>
        <v>4</v>
      </c>
      <c r="AO120" s="118"/>
      <c r="AP120" s="118"/>
      <c r="AQ120" s="118">
        <f>Capstone!AO121</f>
        <v>4</v>
      </c>
      <c r="AR120" s="118"/>
      <c r="AS120" s="116"/>
      <c r="AT120" s="118">
        <f>IFERROR(AVERAGE(Table110461117[[#This Row],[Column2]],Table110461117[[#This Row],[Column11]],Table110461117[[#This Row],[Column29]]),"0")</f>
        <v>2.3333333333333335</v>
      </c>
      <c r="AU120" s="118">
        <f>IFERROR(AVERAGE(Table110461117[[#This Row],[Column3]],Table110461117[[#This Row],[Column12]],Table110461117[[#This Row],[Column21]],Table110461117[[#This Row],[Column30]]),"0")</f>
        <v>2.65</v>
      </c>
      <c r="AV120" s="118">
        <f>IFERROR(AVERAGE(Table110461117[[#This Row],[Column31]],Table110461117[[#This Row],[Column22]],Table110461117[[#This Row],[Column4]]),"0")</f>
        <v>2.3333333333333335</v>
      </c>
      <c r="AW120" s="118">
        <f>IFERROR(AVERAGE(Table110461117[[#This Row],[Column14]]),"0")</f>
        <v>3</v>
      </c>
      <c r="AX120" s="118"/>
      <c r="AY120" s="118">
        <f>IFERROR(AVERAGE(Table110461117[[#This Row],[Column34]],Table110461117[[#This Row],[Column16]],Table110461117[[#This Row],[Column7]]),"0")</f>
        <v>2.4722222222222219</v>
      </c>
      <c r="AZ120" s="118">
        <f>IFERROR(AVERAGE(Table110461117[[#This Row],[Column35]],Table110461117[[#This Row],[Column17]],Table110461117[[#This Row],[Column8]]),"0")</f>
        <v>2.6666666666666665</v>
      </c>
      <c r="BA120" s="116"/>
      <c r="BB120" s="118"/>
      <c r="BC120" s="118">
        <f>IFERROR(AVERAGE('Book Review'!AY120,Debate!AY120,'Case study'!AY120,Capstone!AY120),"A")</f>
        <v>2.5</v>
      </c>
      <c r="BD120" s="118">
        <f>IFERROR(AVERAGE('Book Review'!AZ120,Debate!AZ120,'Case study'!AZ120),"A")</f>
        <v>2.3333333333333335</v>
      </c>
    </row>
    <row r="121" spans="1:56" s="109" customFormat="1" ht="23.1" customHeight="1" x14ac:dyDescent="0.3">
      <c r="A121" s="115">
        <v>119</v>
      </c>
      <c r="B121" s="49" t="s">
        <v>358</v>
      </c>
      <c r="C121" s="49" t="s">
        <v>359</v>
      </c>
      <c r="D121" s="49" t="s">
        <v>542</v>
      </c>
      <c r="E121" s="49" t="s">
        <v>493</v>
      </c>
      <c r="F121" s="117">
        <f>'Book Review'!K121</f>
        <v>3.625</v>
      </c>
      <c r="G121" s="117">
        <f>'Book Review'!Q121</f>
        <v>3.7</v>
      </c>
      <c r="H121" s="117">
        <f>'Book Review'!W121</f>
        <v>4</v>
      </c>
      <c r="I121" s="117"/>
      <c r="J121" s="117"/>
      <c r="K121" s="117">
        <f>'Book Review'!AO121</f>
        <v>3.5</v>
      </c>
      <c r="L121" s="117">
        <f>'Book Review'!AU121</f>
        <v>3.5</v>
      </c>
      <c r="M121" s="116"/>
      <c r="N121" s="117">
        <f>Debate!K121</f>
        <v>4</v>
      </c>
      <c r="O121" s="117">
        <f>Debate!Q121</f>
        <v>3.75</v>
      </c>
      <c r="P121" s="117"/>
      <c r="Q121" s="117">
        <f>Debate!AC121</f>
        <v>3.5</v>
      </c>
      <c r="R121" s="117"/>
      <c r="S121" s="117">
        <f>Debate!AO121</f>
        <v>3.6666666666666665</v>
      </c>
      <c r="T121" s="117">
        <f>Debate!AU121</f>
        <v>3.5</v>
      </c>
      <c r="U121" s="116"/>
      <c r="V121" s="49"/>
      <c r="W121" s="117">
        <f>GD!Q121</f>
        <v>3.75</v>
      </c>
      <c r="X121" s="117">
        <f>GD!W121</f>
        <v>3.5</v>
      </c>
      <c r="Y121" s="117"/>
      <c r="Z121" s="117"/>
      <c r="AA121" s="49"/>
      <c r="AB121" s="117"/>
      <c r="AC121" s="116"/>
      <c r="AD121" s="117">
        <f>'Case study'!K121</f>
        <v>3.75</v>
      </c>
      <c r="AE121" s="117">
        <f>'Case study'!Q121</f>
        <v>3.7</v>
      </c>
      <c r="AF121" s="117">
        <f>'Case study'!W121</f>
        <v>4</v>
      </c>
      <c r="AG121" s="117"/>
      <c r="AH121" s="117"/>
      <c r="AI121" s="117">
        <f>'Case study'!AO121</f>
        <v>3.75</v>
      </c>
      <c r="AJ121" s="117">
        <f>'Case study'!AU121</f>
        <v>4</v>
      </c>
      <c r="AK121" s="116"/>
      <c r="AL121" s="117">
        <f>Capstone!K121</f>
        <v>4</v>
      </c>
      <c r="AM121" s="117">
        <f>Capstone!Q122</f>
        <v>3.5</v>
      </c>
      <c r="AN121" s="117">
        <f>Capstone!W122</f>
        <v>2</v>
      </c>
      <c r="AO121" s="117"/>
      <c r="AP121" s="117"/>
      <c r="AQ121" s="117">
        <f>Capstone!AO122</f>
        <v>2.25</v>
      </c>
      <c r="AR121" s="117"/>
      <c r="AS121" s="116"/>
      <c r="AT121" s="117">
        <f>IFERROR(AVERAGE(Table110461117[[#This Row],[Column2]],Table110461117[[#This Row],[Column11]],Table110461117[[#This Row],[Column29]]),"0")</f>
        <v>3.7916666666666665</v>
      </c>
      <c r="AU121" s="117">
        <f>IFERROR(AVERAGE(Table110461117[[#This Row],[Column3]],Table110461117[[#This Row],[Column12]],Table110461117[[#This Row],[Column21]],Table110461117[[#This Row],[Column30]]),"0")</f>
        <v>3.7249999999999996</v>
      </c>
      <c r="AV121" s="117">
        <f>IFERROR(AVERAGE(Table110461117[[#This Row],[Column31]],Table110461117[[#This Row],[Column22]],Table110461117[[#This Row],[Column4]]),"0")</f>
        <v>3.8333333333333335</v>
      </c>
      <c r="AW121" s="117">
        <f>IFERROR(AVERAGE(Table110461117[[#This Row],[Column14]]),"0")</f>
        <v>3.5</v>
      </c>
      <c r="AX121" s="117"/>
      <c r="AY121" s="117">
        <f>IFERROR(AVERAGE(Table110461117[[#This Row],[Column34]],Table110461117[[#This Row],[Column16]],Table110461117[[#This Row],[Column7]]),"0")</f>
        <v>3.6388888888888888</v>
      </c>
      <c r="AZ121" s="117">
        <f>IFERROR(AVERAGE(Table110461117[[#This Row],[Column35]],Table110461117[[#This Row],[Column17]],Table110461117[[#This Row],[Column8]]),"0")</f>
        <v>3.6666666666666665</v>
      </c>
      <c r="BA121" s="116"/>
      <c r="BB121" s="117"/>
      <c r="BC121" s="117">
        <f>IFERROR(AVERAGE('Book Review'!AY121,Debate!AY121,'Case study'!AY121,Capstone!AY121),"A")</f>
        <v>3.75</v>
      </c>
      <c r="BD121" s="117">
        <f>IFERROR(AVERAGE('Book Review'!AZ121,Debate!AZ121,'Case study'!AZ121),"A")</f>
        <v>3.6666666666666665</v>
      </c>
    </row>
    <row r="122" spans="1:56" s="109" customFormat="1" ht="23.1" customHeight="1" x14ac:dyDescent="0.3">
      <c r="A122" s="6">
        <v>120</v>
      </c>
      <c r="B122" s="7" t="s">
        <v>150</v>
      </c>
      <c r="C122" s="7" t="s">
        <v>151</v>
      </c>
      <c r="D122" s="7" t="s">
        <v>450</v>
      </c>
      <c r="E122" s="7" t="s">
        <v>35</v>
      </c>
      <c r="F122" s="118">
        <f>'Book Review'!K122</f>
        <v>1</v>
      </c>
      <c r="G122" s="118">
        <f>'Book Review'!Q122</f>
        <v>2.4</v>
      </c>
      <c r="H122" s="118">
        <f>'Book Review'!W122</f>
        <v>1</v>
      </c>
      <c r="I122" s="118"/>
      <c r="J122" s="118"/>
      <c r="K122" s="118">
        <f>'Book Review'!AO122</f>
        <v>1</v>
      </c>
      <c r="L122" s="118">
        <f>'Book Review'!AU122</f>
        <v>2</v>
      </c>
      <c r="M122" s="116"/>
      <c r="N122" s="118">
        <f>Debate!K122</f>
        <v>2</v>
      </c>
      <c r="O122" s="118">
        <f>Debate!Q122</f>
        <v>1.9</v>
      </c>
      <c r="P122" s="118"/>
      <c r="Q122" s="118">
        <f>Debate!AC122</f>
        <v>3</v>
      </c>
      <c r="R122" s="118"/>
      <c r="S122" s="118">
        <f>Debate!AO122</f>
        <v>3</v>
      </c>
      <c r="T122" s="118">
        <f>Debate!AU122</f>
        <v>3</v>
      </c>
      <c r="U122" s="116"/>
      <c r="V122" s="7"/>
      <c r="W122" s="118">
        <f>GD!Q122</f>
        <v>2</v>
      </c>
      <c r="X122" s="118">
        <f>GD!W122</f>
        <v>2</v>
      </c>
      <c r="Y122" s="118"/>
      <c r="Z122" s="118"/>
      <c r="AA122" s="7"/>
      <c r="AB122" s="118"/>
      <c r="AC122" s="116"/>
      <c r="AD122" s="118">
        <f>'Case study'!K122</f>
        <v>2.5</v>
      </c>
      <c r="AE122" s="118">
        <f>'Case study'!Q122</f>
        <v>2.8</v>
      </c>
      <c r="AF122" s="118">
        <f>'Case study'!W122</f>
        <v>2</v>
      </c>
      <c r="AG122" s="118"/>
      <c r="AH122" s="118"/>
      <c r="AI122" s="118">
        <f>'Case study'!AO122</f>
        <v>2.25</v>
      </c>
      <c r="AJ122" s="118">
        <f>'Case study'!AU122</f>
        <v>3</v>
      </c>
      <c r="AK122" s="116"/>
      <c r="AL122" s="118">
        <f>Capstone!K122</f>
        <v>2.3333333333333335</v>
      </c>
      <c r="AM122" s="118">
        <f>Capstone!Q123</f>
        <v>2.5</v>
      </c>
      <c r="AN122" s="118">
        <f>Capstone!W123</f>
        <v>1</v>
      </c>
      <c r="AO122" s="118"/>
      <c r="AP122" s="118"/>
      <c r="AQ122" s="118">
        <f>Capstone!AO123</f>
        <v>2.25</v>
      </c>
      <c r="AR122" s="118"/>
      <c r="AS122" s="116"/>
      <c r="AT122" s="118">
        <f>IFERROR(AVERAGE(Table110461117[[#This Row],[Column2]],Table110461117[[#This Row],[Column11]],Table110461117[[#This Row],[Column29]]),"0")</f>
        <v>1.8333333333333333</v>
      </c>
      <c r="AU122" s="118">
        <f>IFERROR(AVERAGE(Table110461117[[#This Row],[Column3]],Table110461117[[#This Row],[Column12]],Table110461117[[#This Row],[Column21]],Table110461117[[#This Row],[Column30]]),"0")</f>
        <v>2.2749999999999999</v>
      </c>
      <c r="AV122" s="118">
        <f>IFERROR(AVERAGE(Table110461117[[#This Row],[Column31]],Table110461117[[#This Row],[Column22]],Table110461117[[#This Row],[Column4]]),"0")</f>
        <v>1.6666666666666667</v>
      </c>
      <c r="AW122" s="118">
        <f>IFERROR(AVERAGE(Table110461117[[#This Row],[Column14]]),"0")</f>
        <v>3</v>
      </c>
      <c r="AX122" s="118"/>
      <c r="AY122" s="118">
        <f>IFERROR(AVERAGE(Table110461117[[#This Row],[Column34]],Table110461117[[#This Row],[Column16]],Table110461117[[#This Row],[Column7]]),"0")</f>
        <v>2.0833333333333335</v>
      </c>
      <c r="AZ122" s="118">
        <f>IFERROR(AVERAGE(Table110461117[[#This Row],[Column35]],Table110461117[[#This Row],[Column17]],Table110461117[[#This Row],[Column8]]),"0")</f>
        <v>2.6666666666666665</v>
      </c>
      <c r="BA122" s="116"/>
      <c r="BB122" s="118"/>
      <c r="BC122" s="118">
        <f>IFERROR(AVERAGE('Book Review'!AY122,Debate!AY122,'Case study'!AY122,Capstone!AY122),"A")</f>
        <v>2.25</v>
      </c>
      <c r="BD122" s="118">
        <f>IFERROR(AVERAGE('Book Review'!AZ122,Debate!AZ122,'Case study'!AZ122),"A")</f>
        <v>1.6666666666666667</v>
      </c>
    </row>
    <row r="123" spans="1:56" s="109" customFormat="1" ht="23.1" customHeight="1" x14ac:dyDescent="0.3">
      <c r="A123" s="115">
        <v>121</v>
      </c>
      <c r="B123" s="49" t="s">
        <v>360</v>
      </c>
      <c r="C123" s="49" t="s">
        <v>361</v>
      </c>
      <c r="D123" s="49" t="s">
        <v>450</v>
      </c>
      <c r="E123" s="49" t="s">
        <v>493</v>
      </c>
      <c r="F123" s="117">
        <f>'Book Review'!K123</f>
        <v>1.25</v>
      </c>
      <c r="G123" s="117">
        <f>'Book Review'!Q123</f>
        <v>1.8</v>
      </c>
      <c r="H123" s="117">
        <f>'Book Review'!W123</f>
        <v>1</v>
      </c>
      <c r="I123" s="117"/>
      <c r="J123" s="117"/>
      <c r="K123" s="117">
        <f>'Book Review'!AO123</f>
        <v>2.5</v>
      </c>
      <c r="L123" s="117">
        <f>'Book Review'!AU123</f>
        <v>2</v>
      </c>
      <c r="M123" s="116"/>
      <c r="N123" s="117">
        <f>Debate!K123</f>
        <v>2</v>
      </c>
      <c r="O123" s="117">
        <f>Debate!Q123</f>
        <v>1.5</v>
      </c>
      <c r="P123" s="117"/>
      <c r="Q123" s="117">
        <f>Debate!AC123</f>
        <v>2</v>
      </c>
      <c r="R123" s="117"/>
      <c r="S123" s="117">
        <f>Debate!AO123</f>
        <v>1.6666666666666667</v>
      </c>
      <c r="T123" s="117">
        <f>Debate!AU123</f>
        <v>3</v>
      </c>
      <c r="U123" s="116"/>
      <c r="V123" s="49"/>
      <c r="W123" s="117">
        <f>GD!Q123</f>
        <v>1.75</v>
      </c>
      <c r="X123" s="117">
        <f>GD!W123</f>
        <v>2</v>
      </c>
      <c r="Y123" s="117"/>
      <c r="Z123" s="117"/>
      <c r="AA123" s="49"/>
      <c r="AB123" s="117"/>
      <c r="AC123" s="116"/>
      <c r="AD123" s="117">
        <f>'Case study'!K123</f>
        <v>1.25</v>
      </c>
      <c r="AE123" s="117">
        <f>'Case study'!Q123</f>
        <v>1.8</v>
      </c>
      <c r="AF123" s="117">
        <f>'Case study'!W123</f>
        <v>1</v>
      </c>
      <c r="AG123" s="117"/>
      <c r="AH123" s="117"/>
      <c r="AI123" s="117">
        <f>'Case study'!AO123</f>
        <v>2.25</v>
      </c>
      <c r="AJ123" s="117">
        <f>'Case study'!AU123</f>
        <v>3</v>
      </c>
      <c r="AK123" s="116"/>
      <c r="AL123" s="117">
        <f>Capstone!K123</f>
        <v>2</v>
      </c>
      <c r="AM123" s="117">
        <f>Capstone!Q124</f>
        <v>4</v>
      </c>
      <c r="AN123" s="117">
        <f>Capstone!W124</f>
        <v>4</v>
      </c>
      <c r="AO123" s="117"/>
      <c r="AP123" s="117"/>
      <c r="AQ123" s="117">
        <f>Capstone!AO124</f>
        <v>2.75</v>
      </c>
      <c r="AR123" s="117"/>
      <c r="AS123" s="116"/>
      <c r="AT123" s="117">
        <f>IFERROR(AVERAGE(Table110461117[[#This Row],[Column2]],Table110461117[[#This Row],[Column11]],Table110461117[[#This Row],[Column29]]),"0")</f>
        <v>1.5</v>
      </c>
      <c r="AU123" s="117">
        <f>IFERROR(AVERAGE(Table110461117[[#This Row],[Column3]],Table110461117[[#This Row],[Column12]],Table110461117[[#This Row],[Column21]],Table110461117[[#This Row],[Column30]]),"0")</f>
        <v>1.7124999999999999</v>
      </c>
      <c r="AV123" s="117">
        <f>IFERROR(AVERAGE(Table110461117[[#This Row],[Column31]],Table110461117[[#This Row],[Column22]],Table110461117[[#This Row],[Column4]]),"0")</f>
        <v>1.3333333333333333</v>
      </c>
      <c r="AW123" s="117">
        <f>IFERROR(AVERAGE(Table110461117[[#This Row],[Column14]]),"0")</f>
        <v>2</v>
      </c>
      <c r="AX123" s="117"/>
      <c r="AY123" s="117">
        <f>IFERROR(AVERAGE(Table110461117[[#This Row],[Column34]],Table110461117[[#This Row],[Column16]],Table110461117[[#This Row],[Column7]]),"0")</f>
        <v>2.1388888888888888</v>
      </c>
      <c r="AZ123" s="117">
        <f>IFERROR(AVERAGE(Table110461117[[#This Row],[Column35]],Table110461117[[#This Row],[Column17]],Table110461117[[#This Row],[Column8]]),"0")</f>
        <v>2.6666666666666665</v>
      </c>
      <c r="BA123" s="116"/>
      <c r="BB123" s="117"/>
      <c r="BC123" s="117">
        <f>IFERROR(AVERAGE('Book Review'!AY123,Debate!AY123,'Case study'!AY123,Capstone!AY123),"A")</f>
        <v>2.5</v>
      </c>
      <c r="BD123" s="117">
        <f>IFERROR(AVERAGE('Book Review'!AZ123,Debate!AZ123,'Case study'!AZ123),"A")</f>
        <v>2</v>
      </c>
    </row>
    <row r="124" spans="1:56" s="109" customFormat="1" ht="23.1" customHeight="1" x14ac:dyDescent="0.3">
      <c r="A124" s="6">
        <v>122</v>
      </c>
      <c r="B124" s="7" t="s">
        <v>362</v>
      </c>
      <c r="C124" s="7" t="s">
        <v>363</v>
      </c>
      <c r="D124" s="7" t="s">
        <v>450</v>
      </c>
      <c r="E124" s="7" t="s">
        <v>493</v>
      </c>
      <c r="F124" s="118">
        <f>'Book Review'!K124</f>
        <v>3.5</v>
      </c>
      <c r="G124" s="118">
        <f>'Book Review'!Q124</f>
        <v>4</v>
      </c>
      <c r="H124" s="118">
        <f>'Book Review'!W124</f>
        <v>4</v>
      </c>
      <c r="I124" s="118"/>
      <c r="J124" s="118"/>
      <c r="K124" s="118">
        <f>'Book Review'!AO124</f>
        <v>3</v>
      </c>
      <c r="L124" s="118">
        <f>'Book Review'!AU124</f>
        <v>4</v>
      </c>
      <c r="M124" s="116"/>
      <c r="N124" s="118">
        <f>Debate!K124</f>
        <v>3</v>
      </c>
      <c r="O124" s="118">
        <f>Debate!Q124</f>
        <v>3.9</v>
      </c>
      <c r="P124" s="118"/>
      <c r="Q124" s="118">
        <f>Debate!AC124</f>
        <v>3</v>
      </c>
      <c r="R124" s="118"/>
      <c r="S124" s="118">
        <f>Debate!AO124</f>
        <v>4</v>
      </c>
      <c r="T124" s="118">
        <f>Debate!AU124</f>
        <v>3</v>
      </c>
      <c r="U124" s="116"/>
      <c r="V124" s="7"/>
      <c r="W124" s="118">
        <f>GD!Q124</f>
        <v>4</v>
      </c>
      <c r="X124" s="118">
        <f>GD!W124</f>
        <v>4</v>
      </c>
      <c r="Y124" s="118"/>
      <c r="Z124" s="118"/>
      <c r="AA124" s="7"/>
      <c r="AB124" s="118"/>
      <c r="AC124" s="116"/>
      <c r="AD124" s="118">
        <f>'Case study'!K124</f>
        <v>3.5</v>
      </c>
      <c r="AE124" s="118">
        <f>'Case study'!Q124</f>
        <v>4</v>
      </c>
      <c r="AF124" s="118">
        <f>'Case study'!W124</f>
        <v>4</v>
      </c>
      <c r="AG124" s="118"/>
      <c r="AH124" s="118"/>
      <c r="AI124" s="118">
        <f>'Case study'!AO124</f>
        <v>3.25</v>
      </c>
      <c r="AJ124" s="118">
        <f>'Case study'!AU124</f>
        <v>3</v>
      </c>
      <c r="AK124" s="116"/>
      <c r="AL124" s="118">
        <f>Capstone!K124</f>
        <v>2.6666666666666665</v>
      </c>
      <c r="AM124" s="118">
        <f>Capstone!Q125</f>
        <v>3.5</v>
      </c>
      <c r="AN124" s="118">
        <f>Capstone!W125</f>
        <v>4</v>
      </c>
      <c r="AO124" s="118"/>
      <c r="AP124" s="118"/>
      <c r="AQ124" s="118">
        <f>Capstone!AO125</f>
        <v>4.5</v>
      </c>
      <c r="AR124" s="118"/>
      <c r="AS124" s="116"/>
      <c r="AT124" s="118">
        <f>IFERROR(AVERAGE(Table110461117[[#This Row],[Column2]],Table110461117[[#This Row],[Column11]],Table110461117[[#This Row],[Column29]]),"0")</f>
        <v>3.3333333333333335</v>
      </c>
      <c r="AU124" s="118">
        <f>IFERROR(AVERAGE(Table110461117[[#This Row],[Column3]],Table110461117[[#This Row],[Column12]],Table110461117[[#This Row],[Column21]],Table110461117[[#This Row],[Column30]]),"0")</f>
        <v>3.9750000000000001</v>
      </c>
      <c r="AV124" s="118">
        <f>IFERROR(AVERAGE(Table110461117[[#This Row],[Column31]],Table110461117[[#This Row],[Column22]],Table110461117[[#This Row],[Column4]]),"0")</f>
        <v>4</v>
      </c>
      <c r="AW124" s="118">
        <f>IFERROR(AVERAGE(Table110461117[[#This Row],[Column14]]),"0")</f>
        <v>3</v>
      </c>
      <c r="AX124" s="118"/>
      <c r="AY124" s="118">
        <f>IFERROR(AVERAGE(Table110461117[[#This Row],[Column34]],Table110461117[[#This Row],[Column16]],Table110461117[[#This Row],[Column7]]),"0")</f>
        <v>3.4166666666666665</v>
      </c>
      <c r="AZ124" s="118">
        <f>IFERROR(AVERAGE(Table110461117[[#This Row],[Column35]],Table110461117[[#This Row],[Column17]],Table110461117[[#This Row],[Column8]]),"0")</f>
        <v>3.3333333333333335</v>
      </c>
      <c r="BA124" s="116"/>
      <c r="BB124" s="118"/>
      <c r="BC124" s="118">
        <f>IFERROR(AVERAGE('Book Review'!AY124,Debate!AY124,'Case study'!AY124,Capstone!AY124),"A")</f>
        <v>3.625</v>
      </c>
      <c r="BD124" s="118">
        <f>IFERROR(AVERAGE('Book Review'!AZ124,Debate!AZ124,'Case study'!AZ124),"A")</f>
        <v>4.333333333333333</v>
      </c>
    </row>
    <row r="125" spans="1:56" s="109" customFormat="1" ht="23.1" customHeight="1" x14ac:dyDescent="0.3">
      <c r="A125" s="115">
        <v>123</v>
      </c>
      <c r="B125" s="49" t="s">
        <v>364</v>
      </c>
      <c r="C125" s="49" t="s">
        <v>365</v>
      </c>
      <c r="D125" s="49" t="s">
        <v>450</v>
      </c>
      <c r="E125" s="49" t="s">
        <v>493</v>
      </c>
      <c r="F125" s="117">
        <f>'Book Review'!K125</f>
        <v>3</v>
      </c>
      <c r="G125" s="117">
        <f>'Book Review'!Q125</f>
        <v>3.6</v>
      </c>
      <c r="H125" s="117">
        <f>'Book Review'!W125</f>
        <v>3</v>
      </c>
      <c r="I125" s="117"/>
      <c r="J125" s="117"/>
      <c r="K125" s="117">
        <f>'Book Review'!AO125</f>
        <v>3.5</v>
      </c>
      <c r="L125" s="117">
        <f>'Book Review'!AU125</f>
        <v>4</v>
      </c>
      <c r="M125" s="116"/>
      <c r="N125" s="117">
        <f>Debate!K125</f>
        <v>3</v>
      </c>
      <c r="O125" s="117">
        <f>Debate!Q125</f>
        <v>2.8</v>
      </c>
      <c r="P125" s="117"/>
      <c r="Q125" s="117">
        <f>Debate!AC125</f>
        <v>3</v>
      </c>
      <c r="R125" s="117"/>
      <c r="S125" s="117">
        <f>Debate!AO125</f>
        <v>3.3333333333333335</v>
      </c>
      <c r="T125" s="117">
        <f>Debate!AU125</f>
        <v>3</v>
      </c>
      <c r="U125" s="116"/>
      <c r="V125" s="49"/>
      <c r="W125" s="117">
        <f>GD!Q125</f>
        <v>3.5</v>
      </c>
      <c r="X125" s="117">
        <f>GD!W125</f>
        <v>4</v>
      </c>
      <c r="Y125" s="117"/>
      <c r="Z125" s="117"/>
      <c r="AA125" s="49"/>
      <c r="AB125" s="117"/>
      <c r="AC125" s="116"/>
      <c r="AD125" s="117">
        <f>'Case study'!K125</f>
        <v>5</v>
      </c>
      <c r="AE125" s="117">
        <f>'Case study'!Q125</f>
        <v>3.4</v>
      </c>
      <c r="AF125" s="117">
        <f>'Case study'!W125</f>
        <v>4</v>
      </c>
      <c r="AG125" s="117"/>
      <c r="AH125" s="117"/>
      <c r="AI125" s="117">
        <f>'Case study'!AO125</f>
        <v>4.75</v>
      </c>
      <c r="AJ125" s="117">
        <f>'Case study'!AU125</f>
        <v>3</v>
      </c>
      <c r="AK125" s="116"/>
      <c r="AL125" s="117">
        <f>Capstone!K125</f>
        <v>5</v>
      </c>
      <c r="AM125" s="117">
        <f>Capstone!Q126</f>
        <v>3.5</v>
      </c>
      <c r="AN125" s="117">
        <f>Capstone!W126</f>
        <v>3</v>
      </c>
      <c r="AO125" s="117"/>
      <c r="AP125" s="117"/>
      <c r="AQ125" s="117">
        <f>Capstone!AO126</f>
        <v>3.25</v>
      </c>
      <c r="AR125" s="117"/>
      <c r="AS125" s="116"/>
      <c r="AT125" s="117">
        <f>IFERROR(AVERAGE(Table110461117[[#This Row],[Column2]],Table110461117[[#This Row],[Column11]],Table110461117[[#This Row],[Column29]]),"0")</f>
        <v>3.6666666666666665</v>
      </c>
      <c r="AU125" s="117">
        <f>IFERROR(AVERAGE(Table110461117[[#This Row],[Column3]],Table110461117[[#This Row],[Column12]],Table110461117[[#This Row],[Column21]],Table110461117[[#This Row],[Column30]]),"0")</f>
        <v>3.3250000000000002</v>
      </c>
      <c r="AV125" s="117">
        <f>IFERROR(AVERAGE(Table110461117[[#This Row],[Column31]],Table110461117[[#This Row],[Column22]],Table110461117[[#This Row],[Column4]]),"0")</f>
        <v>3.6666666666666665</v>
      </c>
      <c r="AW125" s="117">
        <f>IFERROR(AVERAGE(Table110461117[[#This Row],[Column14]]),"0")</f>
        <v>3</v>
      </c>
      <c r="AX125" s="117"/>
      <c r="AY125" s="117">
        <f>IFERROR(AVERAGE(Table110461117[[#This Row],[Column34]],Table110461117[[#This Row],[Column16]],Table110461117[[#This Row],[Column7]]),"0")</f>
        <v>3.8611111111111112</v>
      </c>
      <c r="AZ125" s="117">
        <f>IFERROR(AVERAGE(Table110461117[[#This Row],[Column35]],Table110461117[[#This Row],[Column17]],Table110461117[[#This Row],[Column8]]),"0")</f>
        <v>3.3333333333333335</v>
      </c>
      <c r="BA125" s="116"/>
      <c r="BB125" s="117"/>
      <c r="BC125" s="117">
        <f>IFERROR(AVERAGE('Book Review'!AY125,Debate!AY125,'Case study'!AY125,Capstone!AY125),"A")</f>
        <v>3.5</v>
      </c>
      <c r="BD125" s="117">
        <f>IFERROR(AVERAGE('Book Review'!AZ125,Debate!AZ125,'Case study'!AZ125),"A")</f>
        <v>4</v>
      </c>
    </row>
    <row r="126" spans="1:56" s="109" customFormat="1" ht="23.1" customHeight="1" x14ac:dyDescent="0.3">
      <c r="A126" s="6">
        <v>124</v>
      </c>
      <c r="B126" s="7" t="s">
        <v>54</v>
      </c>
      <c r="C126" s="7" t="s">
        <v>55</v>
      </c>
      <c r="D126" s="7" t="s">
        <v>450</v>
      </c>
      <c r="E126" s="7" t="s">
        <v>35</v>
      </c>
      <c r="F126" s="118">
        <f>'Book Review'!K126</f>
        <v>3.25</v>
      </c>
      <c r="G126" s="118">
        <f>'Book Review'!Q126</f>
        <v>3.3</v>
      </c>
      <c r="H126" s="118">
        <f>'Book Review'!W126</f>
        <v>3.5</v>
      </c>
      <c r="I126" s="118"/>
      <c r="J126" s="118"/>
      <c r="K126" s="118">
        <f>'Book Review'!AO126</f>
        <v>3</v>
      </c>
      <c r="L126" s="118">
        <f>'Book Review'!AU126</f>
        <v>3.5</v>
      </c>
      <c r="M126" s="116"/>
      <c r="N126" s="118">
        <f>Debate!K126</f>
        <v>3</v>
      </c>
      <c r="O126" s="118">
        <f>Debate!Q126</f>
        <v>3.15</v>
      </c>
      <c r="P126" s="118"/>
      <c r="Q126" s="118">
        <f>Debate!AC126</f>
        <v>3.5</v>
      </c>
      <c r="R126" s="118"/>
      <c r="S126" s="118">
        <f>Debate!AO126</f>
        <v>3.3333333333333335</v>
      </c>
      <c r="T126" s="118">
        <f>Debate!AU126</f>
        <v>3.5</v>
      </c>
      <c r="U126" s="116"/>
      <c r="V126" s="7"/>
      <c r="W126" s="118">
        <f>GD!Q126</f>
        <v>3.125</v>
      </c>
      <c r="X126" s="118">
        <f>GD!W126</f>
        <v>3.5</v>
      </c>
      <c r="Y126" s="118"/>
      <c r="Z126" s="118"/>
      <c r="AA126" s="7"/>
      <c r="AB126" s="118"/>
      <c r="AC126" s="116"/>
      <c r="AD126" s="118">
        <f>'Case study'!K126</f>
        <v>3.25</v>
      </c>
      <c r="AE126" s="118">
        <f>'Case study'!Q126</f>
        <v>3.3</v>
      </c>
      <c r="AF126" s="118">
        <f>'Case study'!W126</f>
        <v>3</v>
      </c>
      <c r="AG126" s="118"/>
      <c r="AH126" s="118"/>
      <c r="AI126" s="118">
        <f>'Case study'!AO126</f>
        <v>3.375</v>
      </c>
      <c r="AJ126" s="118">
        <f>'Case study'!AU126</f>
        <v>3</v>
      </c>
      <c r="AK126" s="116"/>
      <c r="AL126" s="118">
        <f>Capstone!K126</f>
        <v>4</v>
      </c>
      <c r="AM126" s="118">
        <f>Capstone!Q127</f>
        <v>3.5</v>
      </c>
      <c r="AN126" s="118">
        <f>Capstone!W127</f>
        <v>3.5</v>
      </c>
      <c r="AO126" s="118"/>
      <c r="AP126" s="118"/>
      <c r="AQ126" s="118">
        <f>Capstone!AO127</f>
        <v>4</v>
      </c>
      <c r="AR126" s="118"/>
      <c r="AS126" s="116"/>
      <c r="AT126" s="118">
        <f>IFERROR(AVERAGE(Table110461117[[#This Row],[Column2]],Table110461117[[#This Row],[Column11]],Table110461117[[#This Row],[Column29]]),"0")</f>
        <v>3.1666666666666665</v>
      </c>
      <c r="AU126" s="118">
        <f>IFERROR(AVERAGE(Table110461117[[#This Row],[Column3]],Table110461117[[#This Row],[Column12]],Table110461117[[#This Row],[Column21]],Table110461117[[#This Row],[Column30]]),"0")</f>
        <v>3.21875</v>
      </c>
      <c r="AV126" s="118">
        <f>IFERROR(AVERAGE(Table110461117[[#This Row],[Column31]],Table110461117[[#This Row],[Column22]],Table110461117[[#This Row],[Column4]]),"0")</f>
        <v>3.3333333333333335</v>
      </c>
      <c r="AW126" s="118">
        <f>IFERROR(AVERAGE(Table110461117[[#This Row],[Column14]]),"0")</f>
        <v>3.5</v>
      </c>
      <c r="AX126" s="118"/>
      <c r="AY126" s="118">
        <f>IFERROR(AVERAGE(Table110461117[[#This Row],[Column34]],Table110461117[[#This Row],[Column16]],Table110461117[[#This Row],[Column7]]),"0")</f>
        <v>3.2361111111111112</v>
      </c>
      <c r="AZ126" s="118">
        <f>IFERROR(AVERAGE(Table110461117[[#This Row],[Column35]],Table110461117[[#This Row],[Column17]],Table110461117[[#This Row],[Column8]]),"0")</f>
        <v>3.3333333333333335</v>
      </c>
      <c r="BA126" s="116"/>
      <c r="BB126" s="118"/>
      <c r="BC126" s="118">
        <f>IFERROR(AVERAGE('Book Review'!AY126,Debate!AY126,'Case study'!AY126,Capstone!AY126),"A")</f>
        <v>3.125</v>
      </c>
      <c r="BD126" s="118">
        <f>IFERROR(AVERAGE('Book Review'!AZ126,Debate!AZ126,'Case study'!AZ126),"A")</f>
        <v>3.3333333333333335</v>
      </c>
    </row>
    <row r="127" spans="1:56" s="109" customFormat="1" ht="23.1" customHeight="1" x14ac:dyDescent="0.3">
      <c r="A127" s="115">
        <v>125</v>
      </c>
      <c r="B127" s="49" t="s">
        <v>219</v>
      </c>
      <c r="C127" s="49" t="s">
        <v>220</v>
      </c>
      <c r="D127" s="49" t="s">
        <v>542</v>
      </c>
      <c r="E127" s="49" t="s">
        <v>161</v>
      </c>
      <c r="F127" s="117">
        <f>'Book Review'!K127</f>
        <v>3.375</v>
      </c>
      <c r="G127" s="117">
        <f>'Book Review'!Q127</f>
        <v>3.5</v>
      </c>
      <c r="H127" s="117">
        <f>'Book Review'!W127</f>
        <v>3.5</v>
      </c>
      <c r="I127" s="117"/>
      <c r="J127" s="117"/>
      <c r="K127" s="117">
        <f>'Book Review'!AO127</f>
        <v>3.25</v>
      </c>
      <c r="L127" s="117">
        <f>'Book Review'!AU127</f>
        <v>3.5</v>
      </c>
      <c r="M127" s="116"/>
      <c r="N127" s="117">
        <f>Debate!K127</f>
        <v>3.5</v>
      </c>
      <c r="O127" s="117">
        <f>Debate!Q127</f>
        <v>3.4</v>
      </c>
      <c r="P127" s="117"/>
      <c r="Q127" s="117">
        <f>Debate!AC127</f>
        <v>3</v>
      </c>
      <c r="R127" s="117"/>
      <c r="S127" s="117">
        <f>Debate!AO127</f>
        <v>3.5</v>
      </c>
      <c r="T127" s="117">
        <f>Debate!AU127</f>
        <v>3.5</v>
      </c>
      <c r="U127" s="116"/>
      <c r="V127" s="49"/>
      <c r="W127" s="117">
        <f>GD!Q127</f>
        <v>3.375</v>
      </c>
      <c r="X127" s="117">
        <f>GD!W127</f>
        <v>3.5</v>
      </c>
      <c r="Y127" s="117"/>
      <c r="Z127" s="117"/>
      <c r="AA127" s="49"/>
      <c r="AB127" s="117"/>
      <c r="AC127" s="116"/>
      <c r="AD127" s="117">
        <f>'Case study'!K127</f>
        <v>3.5</v>
      </c>
      <c r="AE127" s="117">
        <f>'Case study'!Q127</f>
        <v>3.5</v>
      </c>
      <c r="AF127" s="117">
        <f>'Case study'!W127</f>
        <v>3.5</v>
      </c>
      <c r="AG127" s="117"/>
      <c r="AH127" s="117"/>
      <c r="AI127" s="117">
        <f>'Case study'!AO127</f>
        <v>3.5</v>
      </c>
      <c r="AJ127" s="117">
        <f>'Case study'!AU127</f>
        <v>4</v>
      </c>
      <c r="AK127" s="116"/>
      <c r="AL127" s="117">
        <f>Capstone!K127</f>
        <v>4</v>
      </c>
      <c r="AM127" s="117" t="str">
        <f>Capstone!Q128</f>
        <v>0</v>
      </c>
      <c r="AN127" s="117">
        <f>Capstone!W128</f>
        <v>2</v>
      </c>
      <c r="AO127" s="117"/>
      <c r="AP127" s="117"/>
      <c r="AQ127" s="117" t="str">
        <f>Capstone!AO128</f>
        <v>0</v>
      </c>
      <c r="AR127" s="117"/>
      <c r="AS127" s="116"/>
      <c r="AT127" s="117">
        <f>IFERROR(AVERAGE(Table110461117[[#This Row],[Column2]],Table110461117[[#This Row],[Column11]],Table110461117[[#This Row],[Column29]]),"0")</f>
        <v>3.4583333333333335</v>
      </c>
      <c r="AU127" s="117">
        <f>IFERROR(AVERAGE(Table110461117[[#This Row],[Column3]],Table110461117[[#This Row],[Column12]],Table110461117[[#This Row],[Column21]],Table110461117[[#This Row],[Column30]]),"0")</f>
        <v>3.4437500000000001</v>
      </c>
      <c r="AV127" s="117">
        <f>IFERROR(AVERAGE(Table110461117[[#This Row],[Column31]],Table110461117[[#This Row],[Column22]],Table110461117[[#This Row],[Column4]]),"0")</f>
        <v>3.5</v>
      </c>
      <c r="AW127" s="117">
        <f>IFERROR(AVERAGE(Table110461117[[#This Row],[Column14]]),"0")</f>
        <v>3</v>
      </c>
      <c r="AX127" s="117"/>
      <c r="AY127" s="117">
        <f>IFERROR(AVERAGE(Table110461117[[#This Row],[Column34]],Table110461117[[#This Row],[Column16]],Table110461117[[#This Row],[Column7]]),"0")</f>
        <v>3.4166666666666665</v>
      </c>
      <c r="AZ127" s="117">
        <f>IFERROR(AVERAGE(Table110461117[[#This Row],[Column35]],Table110461117[[#This Row],[Column17]],Table110461117[[#This Row],[Column8]]),"0")</f>
        <v>3.6666666666666665</v>
      </c>
      <c r="BA127" s="116"/>
      <c r="BB127" s="117"/>
      <c r="BC127" s="117">
        <f>IFERROR(AVERAGE('Book Review'!AY127,Debate!AY127,'Case study'!AY127,Capstone!AY127),"A")</f>
        <v>3.25</v>
      </c>
      <c r="BD127" s="117">
        <f>IFERROR(AVERAGE('Book Review'!AZ127,Debate!AZ127,'Case study'!AZ127),"A")</f>
        <v>3.3333333333333335</v>
      </c>
    </row>
    <row r="128" spans="1:56" s="109" customFormat="1" ht="23.1" customHeight="1" x14ac:dyDescent="0.3">
      <c r="A128" s="6">
        <v>126</v>
      </c>
      <c r="B128" s="7" t="s">
        <v>237</v>
      </c>
      <c r="C128" s="7" t="s">
        <v>238</v>
      </c>
      <c r="D128" s="7" t="s">
        <v>542</v>
      </c>
      <c r="E128" s="7" t="s">
        <v>161</v>
      </c>
      <c r="F128" s="118">
        <f>'Book Review'!K128</f>
        <v>2</v>
      </c>
      <c r="G128" s="118">
        <f>'Book Review'!Q128</f>
        <v>2</v>
      </c>
      <c r="H128" s="118">
        <f>'Book Review'!W128</f>
        <v>2</v>
      </c>
      <c r="I128" s="118"/>
      <c r="J128" s="118"/>
      <c r="K128" s="118">
        <f>'Book Review'!AO128</f>
        <v>2</v>
      </c>
      <c r="L128" s="118">
        <f>'Book Review'!AU128</f>
        <v>2</v>
      </c>
      <c r="M128" s="116"/>
      <c r="N128" s="118">
        <f>Debate!K128</f>
        <v>2</v>
      </c>
      <c r="O128" s="118">
        <f>Debate!Q128</f>
        <v>2</v>
      </c>
      <c r="P128" s="118"/>
      <c r="Q128" s="118">
        <f>Debate!AC128</f>
        <v>2</v>
      </c>
      <c r="R128" s="118"/>
      <c r="S128" s="118">
        <f>Debate!AO128</f>
        <v>2</v>
      </c>
      <c r="T128" s="118">
        <f>Debate!AU128</f>
        <v>2</v>
      </c>
      <c r="U128" s="116"/>
      <c r="V128" s="7"/>
      <c r="W128" s="118">
        <f>GD!Q128</f>
        <v>2</v>
      </c>
      <c r="X128" s="118">
        <f>GD!W128</f>
        <v>2</v>
      </c>
      <c r="Y128" s="118"/>
      <c r="Z128" s="118"/>
      <c r="AA128" s="7"/>
      <c r="AB128" s="118"/>
      <c r="AC128" s="116"/>
      <c r="AD128" s="118">
        <f>'Case study'!K128</f>
        <v>2</v>
      </c>
      <c r="AE128" s="118">
        <f>'Case study'!Q128</f>
        <v>2</v>
      </c>
      <c r="AF128" s="118">
        <f>'Case study'!W128</f>
        <v>2</v>
      </c>
      <c r="AG128" s="118"/>
      <c r="AH128" s="118"/>
      <c r="AI128" s="118">
        <f>'Case study'!AO128</f>
        <v>2</v>
      </c>
      <c r="AJ128" s="118">
        <f>'Case study'!AU128</f>
        <v>3</v>
      </c>
      <c r="AK128" s="116"/>
      <c r="AL128" s="118" t="str">
        <f>Capstone!K128</f>
        <v>0</v>
      </c>
      <c r="AM128" s="118">
        <f>Capstone!Q129</f>
        <v>2</v>
      </c>
      <c r="AN128" s="118">
        <f>Capstone!W129</f>
        <v>2.5</v>
      </c>
      <c r="AO128" s="118"/>
      <c r="AP128" s="118"/>
      <c r="AQ128" s="118">
        <f>Capstone!AO129</f>
        <v>3.5</v>
      </c>
      <c r="AR128" s="118"/>
      <c r="AS128" s="116"/>
      <c r="AT128" s="118">
        <f>IFERROR(AVERAGE(Table110461117[[#This Row],[Column2]],Table110461117[[#This Row],[Column11]],Table110461117[[#This Row],[Column29]]),"0")</f>
        <v>2</v>
      </c>
      <c r="AU128" s="118">
        <f>IFERROR(AVERAGE(Table110461117[[#This Row],[Column3]],Table110461117[[#This Row],[Column12]],Table110461117[[#This Row],[Column21]],Table110461117[[#This Row],[Column30]]),"0")</f>
        <v>2</v>
      </c>
      <c r="AV128" s="118">
        <f>IFERROR(AVERAGE(Table110461117[[#This Row],[Column31]],Table110461117[[#This Row],[Column22]],Table110461117[[#This Row],[Column4]]),"0")</f>
        <v>2</v>
      </c>
      <c r="AW128" s="118">
        <f>IFERROR(AVERAGE(Table110461117[[#This Row],[Column14]]),"0")</f>
        <v>2</v>
      </c>
      <c r="AX128" s="118"/>
      <c r="AY128" s="118">
        <f>IFERROR(AVERAGE(Table110461117[[#This Row],[Column34]],Table110461117[[#This Row],[Column16]],Table110461117[[#This Row],[Column7]]),"0")</f>
        <v>2</v>
      </c>
      <c r="AZ128" s="118">
        <f>IFERROR(AVERAGE(Table110461117[[#This Row],[Column35]],Table110461117[[#This Row],[Column17]],Table110461117[[#This Row],[Column8]]),"0")</f>
        <v>2.3333333333333335</v>
      </c>
      <c r="BA128" s="116"/>
      <c r="BB128" s="118"/>
      <c r="BC128" s="118">
        <f>IFERROR(AVERAGE('Book Review'!AY128,Debate!AY128,'Case study'!AY128,Capstone!AY128),"A")</f>
        <v>2.6666666666666665</v>
      </c>
      <c r="BD128" s="118">
        <f>IFERROR(AVERAGE('Book Review'!AZ128,Debate!AZ128,'Case study'!AZ128),"A")</f>
        <v>2.6666666666666665</v>
      </c>
    </row>
    <row r="129" spans="1:56" s="109" customFormat="1" ht="23.1" customHeight="1" x14ac:dyDescent="0.3">
      <c r="A129" s="115">
        <v>127</v>
      </c>
      <c r="B129" s="49" t="s">
        <v>366</v>
      </c>
      <c r="C129" s="49" t="s">
        <v>367</v>
      </c>
      <c r="D129" s="49" t="s">
        <v>542</v>
      </c>
      <c r="E129" s="49" t="s">
        <v>493</v>
      </c>
      <c r="F129" s="117">
        <f>'Book Review'!K129</f>
        <v>2.25</v>
      </c>
      <c r="G129" s="117">
        <f>'Book Review'!Q129</f>
        <v>2.2000000000000002</v>
      </c>
      <c r="H129" s="117">
        <f>'Book Review'!W129</f>
        <v>2</v>
      </c>
      <c r="I129" s="117"/>
      <c r="J129" s="117"/>
      <c r="K129" s="117">
        <f>'Book Review'!AO129</f>
        <v>2.5</v>
      </c>
      <c r="L129" s="117">
        <f>'Book Review'!AU129</f>
        <v>2</v>
      </c>
      <c r="M129" s="116"/>
      <c r="N129" s="117">
        <f>Debate!K129</f>
        <v>2.5</v>
      </c>
      <c r="O129" s="117">
        <f>Debate!Q129</f>
        <v>2.35</v>
      </c>
      <c r="P129" s="117"/>
      <c r="Q129" s="117">
        <f>Debate!AC129</f>
        <v>2</v>
      </c>
      <c r="R129" s="117"/>
      <c r="S129" s="117">
        <f>Debate!AO129</f>
        <v>2.1666666666666665</v>
      </c>
      <c r="T129" s="117">
        <f>Debate!AU129</f>
        <v>2</v>
      </c>
      <c r="U129" s="116"/>
      <c r="V129" s="49"/>
      <c r="W129" s="117">
        <f>GD!Q129</f>
        <v>2.375</v>
      </c>
      <c r="X129" s="117">
        <f>GD!W129</f>
        <v>2</v>
      </c>
      <c r="Y129" s="117"/>
      <c r="Z129" s="117"/>
      <c r="AA129" s="49"/>
      <c r="AB129" s="117"/>
      <c r="AC129" s="116"/>
      <c r="AD129" s="117">
        <f>'Case study'!K129</f>
        <v>2.25</v>
      </c>
      <c r="AE129" s="117">
        <f>'Case study'!Q129</f>
        <v>2.2000000000000002</v>
      </c>
      <c r="AF129" s="117">
        <f>'Case study'!W129</f>
        <v>2.5</v>
      </c>
      <c r="AG129" s="117"/>
      <c r="AH129" s="117"/>
      <c r="AI129" s="117">
        <f>'Case study'!AO129</f>
        <v>2.125</v>
      </c>
      <c r="AJ129" s="117">
        <f>'Case study'!AU129</f>
        <v>2.5</v>
      </c>
      <c r="AK129" s="116"/>
      <c r="AL129" s="117">
        <f>Capstone!K129</f>
        <v>3.3333333333333335</v>
      </c>
      <c r="AM129" s="117">
        <f>Capstone!Q130</f>
        <v>2.5</v>
      </c>
      <c r="AN129" s="117">
        <f>Capstone!W130</f>
        <v>3</v>
      </c>
      <c r="AO129" s="117"/>
      <c r="AP129" s="117"/>
      <c r="AQ129" s="117">
        <f>Capstone!AO130</f>
        <v>2.5</v>
      </c>
      <c r="AR129" s="117"/>
      <c r="AS129" s="116"/>
      <c r="AT129" s="117">
        <f>IFERROR(AVERAGE(Table110461117[[#This Row],[Column2]],Table110461117[[#This Row],[Column11]],Table110461117[[#This Row],[Column29]]),"0")</f>
        <v>2.3333333333333335</v>
      </c>
      <c r="AU129" s="117">
        <f>IFERROR(AVERAGE(Table110461117[[#This Row],[Column3]],Table110461117[[#This Row],[Column12]],Table110461117[[#This Row],[Column21]],Table110461117[[#This Row],[Column30]]),"0")</f>
        <v>2.28125</v>
      </c>
      <c r="AV129" s="117">
        <f>IFERROR(AVERAGE(Table110461117[[#This Row],[Column31]],Table110461117[[#This Row],[Column22]],Table110461117[[#This Row],[Column4]]),"0")</f>
        <v>2.1666666666666665</v>
      </c>
      <c r="AW129" s="117">
        <f>IFERROR(AVERAGE(Table110461117[[#This Row],[Column14]]),"0")</f>
        <v>2</v>
      </c>
      <c r="AX129" s="117"/>
      <c r="AY129" s="117">
        <f>IFERROR(AVERAGE(Table110461117[[#This Row],[Column34]],Table110461117[[#This Row],[Column16]],Table110461117[[#This Row],[Column7]]),"0")</f>
        <v>2.2638888888888888</v>
      </c>
      <c r="AZ129" s="117">
        <f>IFERROR(AVERAGE(Table110461117[[#This Row],[Column35]],Table110461117[[#This Row],[Column17]],Table110461117[[#This Row],[Column8]]),"0")</f>
        <v>2.1666666666666665</v>
      </c>
      <c r="BA129" s="116"/>
      <c r="BB129" s="117"/>
      <c r="BC129" s="117">
        <f>IFERROR(AVERAGE('Book Review'!AY129,Debate!AY129,'Case study'!AY129,Capstone!AY129),"A")</f>
        <v>2.375</v>
      </c>
      <c r="BD129" s="117">
        <f>IFERROR(AVERAGE('Book Review'!AZ129,Debate!AZ129,'Case study'!AZ129),"A")</f>
        <v>2.1666666666666665</v>
      </c>
    </row>
    <row r="130" spans="1:56" s="109" customFormat="1" ht="23.1" customHeight="1" x14ac:dyDescent="0.3">
      <c r="A130" s="6">
        <v>128</v>
      </c>
      <c r="B130" s="7" t="s">
        <v>368</v>
      </c>
      <c r="C130" s="7" t="s">
        <v>369</v>
      </c>
      <c r="D130" s="7" t="s">
        <v>450</v>
      </c>
      <c r="E130" s="7" t="s">
        <v>493</v>
      </c>
      <c r="F130" s="118">
        <f>'Book Review'!K130</f>
        <v>2.5</v>
      </c>
      <c r="G130" s="118">
        <f>'Book Review'!Q130</f>
        <v>3.2</v>
      </c>
      <c r="H130" s="118">
        <f>'Book Review'!W130</f>
        <v>3</v>
      </c>
      <c r="I130" s="118"/>
      <c r="J130" s="118"/>
      <c r="K130" s="118">
        <f>'Book Review'!AO130</f>
        <v>2.5</v>
      </c>
      <c r="L130" s="118">
        <f>'Book Review'!AU130</f>
        <v>3</v>
      </c>
      <c r="M130" s="116"/>
      <c r="N130" s="118">
        <f>Debate!K130</f>
        <v>2</v>
      </c>
      <c r="O130" s="118">
        <f>Debate!Q130</f>
        <v>3.4</v>
      </c>
      <c r="P130" s="118"/>
      <c r="Q130" s="118">
        <f>Debate!AC130</f>
        <v>3</v>
      </c>
      <c r="R130" s="118"/>
      <c r="S130" s="118">
        <f>Debate!AO130</f>
        <v>2.6666666666666665</v>
      </c>
      <c r="T130" s="118">
        <f>Debate!AU130</f>
        <v>3</v>
      </c>
      <c r="U130" s="116"/>
      <c r="V130" s="7"/>
      <c r="W130" s="118">
        <f>GD!Q130</f>
        <v>3.5</v>
      </c>
      <c r="X130" s="118">
        <f>GD!W130</f>
        <v>3</v>
      </c>
      <c r="Y130" s="118"/>
      <c r="Z130" s="118"/>
      <c r="AA130" s="7"/>
      <c r="AB130" s="118"/>
      <c r="AC130" s="116"/>
      <c r="AD130" s="118">
        <f>'Case study'!K130</f>
        <v>3.25</v>
      </c>
      <c r="AE130" s="118">
        <f>'Case study'!Q130</f>
        <v>2.8</v>
      </c>
      <c r="AF130" s="118">
        <f>'Case study'!W130</f>
        <v>3</v>
      </c>
      <c r="AG130" s="118"/>
      <c r="AH130" s="118"/>
      <c r="AI130" s="118">
        <f>'Case study'!AO130</f>
        <v>2.75</v>
      </c>
      <c r="AJ130" s="118">
        <f>'Case study'!AU130</f>
        <v>3</v>
      </c>
      <c r="AK130" s="116"/>
      <c r="AL130" s="118">
        <f>Capstone!K130</f>
        <v>2</v>
      </c>
      <c r="AM130" s="118">
        <f>Capstone!Q131</f>
        <v>4</v>
      </c>
      <c r="AN130" s="118">
        <f>Capstone!W131</f>
        <v>3</v>
      </c>
      <c r="AO130" s="118"/>
      <c r="AP130" s="118"/>
      <c r="AQ130" s="118">
        <f>Capstone!AO131</f>
        <v>4.5</v>
      </c>
      <c r="AR130" s="118"/>
      <c r="AS130" s="116"/>
      <c r="AT130" s="118">
        <f>IFERROR(AVERAGE(Table110461117[[#This Row],[Column2]],Table110461117[[#This Row],[Column11]],Table110461117[[#This Row],[Column29]]),"0")</f>
        <v>2.5833333333333335</v>
      </c>
      <c r="AU130" s="118">
        <f>IFERROR(AVERAGE(Table110461117[[#This Row],[Column3]],Table110461117[[#This Row],[Column12]],Table110461117[[#This Row],[Column21]],Table110461117[[#This Row],[Column30]]),"0")</f>
        <v>3.2249999999999996</v>
      </c>
      <c r="AV130" s="118">
        <f>IFERROR(AVERAGE(Table110461117[[#This Row],[Column31]],Table110461117[[#This Row],[Column22]],Table110461117[[#This Row],[Column4]]),"0")</f>
        <v>3</v>
      </c>
      <c r="AW130" s="118">
        <f>IFERROR(AVERAGE(Table110461117[[#This Row],[Column14]]),"0")</f>
        <v>3</v>
      </c>
      <c r="AX130" s="118"/>
      <c r="AY130" s="118">
        <f>IFERROR(AVERAGE(Table110461117[[#This Row],[Column34]],Table110461117[[#This Row],[Column16]],Table110461117[[#This Row],[Column7]]),"0")</f>
        <v>2.6388888888888888</v>
      </c>
      <c r="AZ130" s="118">
        <f>IFERROR(AVERAGE(Table110461117[[#This Row],[Column35]],Table110461117[[#This Row],[Column17]],Table110461117[[#This Row],[Column8]]),"0")</f>
        <v>3</v>
      </c>
      <c r="BA130" s="116"/>
      <c r="BB130" s="118"/>
      <c r="BC130" s="118">
        <f>IFERROR(AVERAGE('Book Review'!AY130,Debate!AY130,'Case study'!AY130,Capstone!AY130),"A")</f>
        <v>2.75</v>
      </c>
      <c r="BD130" s="118">
        <f>IFERROR(AVERAGE('Book Review'!AZ130,Debate!AZ130,'Case study'!AZ130),"A")</f>
        <v>3</v>
      </c>
    </row>
    <row r="131" spans="1:56" s="109" customFormat="1" ht="23.1" customHeight="1" x14ac:dyDescent="0.3">
      <c r="A131" s="115">
        <v>129</v>
      </c>
      <c r="B131" s="49" t="s">
        <v>251</v>
      </c>
      <c r="C131" s="49" t="s">
        <v>252</v>
      </c>
      <c r="D131" s="49" t="s">
        <v>542</v>
      </c>
      <c r="E131" s="49" t="s">
        <v>161</v>
      </c>
      <c r="F131" s="117">
        <f>'Book Review'!K131</f>
        <v>3.25</v>
      </c>
      <c r="G131" s="117">
        <f>'Book Review'!Q131</f>
        <v>3.2</v>
      </c>
      <c r="H131" s="117">
        <f>'Book Review'!W131</f>
        <v>4</v>
      </c>
      <c r="I131" s="117"/>
      <c r="J131" s="117"/>
      <c r="K131" s="117">
        <f>'Book Review'!AO131</f>
        <v>2.5</v>
      </c>
      <c r="L131" s="117">
        <f>'Book Review'!AU131</f>
        <v>3</v>
      </c>
      <c r="M131" s="116"/>
      <c r="N131" s="117">
        <f>Debate!K131</f>
        <v>2</v>
      </c>
      <c r="O131" s="117">
        <f>Debate!Q131</f>
        <v>2.9</v>
      </c>
      <c r="P131" s="117"/>
      <c r="Q131" s="117">
        <f>Debate!AC131</f>
        <v>2</v>
      </c>
      <c r="R131" s="117"/>
      <c r="S131" s="117">
        <f>Debate!AO131</f>
        <v>2.3333333333333335</v>
      </c>
      <c r="T131" s="117">
        <f>Debate!AU131</f>
        <v>3</v>
      </c>
      <c r="U131" s="116"/>
      <c r="V131" s="49"/>
      <c r="W131" s="117">
        <f>GD!Q131</f>
        <v>3.5</v>
      </c>
      <c r="X131" s="117">
        <f>GD!W131</f>
        <v>2</v>
      </c>
      <c r="Y131" s="117"/>
      <c r="Z131" s="117"/>
      <c r="AA131" s="49"/>
      <c r="AB131" s="117"/>
      <c r="AC131" s="116"/>
      <c r="AD131" s="117">
        <f>'Case study'!K131</f>
        <v>3.5</v>
      </c>
      <c r="AE131" s="117">
        <f>'Case study'!Q131</f>
        <v>3</v>
      </c>
      <c r="AF131" s="117">
        <f>'Case study'!W131</f>
        <v>3</v>
      </c>
      <c r="AG131" s="117"/>
      <c r="AH131" s="117"/>
      <c r="AI131" s="117">
        <f>'Case study'!AO131</f>
        <v>3.25</v>
      </c>
      <c r="AJ131" s="117">
        <f>'Case study'!AU131</f>
        <v>3</v>
      </c>
      <c r="AK131" s="116"/>
      <c r="AL131" s="117">
        <f>Capstone!K131</f>
        <v>4</v>
      </c>
      <c r="AM131" s="117">
        <f>Capstone!Q132</f>
        <v>3.5</v>
      </c>
      <c r="AN131" s="117">
        <f>Capstone!W132</f>
        <v>3.5</v>
      </c>
      <c r="AO131" s="117"/>
      <c r="AP131" s="117"/>
      <c r="AQ131" s="117">
        <f>Capstone!AO132</f>
        <v>3.5</v>
      </c>
      <c r="AR131" s="117"/>
      <c r="AS131" s="116"/>
      <c r="AT131" s="117">
        <f>IFERROR(AVERAGE(Table110461117[[#This Row],[Column2]],Table110461117[[#This Row],[Column11]],Table110461117[[#This Row],[Column29]]),"0")</f>
        <v>2.9166666666666665</v>
      </c>
      <c r="AU131" s="117">
        <f>IFERROR(AVERAGE(Table110461117[[#This Row],[Column3]],Table110461117[[#This Row],[Column12]],Table110461117[[#This Row],[Column21]],Table110461117[[#This Row],[Column30]]),"0")</f>
        <v>3.15</v>
      </c>
      <c r="AV131" s="117">
        <f>IFERROR(AVERAGE(Table110461117[[#This Row],[Column31]],Table110461117[[#This Row],[Column22]],Table110461117[[#This Row],[Column4]]),"0")</f>
        <v>3</v>
      </c>
      <c r="AW131" s="117">
        <f>IFERROR(AVERAGE(Table110461117[[#This Row],[Column14]]),"0")</f>
        <v>2</v>
      </c>
      <c r="AX131" s="117"/>
      <c r="AY131" s="117">
        <f>IFERROR(AVERAGE(Table110461117[[#This Row],[Column34]],Table110461117[[#This Row],[Column16]],Table110461117[[#This Row],[Column7]]),"0")</f>
        <v>2.6944444444444446</v>
      </c>
      <c r="AZ131" s="117">
        <f>IFERROR(AVERAGE(Table110461117[[#This Row],[Column35]],Table110461117[[#This Row],[Column17]],Table110461117[[#This Row],[Column8]]),"0")</f>
        <v>3</v>
      </c>
      <c r="BA131" s="116"/>
      <c r="BB131" s="117"/>
      <c r="BC131" s="117">
        <f>IFERROR(AVERAGE('Book Review'!AY131,Debate!AY131,'Case study'!AY131,Capstone!AY131),"A")</f>
        <v>3.75</v>
      </c>
      <c r="BD131" s="117">
        <f>IFERROR(AVERAGE('Book Review'!AZ131,Debate!AZ131,'Case study'!AZ131),"A")</f>
        <v>3.6666666666666665</v>
      </c>
    </row>
    <row r="132" spans="1:56" s="109" customFormat="1" ht="23.1" customHeight="1" x14ac:dyDescent="0.3">
      <c r="A132" s="6">
        <v>130</v>
      </c>
      <c r="B132" s="7" t="s">
        <v>56</v>
      </c>
      <c r="C132" s="7" t="s">
        <v>57</v>
      </c>
      <c r="D132" s="7" t="s">
        <v>450</v>
      </c>
      <c r="E132" s="7" t="s">
        <v>35</v>
      </c>
      <c r="F132" s="118">
        <f>'Book Review'!K132</f>
        <v>3.375</v>
      </c>
      <c r="G132" s="118">
        <f>'Book Review'!Q132</f>
        <v>3.4</v>
      </c>
      <c r="H132" s="118">
        <f>'Book Review'!W132</f>
        <v>3.5</v>
      </c>
      <c r="I132" s="118"/>
      <c r="J132" s="118"/>
      <c r="K132" s="118">
        <f>'Book Review'!AO132</f>
        <v>3.25</v>
      </c>
      <c r="L132" s="118">
        <f>'Book Review'!AU132</f>
        <v>3.5</v>
      </c>
      <c r="M132" s="116"/>
      <c r="N132" s="118">
        <f>Debate!K132</f>
        <v>3.5</v>
      </c>
      <c r="O132" s="118">
        <f>Debate!Q132</f>
        <v>3.4</v>
      </c>
      <c r="P132" s="118"/>
      <c r="Q132" s="118">
        <f>Debate!AC132</f>
        <v>3.5</v>
      </c>
      <c r="R132" s="118"/>
      <c r="S132" s="118">
        <f>Debate!AO132</f>
        <v>3.3333333333333335</v>
      </c>
      <c r="T132" s="118">
        <f>Debate!AU132</f>
        <v>3.5</v>
      </c>
      <c r="U132" s="116"/>
      <c r="V132" s="7"/>
      <c r="W132" s="118">
        <f>GD!Q132</f>
        <v>3.375</v>
      </c>
      <c r="X132" s="118">
        <f>GD!W132</f>
        <v>3.5</v>
      </c>
      <c r="Y132" s="118"/>
      <c r="Z132" s="118"/>
      <c r="AA132" s="7"/>
      <c r="AB132" s="118"/>
      <c r="AC132" s="116"/>
      <c r="AD132" s="118">
        <f>'Case study'!K132</f>
        <v>3.375</v>
      </c>
      <c r="AE132" s="118">
        <f>'Case study'!Q132</f>
        <v>3.4</v>
      </c>
      <c r="AF132" s="118">
        <f>'Case study'!W132</f>
        <v>3.5</v>
      </c>
      <c r="AG132" s="118"/>
      <c r="AH132" s="118"/>
      <c r="AI132" s="118">
        <f>'Case study'!AO132</f>
        <v>3.5</v>
      </c>
      <c r="AJ132" s="118">
        <f>'Case study'!AU132</f>
        <v>3</v>
      </c>
      <c r="AK132" s="116"/>
      <c r="AL132" s="118">
        <f>Capstone!K132</f>
        <v>3.3333333333333335</v>
      </c>
      <c r="AM132" s="118">
        <f>Capstone!Q133</f>
        <v>4</v>
      </c>
      <c r="AN132" s="118">
        <f>Capstone!W133</f>
        <v>4</v>
      </c>
      <c r="AO132" s="118"/>
      <c r="AP132" s="118"/>
      <c r="AQ132" s="118">
        <f>Capstone!AO133</f>
        <v>3.5</v>
      </c>
      <c r="AR132" s="118"/>
      <c r="AS132" s="116"/>
      <c r="AT132" s="118">
        <f>IFERROR(AVERAGE(Table110461117[[#This Row],[Column2]],Table110461117[[#This Row],[Column11]],Table110461117[[#This Row],[Column29]]),"0")</f>
        <v>3.4166666666666665</v>
      </c>
      <c r="AU132" s="118">
        <f>IFERROR(AVERAGE(Table110461117[[#This Row],[Column3]],Table110461117[[#This Row],[Column12]],Table110461117[[#This Row],[Column21]],Table110461117[[#This Row],[Column30]]),"0")</f>
        <v>3.3937500000000003</v>
      </c>
      <c r="AV132" s="118">
        <f>IFERROR(AVERAGE(Table110461117[[#This Row],[Column31]],Table110461117[[#This Row],[Column22]],Table110461117[[#This Row],[Column4]]),"0")</f>
        <v>3.5</v>
      </c>
      <c r="AW132" s="118">
        <f>IFERROR(AVERAGE(Table110461117[[#This Row],[Column14]]),"0")</f>
        <v>3.5</v>
      </c>
      <c r="AX132" s="118"/>
      <c r="AY132" s="118">
        <f>IFERROR(AVERAGE(Table110461117[[#This Row],[Column34]],Table110461117[[#This Row],[Column16]],Table110461117[[#This Row],[Column7]]),"0")</f>
        <v>3.3611111111111112</v>
      </c>
      <c r="AZ132" s="118">
        <f>IFERROR(AVERAGE(Table110461117[[#This Row],[Column35]],Table110461117[[#This Row],[Column17]],Table110461117[[#This Row],[Column8]]),"0")</f>
        <v>3.3333333333333335</v>
      </c>
      <c r="BA132" s="116"/>
      <c r="BB132" s="118"/>
      <c r="BC132" s="118">
        <f>IFERROR(AVERAGE('Book Review'!AY132,Debate!AY132,'Case study'!AY132,Capstone!AY132),"A")</f>
        <v>3.5</v>
      </c>
      <c r="BD132" s="118">
        <f>IFERROR(AVERAGE('Book Review'!AZ132,Debate!AZ132,'Case study'!AZ132),"A")</f>
        <v>3.5</v>
      </c>
    </row>
    <row r="133" spans="1:56" s="109" customFormat="1" ht="23.1" customHeight="1" x14ac:dyDescent="0.3">
      <c r="A133" s="115">
        <v>131</v>
      </c>
      <c r="B133" s="49" t="s">
        <v>265</v>
      </c>
      <c r="C133" s="49" t="s">
        <v>266</v>
      </c>
      <c r="D133" s="49" t="s">
        <v>542</v>
      </c>
      <c r="E133" s="49" t="s">
        <v>161</v>
      </c>
      <c r="F133" s="117">
        <f>'Book Review'!K133</f>
        <v>3</v>
      </c>
      <c r="G133" s="117">
        <f>'Book Review'!Q133</f>
        <v>4</v>
      </c>
      <c r="H133" s="117">
        <f>'Book Review'!W133</f>
        <v>4</v>
      </c>
      <c r="I133" s="117"/>
      <c r="J133" s="117"/>
      <c r="K133" s="117">
        <f>'Book Review'!AO133</f>
        <v>4</v>
      </c>
      <c r="L133" s="117">
        <f>'Book Review'!AU133</f>
        <v>4</v>
      </c>
      <c r="M133" s="116"/>
      <c r="N133" s="117">
        <f>Debate!K133</f>
        <v>4</v>
      </c>
      <c r="O133" s="117">
        <f>Debate!Q133</f>
        <v>3.6</v>
      </c>
      <c r="P133" s="117"/>
      <c r="Q133" s="117">
        <f>Debate!AC133</f>
        <v>4</v>
      </c>
      <c r="R133" s="117"/>
      <c r="S133" s="117">
        <f>Debate!AO133</f>
        <v>4</v>
      </c>
      <c r="T133" s="117">
        <f>Debate!AU133</f>
        <v>4</v>
      </c>
      <c r="U133" s="116"/>
      <c r="V133" s="49"/>
      <c r="W133" s="117">
        <f>GD!Q133</f>
        <v>4</v>
      </c>
      <c r="X133" s="117">
        <f>GD!W133</f>
        <v>4</v>
      </c>
      <c r="Y133" s="117"/>
      <c r="Z133" s="117"/>
      <c r="AA133" s="49"/>
      <c r="AB133" s="117"/>
      <c r="AC133" s="116"/>
      <c r="AD133" s="117">
        <f>'Case study'!K133</f>
        <v>3</v>
      </c>
      <c r="AE133" s="117">
        <f>'Case study'!Q133</f>
        <v>4</v>
      </c>
      <c r="AF133" s="117">
        <f>'Case study'!W133</f>
        <v>4</v>
      </c>
      <c r="AG133" s="117"/>
      <c r="AH133" s="117"/>
      <c r="AI133" s="117">
        <f>'Case study'!AO133</f>
        <v>4</v>
      </c>
      <c r="AJ133" s="117">
        <f>'Case study'!AU133</f>
        <v>2</v>
      </c>
      <c r="AK133" s="116"/>
      <c r="AL133" s="117">
        <f>Capstone!K133</f>
        <v>3</v>
      </c>
      <c r="AM133" s="117">
        <f>Capstone!Q134</f>
        <v>3</v>
      </c>
      <c r="AN133" s="117">
        <f>Capstone!W134</f>
        <v>0</v>
      </c>
      <c r="AO133" s="117"/>
      <c r="AP133" s="117"/>
      <c r="AQ133" s="117">
        <f>Capstone!AO134</f>
        <v>1.75</v>
      </c>
      <c r="AR133" s="117"/>
      <c r="AS133" s="116"/>
      <c r="AT133" s="117">
        <f>IFERROR(AVERAGE(Table110461117[[#This Row],[Column2]],Table110461117[[#This Row],[Column11]],Table110461117[[#This Row],[Column29]]),"0")</f>
        <v>3.3333333333333335</v>
      </c>
      <c r="AU133" s="117">
        <f>IFERROR(AVERAGE(Table110461117[[#This Row],[Column3]],Table110461117[[#This Row],[Column12]],Table110461117[[#This Row],[Column21]],Table110461117[[#This Row],[Column30]]),"0")</f>
        <v>3.9</v>
      </c>
      <c r="AV133" s="117">
        <f>IFERROR(AVERAGE(Table110461117[[#This Row],[Column31]],Table110461117[[#This Row],[Column22]],Table110461117[[#This Row],[Column4]]),"0")</f>
        <v>4</v>
      </c>
      <c r="AW133" s="117">
        <f>IFERROR(AVERAGE(Table110461117[[#This Row],[Column14]]),"0")</f>
        <v>4</v>
      </c>
      <c r="AX133" s="117"/>
      <c r="AY133" s="117">
        <f>IFERROR(AVERAGE(Table110461117[[#This Row],[Column34]],Table110461117[[#This Row],[Column16]],Table110461117[[#This Row],[Column7]]),"0")</f>
        <v>4</v>
      </c>
      <c r="AZ133" s="117">
        <f>IFERROR(AVERAGE(Table110461117[[#This Row],[Column35]],Table110461117[[#This Row],[Column17]],Table110461117[[#This Row],[Column8]]),"0")</f>
        <v>3.3333333333333335</v>
      </c>
      <c r="BA133" s="116"/>
      <c r="BB133" s="117"/>
      <c r="BC133" s="117">
        <f>IFERROR(AVERAGE('Book Review'!AY133,Debate!AY133,'Case study'!AY133,Capstone!AY133),"A")</f>
        <v>3.25</v>
      </c>
      <c r="BD133" s="117">
        <f>IFERROR(AVERAGE('Book Review'!AZ133,Debate!AZ133,'Case study'!AZ133),"A")</f>
        <v>2.3333333333333335</v>
      </c>
    </row>
    <row r="134" spans="1:56" s="109" customFormat="1" ht="23.1" customHeight="1" x14ac:dyDescent="0.3">
      <c r="A134" s="6">
        <v>132</v>
      </c>
      <c r="B134" s="7" t="s">
        <v>79</v>
      </c>
      <c r="C134" s="7" t="s">
        <v>80</v>
      </c>
      <c r="D134" s="7" t="s">
        <v>542</v>
      </c>
      <c r="E134" s="7" t="s">
        <v>35</v>
      </c>
      <c r="F134" s="118">
        <f>'Book Review'!K134</f>
        <v>2.75</v>
      </c>
      <c r="G134" s="118">
        <f>'Book Review'!Q134</f>
        <v>3.6</v>
      </c>
      <c r="H134" s="118">
        <f>'Book Review'!W134</f>
        <v>3</v>
      </c>
      <c r="I134" s="118"/>
      <c r="J134" s="118"/>
      <c r="K134" s="118">
        <f>'Book Review'!AO134</f>
        <v>2.5</v>
      </c>
      <c r="L134" s="118">
        <f>'Book Review'!AU134</f>
        <v>2</v>
      </c>
      <c r="M134" s="116"/>
      <c r="N134" s="118">
        <f>Debate!K134</f>
        <v>3</v>
      </c>
      <c r="O134" s="118">
        <f>Debate!Q134</f>
        <v>2.2000000000000002</v>
      </c>
      <c r="P134" s="118"/>
      <c r="Q134" s="118">
        <f>Debate!AC134</f>
        <v>3</v>
      </c>
      <c r="R134" s="118"/>
      <c r="S134" s="118">
        <f>Debate!AO134</f>
        <v>2.3333333333333335</v>
      </c>
      <c r="T134" s="118">
        <f>Debate!AU134</f>
        <v>3</v>
      </c>
      <c r="U134" s="116"/>
      <c r="V134" s="7"/>
      <c r="W134" s="118">
        <f>GD!Q134</f>
        <v>2.75</v>
      </c>
      <c r="X134" s="118">
        <f>GD!W134</f>
        <v>2</v>
      </c>
      <c r="Y134" s="118"/>
      <c r="Z134" s="118"/>
      <c r="AA134" s="7"/>
      <c r="AB134" s="118"/>
      <c r="AC134" s="116"/>
      <c r="AD134" s="118">
        <f>'Case study'!K134</f>
        <v>0</v>
      </c>
      <c r="AE134" s="118">
        <f>'Case study'!Q134</f>
        <v>0</v>
      </c>
      <c r="AF134" s="118">
        <f>'Case study'!W134</f>
        <v>0</v>
      </c>
      <c r="AG134" s="118"/>
      <c r="AH134" s="118"/>
      <c r="AI134" s="118">
        <f>'Case study'!AO134</f>
        <v>0</v>
      </c>
      <c r="AJ134" s="118">
        <f>'Case study'!AU134</f>
        <v>0</v>
      </c>
      <c r="AK134" s="116"/>
      <c r="AL134" s="118">
        <f>Capstone!K134</f>
        <v>1.6666666666666667</v>
      </c>
      <c r="AM134" s="118">
        <f>Capstone!Q135</f>
        <v>2.25</v>
      </c>
      <c r="AN134" s="118">
        <f>Capstone!W135</f>
        <v>2.5</v>
      </c>
      <c r="AO134" s="118"/>
      <c r="AP134" s="118"/>
      <c r="AQ134" s="118">
        <f>Capstone!AO135</f>
        <v>3.25</v>
      </c>
      <c r="AR134" s="118"/>
      <c r="AS134" s="116"/>
      <c r="AT134" s="118">
        <f>IFERROR(AVERAGE(Table110461117[[#This Row],[Column2]],Table110461117[[#This Row],[Column11]],Table110461117[[#This Row],[Column29]]),"0")</f>
        <v>1.9166666666666667</v>
      </c>
      <c r="AU134" s="118">
        <f>IFERROR(AVERAGE(Table110461117[[#This Row],[Column3]],Table110461117[[#This Row],[Column12]],Table110461117[[#This Row],[Column21]],Table110461117[[#This Row],[Column30]]),"0")</f>
        <v>2.1375000000000002</v>
      </c>
      <c r="AV134" s="118">
        <f>IFERROR(AVERAGE(Table110461117[[#This Row],[Column31]],Table110461117[[#This Row],[Column22]],Table110461117[[#This Row],[Column4]]),"0")</f>
        <v>1.6666666666666667</v>
      </c>
      <c r="AW134" s="118">
        <f>IFERROR(AVERAGE(Table110461117[[#This Row],[Column14]]),"0")</f>
        <v>3</v>
      </c>
      <c r="AX134" s="118"/>
      <c r="AY134" s="118">
        <f>IFERROR(AVERAGE(Table110461117[[#This Row],[Column34]],Table110461117[[#This Row],[Column16]],Table110461117[[#This Row],[Column7]]),"0")</f>
        <v>1.6111111111111114</v>
      </c>
      <c r="AZ134" s="118">
        <f>IFERROR(AVERAGE(Table110461117[[#This Row],[Column35]],Table110461117[[#This Row],[Column17]],Table110461117[[#This Row],[Column8]]),"0")</f>
        <v>1.6666666666666667</v>
      </c>
      <c r="BA134" s="116"/>
      <c r="BB134" s="118"/>
      <c r="BC134" s="118">
        <f>IFERROR(AVERAGE('Book Review'!AY134,Debate!AY134,'Case study'!AY134,Capstone!AY134),"A")</f>
        <v>2.25</v>
      </c>
      <c r="BD134" s="118">
        <f>IFERROR(AVERAGE('Book Review'!AZ134,Debate!AZ134,'Case study'!AZ134),"A")</f>
        <v>2</v>
      </c>
    </row>
    <row r="135" spans="1:56" s="109" customFormat="1" ht="23.1" customHeight="1" x14ac:dyDescent="0.3">
      <c r="A135" s="115">
        <v>133</v>
      </c>
      <c r="B135" s="49" t="s">
        <v>85</v>
      </c>
      <c r="C135" s="49" t="s">
        <v>86</v>
      </c>
      <c r="D135" s="49" t="s">
        <v>450</v>
      </c>
      <c r="E135" s="49" t="s">
        <v>35</v>
      </c>
      <c r="F135" s="117">
        <f>'Book Review'!K135</f>
        <v>0</v>
      </c>
      <c r="G135" s="117">
        <f>'Book Review'!Q135</f>
        <v>0</v>
      </c>
      <c r="H135" s="117">
        <f>'Book Review'!W135</f>
        <v>0</v>
      </c>
      <c r="I135" s="117"/>
      <c r="J135" s="117"/>
      <c r="K135" s="117">
        <f>'Book Review'!AO135</f>
        <v>0</v>
      </c>
      <c r="L135" s="117">
        <f>'Book Review'!AU135</f>
        <v>0</v>
      </c>
      <c r="M135" s="116"/>
      <c r="N135" s="117">
        <f>Debate!K135</f>
        <v>2</v>
      </c>
      <c r="O135" s="117">
        <f>Debate!Q135</f>
        <v>2.15</v>
      </c>
      <c r="P135" s="117"/>
      <c r="Q135" s="117">
        <f>Debate!AC135</f>
        <v>2</v>
      </c>
      <c r="R135" s="117"/>
      <c r="S135" s="117">
        <f>Debate!AO135</f>
        <v>2.1666666666666665</v>
      </c>
      <c r="T135" s="117">
        <f>Debate!AU135</f>
        <v>2</v>
      </c>
      <c r="U135" s="116"/>
      <c r="V135" s="49"/>
      <c r="W135" s="117">
        <f>GD!Q135</f>
        <v>2.125</v>
      </c>
      <c r="X135" s="117">
        <f>GD!W135</f>
        <v>2</v>
      </c>
      <c r="Y135" s="117"/>
      <c r="Z135" s="117"/>
      <c r="AA135" s="49"/>
      <c r="AB135" s="117"/>
      <c r="AC135" s="116"/>
      <c r="AD135" s="117">
        <f>'Case study'!K135</f>
        <v>2.25</v>
      </c>
      <c r="AE135" s="117">
        <f>'Case study'!Q135</f>
        <v>2.2000000000000002</v>
      </c>
      <c r="AF135" s="117">
        <f>'Case study'!W135</f>
        <v>2.5</v>
      </c>
      <c r="AG135" s="117"/>
      <c r="AH135" s="117"/>
      <c r="AI135" s="117">
        <f>'Case study'!AO135</f>
        <v>2.25</v>
      </c>
      <c r="AJ135" s="117">
        <f>'Case study'!AU135</f>
        <v>2</v>
      </c>
      <c r="AK135" s="116"/>
      <c r="AL135" s="117">
        <f>Capstone!K135</f>
        <v>3</v>
      </c>
      <c r="AM135" s="117">
        <f>Capstone!Q136</f>
        <v>4</v>
      </c>
      <c r="AN135" s="117">
        <f>Capstone!W136</f>
        <v>3</v>
      </c>
      <c r="AO135" s="117"/>
      <c r="AP135" s="117"/>
      <c r="AQ135" s="117">
        <f>Capstone!AO136</f>
        <v>3.75</v>
      </c>
      <c r="AR135" s="117"/>
      <c r="AS135" s="116"/>
      <c r="AT135" s="117">
        <f>IFERROR(AVERAGE(Table110461117[[#This Row],[Column2]],Table110461117[[#This Row],[Column11]],Table110461117[[#This Row],[Column29]]),"0")</f>
        <v>1.4166666666666667</v>
      </c>
      <c r="AU135" s="117">
        <f>IFERROR(AVERAGE(Table110461117[[#This Row],[Column3]],Table110461117[[#This Row],[Column12]],Table110461117[[#This Row],[Column21]],Table110461117[[#This Row],[Column30]]),"0")</f>
        <v>1.6187500000000001</v>
      </c>
      <c r="AV135" s="117">
        <f>IFERROR(AVERAGE(Table110461117[[#This Row],[Column31]],Table110461117[[#This Row],[Column22]],Table110461117[[#This Row],[Column4]]),"0")</f>
        <v>1.5</v>
      </c>
      <c r="AW135" s="117">
        <f>IFERROR(AVERAGE(Table110461117[[#This Row],[Column14]]),"0")</f>
        <v>2</v>
      </c>
      <c r="AX135" s="117"/>
      <c r="AY135" s="117">
        <f>IFERROR(AVERAGE(Table110461117[[#This Row],[Column34]],Table110461117[[#This Row],[Column16]],Table110461117[[#This Row],[Column7]]),"0")</f>
        <v>1.4722222222222221</v>
      </c>
      <c r="AZ135" s="117">
        <f>IFERROR(AVERAGE(Table110461117[[#This Row],[Column35]],Table110461117[[#This Row],[Column17]],Table110461117[[#This Row],[Column8]]),"0")</f>
        <v>1.3333333333333333</v>
      </c>
      <c r="BA135" s="116"/>
      <c r="BB135" s="117"/>
      <c r="BC135" s="117">
        <f>IFERROR(AVERAGE('Book Review'!AY135,Debate!AY135,'Case study'!AY135,Capstone!AY135),"A")</f>
        <v>1.75</v>
      </c>
      <c r="BD135" s="117">
        <f>IFERROR(AVERAGE('Book Review'!AZ135,Debate!AZ135,'Case study'!AZ135),"A")</f>
        <v>1.5</v>
      </c>
    </row>
    <row r="136" spans="1:56" s="109" customFormat="1" ht="23.1" customHeight="1" x14ac:dyDescent="0.3">
      <c r="A136" s="6">
        <v>134</v>
      </c>
      <c r="B136" s="7" t="s">
        <v>253</v>
      </c>
      <c r="C136" s="7" t="s">
        <v>254</v>
      </c>
      <c r="D136" s="7" t="s">
        <v>450</v>
      </c>
      <c r="E136" s="7" t="s">
        <v>161</v>
      </c>
      <c r="F136" s="118">
        <f>'Book Review'!K136</f>
        <v>2</v>
      </c>
      <c r="G136" s="118">
        <f>'Book Review'!Q136</f>
        <v>2.4</v>
      </c>
      <c r="H136" s="118">
        <f>'Book Review'!W136</f>
        <v>3</v>
      </c>
      <c r="I136" s="118"/>
      <c r="J136" s="118"/>
      <c r="K136" s="118">
        <f>'Book Review'!AO136</f>
        <v>2.5</v>
      </c>
      <c r="L136" s="118">
        <f>'Book Review'!AU136</f>
        <v>3</v>
      </c>
      <c r="M136" s="116"/>
      <c r="N136" s="118">
        <f>Debate!K136</f>
        <v>2</v>
      </c>
      <c r="O136" s="118">
        <f>Debate!Q136</f>
        <v>2.7</v>
      </c>
      <c r="P136" s="118"/>
      <c r="Q136" s="118">
        <f>Debate!AC136</f>
        <v>2</v>
      </c>
      <c r="R136" s="118"/>
      <c r="S136" s="118">
        <f>Debate!AO136</f>
        <v>2</v>
      </c>
      <c r="T136" s="118">
        <f>Debate!AU136</f>
        <v>3</v>
      </c>
      <c r="U136" s="116"/>
      <c r="V136" s="7"/>
      <c r="W136" s="118">
        <f>GD!Q136</f>
        <v>2.25</v>
      </c>
      <c r="X136" s="118">
        <f>GD!W136</f>
        <v>3</v>
      </c>
      <c r="Y136" s="118"/>
      <c r="Z136" s="118"/>
      <c r="AA136" s="7"/>
      <c r="AB136" s="118"/>
      <c r="AC136" s="116"/>
      <c r="AD136" s="118">
        <f>'Case study'!K136</f>
        <v>2</v>
      </c>
      <c r="AE136" s="118">
        <f>'Case study'!Q136</f>
        <v>2.4</v>
      </c>
      <c r="AF136" s="118">
        <f>'Case study'!W136</f>
        <v>3</v>
      </c>
      <c r="AG136" s="118"/>
      <c r="AH136" s="118"/>
      <c r="AI136" s="118">
        <f>'Case study'!AO136</f>
        <v>2.75</v>
      </c>
      <c r="AJ136" s="118">
        <f>'Case study'!AU136</f>
        <v>1</v>
      </c>
      <c r="AK136" s="116"/>
      <c r="AL136" s="118">
        <f>Capstone!K136</f>
        <v>4</v>
      </c>
      <c r="AM136" s="118">
        <f>Capstone!Q137</f>
        <v>3</v>
      </c>
      <c r="AN136" s="118">
        <f>Capstone!W137</f>
        <v>2</v>
      </c>
      <c r="AO136" s="118"/>
      <c r="AP136" s="118"/>
      <c r="AQ136" s="118">
        <f>Capstone!AO137</f>
        <v>3</v>
      </c>
      <c r="AR136" s="118"/>
      <c r="AS136" s="116"/>
      <c r="AT136" s="118">
        <f>IFERROR(AVERAGE(Table110461117[[#This Row],[Column2]],Table110461117[[#This Row],[Column11]],Table110461117[[#This Row],[Column29]]),"0")</f>
        <v>2</v>
      </c>
      <c r="AU136" s="118">
        <f>IFERROR(AVERAGE(Table110461117[[#This Row],[Column3]],Table110461117[[#This Row],[Column12]],Table110461117[[#This Row],[Column21]],Table110461117[[#This Row],[Column30]]),"0")</f>
        <v>2.4375</v>
      </c>
      <c r="AV136" s="118">
        <f>IFERROR(AVERAGE(Table110461117[[#This Row],[Column31]],Table110461117[[#This Row],[Column22]],Table110461117[[#This Row],[Column4]]),"0")</f>
        <v>3</v>
      </c>
      <c r="AW136" s="118">
        <f>IFERROR(AVERAGE(Table110461117[[#This Row],[Column14]]),"0")</f>
        <v>2</v>
      </c>
      <c r="AX136" s="118"/>
      <c r="AY136" s="118">
        <f>IFERROR(AVERAGE(Table110461117[[#This Row],[Column34]],Table110461117[[#This Row],[Column16]],Table110461117[[#This Row],[Column7]]),"0")</f>
        <v>2.4166666666666665</v>
      </c>
      <c r="AZ136" s="118">
        <f>IFERROR(AVERAGE(Table110461117[[#This Row],[Column35]],Table110461117[[#This Row],[Column17]],Table110461117[[#This Row],[Column8]]),"0")</f>
        <v>2.3333333333333335</v>
      </c>
      <c r="BA136" s="116"/>
      <c r="BB136" s="118"/>
      <c r="BC136" s="118">
        <f>IFERROR(AVERAGE('Book Review'!AY136,Debate!AY136,'Case study'!AY136,Capstone!AY136),"A")</f>
        <v>2.5</v>
      </c>
      <c r="BD136" s="118">
        <f>IFERROR(AVERAGE('Book Review'!AZ136,Debate!AZ136,'Case study'!AZ136),"A")</f>
        <v>1.6666666666666667</v>
      </c>
    </row>
    <row r="137" spans="1:56" s="109" customFormat="1" ht="23.1" customHeight="1" x14ac:dyDescent="0.3">
      <c r="A137" s="115">
        <v>135</v>
      </c>
      <c r="B137" s="49" t="s">
        <v>370</v>
      </c>
      <c r="C137" s="49" t="s">
        <v>371</v>
      </c>
      <c r="D137" s="49" t="s">
        <v>450</v>
      </c>
      <c r="E137" s="49" t="s">
        <v>493</v>
      </c>
      <c r="F137" s="117">
        <f>'Book Review'!K137</f>
        <v>1.25</v>
      </c>
      <c r="G137" s="117">
        <f>'Book Review'!Q137</f>
        <v>2.8</v>
      </c>
      <c r="H137" s="117">
        <f>'Book Review'!W137</f>
        <v>2</v>
      </c>
      <c r="I137" s="117"/>
      <c r="J137" s="117"/>
      <c r="K137" s="117">
        <f>'Book Review'!AO137</f>
        <v>2.5</v>
      </c>
      <c r="L137" s="117">
        <f>'Book Review'!AU137</f>
        <v>2</v>
      </c>
      <c r="M137" s="116"/>
      <c r="N137" s="117">
        <f>Debate!K137</f>
        <v>2</v>
      </c>
      <c r="O137" s="117">
        <f>Debate!Q137</f>
        <v>2.1</v>
      </c>
      <c r="P137" s="117"/>
      <c r="Q137" s="117">
        <f>Debate!AC137</f>
        <v>2</v>
      </c>
      <c r="R137" s="117"/>
      <c r="S137" s="117">
        <f>Debate!AO137</f>
        <v>2.6666666666666665</v>
      </c>
      <c r="T137" s="117">
        <f>Debate!AU137</f>
        <v>3</v>
      </c>
      <c r="U137" s="116"/>
      <c r="V137" s="49"/>
      <c r="W137" s="117">
        <f>GD!Q137</f>
        <v>2.5</v>
      </c>
      <c r="X137" s="117">
        <f>GD!W137</f>
        <v>3</v>
      </c>
      <c r="Y137" s="117"/>
      <c r="Z137" s="117"/>
      <c r="AA137" s="49"/>
      <c r="AB137" s="117"/>
      <c r="AC137" s="116"/>
      <c r="AD137" s="117">
        <f>'Case study'!K137</f>
        <v>1.25</v>
      </c>
      <c r="AE137" s="117">
        <f>'Case study'!Q137</f>
        <v>2.8</v>
      </c>
      <c r="AF137" s="117">
        <f>'Case study'!W137</f>
        <v>2</v>
      </c>
      <c r="AG137" s="117"/>
      <c r="AH137" s="117"/>
      <c r="AI137" s="117">
        <f>'Case study'!AO137</f>
        <v>2.25</v>
      </c>
      <c r="AJ137" s="117">
        <f>'Case study'!AU137</f>
        <v>3</v>
      </c>
      <c r="AK137" s="116"/>
      <c r="AL137" s="117">
        <f>Capstone!K137</f>
        <v>3</v>
      </c>
      <c r="AM137" s="117">
        <f>Capstone!Q138</f>
        <v>2.5</v>
      </c>
      <c r="AN137" s="117">
        <f>Capstone!W138</f>
        <v>2</v>
      </c>
      <c r="AO137" s="117"/>
      <c r="AP137" s="117"/>
      <c r="AQ137" s="117">
        <f>Capstone!AO138</f>
        <v>1.75</v>
      </c>
      <c r="AR137" s="117"/>
      <c r="AS137" s="116"/>
      <c r="AT137" s="117">
        <f>IFERROR(AVERAGE(Table110461117[[#This Row],[Column2]],Table110461117[[#This Row],[Column11]],Table110461117[[#This Row],[Column29]]),"0")</f>
        <v>1.5</v>
      </c>
      <c r="AU137" s="117">
        <f>IFERROR(AVERAGE(Table110461117[[#This Row],[Column3]],Table110461117[[#This Row],[Column12]],Table110461117[[#This Row],[Column21]],Table110461117[[#This Row],[Column30]]),"0")</f>
        <v>2.5499999999999998</v>
      </c>
      <c r="AV137" s="117">
        <f>IFERROR(AVERAGE(Table110461117[[#This Row],[Column31]],Table110461117[[#This Row],[Column22]],Table110461117[[#This Row],[Column4]]),"0")</f>
        <v>2.3333333333333335</v>
      </c>
      <c r="AW137" s="117">
        <f>IFERROR(AVERAGE(Table110461117[[#This Row],[Column14]]),"0")</f>
        <v>2</v>
      </c>
      <c r="AX137" s="117"/>
      <c r="AY137" s="117">
        <f>IFERROR(AVERAGE(Table110461117[[#This Row],[Column34]],Table110461117[[#This Row],[Column16]],Table110461117[[#This Row],[Column7]]),"0")</f>
        <v>2.4722222222222219</v>
      </c>
      <c r="AZ137" s="117">
        <f>IFERROR(AVERAGE(Table110461117[[#This Row],[Column35]],Table110461117[[#This Row],[Column17]],Table110461117[[#This Row],[Column8]]),"0")</f>
        <v>2.6666666666666665</v>
      </c>
      <c r="BA137" s="116"/>
      <c r="BB137" s="117"/>
      <c r="BC137" s="117">
        <f>IFERROR(AVERAGE('Book Review'!AY137,Debate!AY137,'Case study'!AY137,Capstone!AY137),"A")</f>
        <v>2.5</v>
      </c>
      <c r="BD137" s="117">
        <f>IFERROR(AVERAGE('Book Review'!AZ137,Debate!AZ137,'Case study'!AZ137),"A")</f>
        <v>2</v>
      </c>
    </row>
    <row r="138" spans="1:56" s="109" customFormat="1" ht="23.1" customHeight="1" x14ac:dyDescent="0.3">
      <c r="A138" s="6">
        <v>136</v>
      </c>
      <c r="B138" s="7" t="s">
        <v>372</v>
      </c>
      <c r="C138" s="7" t="s">
        <v>373</v>
      </c>
      <c r="D138" s="7" t="s">
        <v>542</v>
      </c>
      <c r="E138" s="7" t="s">
        <v>493</v>
      </c>
      <c r="F138" s="118">
        <f>'Book Review'!K138</f>
        <v>2.25</v>
      </c>
      <c r="G138" s="118">
        <f>'Book Review'!Q138</f>
        <v>2.6</v>
      </c>
      <c r="H138" s="118">
        <f>'Book Review'!W138</f>
        <v>2</v>
      </c>
      <c r="I138" s="118"/>
      <c r="J138" s="118"/>
      <c r="K138" s="118">
        <f>'Book Review'!AO138</f>
        <v>2</v>
      </c>
      <c r="L138" s="118">
        <f>'Book Review'!AU138</f>
        <v>3</v>
      </c>
      <c r="M138" s="116"/>
      <c r="N138" s="118">
        <f>Debate!K138</f>
        <v>2</v>
      </c>
      <c r="O138" s="118">
        <f>Debate!Q138</f>
        <v>2.7</v>
      </c>
      <c r="P138" s="118"/>
      <c r="Q138" s="118">
        <f>Debate!AC138</f>
        <v>3</v>
      </c>
      <c r="R138" s="118"/>
      <c r="S138" s="118">
        <f>Debate!AO138</f>
        <v>2.3333333333333335</v>
      </c>
      <c r="T138" s="118">
        <f>Debate!AU138</f>
        <v>3</v>
      </c>
      <c r="U138" s="116"/>
      <c r="V138" s="7"/>
      <c r="W138" s="118">
        <f>GD!Q138</f>
        <v>3</v>
      </c>
      <c r="X138" s="118">
        <f>GD!W138</f>
        <v>2</v>
      </c>
      <c r="Y138" s="118"/>
      <c r="Z138" s="118"/>
      <c r="AA138" s="7"/>
      <c r="AB138" s="118"/>
      <c r="AC138" s="116"/>
      <c r="AD138" s="118">
        <f>'Case study'!K138</f>
        <v>2.5</v>
      </c>
      <c r="AE138" s="118">
        <f>'Case study'!Q138</f>
        <v>2.6</v>
      </c>
      <c r="AF138" s="118">
        <f>'Case study'!W138</f>
        <v>2</v>
      </c>
      <c r="AG138" s="118"/>
      <c r="AH138" s="118"/>
      <c r="AI138" s="118">
        <f>'Case study'!AO138</f>
        <v>2</v>
      </c>
      <c r="AJ138" s="118">
        <f>'Case study'!AU138</f>
        <v>3</v>
      </c>
      <c r="AK138" s="116"/>
      <c r="AL138" s="118">
        <f>Capstone!K138</f>
        <v>1.6666666666666667</v>
      </c>
      <c r="AM138" s="118">
        <f>Capstone!Q139</f>
        <v>4</v>
      </c>
      <c r="AN138" s="118">
        <f>Capstone!W139</f>
        <v>0</v>
      </c>
      <c r="AO138" s="118"/>
      <c r="AP138" s="118"/>
      <c r="AQ138" s="118">
        <f>Capstone!AO139</f>
        <v>3.75</v>
      </c>
      <c r="AR138" s="118"/>
      <c r="AS138" s="116"/>
      <c r="AT138" s="118">
        <f>IFERROR(AVERAGE(Table110461117[[#This Row],[Column2]],Table110461117[[#This Row],[Column11]],Table110461117[[#This Row],[Column29]]),"0")</f>
        <v>2.25</v>
      </c>
      <c r="AU138" s="118">
        <f>IFERROR(AVERAGE(Table110461117[[#This Row],[Column3]],Table110461117[[#This Row],[Column12]],Table110461117[[#This Row],[Column21]],Table110461117[[#This Row],[Column30]]),"0")</f>
        <v>2.7250000000000001</v>
      </c>
      <c r="AV138" s="118">
        <f>IFERROR(AVERAGE(Table110461117[[#This Row],[Column31]],Table110461117[[#This Row],[Column22]],Table110461117[[#This Row],[Column4]]),"0")</f>
        <v>2</v>
      </c>
      <c r="AW138" s="118">
        <f>IFERROR(AVERAGE(Table110461117[[#This Row],[Column14]]),"0")</f>
        <v>3</v>
      </c>
      <c r="AX138" s="118"/>
      <c r="AY138" s="118">
        <f>IFERROR(AVERAGE(Table110461117[[#This Row],[Column34]],Table110461117[[#This Row],[Column16]],Table110461117[[#This Row],[Column7]]),"0")</f>
        <v>2.1111111111111112</v>
      </c>
      <c r="AZ138" s="118">
        <f>IFERROR(AVERAGE(Table110461117[[#This Row],[Column35]],Table110461117[[#This Row],[Column17]],Table110461117[[#This Row],[Column8]]),"0")</f>
        <v>3</v>
      </c>
      <c r="BA138" s="116"/>
      <c r="BB138" s="118"/>
      <c r="BC138" s="118">
        <f>IFERROR(AVERAGE('Book Review'!AY138,Debate!AY138,'Case study'!AY138,Capstone!AY138),"A")</f>
        <v>3</v>
      </c>
      <c r="BD138" s="118">
        <f>IFERROR(AVERAGE('Book Review'!AZ138,Debate!AZ138,'Case study'!AZ138),"A")</f>
        <v>3</v>
      </c>
    </row>
    <row r="139" spans="1:56" s="109" customFormat="1" ht="23.1" customHeight="1" x14ac:dyDescent="0.3">
      <c r="A139" s="115">
        <v>137</v>
      </c>
      <c r="B139" s="49" t="s">
        <v>267</v>
      </c>
      <c r="C139" s="49" t="s">
        <v>268</v>
      </c>
      <c r="D139" s="49" t="s">
        <v>542</v>
      </c>
      <c r="E139" s="49" t="s">
        <v>161</v>
      </c>
      <c r="F139" s="117">
        <f>'Book Review'!K139</f>
        <v>2</v>
      </c>
      <c r="G139" s="117">
        <f>'Book Review'!Q139</f>
        <v>2.8</v>
      </c>
      <c r="H139" s="117">
        <f>'Book Review'!W139</f>
        <v>2</v>
      </c>
      <c r="I139" s="117"/>
      <c r="J139" s="117"/>
      <c r="K139" s="117">
        <f>'Book Review'!AO139</f>
        <v>2</v>
      </c>
      <c r="L139" s="117">
        <f>'Book Review'!AU139</f>
        <v>4</v>
      </c>
      <c r="M139" s="116"/>
      <c r="N139" s="117">
        <f>Debate!K139</f>
        <v>2</v>
      </c>
      <c r="O139" s="117">
        <f>Debate!Q139</f>
        <v>3.1</v>
      </c>
      <c r="P139" s="117"/>
      <c r="Q139" s="117">
        <f>Debate!AC139</f>
        <v>2</v>
      </c>
      <c r="R139" s="117"/>
      <c r="S139" s="117">
        <f>Debate!AO139</f>
        <v>2.3333333333333335</v>
      </c>
      <c r="T139" s="117">
        <f>Debate!AU139</f>
        <v>3</v>
      </c>
      <c r="U139" s="116"/>
      <c r="V139" s="49"/>
      <c r="W139" s="117">
        <f>GD!Q139</f>
        <v>2.75</v>
      </c>
      <c r="X139" s="117">
        <f>GD!W139</f>
        <v>2</v>
      </c>
      <c r="Y139" s="117"/>
      <c r="Z139" s="117"/>
      <c r="AA139" s="49"/>
      <c r="AB139" s="117"/>
      <c r="AC139" s="116"/>
      <c r="AD139" s="117">
        <f>'Case study'!K139</f>
        <v>0</v>
      </c>
      <c r="AE139" s="117">
        <f>'Case study'!Q139</f>
        <v>0</v>
      </c>
      <c r="AF139" s="117">
        <f>'Case study'!W139</f>
        <v>0</v>
      </c>
      <c r="AG139" s="117"/>
      <c r="AH139" s="117"/>
      <c r="AI139" s="117">
        <f>'Case study'!AO139</f>
        <v>0</v>
      </c>
      <c r="AJ139" s="117">
        <f>'Case study'!AU139</f>
        <v>0</v>
      </c>
      <c r="AK139" s="116"/>
      <c r="AL139" s="117">
        <f>Capstone!K139</f>
        <v>4</v>
      </c>
      <c r="AM139" s="117">
        <f>Capstone!Q140</f>
        <v>3</v>
      </c>
      <c r="AN139" s="117">
        <f>Capstone!W140</f>
        <v>2</v>
      </c>
      <c r="AO139" s="117"/>
      <c r="AP139" s="117"/>
      <c r="AQ139" s="117">
        <f>Capstone!AO140</f>
        <v>2.5</v>
      </c>
      <c r="AR139" s="117"/>
      <c r="AS139" s="116"/>
      <c r="AT139" s="117">
        <f>IFERROR(AVERAGE(Table110461117[[#This Row],[Column2]],Table110461117[[#This Row],[Column11]],Table110461117[[#This Row],[Column29]]),"0")</f>
        <v>1.3333333333333333</v>
      </c>
      <c r="AU139" s="117">
        <f>IFERROR(AVERAGE(Table110461117[[#This Row],[Column3]],Table110461117[[#This Row],[Column12]],Table110461117[[#This Row],[Column21]],Table110461117[[#This Row],[Column30]]),"0")</f>
        <v>2.1625000000000001</v>
      </c>
      <c r="AV139" s="117">
        <f>IFERROR(AVERAGE(Table110461117[[#This Row],[Column31]],Table110461117[[#This Row],[Column22]],Table110461117[[#This Row],[Column4]]),"0")</f>
        <v>1.3333333333333333</v>
      </c>
      <c r="AW139" s="117">
        <f>IFERROR(AVERAGE(Table110461117[[#This Row],[Column14]]),"0")</f>
        <v>2</v>
      </c>
      <c r="AX139" s="117"/>
      <c r="AY139" s="117">
        <f>IFERROR(AVERAGE(Table110461117[[#This Row],[Column34]],Table110461117[[#This Row],[Column16]],Table110461117[[#This Row],[Column7]]),"0")</f>
        <v>1.4444444444444446</v>
      </c>
      <c r="AZ139" s="117">
        <f>IFERROR(AVERAGE(Table110461117[[#This Row],[Column35]],Table110461117[[#This Row],[Column17]],Table110461117[[#This Row],[Column8]]),"0")</f>
        <v>2.3333333333333335</v>
      </c>
      <c r="BA139" s="116"/>
      <c r="BB139" s="117"/>
      <c r="BC139" s="117">
        <f>IFERROR(AVERAGE('Book Review'!AY139,Debate!AY139,'Case study'!AY139,Capstone!AY139),"A")</f>
        <v>2.25</v>
      </c>
      <c r="BD139" s="117">
        <f>IFERROR(AVERAGE('Book Review'!AZ139,Debate!AZ139,'Case study'!AZ139),"A")</f>
        <v>1.6666666666666667</v>
      </c>
    </row>
    <row r="140" spans="1:56" s="109" customFormat="1" ht="23.1" customHeight="1" x14ac:dyDescent="0.3">
      <c r="A140" s="6">
        <v>138</v>
      </c>
      <c r="B140" s="7" t="s">
        <v>281</v>
      </c>
      <c r="C140" s="7" t="s">
        <v>282</v>
      </c>
      <c r="D140" s="7" t="s">
        <v>542</v>
      </c>
      <c r="E140" s="7" t="s">
        <v>161</v>
      </c>
      <c r="F140" s="118">
        <f>'Book Review'!K140</f>
        <v>3.25</v>
      </c>
      <c r="G140" s="118">
        <f>'Book Review'!Q140</f>
        <v>3.2</v>
      </c>
      <c r="H140" s="118">
        <f>'Book Review'!W140</f>
        <v>3</v>
      </c>
      <c r="I140" s="118"/>
      <c r="J140" s="118"/>
      <c r="K140" s="118">
        <f>'Book Review'!AO140</f>
        <v>2.5</v>
      </c>
      <c r="L140" s="118">
        <f>'Book Review'!AU140</f>
        <v>4</v>
      </c>
      <c r="M140" s="116"/>
      <c r="N140" s="118">
        <f>Debate!K140</f>
        <v>3</v>
      </c>
      <c r="O140" s="118">
        <f>Debate!Q140</f>
        <v>2.9</v>
      </c>
      <c r="P140" s="118"/>
      <c r="Q140" s="118">
        <f>Debate!AC140</f>
        <v>3</v>
      </c>
      <c r="R140" s="118"/>
      <c r="S140" s="118">
        <f>Debate!AO140</f>
        <v>3</v>
      </c>
      <c r="T140" s="118">
        <f>Debate!AU140</f>
        <v>3</v>
      </c>
      <c r="U140" s="116"/>
      <c r="V140" s="7"/>
      <c r="W140" s="118">
        <f>GD!Q140</f>
        <v>3.25</v>
      </c>
      <c r="X140" s="118">
        <f>GD!W140</f>
        <v>2</v>
      </c>
      <c r="Y140" s="118"/>
      <c r="Z140" s="118"/>
      <c r="AA140" s="7"/>
      <c r="AB140" s="118"/>
      <c r="AC140" s="116"/>
      <c r="AD140" s="118">
        <f>'Case study'!K140</f>
        <v>2.5</v>
      </c>
      <c r="AE140" s="118">
        <f>'Case study'!Q140</f>
        <v>3</v>
      </c>
      <c r="AF140" s="118">
        <f>'Case study'!W140</f>
        <v>2</v>
      </c>
      <c r="AG140" s="118"/>
      <c r="AH140" s="118"/>
      <c r="AI140" s="118">
        <f>'Case study'!AO140</f>
        <v>2.75</v>
      </c>
      <c r="AJ140" s="118">
        <f>'Case study'!AU140</f>
        <v>3</v>
      </c>
      <c r="AK140" s="116"/>
      <c r="AL140" s="118">
        <f>Capstone!K140</f>
        <v>2</v>
      </c>
      <c r="AM140" s="118">
        <f>Capstone!Q141</f>
        <v>3.25</v>
      </c>
      <c r="AN140" s="118">
        <f>Capstone!W141</f>
        <v>2</v>
      </c>
      <c r="AO140" s="118"/>
      <c r="AP140" s="118"/>
      <c r="AQ140" s="118">
        <f>Capstone!AO141</f>
        <v>3</v>
      </c>
      <c r="AR140" s="118"/>
      <c r="AS140" s="116"/>
      <c r="AT140" s="118">
        <f>IFERROR(AVERAGE(Table110461117[[#This Row],[Column2]],Table110461117[[#This Row],[Column11]],Table110461117[[#This Row],[Column29]]),"0")</f>
        <v>2.9166666666666665</v>
      </c>
      <c r="AU140" s="118">
        <f>IFERROR(AVERAGE(Table110461117[[#This Row],[Column3]],Table110461117[[#This Row],[Column12]],Table110461117[[#This Row],[Column21]],Table110461117[[#This Row],[Column30]]),"0")</f>
        <v>3.0874999999999999</v>
      </c>
      <c r="AV140" s="118">
        <f>IFERROR(AVERAGE(Table110461117[[#This Row],[Column31]],Table110461117[[#This Row],[Column22]],Table110461117[[#This Row],[Column4]]),"0")</f>
        <v>2.3333333333333335</v>
      </c>
      <c r="AW140" s="118">
        <f>IFERROR(AVERAGE(Table110461117[[#This Row],[Column14]]),"0")</f>
        <v>3</v>
      </c>
      <c r="AX140" s="118"/>
      <c r="AY140" s="118">
        <f>IFERROR(AVERAGE(Table110461117[[#This Row],[Column34]],Table110461117[[#This Row],[Column16]],Table110461117[[#This Row],[Column7]]),"0")</f>
        <v>2.75</v>
      </c>
      <c r="AZ140" s="118">
        <f>IFERROR(AVERAGE(Table110461117[[#This Row],[Column35]],Table110461117[[#This Row],[Column17]],Table110461117[[#This Row],[Column8]]),"0")</f>
        <v>3.3333333333333335</v>
      </c>
      <c r="BA140" s="116"/>
      <c r="BB140" s="118"/>
      <c r="BC140" s="118">
        <f>IFERROR(AVERAGE('Book Review'!AY140,Debate!AY140,'Case study'!AY140,Capstone!AY140),"A")</f>
        <v>3.25</v>
      </c>
      <c r="BD140" s="118">
        <f>IFERROR(AVERAGE('Book Review'!AZ140,Debate!AZ140,'Case study'!AZ140),"A")</f>
        <v>3.3333333333333335</v>
      </c>
    </row>
    <row r="141" spans="1:56" s="109" customFormat="1" ht="23.1" customHeight="1" x14ac:dyDescent="0.3">
      <c r="A141" s="115">
        <v>139</v>
      </c>
      <c r="B141" s="49" t="s">
        <v>152</v>
      </c>
      <c r="C141" s="49" t="s">
        <v>153</v>
      </c>
      <c r="D141" s="49" t="s">
        <v>450</v>
      </c>
      <c r="E141" s="49" t="s">
        <v>35</v>
      </c>
      <c r="F141" s="117">
        <f>'Book Review'!K141</f>
        <v>2.5</v>
      </c>
      <c r="G141" s="117">
        <f>'Book Review'!Q141</f>
        <v>2.6</v>
      </c>
      <c r="H141" s="117">
        <f>'Book Review'!W141</f>
        <v>2</v>
      </c>
      <c r="I141" s="117"/>
      <c r="J141" s="117"/>
      <c r="K141" s="117">
        <f>'Book Review'!AO141</f>
        <v>2.5</v>
      </c>
      <c r="L141" s="117">
        <f>'Book Review'!AU141</f>
        <v>3</v>
      </c>
      <c r="M141" s="116"/>
      <c r="N141" s="117">
        <f>Debate!K141</f>
        <v>2</v>
      </c>
      <c r="O141" s="117">
        <f>Debate!Q141</f>
        <v>2.7</v>
      </c>
      <c r="P141" s="117"/>
      <c r="Q141" s="117">
        <f>Debate!AC141</f>
        <v>2</v>
      </c>
      <c r="R141" s="117"/>
      <c r="S141" s="117">
        <f>Debate!AO141</f>
        <v>2.3333333333333335</v>
      </c>
      <c r="T141" s="117">
        <f>Debate!AU141</f>
        <v>3</v>
      </c>
      <c r="U141" s="116"/>
      <c r="V141" s="49"/>
      <c r="W141" s="117">
        <f>GD!Q141</f>
        <v>2.5</v>
      </c>
      <c r="X141" s="117">
        <f>GD!W141</f>
        <v>3</v>
      </c>
      <c r="Y141" s="117"/>
      <c r="Z141" s="117"/>
      <c r="AA141" s="49"/>
      <c r="AB141" s="117"/>
      <c r="AC141" s="116"/>
      <c r="AD141" s="117">
        <f>'Case study'!K141</f>
        <v>2.5</v>
      </c>
      <c r="AE141" s="117">
        <f>'Case study'!Q141</f>
        <v>2.6</v>
      </c>
      <c r="AF141" s="117">
        <f>'Case study'!W141</f>
        <v>2</v>
      </c>
      <c r="AG141" s="117"/>
      <c r="AH141" s="117"/>
      <c r="AI141" s="117">
        <f>'Case study'!AO141</f>
        <v>2.75</v>
      </c>
      <c r="AJ141" s="117">
        <f>'Case study'!AU141</f>
        <v>3</v>
      </c>
      <c r="AK141" s="116"/>
      <c r="AL141" s="117">
        <f>Capstone!K141</f>
        <v>3</v>
      </c>
      <c r="AM141" s="117">
        <f>Capstone!Q142</f>
        <v>4</v>
      </c>
      <c r="AN141" s="117">
        <f>Capstone!W142</f>
        <v>2</v>
      </c>
      <c r="AO141" s="117"/>
      <c r="AP141" s="117"/>
      <c r="AQ141" s="117">
        <f>Capstone!AO142</f>
        <v>2.5</v>
      </c>
      <c r="AR141" s="117"/>
      <c r="AS141" s="116"/>
      <c r="AT141" s="117">
        <f>IFERROR(AVERAGE(Table110461117[[#This Row],[Column2]],Table110461117[[#This Row],[Column11]],Table110461117[[#This Row],[Column29]]),"0")</f>
        <v>2.3333333333333335</v>
      </c>
      <c r="AU141" s="117">
        <f>IFERROR(AVERAGE(Table110461117[[#This Row],[Column3]],Table110461117[[#This Row],[Column12]],Table110461117[[#This Row],[Column21]],Table110461117[[#This Row],[Column30]]),"0")</f>
        <v>2.6</v>
      </c>
      <c r="AV141" s="117">
        <f>IFERROR(AVERAGE(Table110461117[[#This Row],[Column31]],Table110461117[[#This Row],[Column22]],Table110461117[[#This Row],[Column4]]),"0")</f>
        <v>2.3333333333333335</v>
      </c>
      <c r="AW141" s="117">
        <f>IFERROR(AVERAGE(Table110461117[[#This Row],[Column14]]),"0")</f>
        <v>2</v>
      </c>
      <c r="AX141" s="117"/>
      <c r="AY141" s="117">
        <f>IFERROR(AVERAGE(Table110461117[[#This Row],[Column34]],Table110461117[[#This Row],[Column16]],Table110461117[[#This Row],[Column7]]),"0")</f>
        <v>2.5277777777777781</v>
      </c>
      <c r="AZ141" s="117">
        <f>IFERROR(AVERAGE(Table110461117[[#This Row],[Column35]],Table110461117[[#This Row],[Column17]],Table110461117[[#This Row],[Column8]]),"0")</f>
        <v>3</v>
      </c>
      <c r="BA141" s="116"/>
      <c r="BB141" s="117"/>
      <c r="BC141" s="117">
        <f>IFERROR(AVERAGE('Book Review'!AY141,Debate!AY141,'Case study'!AY141,Capstone!AY141),"A")</f>
        <v>3.375</v>
      </c>
      <c r="BD141" s="117">
        <f>IFERROR(AVERAGE('Book Review'!AZ141,Debate!AZ141,'Case study'!AZ141),"A")</f>
        <v>3.6666666666666665</v>
      </c>
    </row>
    <row r="142" spans="1:56" s="109" customFormat="1" ht="23.1" customHeight="1" x14ac:dyDescent="0.3">
      <c r="A142" s="6">
        <v>140</v>
      </c>
      <c r="B142" s="7" t="s">
        <v>374</v>
      </c>
      <c r="C142" s="7" t="s">
        <v>375</v>
      </c>
      <c r="D142" s="7" t="s">
        <v>450</v>
      </c>
      <c r="E142" s="7" t="s">
        <v>493</v>
      </c>
      <c r="F142" s="118">
        <f>'Book Review'!K142</f>
        <v>1.25</v>
      </c>
      <c r="G142" s="118">
        <f>'Book Review'!Q142</f>
        <v>1.6</v>
      </c>
      <c r="H142" s="118">
        <f>'Book Review'!W142</f>
        <v>1</v>
      </c>
      <c r="I142" s="118"/>
      <c r="J142" s="118"/>
      <c r="K142" s="118">
        <f>'Book Review'!AO142</f>
        <v>1</v>
      </c>
      <c r="L142" s="118">
        <f>'Book Review'!AU142</f>
        <v>3</v>
      </c>
      <c r="M142" s="116"/>
      <c r="N142" s="118">
        <f>Debate!K142</f>
        <v>2</v>
      </c>
      <c r="O142" s="118">
        <f>Debate!Q142</f>
        <v>2.6</v>
      </c>
      <c r="P142" s="118"/>
      <c r="Q142" s="118">
        <f>Debate!AC142</f>
        <v>2</v>
      </c>
      <c r="R142" s="118"/>
      <c r="S142" s="118">
        <f>Debate!AO142</f>
        <v>2.6666666666666665</v>
      </c>
      <c r="T142" s="118">
        <f>Debate!AU142</f>
        <v>3</v>
      </c>
      <c r="U142" s="116"/>
      <c r="V142" s="7"/>
      <c r="W142" s="118">
        <f>GD!Q142</f>
        <v>2</v>
      </c>
      <c r="X142" s="118">
        <f>GD!W142</f>
        <v>2</v>
      </c>
      <c r="Y142" s="118"/>
      <c r="Z142" s="118"/>
      <c r="AA142" s="7"/>
      <c r="AB142" s="118"/>
      <c r="AC142" s="116"/>
      <c r="AD142" s="118">
        <f>'Case study'!K142</f>
        <v>2.25</v>
      </c>
      <c r="AE142" s="118">
        <f>'Case study'!Q142</f>
        <v>2.6</v>
      </c>
      <c r="AF142" s="118">
        <f>'Case study'!W142</f>
        <v>2</v>
      </c>
      <c r="AG142" s="118"/>
      <c r="AH142" s="118"/>
      <c r="AI142" s="118">
        <f>'Case study'!AO142</f>
        <v>2</v>
      </c>
      <c r="AJ142" s="118">
        <f>'Case study'!AU142</f>
        <v>3</v>
      </c>
      <c r="AK142" s="116"/>
      <c r="AL142" s="118">
        <f>Capstone!K142</f>
        <v>2.3333333333333335</v>
      </c>
      <c r="AM142" s="118">
        <f>Capstone!Q143</f>
        <v>3.25</v>
      </c>
      <c r="AN142" s="118">
        <f>Capstone!W143</f>
        <v>3</v>
      </c>
      <c r="AO142" s="118"/>
      <c r="AP142" s="118"/>
      <c r="AQ142" s="118">
        <f>Capstone!AO143</f>
        <v>4</v>
      </c>
      <c r="AR142" s="118"/>
      <c r="AS142" s="116"/>
      <c r="AT142" s="118">
        <f>IFERROR(AVERAGE(Table110461117[[#This Row],[Column2]],Table110461117[[#This Row],[Column11]],Table110461117[[#This Row],[Column29]]),"0")</f>
        <v>1.8333333333333333</v>
      </c>
      <c r="AU142" s="118">
        <f>IFERROR(AVERAGE(Table110461117[[#This Row],[Column3]],Table110461117[[#This Row],[Column12]],Table110461117[[#This Row],[Column21]],Table110461117[[#This Row],[Column30]]),"0")</f>
        <v>2.2000000000000002</v>
      </c>
      <c r="AV142" s="118">
        <f>IFERROR(AVERAGE(Table110461117[[#This Row],[Column31]],Table110461117[[#This Row],[Column22]],Table110461117[[#This Row],[Column4]]),"0")</f>
        <v>1.6666666666666667</v>
      </c>
      <c r="AW142" s="118">
        <f>IFERROR(AVERAGE(Table110461117[[#This Row],[Column14]]),"0")</f>
        <v>2</v>
      </c>
      <c r="AX142" s="118"/>
      <c r="AY142" s="118">
        <f>IFERROR(AVERAGE(Table110461117[[#This Row],[Column34]],Table110461117[[#This Row],[Column16]],Table110461117[[#This Row],[Column7]]),"0")</f>
        <v>1.8888888888888886</v>
      </c>
      <c r="AZ142" s="118">
        <f>IFERROR(AVERAGE(Table110461117[[#This Row],[Column35]],Table110461117[[#This Row],[Column17]],Table110461117[[#This Row],[Column8]]),"0")</f>
        <v>3</v>
      </c>
      <c r="BA142" s="116"/>
      <c r="BB142" s="118"/>
      <c r="BC142" s="118">
        <f>IFERROR(AVERAGE('Book Review'!AY142,Debate!AY142,'Case study'!AY142,Capstone!AY142),"A")</f>
        <v>2.25</v>
      </c>
      <c r="BD142" s="118">
        <f>IFERROR(AVERAGE('Book Review'!AZ142,Debate!AZ142,'Case study'!AZ142),"A")</f>
        <v>2.3333333333333335</v>
      </c>
    </row>
    <row r="143" spans="1:56" s="109" customFormat="1" ht="23.1" customHeight="1" x14ac:dyDescent="0.3">
      <c r="A143" s="115">
        <v>141</v>
      </c>
      <c r="B143" s="49" t="s">
        <v>269</v>
      </c>
      <c r="C143" s="49" t="s">
        <v>270</v>
      </c>
      <c r="D143" s="49" t="s">
        <v>450</v>
      </c>
      <c r="E143" s="49" t="s">
        <v>161</v>
      </c>
      <c r="F143" s="117">
        <f>'Book Review'!K143</f>
        <v>3</v>
      </c>
      <c r="G143" s="117">
        <f>'Book Review'!Q143</f>
        <v>2.9</v>
      </c>
      <c r="H143" s="117">
        <f>'Book Review'!W143</f>
        <v>3.5</v>
      </c>
      <c r="I143" s="117"/>
      <c r="J143" s="117"/>
      <c r="K143" s="117">
        <f>'Book Review'!AO143</f>
        <v>2.5</v>
      </c>
      <c r="L143" s="117">
        <f>'Book Review'!AU143</f>
        <v>3</v>
      </c>
      <c r="M143" s="116"/>
      <c r="N143" s="117">
        <f>Debate!K143</f>
        <v>3.5</v>
      </c>
      <c r="O143" s="117">
        <f>Debate!Q143</f>
        <v>2.9</v>
      </c>
      <c r="P143" s="117"/>
      <c r="Q143" s="117">
        <f>Debate!AC143</f>
        <v>2.5</v>
      </c>
      <c r="R143" s="117"/>
      <c r="S143" s="117">
        <f>Debate!AO143</f>
        <v>3</v>
      </c>
      <c r="T143" s="117">
        <f>Debate!AU143</f>
        <v>3</v>
      </c>
      <c r="U143" s="116"/>
      <c r="V143" s="49"/>
      <c r="W143" s="117">
        <f>GD!Q143</f>
        <v>2.875</v>
      </c>
      <c r="X143" s="117">
        <f>GD!W143</f>
        <v>2.5</v>
      </c>
      <c r="Y143" s="117"/>
      <c r="Z143" s="117"/>
      <c r="AA143" s="49"/>
      <c r="AB143" s="117"/>
      <c r="AC143" s="116"/>
      <c r="AD143" s="117">
        <f>'Case study'!K143</f>
        <v>3</v>
      </c>
      <c r="AE143" s="117">
        <f>'Case study'!Q143</f>
        <v>2.9</v>
      </c>
      <c r="AF143" s="117">
        <f>'Case study'!W143</f>
        <v>3</v>
      </c>
      <c r="AG143" s="117"/>
      <c r="AH143" s="117"/>
      <c r="AI143" s="117">
        <f>'Case study'!AO143</f>
        <v>3</v>
      </c>
      <c r="AJ143" s="117">
        <f>'Case study'!AU143</f>
        <v>3</v>
      </c>
      <c r="AK143" s="116"/>
      <c r="AL143" s="117">
        <f>Capstone!K143</f>
        <v>4</v>
      </c>
      <c r="AM143" s="117">
        <f>Capstone!Q144</f>
        <v>4</v>
      </c>
      <c r="AN143" s="117">
        <f>Capstone!W144</f>
        <v>3</v>
      </c>
      <c r="AO143" s="117"/>
      <c r="AP143" s="117"/>
      <c r="AQ143" s="117">
        <f>Capstone!AO144</f>
        <v>4</v>
      </c>
      <c r="AR143" s="117"/>
      <c r="AS143" s="116"/>
      <c r="AT143" s="117">
        <f>IFERROR(AVERAGE(Table110461117[[#This Row],[Column2]],Table110461117[[#This Row],[Column11]],Table110461117[[#This Row],[Column29]]),"0")</f>
        <v>3.1666666666666665</v>
      </c>
      <c r="AU143" s="117">
        <f>IFERROR(AVERAGE(Table110461117[[#This Row],[Column3]],Table110461117[[#This Row],[Column12]],Table110461117[[#This Row],[Column21]],Table110461117[[#This Row],[Column30]]),"0")</f>
        <v>2.8937500000000003</v>
      </c>
      <c r="AV143" s="117">
        <f>IFERROR(AVERAGE(Table110461117[[#This Row],[Column31]],Table110461117[[#This Row],[Column22]],Table110461117[[#This Row],[Column4]]),"0")</f>
        <v>3</v>
      </c>
      <c r="AW143" s="117">
        <f>IFERROR(AVERAGE(Table110461117[[#This Row],[Column14]]),"0")</f>
        <v>2.5</v>
      </c>
      <c r="AX143" s="117"/>
      <c r="AY143" s="117">
        <f>IFERROR(AVERAGE(Table110461117[[#This Row],[Column34]],Table110461117[[#This Row],[Column16]],Table110461117[[#This Row],[Column7]]),"0")</f>
        <v>2.8333333333333335</v>
      </c>
      <c r="AZ143" s="117">
        <f>IFERROR(AVERAGE(Table110461117[[#This Row],[Column35]],Table110461117[[#This Row],[Column17]],Table110461117[[#This Row],[Column8]]),"0")</f>
        <v>3</v>
      </c>
      <c r="BA143" s="116"/>
      <c r="BB143" s="117"/>
      <c r="BC143" s="117">
        <f>IFERROR(AVERAGE('Book Review'!AY143,Debate!AY143,'Case study'!AY143,Capstone!AY143),"A")</f>
        <v>3</v>
      </c>
      <c r="BD143" s="117">
        <f>IFERROR(AVERAGE('Book Review'!AZ143,Debate!AZ143,'Case study'!AZ143),"A")</f>
        <v>2.8333333333333335</v>
      </c>
    </row>
    <row r="144" spans="1:56" s="109" customFormat="1" ht="23.1" customHeight="1" x14ac:dyDescent="0.3">
      <c r="A144" s="6">
        <v>142</v>
      </c>
      <c r="B144" s="7" t="s">
        <v>170</v>
      </c>
      <c r="C144" s="7" t="s">
        <v>171</v>
      </c>
      <c r="D144" s="7" t="s">
        <v>542</v>
      </c>
      <c r="E144" s="7" t="s">
        <v>161</v>
      </c>
      <c r="F144" s="118">
        <f>'Book Review'!K144</f>
        <v>3.5</v>
      </c>
      <c r="G144" s="118">
        <f>'Book Review'!Q144</f>
        <v>3</v>
      </c>
      <c r="H144" s="118">
        <f>'Book Review'!W144</f>
        <v>3</v>
      </c>
      <c r="I144" s="118"/>
      <c r="J144" s="118"/>
      <c r="K144" s="118">
        <f>'Book Review'!AO144</f>
        <v>3</v>
      </c>
      <c r="L144" s="118">
        <f>'Book Review'!AU144</f>
        <v>3</v>
      </c>
      <c r="M144" s="116"/>
      <c r="N144" s="118">
        <f>Debate!K144</f>
        <v>3</v>
      </c>
      <c r="O144" s="118">
        <f>Debate!Q144</f>
        <v>3.2</v>
      </c>
      <c r="P144" s="118"/>
      <c r="Q144" s="118">
        <f>Debate!AC144</f>
        <v>3</v>
      </c>
      <c r="R144" s="118"/>
      <c r="S144" s="118">
        <f>Debate!AO144</f>
        <v>3</v>
      </c>
      <c r="T144" s="118">
        <f>Debate!AU144</f>
        <v>3</v>
      </c>
      <c r="U144" s="116"/>
      <c r="V144" s="7"/>
      <c r="W144" s="118">
        <f>GD!Q144</f>
        <v>3</v>
      </c>
      <c r="X144" s="118">
        <f>GD!W144</f>
        <v>3</v>
      </c>
      <c r="Y144" s="118"/>
      <c r="Z144" s="118"/>
      <c r="AA144" s="7"/>
      <c r="AB144" s="118"/>
      <c r="AC144" s="116"/>
      <c r="AD144" s="118">
        <f>'Case study'!K144</f>
        <v>3.5</v>
      </c>
      <c r="AE144" s="118">
        <f>'Case study'!Q144</f>
        <v>3</v>
      </c>
      <c r="AF144" s="118">
        <f>'Case study'!W144</f>
        <v>3</v>
      </c>
      <c r="AG144" s="118"/>
      <c r="AH144" s="118"/>
      <c r="AI144" s="118">
        <f>'Case study'!AO144</f>
        <v>3</v>
      </c>
      <c r="AJ144" s="118">
        <f>'Case study'!AU144</f>
        <v>3</v>
      </c>
      <c r="AK144" s="116"/>
      <c r="AL144" s="118">
        <f>Capstone!K144</f>
        <v>4</v>
      </c>
      <c r="AM144" s="118">
        <f>Capstone!Q145</f>
        <v>2.25</v>
      </c>
      <c r="AN144" s="118">
        <f>Capstone!W145</f>
        <v>3</v>
      </c>
      <c r="AO144" s="118"/>
      <c r="AP144" s="118"/>
      <c r="AQ144" s="118">
        <f>Capstone!AO145</f>
        <v>3</v>
      </c>
      <c r="AR144" s="118"/>
      <c r="AS144" s="116"/>
      <c r="AT144" s="118">
        <f>IFERROR(AVERAGE(Table110461117[[#This Row],[Column2]],Table110461117[[#This Row],[Column11]],Table110461117[[#This Row],[Column29]]),"0")</f>
        <v>3.3333333333333335</v>
      </c>
      <c r="AU144" s="118">
        <f>IFERROR(AVERAGE(Table110461117[[#This Row],[Column3]],Table110461117[[#This Row],[Column12]],Table110461117[[#This Row],[Column21]],Table110461117[[#This Row],[Column30]]),"0")</f>
        <v>3.05</v>
      </c>
      <c r="AV144" s="118">
        <f>IFERROR(AVERAGE(Table110461117[[#This Row],[Column31]],Table110461117[[#This Row],[Column22]],Table110461117[[#This Row],[Column4]]),"0")</f>
        <v>3</v>
      </c>
      <c r="AW144" s="118">
        <f>IFERROR(AVERAGE(Table110461117[[#This Row],[Column14]]),"0")</f>
        <v>3</v>
      </c>
      <c r="AX144" s="118"/>
      <c r="AY144" s="118">
        <f>IFERROR(AVERAGE(Table110461117[[#This Row],[Column34]],Table110461117[[#This Row],[Column16]],Table110461117[[#This Row],[Column7]]),"0")</f>
        <v>3</v>
      </c>
      <c r="AZ144" s="118">
        <f>IFERROR(AVERAGE(Table110461117[[#This Row],[Column35]],Table110461117[[#This Row],[Column17]],Table110461117[[#This Row],[Column8]]),"0")</f>
        <v>3</v>
      </c>
      <c r="BA144" s="116"/>
      <c r="BB144" s="118"/>
      <c r="BC144" s="118">
        <f>IFERROR(AVERAGE('Book Review'!AY144,Debate!AY144,'Case study'!AY144,Capstone!AY144),"A")</f>
        <v>3.75</v>
      </c>
      <c r="BD144" s="118">
        <f>IFERROR(AVERAGE('Book Review'!AZ144,Debate!AZ144,'Case study'!AZ144),"A")</f>
        <v>3.3333333333333335</v>
      </c>
    </row>
    <row r="145" spans="1:56" s="109" customFormat="1" ht="23.1" customHeight="1" x14ac:dyDescent="0.3">
      <c r="A145" s="115">
        <v>143</v>
      </c>
      <c r="B145" s="49" t="s">
        <v>283</v>
      </c>
      <c r="C145" s="49" t="s">
        <v>284</v>
      </c>
      <c r="D145" s="49" t="s">
        <v>450</v>
      </c>
      <c r="E145" s="49" t="s">
        <v>161</v>
      </c>
      <c r="F145" s="117">
        <f>'Book Review'!K145</f>
        <v>2.5</v>
      </c>
      <c r="G145" s="117">
        <f>'Book Review'!Q145</f>
        <v>3</v>
      </c>
      <c r="H145" s="117">
        <f>'Book Review'!W145</f>
        <v>3</v>
      </c>
      <c r="I145" s="117"/>
      <c r="J145" s="117"/>
      <c r="K145" s="117">
        <f>'Book Review'!AO145</f>
        <v>3</v>
      </c>
      <c r="L145" s="117">
        <f>'Book Review'!AU145</f>
        <v>3</v>
      </c>
      <c r="M145" s="116"/>
      <c r="N145" s="117">
        <f>Debate!K145</f>
        <v>3</v>
      </c>
      <c r="O145" s="117">
        <f>Debate!Q145</f>
        <v>3</v>
      </c>
      <c r="P145" s="117"/>
      <c r="Q145" s="117">
        <f>Debate!AC145</f>
        <v>3</v>
      </c>
      <c r="R145" s="117"/>
      <c r="S145" s="117">
        <f>Debate!AO145</f>
        <v>3</v>
      </c>
      <c r="T145" s="117">
        <f>Debate!AU145</f>
        <v>3</v>
      </c>
      <c r="U145" s="116"/>
      <c r="V145" s="49"/>
      <c r="W145" s="117">
        <f>GD!Q145</f>
        <v>3</v>
      </c>
      <c r="X145" s="117">
        <f>GD!W145</f>
        <v>3</v>
      </c>
      <c r="Y145" s="117"/>
      <c r="Z145" s="117"/>
      <c r="AA145" s="49"/>
      <c r="AB145" s="117"/>
      <c r="AC145" s="116"/>
      <c r="AD145" s="117">
        <f>'Case study'!K145</f>
        <v>2.5</v>
      </c>
      <c r="AE145" s="117">
        <f>'Case study'!Q145</f>
        <v>3</v>
      </c>
      <c r="AF145" s="117">
        <f>'Case study'!W145</f>
        <v>3</v>
      </c>
      <c r="AG145" s="117"/>
      <c r="AH145" s="117"/>
      <c r="AI145" s="117">
        <f>'Case study'!AO145</f>
        <v>3</v>
      </c>
      <c r="AJ145" s="117">
        <f>'Case study'!AU145</f>
        <v>3</v>
      </c>
      <c r="AK145" s="116"/>
      <c r="AL145" s="117">
        <f>Capstone!K145</f>
        <v>3</v>
      </c>
      <c r="AM145" s="117">
        <f>Capstone!Q146</f>
        <v>3</v>
      </c>
      <c r="AN145" s="117">
        <f>Capstone!W146</f>
        <v>3</v>
      </c>
      <c r="AO145" s="117"/>
      <c r="AP145" s="117"/>
      <c r="AQ145" s="117">
        <f>Capstone!AO146</f>
        <v>3</v>
      </c>
      <c r="AR145" s="117"/>
      <c r="AS145" s="116"/>
      <c r="AT145" s="117">
        <f>IFERROR(AVERAGE(Table110461117[[#This Row],[Column2]],Table110461117[[#This Row],[Column11]],Table110461117[[#This Row],[Column29]]),"0")</f>
        <v>2.6666666666666665</v>
      </c>
      <c r="AU145" s="117">
        <f>IFERROR(AVERAGE(Table110461117[[#This Row],[Column3]],Table110461117[[#This Row],[Column12]],Table110461117[[#This Row],[Column21]],Table110461117[[#This Row],[Column30]]),"0")</f>
        <v>3</v>
      </c>
      <c r="AV145" s="117">
        <f>IFERROR(AVERAGE(Table110461117[[#This Row],[Column31]],Table110461117[[#This Row],[Column22]],Table110461117[[#This Row],[Column4]]),"0")</f>
        <v>3</v>
      </c>
      <c r="AW145" s="117">
        <f>IFERROR(AVERAGE(Table110461117[[#This Row],[Column14]]),"0")</f>
        <v>3</v>
      </c>
      <c r="AX145" s="117"/>
      <c r="AY145" s="117">
        <f>IFERROR(AVERAGE(Table110461117[[#This Row],[Column34]],Table110461117[[#This Row],[Column16]],Table110461117[[#This Row],[Column7]]),"0")</f>
        <v>3</v>
      </c>
      <c r="AZ145" s="117">
        <f>IFERROR(AVERAGE(Table110461117[[#This Row],[Column35]],Table110461117[[#This Row],[Column17]],Table110461117[[#This Row],[Column8]]),"0")</f>
        <v>3</v>
      </c>
      <c r="BA145" s="116"/>
      <c r="BB145" s="117"/>
      <c r="BC145" s="117">
        <f>IFERROR(AVERAGE('Book Review'!AY145,Debate!AY145,'Case study'!AY145,Capstone!AY145),"A")</f>
        <v>2.875</v>
      </c>
      <c r="BD145" s="117">
        <f>IFERROR(AVERAGE('Book Review'!AZ145,Debate!AZ145,'Case study'!AZ145),"A")</f>
        <v>3</v>
      </c>
    </row>
    <row r="146" spans="1:56" s="109" customFormat="1" ht="23.1" customHeight="1" x14ac:dyDescent="0.3">
      <c r="A146" s="6">
        <v>144</v>
      </c>
      <c r="B146" s="7" t="s">
        <v>172</v>
      </c>
      <c r="C146" s="7" t="s">
        <v>173</v>
      </c>
      <c r="D146" s="7" t="s">
        <v>450</v>
      </c>
      <c r="E146" s="7" t="s">
        <v>161</v>
      </c>
      <c r="F146" s="118">
        <f>'Book Review'!K146</f>
        <v>3</v>
      </c>
      <c r="G146" s="118">
        <f>'Book Review'!Q146</f>
        <v>3.4</v>
      </c>
      <c r="H146" s="118">
        <f>'Book Review'!W146</f>
        <v>3</v>
      </c>
      <c r="I146" s="118"/>
      <c r="J146" s="118"/>
      <c r="K146" s="118">
        <f>'Book Review'!AO146</f>
        <v>3</v>
      </c>
      <c r="L146" s="118">
        <f>'Book Review'!AU146</f>
        <v>3</v>
      </c>
      <c r="M146" s="116"/>
      <c r="N146" s="118">
        <f>Debate!K146</f>
        <v>3</v>
      </c>
      <c r="O146" s="118">
        <f>Debate!Q146</f>
        <v>3.2</v>
      </c>
      <c r="P146" s="118"/>
      <c r="Q146" s="118">
        <f>Debate!AC146</f>
        <v>3</v>
      </c>
      <c r="R146" s="118"/>
      <c r="S146" s="118">
        <f>Debate!AO146</f>
        <v>3.3333333333333335</v>
      </c>
      <c r="T146" s="118">
        <f>Debate!AU146</f>
        <v>3</v>
      </c>
      <c r="U146" s="116"/>
      <c r="V146" s="7"/>
      <c r="W146" s="118">
        <f>GD!Q146</f>
        <v>3.25</v>
      </c>
      <c r="X146" s="118">
        <f>GD!W146</f>
        <v>4</v>
      </c>
      <c r="Y146" s="118"/>
      <c r="Z146" s="118"/>
      <c r="AA146" s="7"/>
      <c r="AB146" s="118"/>
      <c r="AC146" s="116"/>
      <c r="AD146" s="118">
        <f>'Case study'!K146</f>
        <v>3</v>
      </c>
      <c r="AE146" s="118">
        <f>'Case study'!Q146</f>
        <v>3.4</v>
      </c>
      <c r="AF146" s="118">
        <f>'Case study'!W146</f>
        <v>3</v>
      </c>
      <c r="AG146" s="118"/>
      <c r="AH146" s="118"/>
      <c r="AI146" s="118">
        <f>'Case study'!AO146</f>
        <v>3</v>
      </c>
      <c r="AJ146" s="118">
        <f>'Case study'!AU146</f>
        <v>3</v>
      </c>
      <c r="AK146" s="116"/>
      <c r="AL146" s="118">
        <f>Capstone!K146</f>
        <v>3</v>
      </c>
      <c r="AM146" s="118">
        <f>Capstone!Q147</f>
        <v>2.75</v>
      </c>
      <c r="AN146" s="118">
        <f>Capstone!W147</f>
        <v>3</v>
      </c>
      <c r="AO146" s="118"/>
      <c r="AP146" s="118"/>
      <c r="AQ146" s="118">
        <f>Capstone!AO147</f>
        <v>3.25</v>
      </c>
      <c r="AR146" s="118"/>
      <c r="AS146" s="116"/>
      <c r="AT146" s="118">
        <f>IFERROR(AVERAGE(Table110461117[[#This Row],[Column2]],Table110461117[[#This Row],[Column11]],Table110461117[[#This Row],[Column29]]),"0")</f>
        <v>3</v>
      </c>
      <c r="AU146" s="118">
        <f>IFERROR(AVERAGE(Table110461117[[#This Row],[Column3]],Table110461117[[#This Row],[Column12]],Table110461117[[#This Row],[Column21]],Table110461117[[#This Row],[Column30]]),"0")</f>
        <v>3.3125</v>
      </c>
      <c r="AV146" s="118">
        <f>IFERROR(AVERAGE(Table110461117[[#This Row],[Column31]],Table110461117[[#This Row],[Column22]],Table110461117[[#This Row],[Column4]]),"0")</f>
        <v>3.3333333333333335</v>
      </c>
      <c r="AW146" s="118">
        <f>IFERROR(AVERAGE(Table110461117[[#This Row],[Column14]]),"0")</f>
        <v>3</v>
      </c>
      <c r="AX146" s="118"/>
      <c r="AY146" s="118">
        <f>IFERROR(AVERAGE(Table110461117[[#This Row],[Column34]],Table110461117[[#This Row],[Column16]],Table110461117[[#This Row],[Column7]]),"0")</f>
        <v>3.1111111111111112</v>
      </c>
      <c r="AZ146" s="118">
        <f>IFERROR(AVERAGE(Table110461117[[#This Row],[Column35]],Table110461117[[#This Row],[Column17]],Table110461117[[#This Row],[Column8]]),"0")</f>
        <v>3</v>
      </c>
      <c r="BA146" s="116"/>
      <c r="BB146" s="118"/>
      <c r="BC146" s="118">
        <f>IFERROR(AVERAGE('Book Review'!AY146,Debate!AY146,'Case study'!AY146,Capstone!AY146),"A")</f>
        <v>3.25</v>
      </c>
      <c r="BD146" s="118">
        <f>IFERROR(AVERAGE('Book Review'!AZ146,Debate!AZ146,'Case study'!AZ146),"A")</f>
        <v>3.6666666666666665</v>
      </c>
    </row>
    <row r="147" spans="1:56" s="109" customFormat="1" ht="23.1" customHeight="1" x14ac:dyDescent="0.3">
      <c r="A147" s="115">
        <v>145</v>
      </c>
      <c r="B147" s="49" t="s">
        <v>376</v>
      </c>
      <c r="C147" s="49" t="s">
        <v>377</v>
      </c>
      <c r="D147" s="49" t="s">
        <v>542</v>
      </c>
      <c r="E147" s="49" t="s">
        <v>493</v>
      </c>
      <c r="F147" s="117">
        <f>'Book Review'!K147</f>
        <v>2.75</v>
      </c>
      <c r="G147" s="117">
        <f>'Book Review'!Q147</f>
        <v>2.8</v>
      </c>
      <c r="H147" s="117">
        <f>'Book Review'!W147</f>
        <v>2.5</v>
      </c>
      <c r="I147" s="117"/>
      <c r="J147" s="117"/>
      <c r="K147" s="117">
        <f>'Book Review'!AO147</f>
        <v>2.75</v>
      </c>
      <c r="L147" s="117">
        <f>'Book Review'!AU147</f>
        <v>3</v>
      </c>
      <c r="M147" s="116"/>
      <c r="N147" s="117">
        <f>Debate!K147</f>
        <v>3</v>
      </c>
      <c r="O147" s="117">
        <f>Debate!Q147</f>
        <v>2.9</v>
      </c>
      <c r="P147" s="117"/>
      <c r="Q147" s="117">
        <f>Debate!AC147</f>
        <v>3</v>
      </c>
      <c r="R147" s="117"/>
      <c r="S147" s="117">
        <f>Debate!AO147</f>
        <v>2.6666666666666665</v>
      </c>
      <c r="T147" s="117">
        <f>Debate!AU147</f>
        <v>3</v>
      </c>
      <c r="U147" s="116"/>
      <c r="V147" s="49"/>
      <c r="W147" s="117">
        <f>GD!Q147</f>
        <v>2.875</v>
      </c>
      <c r="X147" s="117">
        <f>GD!W147</f>
        <v>3</v>
      </c>
      <c r="Y147" s="117"/>
      <c r="Z147" s="117"/>
      <c r="AA147" s="49"/>
      <c r="AB147" s="117"/>
      <c r="AC147" s="116"/>
      <c r="AD147" s="117">
        <f>'Case study'!K147</f>
        <v>2.75</v>
      </c>
      <c r="AE147" s="117">
        <f>'Case study'!Q147</f>
        <v>2.8</v>
      </c>
      <c r="AF147" s="117">
        <f>'Case study'!W147</f>
        <v>3</v>
      </c>
      <c r="AG147" s="117"/>
      <c r="AH147" s="117"/>
      <c r="AI147" s="117">
        <f>'Case study'!AO147</f>
        <v>2.875</v>
      </c>
      <c r="AJ147" s="117">
        <f>'Case study'!AU147</f>
        <v>2.5</v>
      </c>
      <c r="AK147" s="116"/>
      <c r="AL147" s="117">
        <f>Capstone!K147</f>
        <v>3</v>
      </c>
      <c r="AM147" s="117">
        <f>Capstone!Q148</f>
        <v>5</v>
      </c>
      <c r="AN147" s="117">
        <f>Capstone!W148</f>
        <v>4</v>
      </c>
      <c r="AO147" s="117"/>
      <c r="AP147" s="117"/>
      <c r="AQ147" s="117">
        <f>Capstone!AO148</f>
        <v>4.5</v>
      </c>
      <c r="AR147" s="117"/>
      <c r="AS147" s="116"/>
      <c r="AT147" s="117">
        <f>IFERROR(AVERAGE(Table110461117[[#This Row],[Column2]],Table110461117[[#This Row],[Column11]],Table110461117[[#This Row],[Column29]]),"0")</f>
        <v>2.8333333333333335</v>
      </c>
      <c r="AU147" s="117">
        <f>IFERROR(AVERAGE(Table110461117[[#This Row],[Column3]],Table110461117[[#This Row],[Column12]],Table110461117[[#This Row],[Column21]],Table110461117[[#This Row],[Column30]]),"0")</f>
        <v>2.84375</v>
      </c>
      <c r="AV147" s="117">
        <f>IFERROR(AVERAGE(Table110461117[[#This Row],[Column31]],Table110461117[[#This Row],[Column22]],Table110461117[[#This Row],[Column4]]),"0")</f>
        <v>2.8333333333333335</v>
      </c>
      <c r="AW147" s="117">
        <f>IFERROR(AVERAGE(Table110461117[[#This Row],[Column14]]),"0")</f>
        <v>3</v>
      </c>
      <c r="AX147" s="117"/>
      <c r="AY147" s="117">
        <f>IFERROR(AVERAGE(Table110461117[[#This Row],[Column34]],Table110461117[[#This Row],[Column16]],Table110461117[[#This Row],[Column7]]),"0")</f>
        <v>2.7638888888888888</v>
      </c>
      <c r="AZ147" s="117">
        <f>IFERROR(AVERAGE(Table110461117[[#This Row],[Column35]],Table110461117[[#This Row],[Column17]],Table110461117[[#This Row],[Column8]]),"0")</f>
        <v>2.8333333333333335</v>
      </c>
      <c r="BA147" s="116"/>
      <c r="BB147" s="117"/>
      <c r="BC147" s="117">
        <f>IFERROR(AVERAGE('Book Review'!AY147,Debate!AY147,'Case study'!AY147,Capstone!AY147),"A")</f>
        <v>3</v>
      </c>
      <c r="BD147" s="117">
        <f>IFERROR(AVERAGE('Book Review'!AZ147,Debate!AZ147,'Case study'!AZ147),"A")</f>
        <v>3</v>
      </c>
    </row>
    <row r="148" spans="1:56" s="109" customFormat="1" ht="23.1" customHeight="1" x14ac:dyDescent="0.3">
      <c r="A148" s="6">
        <v>146</v>
      </c>
      <c r="B148" s="7" t="s">
        <v>378</v>
      </c>
      <c r="C148" s="7" t="s">
        <v>379</v>
      </c>
      <c r="D148" s="7" t="s">
        <v>542</v>
      </c>
      <c r="E148" s="7" t="s">
        <v>493</v>
      </c>
      <c r="F148" s="118">
        <f>'Book Review'!K148</f>
        <v>4</v>
      </c>
      <c r="G148" s="118">
        <f>'Book Review'!Q148</f>
        <v>4.5999999999999996</v>
      </c>
      <c r="H148" s="118">
        <f>'Book Review'!W148</f>
        <v>4</v>
      </c>
      <c r="I148" s="118"/>
      <c r="J148" s="118"/>
      <c r="K148" s="118">
        <f>'Book Review'!AO148</f>
        <v>4.5</v>
      </c>
      <c r="L148" s="118">
        <f>'Book Review'!AU148</f>
        <v>2</v>
      </c>
      <c r="M148" s="116"/>
      <c r="N148" s="118">
        <f>Debate!K148</f>
        <v>4</v>
      </c>
      <c r="O148" s="118">
        <f>Debate!Q148</f>
        <v>4.5</v>
      </c>
      <c r="P148" s="118"/>
      <c r="Q148" s="118">
        <f>Debate!AC148</f>
        <v>4</v>
      </c>
      <c r="R148" s="118"/>
      <c r="S148" s="118">
        <f>Debate!AO148</f>
        <v>4.666666666666667</v>
      </c>
      <c r="T148" s="118">
        <f>Debate!AU148</f>
        <v>3</v>
      </c>
      <c r="U148" s="116"/>
      <c r="V148" s="7"/>
      <c r="W148" s="118">
        <f>GD!Q148</f>
        <v>4</v>
      </c>
      <c r="X148" s="118">
        <f>GD!W148</f>
        <v>2</v>
      </c>
      <c r="Y148" s="118"/>
      <c r="Z148" s="118"/>
      <c r="AA148" s="7"/>
      <c r="AB148" s="118"/>
      <c r="AC148" s="116"/>
      <c r="AD148" s="118">
        <f>'Case study'!K148</f>
        <v>5</v>
      </c>
      <c r="AE148" s="118">
        <f>'Case study'!Q148</f>
        <v>4.4000000000000004</v>
      </c>
      <c r="AF148" s="118">
        <f>'Case study'!W148</f>
        <v>4</v>
      </c>
      <c r="AG148" s="118"/>
      <c r="AH148" s="118"/>
      <c r="AI148" s="118">
        <f>'Case study'!AO148</f>
        <v>4.75</v>
      </c>
      <c r="AJ148" s="118">
        <f>'Case study'!AU148</f>
        <v>3</v>
      </c>
      <c r="AK148" s="116"/>
      <c r="AL148" s="118">
        <f>Capstone!K148</f>
        <v>5</v>
      </c>
      <c r="AM148" s="118">
        <f>Capstone!Q149</f>
        <v>4</v>
      </c>
      <c r="AN148" s="118">
        <f>Capstone!W149</f>
        <v>3</v>
      </c>
      <c r="AO148" s="118"/>
      <c r="AP148" s="118"/>
      <c r="AQ148" s="118">
        <f>Capstone!AO149</f>
        <v>4</v>
      </c>
      <c r="AR148" s="118"/>
      <c r="AS148" s="116"/>
      <c r="AT148" s="118">
        <f>IFERROR(AVERAGE(Table110461117[[#This Row],[Column2]],Table110461117[[#This Row],[Column11]],Table110461117[[#This Row],[Column29]]),"0")</f>
        <v>4.333333333333333</v>
      </c>
      <c r="AU148" s="118">
        <f>IFERROR(AVERAGE(Table110461117[[#This Row],[Column3]],Table110461117[[#This Row],[Column12]],Table110461117[[#This Row],[Column21]],Table110461117[[#This Row],[Column30]]),"0")</f>
        <v>4.375</v>
      </c>
      <c r="AV148" s="118">
        <f>IFERROR(AVERAGE(Table110461117[[#This Row],[Column31]],Table110461117[[#This Row],[Column22]],Table110461117[[#This Row],[Column4]]),"0")</f>
        <v>3.3333333333333335</v>
      </c>
      <c r="AW148" s="118">
        <f>IFERROR(AVERAGE(Table110461117[[#This Row],[Column14]]),"0")</f>
        <v>4</v>
      </c>
      <c r="AX148" s="118"/>
      <c r="AY148" s="118">
        <f>IFERROR(AVERAGE(Table110461117[[#This Row],[Column34]],Table110461117[[#This Row],[Column16]],Table110461117[[#This Row],[Column7]]),"0")</f>
        <v>4.6388888888888893</v>
      </c>
      <c r="AZ148" s="118">
        <f>IFERROR(AVERAGE(Table110461117[[#This Row],[Column35]],Table110461117[[#This Row],[Column17]],Table110461117[[#This Row],[Column8]]),"0")</f>
        <v>2.6666666666666665</v>
      </c>
      <c r="BA148" s="116"/>
      <c r="BB148" s="118"/>
      <c r="BC148" s="118">
        <f>IFERROR(AVERAGE('Book Review'!AY148,Debate!AY148,'Case study'!AY148,Capstone!AY148),"A")</f>
        <v>4.75</v>
      </c>
      <c r="BD148" s="118">
        <f>IFERROR(AVERAGE('Book Review'!AZ148,Debate!AZ148,'Case study'!AZ148),"A")</f>
        <v>4.666666666666667</v>
      </c>
    </row>
    <row r="149" spans="1:56" s="109" customFormat="1" ht="23.1" customHeight="1" x14ac:dyDescent="0.3">
      <c r="A149" s="115">
        <v>147</v>
      </c>
      <c r="B149" s="49" t="s">
        <v>154</v>
      </c>
      <c r="C149" s="49" t="s">
        <v>155</v>
      </c>
      <c r="D149" s="49" t="s">
        <v>450</v>
      </c>
      <c r="E149" s="49" t="s">
        <v>35</v>
      </c>
      <c r="F149" s="117">
        <f>'Book Review'!K149</f>
        <v>2.75</v>
      </c>
      <c r="G149" s="117">
        <f>'Book Review'!Q149</f>
        <v>3.4</v>
      </c>
      <c r="H149" s="117">
        <f>'Book Review'!W149</f>
        <v>3</v>
      </c>
      <c r="I149" s="117"/>
      <c r="J149" s="117"/>
      <c r="K149" s="117">
        <f>'Book Review'!AO149</f>
        <v>2.5</v>
      </c>
      <c r="L149" s="117">
        <f>'Book Review'!AU149</f>
        <v>2</v>
      </c>
      <c r="M149" s="116"/>
      <c r="N149" s="117">
        <f>Debate!K149</f>
        <v>3</v>
      </c>
      <c r="O149" s="117">
        <f>Debate!Q149</f>
        <v>2.6</v>
      </c>
      <c r="P149" s="117"/>
      <c r="Q149" s="117">
        <f>Debate!AC149</f>
        <v>3</v>
      </c>
      <c r="R149" s="117"/>
      <c r="S149" s="117">
        <f>Debate!AO149</f>
        <v>3</v>
      </c>
      <c r="T149" s="117">
        <f>Debate!AU149</f>
        <v>3</v>
      </c>
      <c r="U149" s="116"/>
      <c r="V149" s="49"/>
      <c r="W149" s="117">
        <f>GD!Q149</f>
        <v>2.5</v>
      </c>
      <c r="X149" s="117">
        <f>GD!W149</f>
        <v>2</v>
      </c>
      <c r="Y149" s="117"/>
      <c r="Z149" s="117"/>
      <c r="AA149" s="49"/>
      <c r="AB149" s="117"/>
      <c r="AC149" s="116"/>
      <c r="AD149" s="117">
        <f>'Case study'!K149</f>
        <v>3.25</v>
      </c>
      <c r="AE149" s="117">
        <f>'Case study'!Q149</f>
        <v>2.8</v>
      </c>
      <c r="AF149" s="117">
        <f>'Case study'!W149</f>
        <v>3</v>
      </c>
      <c r="AG149" s="117"/>
      <c r="AH149" s="117"/>
      <c r="AI149" s="117">
        <f>'Case study'!AO149</f>
        <v>3.25</v>
      </c>
      <c r="AJ149" s="117">
        <f>'Case study'!AU149</f>
        <v>3</v>
      </c>
      <c r="AK149" s="116"/>
      <c r="AL149" s="117">
        <f>Capstone!K149</f>
        <v>4</v>
      </c>
      <c r="AM149" s="117">
        <f>Capstone!Q150</f>
        <v>3.5</v>
      </c>
      <c r="AN149" s="117">
        <f>Capstone!W150</f>
        <v>2</v>
      </c>
      <c r="AO149" s="117"/>
      <c r="AP149" s="117"/>
      <c r="AQ149" s="117">
        <f>Capstone!AO150</f>
        <v>3.25</v>
      </c>
      <c r="AR149" s="117"/>
      <c r="AS149" s="116"/>
      <c r="AT149" s="117">
        <f>IFERROR(AVERAGE(Table110461117[[#This Row],[Column2]],Table110461117[[#This Row],[Column11]],Table110461117[[#This Row],[Column29]]),"0")</f>
        <v>3</v>
      </c>
      <c r="AU149" s="117">
        <f>IFERROR(AVERAGE(Table110461117[[#This Row],[Column3]],Table110461117[[#This Row],[Column12]],Table110461117[[#This Row],[Column21]],Table110461117[[#This Row],[Column30]]),"0")</f>
        <v>2.8250000000000002</v>
      </c>
      <c r="AV149" s="117">
        <f>IFERROR(AVERAGE(Table110461117[[#This Row],[Column31]],Table110461117[[#This Row],[Column22]],Table110461117[[#This Row],[Column4]]),"0")</f>
        <v>2.6666666666666665</v>
      </c>
      <c r="AW149" s="117">
        <f>IFERROR(AVERAGE(Table110461117[[#This Row],[Column14]]),"0")</f>
        <v>3</v>
      </c>
      <c r="AX149" s="117"/>
      <c r="AY149" s="117">
        <f>IFERROR(AVERAGE(Table110461117[[#This Row],[Column34]],Table110461117[[#This Row],[Column16]],Table110461117[[#This Row],[Column7]]),"0")</f>
        <v>2.9166666666666665</v>
      </c>
      <c r="AZ149" s="117">
        <f>IFERROR(AVERAGE(Table110461117[[#This Row],[Column35]],Table110461117[[#This Row],[Column17]],Table110461117[[#This Row],[Column8]]),"0")</f>
        <v>2.6666666666666665</v>
      </c>
      <c r="BA149" s="116"/>
      <c r="BB149" s="117"/>
      <c r="BC149" s="117">
        <f>IFERROR(AVERAGE('Book Review'!AY149,Debate!AY149,'Case study'!AY149,Capstone!AY149),"A")</f>
        <v>3.25</v>
      </c>
      <c r="BD149" s="117">
        <f>IFERROR(AVERAGE('Book Review'!AZ149,Debate!AZ149,'Case study'!AZ149),"A")</f>
        <v>2</v>
      </c>
    </row>
    <row r="150" spans="1:56" s="109" customFormat="1" ht="23.1" customHeight="1" x14ac:dyDescent="0.3">
      <c r="A150" s="6">
        <v>148</v>
      </c>
      <c r="B150" s="7" t="s">
        <v>380</v>
      </c>
      <c r="C150" s="7" t="s">
        <v>381</v>
      </c>
      <c r="D150" s="7" t="s">
        <v>450</v>
      </c>
      <c r="E150" s="7" t="s">
        <v>493</v>
      </c>
      <c r="F150" s="118">
        <f>'Book Review'!K150</f>
        <v>2.5</v>
      </c>
      <c r="G150" s="118">
        <f>'Book Review'!Q150</f>
        <v>3</v>
      </c>
      <c r="H150" s="118">
        <f>'Book Review'!W150</f>
        <v>3</v>
      </c>
      <c r="I150" s="118"/>
      <c r="J150" s="118"/>
      <c r="K150" s="118">
        <f>'Book Review'!AO150</f>
        <v>2</v>
      </c>
      <c r="L150" s="118">
        <f>'Book Review'!AU150</f>
        <v>3</v>
      </c>
      <c r="M150" s="116"/>
      <c r="N150" s="118">
        <f>Debate!K150</f>
        <v>2</v>
      </c>
      <c r="O150" s="118">
        <f>Debate!Q150</f>
        <v>1.5</v>
      </c>
      <c r="P150" s="118"/>
      <c r="Q150" s="118">
        <f>Debate!AC150</f>
        <v>2</v>
      </c>
      <c r="R150" s="118"/>
      <c r="S150" s="118">
        <f>Debate!AO150</f>
        <v>1.6666666666666667</v>
      </c>
      <c r="T150" s="118">
        <f>Debate!AU150</f>
        <v>3</v>
      </c>
      <c r="U150" s="116"/>
      <c r="V150" s="7"/>
      <c r="W150" s="118">
        <f>GD!Q150</f>
        <v>2.5</v>
      </c>
      <c r="X150" s="118">
        <f>GD!W150</f>
        <v>3</v>
      </c>
      <c r="Y150" s="118"/>
      <c r="Z150" s="118"/>
      <c r="AA150" s="7"/>
      <c r="AB150" s="118"/>
      <c r="AC150" s="116"/>
      <c r="AD150" s="118">
        <f>'Case study'!K150</f>
        <v>1.5</v>
      </c>
      <c r="AE150" s="118">
        <f>'Case study'!Q150</f>
        <v>2.2000000000000002</v>
      </c>
      <c r="AF150" s="118">
        <f>'Case study'!W150</f>
        <v>2</v>
      </c>
      <c r="AG150" s="118"/>
      <c r="AH150" s="118"/>
      <c r="AI150" s="118">
        <f>'Case study'!AO150</f>
        <v>2</v>
      </c>
      <c r="AJ150" s="118">
        <f>'Case study'!AU150</f>
        <v>3</v>
      </c>
      <c r="AK150" s="116"/>
      <c r="AL150" s="118">
        <f>Capstone!K150</f>
        <v>3.6666666666666665</v>
      </c>
      <c r="AM150" s="118">
        <f>Capstone!Q151</f>
        <v>3.25</v>
      </c>
      <c r="AN150" s="118">
        <f>Capstone!W151</f>
        <v>2</v>
      </c>
      <c r="AO150" s="118"/>
      <c r="AP150" s="118"/>
      <c r="AQ150" s="118">
        <f>Capstone!AO151</f>
        <v>2.875</v>
      </c>
      <c r="AR150" s="118"/>
      <c r="AS150" s="116"/>
      <c r="AT150" s="118">
        <f>IFERROR(AVERAGE(Table110461117[[#This Row],[Column2]],Table110461117[[#This Row],[Column11]],Table110461117[[#This Row],[Column29]]),"0")</f>
        <v>2</v>
      </c>
      <c r="AU150" s="118">
        <f>IFERROR(AVERAGE(Table110461117[[#This Row],[Column3]],Table110461117[[#This Row],[Column12]],Table110461117[[#This Row],[Column21]],Table110461117[[#This Row],[Column30]]),"0")</f>
        <v>2.2999999999999998</v>
      </c>
      <c r="AV150" s="118">
        <f>IFERROR(AVERAGE(Table110461117[[#This Row],[Column31]],Table110461117[[#This Row],[Column22]],Table110461117[[#This Row],[Column4]]),"0")</f>
        <v>2.6666666666666665</v>
      </c>
      <c r="AW150" s="118">
        <f>IFERROR(AVERAGE(Table110461117[[#This Row],[Column14]]),"0")</f>
        <v>2</v>
      </c>
      <c r="AX150" s="118"/>
      <c r="AY150" s="118">
        <f>IFERROR(AVERAGE(Table110461117[[#This Row],[Column34]],Table110461117[[#This Row],[Column16]],Table110461117[[#This Row],[Column7]]),"0")</f>
        <v>1.8888888888888891</v>
      </c>
      <c r="AZ150" s="118">
        <f>IFERROR(AVERAGE(Table110461117[[#This Row],[Column35]],Table110461117[[#This Row],[Column17]],Table110461117[[#This Row],[Column8]]),"0")</f>
        <v>3</v>
      </c>
      <c r="BA150" s="116"/>
      <c r="BB150" s="118"/>
      <c r="BC150" s="118">
        <f>IFERROR(AVERAGE('Book Review'!AY150,Debate!AY150,'Case study'!AY150,Capstone!AY150),"A")</f>
        <v>2.5</v>
      </c>
      <c r="BD150" s="118">
        <f>IFERROR(AVERAGE('Book Review'!AZ150,Debate!AZ150,'Case study'!AZ150),"A")</f>
        <v>2.3333333333333335</v>
      </c>
    </row>
    <row r="151" spans="1:56" s="109" customFormat="1" ht="23.1" customHeight="1" x14ac:dyDescent="0.3">
      <c r="A151" s="115">
        <v>149</v>
      </c>
      <c r="B151" s="49" t="s">
        <v>156</v>
      </c>
      <c r="C151" s="49" t="s">
        <v>382</v>
      </c>
      <c r="D151" s="49" t="s">
        <v>450</v>
      </c>
      <c r="E151" s="49" t="s">
        <v>35</v>
      </c>
      <c r="F151" s="117">
        <f>'Book Review'!K151</f>
        <v>3</v>
      </c>
      <c r="G151" s="117">
        <f>'Book Review'!Q151</f>
        <v>2.2000000000000002</v>
      </c>
      <c r="H151" s="117">
        <f>'Book Review'!W151</f>
        <v>2</v>
      </c>
      <c r="I151" s="117"/>
      <c r="J151" s="117"/>
      <c r="K151" s="117">
        <f>'Book Review'!AO151</f>
        <v>3</v>
      </c>
      <c r="L151" s="117">
        <f>'Book Review'!AU151</f>
        <v>3</v>
      </c>
      <c r="M151" s="116"/>
      <c r="N151" s="117">
        <f>Debate!K151</f>
        <v>3</v>
      </c>
      <c r="O151" s="117">
        <f>Debate!Q151</f>
        <v>2.4</v>
      </c>
      <c r="P151" s="117"/>
      <c r="Q151" s="117">
        <f>Debate!AC151</f>
        <v>3</v>
      </c>
      <c r="R151" s="117"/>
      <c r="S151" s="117">
        <f>Debate!AO151</f>
        <v>2.3333333333333335</v>
      </c>
      <c r="T151" s="117">
        <f>Debate!AU151</f>
        <v>3</v>
      </c>
      <c r="U151" s="116"/>
      <c r="V151" s="49"/>
      <c r="W151" s="117">
        <f>GD!Q151</f>
        <v>2.5</v>
      </c>
      <c r="X151" s="117">
        <f>GD!W151</f>
        <v>2</v>
      </c>
      <c r="Y151" s="117"/>
      <c r="Z151" s="117"/>
      <c r="AA151" s="49"/>
      <c r="AB151" s="117"/>
      <c r="AC151" s="116"/>
      <c r="AD151" s="117">
        <f>'Case study'!K151</f>
        <v>3</v>
      </c>
      <c r="AE151" s="117">
        <f>'Case study'!Q151</f>
        <v>2.2000000000000002</v>
      </c>
      <c r="AF151" s="117">
        <f>'Case study'!W151</f>
        <v>2</v>
      </c>
      <c r="AG151" s="117"/>
      <c r="AH151" s="117"/>
      <c r="AI151" s="117">
        <f>'Case study'!AO151</f>
        <v>3</v>
      </c>
      <c r="AJ151" s="117">
        <f>'Case study'!AU151</f>
        <v>3</v>
      </c>
      <c r="AK151" s="116"/>
      <c r="AL151" s="117">
        <f>Capstone!K151</f>
        <v>3.1666666666666665</v>
      </c>
      <c r="AM151" s="117">
        <f>Capstone!Q152</f>
        <v>4</v>
      </c>
      <c r="AN151" s="117">
        <f>Capstone!W152</f>
        <v>3</v>
      </c>
      <c r="AO151" s="117"/>
      <c r="AP151" s="117"/>
      <c r="AQ151" s="117">
        <f>Capstone!AO152</f>
        <v>4</v>
      </c>
      <c r="AR151" s="117"/>
      <c r="AS151" s="116"/>
      <c r="AT151" s="117">
        <f>IFERROR(AVERAGE(Table110461117[[#This Row],[Column2]],Table110461117[[#This Row],[Column11]],Table110461117[[#This Row],[Column29]]),"0")</f>
        <v>3</v>
      </c>
      <c r="AU151" s="117">
        <f>IFERROR(AVERAGE(Table110461117[[#This Row],[Column3]],Table110461117[[#This Row],[Column12]],Table110461117[[#This Row],[Column21]],Table110461117[[#This Row],[Column30]]),"0")</f>
        <v>2.3250000000000002</v>
      </c>
      <c r="AV151" s="117">
        <f>IFERROR(AVERAGE(Table110461117[[#This Row],[Column31]],Table110461117[[#This Row],[Column22]],Table110461117[[#This Row],[Column4]]),"0")</f>
        <v>2</v>
      </c>
      <c r="AW151" s="117">
        <f>IFERROR(AVERAGE(Table110461117[[#This Row],[Column14]]),"0")</f>
        <v>3</v>
      </c>
      <c r="AX151" s="117"/>
      <c r="AY151" s="117">
        <f>IFERROR(AVERAGE(Table110461117[[#This Row],[Column34]],Table110461117[[#This Row],[Column16]],Table110461117[[#This Row],[Column7]]),"0")</f>
        <v>2.7777777777777781</v>
      </c>
      <c r="AZ151" s="117">
        <f>IFERROR(AVERAGE(Table110461117[[#This Row],[Column35]],Table110461117[[#This Row],[Column17]],Table110461117[[#This Row],[Column8]]),"0")</f>
        <v>3</v>
      </c>
      <c r="BA151" s="116"/>
      <c r="BB151" s="117"/>
      <c r="BC151" s="117">
        <f>IFERROR(AVERAGE('Book Review'!AY151,Debate!AY151,'Case study'!AY151,Capstone!AY151),"A")</f>
        <v>2.875</v>
      </c>
      <c r="BD151" s="117">
        <f>IFERROR(AVERAGE('Book Review'!AZ151,Debate!AZ151,'Case study'!AZ151),"A")</f>
        <v>2.3333333333333335</v>
      </c>
    </row>
    <row r="152" spans="1:56" s="109" customFormat="1" ht="23.1" customHeight="1" x14ac:dyDescent="0.3">
      <c r="A152" s="6">
        <v>150</v>
      </c>
      <c r="B152" s="7" t="s">
        <v>383</v>
      </c>
      <c r="C152" s="7" t="s">
        <v>384</v>
      </c>
      <c r="D152" s="7" t="s">
        <v>542</v>
      </c>
      <c r="E152" s="7" t="s">
        <v>493</v>
      </c>
      <c r="F152" s="118">
        <f>'Book Review'!K152</f>
        <v>3.25</v>
      </c>
      <c r="G152" s="118">
        <f>'Book Review'!Q152</f>
        <v>2.8</v>
      </c>
      <c r="H152" s="118">
        <f>'Book Review'!W152</f>
        <v>2</v>
      </c>
      <c r="I152" s="118"/>
      <c r="J152" s="118"/>
      <c r="K152" s="118">
        <f>'Book Review'!AO152</f>
        <v>3</v>
      </c>
      <c r="L152" s="118">
        <f>'Book Review'!AU152</f>
        <v>3</v>
      </c>
      <c r="M152" s="116"/>
      <c r="N152" s="118">
        <f>Debate!K152</f>
        <v>3</v>
      </c>
      <c r="O152" s="118">
        <f>Debate!Q152</f>
        <v>2.4</v>
      </c>
      <c r="P152" s="118"/>
      <c r="Q152" s="118">
        <f>Debate!AC152</f>
        <v>3</v>
      </c>
      <c r="R152" s="118"/>
      <c r="S152" s="118">
        <f>Debate!AO152</f>
        <v>3</v>
      </c>
      <c r="T152" s="118">
        <f>Debate!AU152</f>
        <v>3</v>
      </c>
      <c r="U152" s="116"/>
      <c r="V152" s="7"/>
      <c r="W152" s="118">
        <f>GD!Q152</f>
        <v>3</v>
      </c>
      <c r="X152" s="118">
        <f>GD!W152</f>
        <v>3</v>
      </c>
      <c r="Y152" s="118"/>
      <c r="Z152" s="118"/>
      <c r="AA152" s="7"/>
      <c r="AB152" s="118"/>
      <c r="AC152" s="116"/>
      <c r="AD152" s="118">
        <f>'Case study'!K152</f>
        <v>3.75</v>
      </c>
      <c r="AE152" s="118">
        <f>'Case study'!Q152</f>
        <v>2.6</v>
      </c>
      <c r="AF152" s="118">
        <f>'Case study'!W152</f>
        <v>3</v>
      </c>
      <c r="AG152" s="118"/>
      <c r="AH152" s="118"/>
      <c r="AI152" s="118">
        <f>'Case study'!AO152</f>
        <v>3.75</v>
      </c>
      <c r="AJ152" s="118">
        <f>'Case study'!AU152</f>
        <v>3</v>
      </c>
      <c r="AK152" s="116"/>
      <c r="AL152" s="118">
        <f>Capstone!K152</f>
        <v>3.6666666666666665</v>
      </c>
      <c r="AM152" s="118">
        <f>Capstone!Q153</f>
        <v>1</v>
      </c>
      <c r="AN152" s="118">
        <f>Capstone!W153</f>
        <v>3</v>
      </c>
      <c r="AO152" s="118"/>
      <c r="AP152" s="118"/>
      <c r="AQ152" s="118">
        <f>Capstone!AO153</f>
        <v>1.5</v>
      </c>
      <c r="AR152" s="118"/>
      <c r="AS152" s="116"/>
      <c r="AT152" s="118">
        <f>IFERROR(AVERAGE(Table110461117[[#This Row],[Column2]],Table110461117[[#This Row],[Column11]],Table110461117[[#This Row],[Column29]]),"0")</f>
        <v>3.3333333333333335</v>
      </c>
      <c r="AU152" s="118">
        <f>IFERROR(AVERAGE(Table110461117[[#This Row],[Column3]],Table110461117[[#This Row],[Column12]],Table110461117[[#This Row],[Column21]],Table110461117[[#This Row],[Column30]]),"0")</f>
        <v>2.6999999999999997</v>
      </c>
      <c r="AV152" s="118">
        <f>IFERROR(AVERAGE(Table110461117[[#This Row],[Column31]],Table110461117[[#This Row],[Column22]],Table110461117[[#This Row],[Column4]]),"0")</f>
        <v>2.6666666666666665</v>
      </c>
      <c r="AW152" s="118">
        <f>IFERROR(AVERAGE(Table110461117[[#This Row],[Column14]]),"0")</f>
        <v>3</v>
      </c>
      <c r="AX152" s="118"/>
      <c r="AY152" s="118">
        <f>IFERROR(AVERAGE(Table110461117[[#This Row],[Column34]],Table110461117[[#This Row],[Column16]],Table110461117[[#This Row],[Column7]]),"0")</f>
        <v>3.25</v>
      </c>
      <c r="AZ152" s="118">
        <f>IFERROR(AVERAGE(Table110461117[[#This Row],[Column35]],Table110461117[[#This Row],[Column17]],Table110461117[[#This Row],[Column8]]),"0")</f>
        <v>3</v>
      </c>
      <c r="BA152" s="116"/>
      <c r="BB152" s="118"/>
      <c r="BC152" s="118">
        <f>IFERROR(AVERAGE('Book Review'!AY152,Debate!AY152,'Case study'!AY152,Capstone!AY152),"A")</f>
        <v>4.25</v>
      </c>
      <c r="BD152" s="118">
        <f>IFERROR(AVERAGE('Book Review'!AZ152,Debate!AZ152,'Case study'!AZ152),"A")</f>
        <v>3.6666666666666665</v>
      </c>
    </row>
    <row r="153" spans="1:56" s="109" customFormat="1" ht="23.1" customHeight="1" x14ac:dyDescent="0.3">
      <c r="A153" s="115">
        <v>151</v>
      </c>
      <c r="B153" s="49" t="s">
        <v>46</v>
      </c>
      <c r="C153" s="49" t="s">
        <v>47</v>
      </c>
      <c r="D153" s="49" t="s">
        <v>450</v>
      </c>
      <c r="E153" s="49" t="s">
        <v>35</v>
      </c>
      <c r="F153" s="117">
        <f>'Book Review'!K153</f>
        <v>3.25</v>
      </c>
      <c r="G153" s="117">
        <f>'Book Review'!Q153</f>
        <v>3.2</v>
      </c>
      <c r="H153" s="117">
        <f>'Book Review'!W153</f>
        <v>3</v>
      </c>
      <c r="I153" s="117"/>
      <c r="J153" s="117"/>
      <c r="K153" s="117">
        <f>'Book Review'!AO153</f>
        <v>3</v>
      </c>
      <c r="L153" s="117">
        <f>'Book Review'!AU153</f>
        <v>3</v>
      </c>
      <c r="M153" s="116"/>
      <c r="N153" s="117">
        <f>Debate!K153</f>
        <v>3</v>
      </c>
      <c r="O153" s="117">
        <f>Debate!Q153</f>
        <v>3.1</v>
      </c>
      <c r="P153" s="117"/>
      <c r="Q153" s="117">
        <f>Debate!AC153</f>
        <v>3</v>
      </c>
      <c r="R153" s="117"/>
      <c r="S153" s="117">
        <f>Debate!AO153</f>
        <v>3.3333333333333335</v>
      </c>
      <c r="T153" s="117">
        <f>Debate!AU153</f>
        <v>3</v>
      </c>
      <c r="U153" s="116"/>
      <c r="V153" s="49"/>
      <c r="W153" s="117">
        <f>GD!Q153</f>
        <v>3.25</v>
      </c>
      <c r="X153" s="117">
        <f>GD!W153</f>
        <v>3</v>
      </c>
      <c r="Y153" s="117"/>
      <c r="Z153" s="117"/>
      <c r="AA153" s="49"/>
      <c r="AB153" s="117"/>
      <c r="AC153" s="116"/>
      <c r="AD153" s="117">
        <f>'Case study'!K153</f>
        <v>3.25</v>
      </c>
      <c r="AE153" s="117">
        <f>'Case study'!Q153</f>
        <v>3.2</v>
      </c>
      <c r="AF153" s="117">
        <f>'Case study'!W153</f>
        <v>3</v>
      </c>
      <c r="AG153" s="117"/>
      <c r="AH153" s="117"/>
      <c r="AI153" s="117">
        <f>'Case study'!AO153</f>
        <v>3</v>
      </c>
      <c r="AJ153" s="117">
        <f>'Case study'!AU153</f>
        <v>3</v>
      </c>
      <c r="AK153" s="116"/>
      <c r="AL153" s="117">
        <f>Capstone!K153</f>
        <v>1</v>
      </c>
      <c r="AM153" s="117">
        <f>Capstone!Q154</f>
        <v>2</v>
      </c>
      <c r="AN153" s="117">
        <f>Capstone!W154</f>
        <v>4</v>
      </c>
      <c r="AO153" s="117"/>
      <c r="AP153" s="117"/>
      <c r="AQ153" s="117">
        <f>Capstone!AO154</f>
        <v>1.5</v>
      </c>
      <c r="AR153" s="117"/>
      <c r="AS153" s="116"/>
      <c r="AT153" s="117">
        <f>IFERROR(AVERAGE(Table110461117[[#This Row],[Column2]],Table110461117[[#This Row],[Column11]],Table110461117[[#This Row],[Column29]]),"0")</f>
        <v>3.1666666666666665</v>
      </c>
      <c r="AU153" s="117">
        <f>IFERROR(AVERAGE(Table110461117[[#This Row],[Column3]],Table110461117[[#This Row],[Column12]],Table110461117[[#This Row],[Column21]],Table110461117[[#This Row],[Column30]]),"0")</f>
        <v>3.1875</v>
      </c>
      <c r="AV153" s="117">
        <f>IFERROR(AVERAGE(Table110461117[[#This Row],[Column31]],Table110461117[[#This Row],[Column22]],Table110461117[[#This Row],[Column4]]),"0")</f>
        <v>3</v>
      </c>
      <c r="AW153" s="117">
        <f>IFERROR(AVERAGE(Table110461117[[#This Row],[Column14]]),"0")</f>
        <v>3</v>
      </c>
      <c r="AX153" s="117"/>
      <c r="AY153" s="117">
        <f>IFERROR(AVERAGE(Table110461117[[#This Row],[Column34]],Table110461117[[#This Row],[Column16]],Table110461117[[#This Row],[Column7]]),"0")</f>
        <v>3.1111111111111112</v>
      </c>
      <c r="AZ153" s="117">
        <f>IFERROR(AVERAGE(Table110461117[[#This Row],[Column35]],Table110461117[[#This Row],[Column17]],Table110461117[[#This Row],[Column8]]),"0")</f>
        <v>3</v>
      </c>
      <c r="BA153" s="116"/>
      <c r="BB153" s="117"/>
      <c r="BC153" s="117">
        <f>IFERROR(AVERAGE('Book Review'!AY153,Debate!AY153,'Case study'!AY153,Capstone!AY153),"A")</f>
        <v>2.25</v>
      </c>
      <c r="BD153" s="117">
        <f>IFERROR(AVERAGE('Book Review'!AZ153,Debate!AZ153,'Case study'!AZ153),"A")</f>
        <v>2.3333333333333335</v>
      </c>
    </row>
    <row r="154" spans="1:56" s="109" customFormat="1" ht="23.1" customHeight="1" x14ac:dyDescent="0.3">
      <c r="A154" s="6">
        <v>152</v>
      </c>
      <c r="B154" s="7" t="s">
        <v>83</v>
      </c>
      <c r="C154" s="7" t="s">
        <v>84</v>
      </c>
      <c r="D154" s="7" t="s">
        <v>450</v>
      </c>
      <c r="E154" s="7" t="s">
        <v>35</v>
      </c>
      <c r="F154" s="118">
        <f>'Book Review'!K154</f>
        <v>3.5</v>
      </c>
      <c r="G154" s="118">
        <f>'Book Review'!Q154</f>
        <v>3.6</v>
      </c>
      <c r="H154" s="118">
        <f>'Book Review'!W154</f>
        <v>4</v>
      </c>
      <c r="I154" s="118"/>
      <c r="J154" s="118"/>
      <c r="K154" s="118">
        <f>'Book Review'!AO154</f>
        <v>3.5</v>
      </c>
      <c r="L154" s="118">
        <f>'Book Review'!AU154</f>
        <v>3</v>
      </c>
      <c r="M154" s="116"/>
      <c r="N154" s="118">
        <f>Debate!K154</f>
        <v>4</v>
      </c>
      <c r="O154" s="118">
        <f>Debate!Q154</f>
        <v>3.5</v>
      </c>
      <c r="P154" s="118"/>
      <c r="Q154" s="118">
        <f>Debate!AC154</f>
        <v>4</v>
      </c>
      <c r="R154" s="118"/>
      <c r="S154" s="118">
        <f>Debate!AO154</f>
        <v>3.6666666666666665</v>
      </c>
      <c r="T154" s="118">
        <f>Debate!AU154</f>
        <v>3</v>
      </c>
      <c r="U154" s="116"/>
      <c r="V154" s="7"/>
      <c r="W154" s="118">
        <f>GD!Q154</f>
        <v>3.5</v>
      </c>
      <c r="X154" s="118">
        <f>GD!W154</f>
        <v>4</v>
      </c>
      <c r="Y154" s="118"/>
      <c r="Z154" s="118"/>
      <c r="AA154" s="7"/>
      <c r="AB154" s="118"/>
      <c r="AC154" s="116"/>
      <c r="AD154" s="118">
        <f>'Case study'!K154</f>
        <v>3.5</v>
      </c>
      <c r="AE154" s="118">
        <f>'Case study'!Q154</f>
        <v>3.6</v>
      </c>
      <c r="AF154" s="118">
        <f>'Case study'!W154</f>
        <v>4</v>
      </c>
      <c r="AG154" s="118"/>
      <c r="AH154" s="118"/>
      <c r="AI154" s="118">
        <f>'Case study'!AO154</f>
        <v>3.25</v>
      </c>
      <c r="AJ154" s="118">
        <f>'Case study'!AU154</f>
        <v>3</v>
      </c>
      <c r="AK154" s="116"/>
      <c r="AL154" s="118">
        <f>Capstone!K154</f>
        <v>1</v>
      </c>
      <c r="AM154" s="118">
        <f>Capstone!Q155</f>
        <v>2.5</v>
      </c>
      <c r="AN154" s="118">
        <f>Capstone!W155</f>
        <v>2</v>
      </c>
      <c r="AO154" s="118"/>
      <c r="AP154" s="118"/>
      <c r="AQ154" s="118">
        <f>Capstone!AO155</f>
        <v>3</v>
      </c>
      <c r="AR154" s="118"/>
      <c r="AS154" s="116"/>
      <c r="AT154" s="118">
        <f>IFERROR(AVERAGE(Table110461117[[#This Row],[Column2]],Table110461117[[#This Row],[Column11]],Table110461117[[#This Row],[Column29]]),"0")</f>
        <v>3.6666666666666665</v>
      </c>
      <c r="AU154" s="118">
        <f>IFERROR(AVERAGE(Table110461117[[#This Row],[Column3]],Table110461117[[#This Row],[Column12]],Table110461117[[#This Row],[Column21]],Table110461117[[#This Row],[Column30]]),"0")</f>
        <v>3.55</v>
      </c>
      <c r="AV154" s="118">
        <f>IFERROR(AVERAGE(Table110461117[[#This Row],[Column31]],Table110461117[[#This Row],[Column22]],Table110461117[[#This Row],[Column4]]),"0")</f>
        <v>4</v>
      </c>
      <c r="AW154" s="118">
        <f>IFERROR(AVERAGE(Table110461117[[#This Row],[Column14]]),"0")</f>
        <v>4</v>
      </c>
      <c r="AX154" s="118"/>
      <c r="AY154" s="118">
        <f>IFERROR(AVERAGE(Table110461117[[#This Row],[Column34]],Table110461117[[#This Row],[Column16]],Table110461117[[#This Row],[Column7]]),"0")</f>
        <v>3.4722222222222219</v>
      </c>
      <c r="AZ154" s="118">
        <f>IFERROR(AVERAGE(Table110461117[[#This Row],[Column35]],Table110461117[[#This Row],[Column17]],Table110461117[[#This Row],[Column8]]),"0")</f>
        <v>3</v>
      </c>
      <c r="BA154" s="116"/>
      <c r="BB154" s="118"/>
      <c r="BC154" s="118">
        <f>IFERROR(AVERAGE('Book Review'!AY154,Debate!AY154,'Case study'!AY154,Capstone!AY154),"A")</f>
        <v>2.75</v>
      </c>
      <c r="BD154" s="118">
        <f>IFERROR(AVERAGE('Book Review'!AZ154,Debate!AZ154,'Case study'!AZ154),"A")</f>
        <v>3</v>
      </c>
    </row>
    <row r="155" spans="1:56" s="109" customFormat="1" ht="23.1" customHeight="1" x14ac:dyDescent="0.3">
      <c r="A155" s="115">
        <v>153</v>
      </c>
      <c r="B155" s="49" t="s">
        <v>385</v>
      </c>
      <c r="C155" s="49" t="s">
        <v>386</v>
      </c>
      <c r="D155" s="49" t="s">
        <v>450</v>
      </c>
      <c r="E155" s="49" t="s">
        <v>493</v>
      </c>
      <c r="F155" s="117">
        <f>'Book Review'!K155</f>
        <v>2.25</v>
      </c>
      <c r="G155" s="117">
        <f>'Book Review'!Q155</f>
        <v>2.6</v>
      </c>
      <c r="H155" s="117">
        <f>'Book Review'!W155</f>
        <v>2</v>
      </c>
      <c r="I155" s="117"/>
      <c r="J155" s="117"/>
      <c r="K155" s="117">
        <f>'Book Review'!AO155</f>
        <v>2</v>
      </c>
      <c r="L155" s="117">
        <f>'Book Review'!AU155</f>
        <v>3</v>
      </c>
      <c r="M155" s="116"/>
      <c r="N155" s="117">
        <f>Debate!K155</f>
        <v>2</v>
      </c>
      <c r="O155" s="117">
        <f>Debate!Q155</f>
        <v>2.2999999999999998</v>
      </c>
      <c r="P155" s="117"/>
      <c r="Q155" s="117">
        <f>Debate!AC155</f>
        <v>2</v>
      </c>
      <c r="R155" s="117"/>
      <c r="S155" s="117">
        <f>Debate!AO155</f>
        <v>2.6666666666666665</v>
      </c>
      <c r="T155" s="117">
        <f>Debate!AU155</f>
        <v>2</v>
      </c>
      <c r="U155" s="116"/>
      <c r="V155" s="49"/>
      <c r="W155" s="117">
        <f>GD!Q155</f>
        <v>2.5</v>
      </c>
      <c r="X155" s="117">
        <f>GD!W155</f>
        <v>2</v>
      </c>
      <c r="Y155" s="117"/>
      <c r="Z155" s="117"/>
      <c r="AA155" s="49"/>
      <c r="AB155" s="117"/>
      <c r="AC155" s="116"/>
      <c r="AD155" s="117">
        <f>'Case study'!K155</f>
        <v>2.25</v>
      </c>
      <c r="AE155" s="117">
        <f>'Case study'!Q155</f>
        <v>2.6</v>
      </c>
      <c r="AF155" s="117">
        <f>'Case study'!W155</f>
        <v>2</v>
      </c>
      <c r="AG155" s="117"/>
      <c r="AH155" s="117"/>
      <c r="AI155" s="117">
        <f>'Case study'!AO155</f>
        <v>2.5</v>
      </c>
      <c r="AJ155" s="117">
        <f>'Case study'!AU155</f>
        <v>3</v>
      </c>
      <c r="AK155" s="116"/>
      <c r="AL155" s="117">
        <f>Capstone!K155</f>
        <v>3</v>
      </c>
      <c r="AM155" s="117">
        <f>Capstone!Q156</f>
        <v>4</v>
      </c>
      <c r="AN155" s="117">
        <f>Capstone!W156</f>
        <v>4</v>
      </c>
      <c r="AO155" s="117"/>
      <c r="AP155" s="117"/>
      <c r="AQ155" s="117">
        <f>Capstone!AO156</f>
        <v>4</v>
      </c>
      <c r="AR155" s="117"/>
      <c r="AS155" s="116"/>
      <c r="AT155" s="117">
        <f>IFERROR(AVERAGE(Table110461117[[#This Row],[Column2]],Table110461117[[#This Row],[Column11]],Table110461117[[#This Row],[Column29]]),"0")</f>
        <v>2.1666666666666665</v>
      </c>
      <c r="AU155" s="117">
        <f>IFERROR(AVERAGE(Table110461117[[#This Row],[Column3]],Table110461117[[#This Row],[Column12]],Table110461117[[#This Row],[Column21]],Table110461117[[#This Row],[Column30]]),"0")</f>
        <v>2.5</v>
      </c>
      <c r="AV155" s="117">
        <f>IFERROR(AVERAGE(Table110461117[[#This Row],[Column31]],Table110461117[[#This Row],[Column22]],Table110461117[[#This Row],[Column4]]),"0")</f>
        <v>2</v>
      </c>
      <c r="AW155" s="117">
        <f>IFERROR(AVERAGE(Table110461117[[#This Row],[Column14]]),"0")</f>
        <v>2</v>
      </c>
      <c r="AX155" s="117"/>
      <c r="AY155" s="117">
        <f>IFERROR(AVERAGE(Table110461117[[#This Row],[Column34]],Table110461117[[#This Row],[Column16]],Table110461117[[#This Row],[Column7]]),"0")</f>
        <v>2.3888888888888888</v>
      </c>
      <c r="AZ155" s="117">
        <f>IFERROR(AVERAGE(Table110461117[[#This Row],[Column35]],Table110461117[[#This Row],[Column17]],Table110461117[[#This Row],[Column8]]),"0")</f>
        <v>2.6666666666666665</v>
      </c>
      <c r="BA155" s="116"/>
      <c r="BB155" s="117"/>
      <c r="BC155" s="117">
        <f>IFERROR(AVERAGE('Book Review'!AY155,Debate!AY155,'Case study'!AY155,Capstone!AY155),"A")</f>
        <v>2.625</v>
      </c>
      <c r="BD155" s="117">
        <f>IFERROR(AVERAGE('Book Review'!AZ155,Debate!AZ155,'Case study'!AZ155),"A")</f>
        <v>2.3333333333333335</v>
      </c>
    </row>
    <row r="156" spans="1:56" s="109" customFormat="1" ht="23.1" customHeight="1" x14ac:dyDescent="0.3">
      <c r="A156" s="6">
        <v>154</v>
      </c>
      <c r="B156" s="7" t="s">
        <v>93</v>
      </c>
      <c r="C156" s="7" t="s">
        <v>94</v>
      </c>
      <c r="D156" s="7" t="s">
        <v>542</v>
      </c>
      <c r="E156" s="7" t="s">
        <v>35</v>
      </c>
      <c r="F156" s="118">
        <f>'Book Review'!K156</f>
        <v>2</v>
      </c>
      <c r="G156" s="118">
        <f>'Book Review'!Q156</f>
        <v>2.6</v>
      </c>
      <c r="H156" s="118">
        <f>'Book Review'!W156</f>
        <v>4</v>
      </c>
      <c r="I156" s="118"/>
      <c r="J156" s="118"/>
      <c r="K156" s="118">
        <f>'Book Review'!AO156</f>
        <v>3</v>
      </c>
      <c r="L156" s="118">
        <f>'Book Review'!AU156</f>
        <v>3</v>
      </c>
      <c r="M156" s="116"/>
      <c r="N156" s="118">
        <f>Debate!K156</f>
        <v>3</v>
      </c>
      <c r="O156" s="118">
        <f>Debate!Q156</f>
        <v>2.5</v>
      </c>
      <c r="P156" s="118"/>
      <c r="Q156" s="118">
        <f>Debate!AC156</f>
        <v>3</v>
      </c>
      <c r="R156" s="118"/>
      <c r="S156" s="118">
        <f>Debate!AO156</f>
        <v>2.6666666666666665</v>
      </c>
      <c r="T156" s="118">
        <f>Debate!AU156</f>
        <v>3</v>
      </c>
      <c r="U156" s="116"/>
      <c r="V156" s="7"/>
      <c r="W156" s="118">
        <f>GD!Q156</f>
        <v>2.5</v>
      </c>
      <c r="X156" s="118">
        <f>GD!W156</f>
        <v>2</v>
      </c>
      <c r="Y156" s="118"/>
      <c r="Z156" s="118"/>
      <c r="AA156" s="7"/>
      <c r="AB156" s="118"/>
      <c r="AC156" s="116"/>
      <c r="AD156" s="118">
        <f>'Case study'!K156</f>
        <v>2</v>
      </c>
      <c r="AE156" s="118">
        <f>'Case study'!Q156</f>
        <v>2.6</v>
      </c>
      <c r="AF156" s="118">
        <f>'Case study'!W156</f>
        <v>4</v>
      </c>
      <c r="AG156" s="118"/>
      <c r="AH156" s="118"/>
      <c r="AI156" s="118">
        <f>'Case study'!AO156</f>
        <v>3</v>
      </c>
      <c r="AJ156" s="118">
        <f>'Case study'!AU156</f>
        <v>3</v>
      </c>
      <c r="AK156" s="116"/>
      <c r="AL156" s="118">
        <f>Capstone!K156</f>
        <v>4</v>
      </c>
      <c r="AM156" s="118">
        <f>Capstone!Q157</f>
        <v>4.5</v>
      </c>
      <c r="AN156" s="118">
        <f>Capstone!W157</f>
        <v>3</v>
      </c>
      <c r="AO156" s="118"/>
      <c r="AP156" s="118"/>
      <c r="AQ156" s="118">
        <f>Capstone!AO157</f>
        <v>3.75</v>
      </c>
      <c r="AR156" s="118"/>
      <c r="AS156" s="116"/>
      <c r="AT156" s="118">
        <f>IFERROR(AVERAGE(Table110461117[[#This Row],[Column2]],Table110461117[[#This Row],[Column11]],Table110461117[[#This Row],[Column29]]),"0")</f>
        <v>2.3333333333333335</v>
      </c>
      <c r="AU156" s="118">
        <f>IFERROR(AVERAGE(Table110461117[[#This Row],[Column3]],Table110461117[[#This Row],[Column12]],Table110461117[[#This Row],[Column21]],Table110461117[[#This Row],[Column30]]),"0")</f>
        <v>2.5499999999999998</v>
      </c>
      <c r="AV156" s="118">
        <f>IFERROR(AVERAGE(Table110461117[[#This Row],[Column31]],Table110461117[[#This Row],[Column22]],Table110461117[[#This Row],[Column4]]),"0")</f>
        <v>3.3333333333333335</v>
      </c>
      <c r="AW156" s="118">
        <f>IFERROR(AVERAGE(Table110461117[[#This Row],[Column14]]),"0")</f>
        <v>3</v>
      </c>
      <c r="AX156" s="118"/>
      <c r="AY156" s="118">
        <f>IFERROR(AVERAGE(Table110461117[[#This Row],[Column34]],Table110461117[[#This Row],[Column16]],Table110461117[[#This Row],[Column7]]),"0")</f>
        <v>2.8888888888888888</v>
      </c>
      <c r="AZ156" s="118">
        <f>IFERROR(AVERAGE(Table110461117[[#This Row],[Column35]],Table110461117[[#This Row],[Column17]],Table110461117[[#This Row],[Column8]]),"0")</f>
        <v>3</v>
      </c>
      <c r="BA156" s="116"/>
      <c r="BB156" s="118"/>
      <c r="BC156" s="118">
        <f>IFERROR(AVERAGE('Book Review'!AY156,Debate!AY156,'Case study'!AY156,Capstone!AY156),"A")</f>
        <v>3.5</v>
      </c>
      <c r="BD156" s="118">
        <f>IFERROR(AVERAGE('Book Review'!AZ156,Debate!AZ156,'Case study'!AZ156),"A")</f>
        <v>3</v>
      </c>
    </row>
    <row r="157" spans="1:56" s="109" customFormat="1" ht="23.1" customHeight="1" x14ac:dyDescent="0.3">
      <c r="A157" s="115">
        <v>155</v>
      </c>
      <c r="B157" s="49" t="s">
        <v>188</v>
      </c>
      <c r="C157" s="49" t="s">
        <v>189</v>
      </c>
      <c r="D157" s="49" t="s">
        <v>542</v>
      </c>
      <c r="E157" s="49" t="s">
        <v>161</v>
      </c>
      <c r="F157" s="117">
        <f>'Book Review'!K157</f>
        <v>2.75</v>
      </c>
      <c r="G157" s="117">
        <f>'Book Review'!Q157</f>
        <v>2.4</v>
      </c>
      <c r="H157" s="117">
        <f>'Book Review'!W157</f>
        <v>3</v>
      </c>
      <c r="I157" s="117"/>
      <c r="J157" s="117"/>
      <c r="K157" s="117">
        <f>'Book Review'!AO157</f>
        <v>3</v>
      </c>
      <c r="L157" s="117">
        <f>'Book Review'!AU157</f>
        <v>3</v>
      </c>
      <c r="M157" s="116"/>
      <c r="N157" s="117">
        <f>Debate!K157</f>
        <v>3</v>
      </c>
      <c r="O157" s="117">
        <f>Debate!Q157</f>
        <v>2.7</v>
      </c>
      <c r="P157" s="117"/>
      <c r="Q157" s="117">
        <f>Debate!AC157</f>
        <v>3</v>
      </c>
      <c r="R157" s="117"/>
      <c r="S157" s="117">
        <f>Debate!AO157</f>
        <v>2.3333333333333335</v>
      </c>
      <c r="T157" s="117">
        <f>Debate!AU157</f>
        <v>3</v>
      </c>
      <c r="U157" s="116"/>
      <c r="V157" s="49"/>
      <c r="W157" s="117">
        <f>GD!Q157</f>
        <v>2.5</v>
      </c>
      <c r="X157" s="117">
        <f>GD!W157</f>
        <v>3</v>
      </c>
      <c r="Y157" s="117"/>
      <c r="Z157" s="117"/>
      <c r="AA157" s="49"/>
      <c r="AB157" s="117"/>
      <c r="AC157" s="116"/>
      <c r="AD157" s="117">
        <f>'Case study'!K157</f>
        <v>2.75</v>
      </c>
      <c r="AE157" s="117">
        <f>'Case study'!Q157</f>
        <v>2.4</v>
      </c>
      <c r="AF157" s="117">
        <f>'Case study'!W157</f>
        <v>3</v>
      </c>
      <c r="AG157" s="117"/>
      <c r="AH157" s="117"/>
      <c r="AI157" s="117">
        <f>'Case study'!AO157</f>
        <v>3</v>
      </c>
      <c r="AJ157" s="117">
        <f>'Case study'!AU157</f>
        <v>1</v>
      </c>
      <c r="AK157" s="116"/>
      <c r="AL157" s="117">
        <f>Capstone!K157</f>
        <v>4</v>
      </c>
      <c r="AM157" s="117">
        <f>Capstone!Q158</f>
        <v>2.25</v>
      </c>
      <c r="AN157" s="117">
        <f>Capstone!W158</f>
        <v>4</v>
      </c>
      <c r="AO157" s="117"/>
      <c r="AP157" s="117"/>
      <c r="AQ157" s="117">
        <f>Capstone!AO158</f>
        <v>2.75</v>
      </c>
      <c r="AR157" s="117"/>
      <c r="AS157" s="116"/>
      <c r="AT157" s="117">
        <f>IFERROR(AVERAGE(Table110461117[[#This Row],[Column2]],Table110461117[[#This Row],[Column11]],Table110461117[[#This Row],[Column29]]),"0")</f>
        <v>2.8333333333333335</v>
      </c>
      <c r="AU157" s="117">
        <f>IFERROR(AVERAGE(Table110461117[[#This Row],[Column3]],Table110461117[[#This Row],[Column12]],Table110461117[[#This Row],[Column21]],Table110461117[[#This Row],[Column30]]),"0")</f>
        <v>2.5</v>
      </c>
      <c r="AV157" s="117">
        <f>IFERROR(AVERAGE(Table110461117[[#This Row],[Column31]],Table110461117[[#This Row],[Column22]],Table110461117[[#This Row],[Column4]]),"0")</f>
        <v>3</v>
      </c>
      <c r="AW157" s="117">
        <f>IFERROR(AVERAGE(Table110461117[[#This Row],[Column14]]),"0")</f>
        <v>3</v>
      </c>
      <c r="AX157" s="117"/>
      <c r="AY157" s="117">
        <f>IFERROR(AVERAGE(Table110461117[[#This Row],[Column34]],Table110461117[[#This Row],[Column16]],Table110461117[[#This Row],[Column7]]),"0")</f>
        <v>2.7777777777777781</v>
      </c>
      <c r="AZ157" s="117">
        <f>IFERROR(AVERAGE(Table110461117[[#This Row],[Column35]],Table110461117[[#This Row],[Column17]],Table110461117[[#This Row],[Column8]]),"0")</f>
        <v>2.3333333333333335</v>
      </c>
      <c r="BA157" s="116"/>
      <c r="BB157" s="117"/>
      <c r="BC157" s="117">
        <f>IFERROR(AVERAGE('Book Review'!AY157,Debate!AY157,'Case study'!AY157,Capstone!AY157),"A")</f>
        <v>2.5</v>
      </c>
      <c r="BD157" s="117">
        <f>IFERROR(AVERAGE('Book Review'!AZ157,Debate!AZ157,'Case study'!AZ157),"A")</f>
        <v>1.6666666666666667</v>
      </c>
    </row>
    <row r="158" spans="1:56" s="109" customFormat="1" ht="23.1" customHeight="1" x14ac:dyDescent="0.3">
      <c r="A158" s="6">
        <v>156</v>
      </c>
      <c r="B158" s="7" t="s">
        <v>174</v>
      </c>
      <c r="C158" s="7" t="s">
        <v>175</v>
      </c>
      <c r="D158" s="7" t="s">
        <v>450</v>
      </c>
      <c r="E158" s="7" t="s">
        <v>161</v>
      </c>
      <c r="F158" s="118">
        <f>'Book Review'!K158</f>
        <v>3.5</v>
      </c>
      <c r="G158" s="118">
        <f>'Book Review'!Q158</f>
        <v>4</v>
      </c>
      <c r="H158" s="118">
        <f>'Book Review'!W158</f>
        <v>4</v>
      </c>
      <c r="I158" s="118"/>
      <c r="J158" s="118"/>
      <c r="K158" s="118">
        <f>'Book Review'!AO158</f>
        <v>3.5</v>
      </c>
      <c r="L158" s="118">
        <f>'Book Review'!AU158</f>
        <v>4</v>
      </c>
      <c r="M158" s="116"/>
      <c r="N158" s="118">
        <f>Debate!K158</f>
        <v>4</v>
      </c>
      <c r="O158" s="118">
        <f>Debate!Q158</f>
        <v>3.8</v>
      </c>
      <c r="P158" s="118"/>
      <c r="Q158" s="118">
        <f>Debate!AC158</f>
        <v>4</v>
      </c>
      <c r="R158" s="118"/>
      <c r="S158" s="118">
        <f>Debate!AO158</f>
        <v>4</v>
      </c>
      <c r="T158" s="118">
        <f>Debate!AU158</f>
        <v>3</v>
      </c>
      <c r="U158" s="116"/>
      <c r="V158" s="7"/>
      <c r="W158" s="118">
        <f>GD!Q158</f>
        <v>4</v>
      </c>
      <c r="X158" s="118">
        <f>GD!W158</f>
        <v>4</v>
      </c>
      <c r="Y158" s="118"/>
      <c r="Z158" s="118"/>
      <c r="AA158" s="7"/>
      <c r="AB158" s="118"/>
      <c r="AC158" s="116"/>
      <c r="AD158" s="118">
        <f>'Case study'!K158</f>
        <v>3.5</v>
      </c>
      <c r="AE158" s="118">
        <f>'Case study'!Q158</f>
        <v>4</v>
      </c>
      <c r="AF158" s="118">
        <f>'Case study'!W158</f>
        <v>4</v>
      </c>
      <c r="AG158" s="118"/>
      <c r="AH158" s="118"/>
      <c r="AI158" s="118">
        <f>'Case study'!AO158</f>
        <v>3.75</v>
      </c>
      <c r="AJ158" s="118">
        <f>'Case study'!AU158</f>
        <v>3</v>
      </c>
      <c r="AK158" s="116"/>
      <c r="AL158" s="118">
        <f>Capstone!K158</f>
        <v>3</v>
      </c>
      <c r="AM158" s="118">
        <f>Capstone!Q159</f>
        <v>4</v>
      </c>
      <c r="AN158" s="118">
        <f>Capstone!W159</f>
        <v>1</v>
      </c>
      <c r="AO158" s="118"/>
      <c r="AP158" s="118"/>
      <c r="AQ158" s="118">
        <f>Capstone!AO159</f>
        <v>4</v>
      </c>
      <c r="AR158" s="118"/>
      <c r="AS158" s="116"/>
      <c r="AT158" s="118">
        <f>IFERROR(AVERAGE(Table110461117[[#This Row],[Column2]],Table110461117[[#This Row],[Column11]],Table110461117[[#This Row],[Column29]]),"0")</f>
        <v>3.6666666666666665</v>
      </c>
      <c r="AU158" s="118">
        <f>IFERROR(AVERAGE(Table110461117[[#This Row],[Column3]],Table110461117[[#This Row],[Column12]],Table110461117[[#This Row],[Column21]],Table110461117[[#This Row],[Column30]]),"0")</f>
        <v>3.95</v>
      </c>
      <c r="AV158" s="118">
        <f>IFERROR(AVERAGE(Table110461117[[#This Row],[Column31]],Table110461117[[#This Row],[Column22]],Table110461117[[#This Row],[Column4]]),"0")</f>
        <v>4</v>
      </c>
      <c r="AW158" s="118">
        <f>IFERROR(AVERAGE(Table110461117[[#This Row],[Column14]]),"0")</f>
        <v>4</v>
      </c>
      <c r="AX158" s="118"/>
      <c r="AY158" s="118">
        <f>IFERROR(AVERAGE(Table110461117[[#This Row],[Column34]],Table110461117[[#This Row],[Column16]],Table110461117[[#This Row],[Column7]]),"0")</f>
        <v>3.75</v>
      </c>
      <c r="AZ158" s="118">
        <f>IFERROR(AVERAGE(Table110461117[[#This Row],[Column35]],Table110461117[[#This Row],[Column17]],Table110461117[[#This Row],[Column8]]),"0")</f>
        <v>3.3333333333333335</v>
      </c>
      <c r="BA158" s="116"/>
      <c r="BB158" s="118"/>
      <c r="BC158" s="118">
        <f>IFERROR(AVERAGE('Book Review'!AY158,Debate!AY158,'Case study'!AY158,Capstone!AY158),"A")</f>
        <v>3.5</v>
      </c>
      <c r="BD158" s="118">
        <f>IFERROR(AVERAGE('Book Review'!AZ158,Debate!AZ158,'Case study'!AZ158),"A")</f>
        <v>4</v>
      </c>
    </row>
    <row r="159" spans="1:56" s="109" customFormat="1" ht="23.1" customHeight="1" x14ac:dyDescent="0.3">
      <c r="A159" s="115">
        <v>157</v>
      </c>
      <c r="B159" s="49" t="s">
        <v>205</v>
      </c>
      <c r="C159" s="49" t="s">
        <v>206</v>
      </c>
      <c r="D159" s="49" t="s">
        <v>450</v>
      </c>
      <c r="E159" s="49" t="s">
        <v>161</v>
      </c>
      <c r="F159" s="117">
        <f>'Book Review'!K159</f>
        <v>2</v>
      </c>
      <c r="G159" s="117">
        <f>'Book Review'!Q159</f>
        <v>2</v>
      </c>
      <c r="H159" s="117">
        <f>'Book Review'!W159</f>
        <v>2</v>
      </c>
      <c r="I159" s="117"/>
      <c r="J159" s="117"/>
      <c r="K159" s="117">
        <f>'Book Review'!AO159</f>
        <v>2</v>
      </c>
      <c r="L159" s="117">
        <f>'Book Review'!AU159</f>
        <v>4</v>
      </c>
      <c r="M159" s="116"/>
      <c r="N159" s="117">
        <f>Debate!K159</f>
        <v>1</v>
      </c>
      <c r="O159" s="117">
        <f>Debate!Q159</f>
        <v>1</v>
      </c>
      <c r="P159" s="117"/>
      <c r="Q159" s="117">
        <f>Debate!AC159</f>
        <v>1</v>
      </c>
      <c r="R159" s="117"/>
      <c r="S159" s="117">
        <f>Debate!AO159</f>
        <v>1.3333333333333333</v>
      </c>
      <c r="T159" s="117">
        <f>Debate!AU159</f>
        <v>3</v>
      </c>
      <c r="U159" s="116"/>
      <c r="V159" s="49"/>
      <c r="W159" s="117">
        <f>GD!Q159</f>
        <v>0.25</v>
      </c>
      <c r="X159" s="117">
        <f>GD!W159</f>
        <v>0</v>
      </c>
      <c r="Y159" s="117"/>
      <c r="Z159" s="117"/>
      <c r="AA159" s="49"/>
      <c r="AB159" s="117"/>
      <c r="AC159" s="116"/>
      <c r="AD159" s="117">
        <f>'Case study'!K159</f>
        <v>1</v>
      </c>
      <c r="AE159" s="117">
        <f>'Case study'!Q159</f>
        <v>1.6</v>
      </c>
      <c r="AF159" s="117">
        <f>'Case study'!W159</f>
        <v>1</v>
      </c>
      <c r="AG159" s="117"/>
      <c r="AH159" s="117"/>
      <c r="AI159" s="117">
        <f>'Case study'!AO159</f>
        <v>1</v>
      </c>
      <c r="AJ159" s="117">
        <f>'Case study'!AU159</f>
        <v>2</v>
      </c>
      <c r="AK159" s="116"/>
      <c r="AL159" s="117">
        <f>Capstone!K159</f>
        <v>4</v>
      </c>
      <c r="AM159" s="117">
        <f>Capstone!Q160</f>
        <v>4</v>
      </c>
      <c r="AN159" s="117">
        <f>Capstone!W160</f>
        <v>1</v>
      </c>
      <c r="AO159" s="117"/>
      <c r="AP159" s="117"/>
      <c r="AQ159" s="117">
        <f>Capstone!AO160</f>
        <v>3.75</v>
      </c>
      <c r="AR159" s="117"/>
      <c r="AS159" s="116"/>
      <c r="AT159" s="117">
        <f>IFERROR(AVERAGE(Table110461117[[#This Row],[Column2]],Table110461117[[#This Row],[Column11]],Table110461117[[#This Row],[Column29]]),"0")</f>
        <v>1.3333333333333333</v>
      </c>
      <c r="AU159" s="117">
        <f>IFERROR(AVERAGE(Table110461117[[#This Row],[Column3]],Table110461117[[#This Row],[Column12]],Table110461117[[#This Row],[Column21]],Table110461117[[#This Row],[Column30]]),"0")</f>
        <v>1.2124999999999999</v>
      </c>
      <c r="AV159" s="117">
        <f>IFERROR(AVERAGE(Table110461117[[#This Row],[Column31]],Table110461117[[#This Row],[Column22]],Table110461117[[#This Row],[Column4]]),"0")</f>
        <v>1</v>
      </c>
      <c r="AW159" s="117">
        <f>IFERROR(AVERAGE(Table110461117[[#This Row],[Column14]]),"0")</f>
        <v>1</v>
      </c>
      <c r="AX159" s="117"/>
      <c r="AY159" s="117">
        <f>IFERROR(AVERAGE(Table110461117[[#This Row],[Column34]],Table110461117[[#This Row],[Column16]],Table110461117[[#This Row],[Column7]]),"0")</f>
        <v>1.4444444444444444</v>
      </c>
      <c r="AZ159" s="117">
        <f>IFERROR(AVERAGE(Table110461117[[#This Row],[Column35]],Table110461117[[#This Row],[Column17]],Table110461117[[#This Row],[Column8]]),"0")</f>
        <v>3</v>
      </c>
      <c r="BA159" s="116"/>
      <c r="BB159" s="117"/>
      <c r="BC159" s="117">
        <f>IFERROR(AVERAGE('Book Review'!AY159,Debate!AY159,'Case study'!AY159,Capstone!AY159),"A")</f>
        <v>2.75</v>
      </c>
      <c r="BD159" s="117">
        <f>IFERROR(AVERAGE('Book Review'!AZ159,Debate!AZ159,'Case study'!AZ159),"A")</f>
        <v>2</v>
      </c>
    </row>
    <row r="160" spans="1:56" s="109" customFormat="1" ht="23.1" customHeight="1" x14ac:dyDescent="0.3">
      <c r="A160" s="6">
        <v>158</v>
      </c>
      <c r="B160" s="7" t="s">
        <v>387</v>
      </c>
      <c r="C160" s="7" t="s">
        <v>388</v>
      </c>
      <c r="D160" s="7" t="s">
        <v>450</v>
      </c>
      <c r="E160" s="7" t="s">
        <v>493</v>
      </c>
      <c r="F160" s="118">
        <f>'Book Review'!K160</f>
        <v>0</v>
      </c>
      <c r="G160" s="118">
        <f>'Book Review'!Q160</f>
        <v>0</v>
      </c>
      <c r="H160" s="118">
        <f>'Book Review'!W160</f>
        <v>0</v>
      </c>
      <c r="I160" s="118"/>
      <c r="J160" s="118"/>
      <c r="K160" s="118">
        <f>'Book Review'!AO160</f>
        <v>0</v>
      </c>
      <c r="L160" s="118">
        <f>'Book Review'!AU160</f>
        <v>0</v>
      </c>
      <c r="M160" s="116"/>
      <c r="N160" s="118">
        <f>Debate!K160</f>
        <v>1</v>
      </c>
      <c r="O160" s="118">
        <f>Debate!Q160</f>
        <v>1.1000000000000001</v>
      </c>
      <c r="P160" s="118"/>
      <c r="Q160" s="118">
        <f>Debate!AC160</f>
        <v>1</v>
      </c>
      <c r="R160" s="118"/>
      <c r="S160" s="118">
        <f>Debate!AO160</f>
        <v>1</v>
      </c>
      <c r="T160" s="118">
        <f>Debate!AU160</f>
        <v>3</v>
      </c>
      <c r="U160" s="116"/>
      <c r="V160" s="7"/>
      <c r="W160" s="118">
        <f>GD!Q160</f>
        <v>1.75</v>
      </c>
      <c r="X160" s="118">
        <f>GD!W160</f>
        <v>1</v>
      </c>
      <c r="Y160" s="118"/>
      <c r="Z160" s="118"/>
      <c r="AA160" s="7"/>
      <c r="AB160" s="118"/>
      <c r="AC160" s="116"/>
      <c r="AD160" s="118">
        <f>'Case study'!K160</f>
        <v>1</v>
      </c>
      <c r="AE160" s="118">
        <f>'Case study'!Q160</f>
        <v>1.6</v>
      </c>
      <c r="AF160" s="118">
        <f>'Case study'!W160</f>
        <v>1</v>
      </c>
      <c r="AG160" s="118"/>
      <c r="AH160" s="118"/>
      <c r="AI160" s="118">
        <f>'Case study'!AO160</f>
        <v>1</v>
      </c>
      <c r="AJ160" s="118">
        <f>'Case study'!AU160</f>
        <v>1</v>
      </c>
      <c r="AK160" s="116"/>
      <c r="AL160" s="118">
        <f>Capstone!K160</f>
        <v>4</v>
      </c>
      <c r="AM160" s="118">
        <f>Capstone!Q161</f>
        <v>4</v>
      </c>
      <c r="AN160" s="118">
        <f>Capstone!W161</f>
        <v>3</v>
      </c>
      <c r="AO160" s="118"/>
      <c r="AP160" s="118"/>
      <c r="AQ160" s="118">
        <f>Capstone!AO161</f>
        <v>4.25</v>
      </c>
      <c r="AR160" s="118"/>
      <c r="AS160" s="116"/>
      <c r="AT160" s="118">
        <f>IFERROR(AVERAGE(Table110461117[[#This Row],[Column2]],Table110461117[[#This Row],[Column11]],Table110461117[[#This Row],[Column29]]),"0")</f>
        <v>0.66666666666666663</v>
      </c>
      <c r="AU160" s="118">
        <f>IFERROR(AVERAGE(Table110461117[[#This Row],[Column3]],Table110461117[[#This Row],[Column12]],Table110461117[[#This Row],[Column21]],Table110461117[[#This Row],[Column30]]),"0")</f>
        <v>1.1125</v>
      </c>
      <c r="AV160" s="118">
        <f>IFERROR(AVERAGE(Table110461117[[#This Row],[Column31]],Table110461117[[#This Row],[Column22]],Table110461117[[#This Row],[Column4]]),"0")</f>
        <v>0.66666666666666663</v>
      </c>
      <c r="AW160" s="118">
        <f>IFERROR(AVERAGE(Table110461117[[#This Row],[Column14]]),"0")</f>
        <v>1</v>
      </c>
      <c r="AX160" s="118"/>
      <c r="AY160" s="118">
        <f>IFERROR(AVERAGE(Table110461117[[#This Row],[Column34]],Table110461117[[#This Row],[Column16]],Table110461117[[#This Row],[Column7]]),"0")</f>
        <v>0.66666666666666663</v>
      </c>
      <c r="AZ160" s="118">
        <f>IFERROR(AVERAGE(Table110461117[[#This Row],[Column35]],Table110461117[[#This Row],[Column17]],Table110461117[[#This Row],[Column8]]),"0")</f>
        <v>1.3333333333333333</v>
      </c>
      <c r="BA160" s="116"/>
      <c r="BB160" s="118"/>
      <c r="BC160" s="118">
        <f>IFERROR(AVERAGE('Book Review'!AY160,Debate!AY160,'Case study'!AY160,Capstone!AY160),"A")</f>
        <v>1.5</v>
      </c>
      <c r="BD160" s="118">
        <f>IFERROR(AVERAGE('Book Review'!AZ160,Debate!AZ160,'Case study'!AZ160),"A")</f>
        <v>0.66666666666666663</v>
      </c>
    </row>
    <row r="161" spans="1:56" s="109" customFormat="1" ht="23.1" customHeight="1" x14ac:dyDescent="0.3">
      <c r="A161" s="115">
        <v>159</v>
      </c>
      <c r="B161" s="49" t="s">
        <v>190</v>
      </c>
      <c r="C161" s="49" t="s">
        <v>191</v>
      </c>
      <c r="D161" s="49" t="s">
        <v>450</v>
      </c>
      <c r="E161" s="49" t="s">
        <v>161</v>
      </c>
      <c r="F161" s="117">
        <f>'Book Review'!K161</f>
        <v>3</v>
      </c>
      <c r="G161" s="117">
        <f>'Book Review'!Q161</f>
        <v>3</v>
      </c>
      <c r="H161" s="117">
        <f>'Book Review'!W161</f>
        <v>3</v>
      </c>
      <c r="I161" s="117"/>
      <c r="J161" s="117"/>
      <c r="K161" s="117">
        <f>'Book Review'!AO161</f>
        <v>3</v>
      </c>
      <c r="L161" s="117">
        <f>'Book Review'!AU161</f>
        <v>3</v>
      </c>
      <c r="M161" s="116"/>
      <c r="N161" s="117">
        <f>Debate!K161</f>
        <v>3</v>
      </c>
      <c r="O161" s="117">
        <f>Debate!Q161</f>
        <v>3</v>
      </c>
      <c r="P161" s="117"/>
      <c r="Q161" s="117">
        <f>Debate!AC161</f>
        <v>3</v>
      </c>
      <c r="R161" s="117"/>
      <c r="S161" s="117">
        <f>Debate!AO161</f>
        <v>3</v>
      </c>
      <c r="T161" s="117">
        <f>Debate!AU161</f>
        <v>3</v>
      </c>
      <c r="U161" s="116"/>
      <c r="V161" s="49"/>
      <c r="W161" s="117">
        <f>GD!Q161</f>
        <v>3</v>
      </c>
      <c r="X161" s="117">
        <f>GD!W161</f>
        <v>3</v>
      </c>
      <c r="Y161" s="117"/>
      <c r="Z161" s="117"/>
      <c r="AA161" s="49"/>
      <c r="AB161" s="117"/>
      <c r="AC161" s="116"/>
      <c r="AD161" s="117">
        <f>'Case study'!K161</f>
        <v>3</v>
      </c>
      <c r="AE161" s="117">
        <f>'Case study'!Q161</f>
        <v>3</v>
      </c>
      <c r="AF161" s="117">
        <f>'Case study'!W161</f>
        <v>3</v>
      </c>
      <c r="AG161" s="117"/>
      <c r="AH161" s="117"/>
      <c r="AI161" s="117">
        <f>'Case study'!AO161</f>
        <v>3</v>
      </c>
      <c r="AJ161" s="117">
        <f>'Case study'!AU161</f>
        <v>1</v>
      </c>
      <c r="AK161" s="116"/>
      <c r="AL161" s="117">
        <f>Capstone!K161</f>
        <v>4.333333333333333</v>
      </c>
      <c r="AM161" s="117">
        <f>Capstone!Q162</f>
        <v>2.5</v>
      </c>
      <c r="AN161" s="117">
        <f>Capstone!W162</f>
        <v>3</v>
      </c>
      <c r="AO161" s="117"/>
      <c r="AP161" s="117"/>
      <c r="AQ161" s="117">
        <f>Capstone!AO162</f>
        <v>4</v>
      </c>
      <c r="AR161" s="117"/>
      <c r="AS161" s="116"/>
      <c r="AT161" s="117">
        <f>IFERROR(AVERAGE(Table110461117[[#This Row],[Column2]],Table110461117[[#This Row],[Column11]],Table110461117[[#This Row],[Column29]]),"0")</f>
        <v>3</v>
      </c>
      <c r="AU161" s="117">
        <f>IFERROR(AVERAGE(Table110461117[[#This Row],[Column3]],Table110461117[[#This Row],[Column12]],Table110461117[[#This Row],[Column21]],Table110461117[[#This Row],[Column30]]),"0")</f>
        <v>3</v>
      </c>
      <c r="AV161" s="117">
        <f>IFERROR(AVERAGE(Table110461117[[#This Row],[Column31]],Table110461117[[#This Row],[Column22]],Table110461117[[#This Row],[Column4]]),"0")</f>
        <v>3</v>
      </c>
      <c r="AW161" s="117">
        <f>IFERROR(AVERAGE(Table110461117[[#This Row],[Column14]]),"0")</f>
        <v>3</v>
      </c>
      <c r="AX161" s="117"/>
      <c r="AY161" s="117">
        <f>IFERROR(AVERAGE(Table110461117[[#This Row],[Column34]],Table110461117[[#This Row],[Column16]],Table110461117[[#This Row],[Column7]]),"0")</f>
        <v>3</v>
      </c>
      <c r="AZ161" s="117">
        <f>IFERROR(AVERAGE(Table110461117[[#This Row],[Column35]],Table110461117[[#This Row],[Column17]],Table110461117[[#This Row],[Column8]]),"0")</f>
        <v>2.3333333333333335</v>
      </c>
      <c r="BA161" s="116"/>
      <c r="BB161" s="117"/>
      <c r="BC161" s="117">
        <f>IFERROR(AVERAGE('Book Review'!AY161,Debate!AY161,'Case study'!AY161,Capstone!AY161),"A")</f>
        <v>2.5</v>
      </c>
      <c r="BD161" s="117">
        <f>IFERROR(AVERAGE('Book Review'!AZ161,Debate!AZ161,'Case study'!AZ161),"A")</f>
        <v>1.6666666666666667</v>
      </c>
    </row>
    <row r="162" spans="1:56" s="109" customFormat="1" ht="23.1" customHeight="1" x14ac:dyDescent="0.3">
      <c r="A162" s="6">
        <v>160</v>
      </c>
      <c r="B162" s="7" t="s">
        <v>157</v>
      </c>
      <c r="C162" s="7" t="s">
        <v>158</v>
      </c>
      <c r="D162" s="7" t="s">
        <v>542</v>
      </c>
      <c r="E162" s="7" t="s">
        <v>35</v>
      </c>
      <c r="F162" s="118">
        <f>'Book Review'!K162</f>
        <v>2.5</v>
      </c>
      <c r="G162" s="118">
        <f>'Book Review'!Q162</f>
        <v>2.7</v>
      </c>
      <c r="H162" s="118">
        <f>'Book Review'!W162</f>
        <v>2.5</v>
      </c>
      <c r="I162" s="118"/>
      <c r="J162" s="118"/>
      <c r="K162" s="118">
        <f>'Book Review'!AO162</f>
        <v>2.75</v>
      </c>
      <c r="L162" s="118">
        <f>'Book Review'!AU162</f>
        <v>2.5</v>
      </c>
      <c r="M162" s="116"/>
      <c r="N162" s="118">
        <f>Debate!K162</f>
        <v>2.5</v>
      </c>
      <c r="O162" s="118">
        <f>Debate!Q162</f>
        <v>2.65</v>
      </c>
      <c r="P162" s="118"/>
      <c r="Q162" s="118">
        <f>Debate!AC162</f>
        <v>2.5</v>
      </c>
      <c r="R162" s="118"/>
      <c r="S162" s="118">
        <f>Debate!AO162</f>
        <v>2.6666666666666665</v>
      </c>
      <c r="T162" s="118">
        <f>Debate!AU162</f>
        <v>2.5</v>
      </c>
      <c r="U162" s="116"/>
      <c r="V162" s="7"/>
      <c r="W162" s="118">
        <f>GD!Q162</f>
        <v>2.625</v>
      </c>
      <c r="X162" s="118">
        <f>GD!W162</f>
        <v>3</v>
      </c>
      <c r="Y162" s="118"/>
      <c r="Z162" s="118"/>
      <c r="AA162" s="7"/>
      <c r="AB162" s="118"/>
      <c r="AC162" s="116"/>
      <c r="AD162" s="118">
        <f>'Case study'!K162</f>
        <v>2.625</v>
      </c>
      <c r="AE162" s="118">
        <f>'Case study'!Q162</f>
        <v>2.7</v>
      </c>
      <c r="AF162" s="118">
        <f>'Case study'!W162</f>
        <v>3</v>
      </c>
      <c r="AG162" s="118"/>
      <c r="AH162" s="118"/>
      <c r="AI162" s="118">
        <f>'Case study'!AO162</f>
        <v>2.75</v>
      </c>
      <c r="AJ162" s="118">
        <f>'Case study'!AU162</f>
        <v>3</v>
      </c>
      <c r="AK162" s="116"/>
      <c r="AL162" s="118">
        <f>Capstone!K162</f>
        <v>4</v>
      </c>
      <c r="AM162" s="118" t="str">
        <f>Capstone!Q163</f>
        <v>0</v>
      </c>
      <c r="AN162" s="118">
        <f>Capstone!W163</f>
        <v>3</v>
      </c>
      <c r="AO162" s="118"/>
      <c r="AP162" s="118"/>
      <c r="AQ162" s="118" t="str">
        <f>Capstone!AO163</f>
        <v>0</v>
      </c>
      <c r="AR162" s="118"/>
      <c r="AS162" s="116"/>
      <c r="AT162" s="118">
        <f>IFERROR(AVERAGE(Table110461117[[#This Row],[Column2]],Table110461117[[#This Row],[Column11]],Table110461117[[#This Row],[Column29]]),"0")</f>
        <v>2.5416666666666665</v>
      </c>
      <c r="AU162" s="118">
        <f>IFERROR(AVERAGE(Table110461117[[#This Row],[Column3]],Table110461117[[#This Row],[Column12]],Table110461117[[#This Row],[Column21]],Table110461117[[#This Row],[Column30]]),"0")</f>
        <v>2.6687500000000002</v>
      </c>
      <c r="AV162" s="118">
        <f>IFERROR(AVERAGE(Table110461117[[#This Row],[Column31]],Table110461117[[#This Row],[Column22]],Table110461117[[#This Row],[Column4]]),"0")</f>
        <v>2.8333333333333335</v>
      </c>
      <c r="AW162" s="118">
        <f>IFERROR(AVERAGE(Table110461117[[#This Row],[Column14]]),"0")</f>
        <v>2.5</v>
      </c>
      <c r="AX162" s="118"/>
      <c r="AY162" s="118">
        <f>IFERROR(AVERAGE(Table110461117[[#This Row],[Column34]],Table110461117[[#This Row],[Column16]],Table110461117[[#This Row],[Column7]]),"0")</f>
        <v>2.7222222222222219</v>
      </c>
      <c r="AZ162" s="118">
        <f>IFERROR(AVERAGE(Table110461117[[#This Row],[Column35]],Table110461117[[#This Row],[Column17]],Table110461117[[#This Row],[Column8]]),"0")</f>
        <v>2.6666666666666665</v>
      </c>
      <c r="BA162" s="116"/>
      <c r="BB162" s="118"/>
      <c r="BC162" s="118">
        <f>IFERROR(AVERAGE('Book Review'!AY162,Debate!AY162,'Case study'!AY162,Capstone!AY162),"A")</f>
        <v>2.5</v>
      </c>
      <c r="BD162" s="118">
        <f>IFERROR(AVERAGE('Book Review'!AZ162,Debate!AZ162,'Case study'!AZ162),"A")</f>
        <v>2.6666666666666665</v>
      </c>
    </row>
    <row r="163" spans="1:56" s="109" customFormat="1" ht="23.1" customHeight="1" x14ac:dyDescent="0.3">
      <c r="A163" s="115">
        <v>161</v>
      </c>
      <c r="B163" s="49" t="s">
        <v>389</v>
      </c>
      <c r="C163" s="49" t="s">
        <v>390</v>
      </c>
      <c r="D163" s="49" t="s">
        <v>450</v>
      </c>
      <c r="E163" s="49" t="s">
        <v>493</v>
      </c>
      <c r="F163" s="117">
        <f>'Book Review'!K163</f>
        <v>3</v>
      </c>
      <c r="G163" s="117">
        <f>'Book Review'!Q163</f>
        <v>3.6</v>
      </c>
      <c r="H163" s="117">
        <f>'Book Review'!W163</f>
        <v>3</v>
      </c>
      <c r="I163" s="117"/>
      <c r="J163" s="117"/>
      <c r="K163" s="117">
        <f>'Book Review'!AO163</f>
        <v>3</v>
      </c>
      <c r="L163" s="117">
        <f>'Book Review'!AU163</f>
        <v>3</v>
      </c>
      <c r="M163" s="116"/>
      <c r="N163" s="117">
        <f>Debate!K163</f>
        <v>3</v>
      </c>
      <c r="O163" s="117">
        <f>Debate!Q163</f>
        <v>3.1</v>
      </c>
      <c r="P163" s="117"/>
      <c r="Q163" s="117">
        <f>Debate!AC163</f>
        <v>3</v>
      </c>
      <c r="R163" s="117"/>
      <c r="S163" s="117">
        <f>Debate!AO163</f>
        <v>3.6666666666666665</v>
      </c>
      <c r="T163" s="117">
        <f>Debate!AU163</f>
        <v>3</v>
      </c>
      <c r="U163" s="116"/>
      <c r="V163" s="49"/>
      <c r="W163" s="117">
        <f>GD!Q163</f>
        <v>3.25</v>
      </c>
      <c r="X163" s="117">
        <f>GD!W163</f>
        <v>3</v>
      </c>
      <c r="Y163" s="117"/>
      <c r="Z163" s="117"/>
      <c r="AA163" s="49"/>
      <c r="AB163" s="117"/>
      <c r="AC163" s="116"/>
      <c r="AD163" s="117">
        <f>'Case study'!K163</f>
        <v>3</v>
      </c>
      <c r="AE163" s="117">
        <f>'Case study'!Q163</f>
        <v>3.6</v>
      </c>
      <c r="AF163" s="117">
        <f>'Case study'!W163</f>
        <v>3</v>
      </c>
      <c r="AG163" s="117"/>
      <c r="AH163" s="117"/>
      <c r="AI163" s="117">
        <f>'Case study'!AO163</f>
        <v>3.25</v>
      </c>
      <c r="AJ163" s="117">
        <f>'Case study'!AU163</f>
        <v>3</v>
      </c>
      <c r="AK163" s="116"/>
      <c r="AL163" s="117" t="str">
        <f>Capstone!K163</f>
        <v>0</v>
      </c>
      <c r="AM163" s="117">
        <f>Capstone!Q164</f>
        <v>3.5</v>
      </c>
      <c r="AN163" s="117">
        <f>Capstone!W164</f>
        <v>2</v>
      </c>
      <c r="AO163" s="117"/>
      <c r="AP163" s="117"/>
      <c r="AQ163" s="117">
        <f>Capstone!AO164</f>
        <v>4</v>
      </c>
      <c r="AR163" s="117"/>
      <c r="AS163" s="116"/>
      <c r="AT163" s="117">
        <f>IFERROR(AVERAGE(Table110461117[[#This Row],[Column2]],Table110461117[[#This Row],[Column11]],Table110461117[[#This Row],[Column29]]),"0")</f>
        <v>3</v>
      </c>
      <c r="AU163" s="117">
        <f>IFERROR(AVERAGE(Table110461117[[#This Row],[Column3]],Table110461117[[#This Row],[Column12]],Table110461117[[#This Row],[Column21]],Table110461117[[#This Row],[Column30]]),"0")</f>
        <v>3.3874999999999997</v>
      </c>
      <c r="AV163" s="117">
        <f>IFERROR(AVERAGE(Table110461117[[#This Row],[Column31]],Table110461117[[#This Row],[Column22]],Table110461117[[#This Row],[Column4]]),"0")</f>
        <v>3</v>
      </c>
      <c r="AW163" s="117">
        <f>IFERROR(AVERAGE(Table110461117[[#This Row],[Column14]]),"0")</f>
        <v>3</v>
      </c>
      <c r="AX163" s="117"/>
      <c r="AY163" s="117">
        <f>IFERROR(AVERAGE(Table110461117[[#This Row],[Column34]],Table110461117[[#This Row],[Column16]],Table110461117[[#This Row],[Column7]]),"0")</f>
        <v>3.3055555555555554</v>
      </c>
      <c r="AZ163" s="117">
        <f>IFERROR(AVERAGE(Table110461117[[#This Row],[Column35]],Table110461117[[#This Row],[Column17]],Table110461117[[#This Row],[Column8]]),"0")</f>
        <v>3</v>
      </c>
      <c r="BA163" s="116"/>
      <c r="BB163" s="117"/>
      <c r="BC163" s="117">
        <f>IFERROR(AVERAGE('Book Review'!AY163,Debate!AY163,'Case study'!AY163,Capstone!AY163),"A")</f>
        <v>3.6666666666666665</v>
      </c>
      <c r="BD163" s="117">
        <f>IFERROR(AVERAGE('Book Review'!AZ163,Debate!AZ163,'Case study'!AZ163),"A")</f>
        <v>3.3333333333333335</v>
      </c>
    </row>
    <row r="164" spans="1:56" s="109" customFormat="1" ht="23.1" customHeight="1" x14ac:dyDescent="0.3">
      <c r="A164" s="6">
        <v>162</v>
      </c>
      <c r="B164" s="7" t="s">
        <v>391</v>
      </c>
      <c r="C164" s="7" t="s">
        <v>392</v>
      </c>
      <c r="D164" s="7" t="s">
        <v>450</v>
      </c>
      <c r="E164" s="7" t="s">
        <v>493</v>
      </c>
      <c r="F164" s="118">
        <f>'Book Review'!K164</f>
        <v>1</v>
      </c>
      <c r="G164" s="118">
        <f>'Book Review'!Q164</f>
        <v>1.6</v>
      </c>
      <c r="H164" s="118">
        <f>'Book Review'!W164</f>
        <v>1</v>
      </c>
      <c r="I164" s="118"/>
      <c r="J164" s="118"/>
      <c r="K164" s="118">
        <f>'Book Review'!AO164</f>
        <v>1</v>
      </c>
      <c r="L164" s="118">
        <f>'Book Review'!AU164</f>
        <v>1</v>
      </c>
      <c r="M164" s="116"/>
      <c r="N164" s="118">
        <f>Debate!K164</f>
        <v>2</v>
      </c>
      <c r="O164" s="118">
        <f>Debate!Q164</f>
        <v>2.2000000000000002</v>
      </c>
      <c r="P164" s="118"/>
      <c r="Q164" s="118">
        <f>Debate!AC164</f>
        <v>3</v>
      </c>
      <c r="R164" s="118"/>
      <c r="S164" s="118">
        <f>Debate!AO164</f>
        <v>2.6666666666666665</v>
      </c>
      <c r="T164" s="118">
        <f>Debate!AU164</f>
        <v>3</v>
      </c>
      <c r="U164" s="116"/>
      <c r="V164" s="7"/>
      <c r="W164" s="118">
        <f>GD!Q164</f>
        <v>2.25</v>
      </c>
      <c r="X164" s="118">
        <f>GD!W164</f>
        <v>2</v>
      </c>
      <c r="Y164" s="118"/>
      <c r="Z164" s="118"/>
      <c r="AA164" s="7"/>
      <c r="AB164" s="118"/>
      <c r="AC164" s="116"/>
      <c r="AD164" s="118">
        <f>'Case study'!K164</f>
        <v>2.25</v>
      </c>
      <c r="AE164" s="118">
        <f>'Case study'!Q164</f>
        <v>2.4</v>
      </c>
      <c r="AF164" s="118">
        <f>'Case study'!W164</f>
        <v>2</v>
      </c>
      <c r="AG164" s="118"/>
      <c r="AH164" s="118"/>
      <c r="AI164" s="118">
        <f>'Case study'!AO164</f>
        <v>2.25</v>
      </c>
      <c r="AJ164" s="118">
        <f>'Case study'!AU164</f>
        <v>3</v>
      </c>
      <c r="AK164" s="116"/>
      <c r="AL164" s="118">
        <f>Capstone!K164</f>
        <v>4</v>
      </c>
      <c r="AM164" s="118">
        <f>Capstone!Q165</f>
        <v>3</v>
      </c>
      <c r="AN164" s="118">
        <f>Capstone!W165</f>
        <v>3</v>
      </c>
      <c r="AO164" s="118"/>
      <c r="AP164" s="118"/>
      <c r="AQ164" s="118">
        <f>Capstone!AO165</f>
        <v>3.5</v>
      </c>
      <c r="AR164" s="118"/>
      <c r="AS164" s="116"/>
      <c r="AT164" s="118">
        <f>IFERROR(AVERAGE(Table110461117[[#This Row],[Column2]],Table110461117[[#This Row],[Column11]],Table110461117[[#This Row],[Column29]]),"0")</f>
        <v>1.75</v>
      </c>
      <c r="AU164" s="118">
        <f>IFERROR(AVERAGE(Table110461117[[#This Row],[Column3]],Table110461117[[#This Row],[Column12]],Table110461117[[#This Row],[Column21]],Table110461117[[#This Row],[Column30]]),"0")</f>
        <v>2.1125000000000003</v>
      </c>
      <c r="AV164" s="118">
        <f>IFERROR(AVERAGE(Table110461117[[#This Row],[Column31]],Table110461117[[#This Row],[Column22]],Table110461117[[#This Row],[Column4]]),"0")</f>
        <v>1.6666666666666667</v>
      </c>
      <c r="AW164" s="118">
        <f>IFERROR(AVERAGE(Table110461117[[#This Row],[Column14]]),"0")</f>
        <v>3</v>
      </c>
      <c r="AX164" s="118"/>
      <c r="AY164" s="118">
        <f>IFERROR(AVERAGE(Table110461117[[#This Row],[Column34]],Table110461117[[#This Row],[Column16]],Table110461117[[#This Row],[Column7]]),"0")</f>
        <v>1.9722222222222221</v>
      </c>
      <c r="AZ164" s="118">
        <f>IFERROR(AVERAGE(Table110461117[[#This Row],[Column35]],Table110461117[[#This Row],[Column17]],Table110461117[[#This Row],[Column8]]),"0")</f>
        <v>2.3333333333333335</v>
      </c>
      <c r="BA164" s="116"/>
      <c r="BB164" s="118"/>
      <c r="BC164" s="118">
        <f>IFERROR(AVERAGE('Book Review'!AY164,Debate!AY164,'Case study'!AY164,Capstone!AY164),"A")</f>
        <v>2.25</v>
      </c>
      <c r="BD164" s="118">
        <f>IFERROR(AVERAGE('Book Review'!AZ164,Debate!AZ164,'Case study'!AZ164),"A")</f>
        <v>2</v>
      </c>
    </row>
    <row r="165" spans="1:56" s="109" customFormat="1" ht="23.1" customHeight="1" x14ac:dyDescent="0.3">
      <c r="A165" s="115">
        <v>163</v>
      </c>
      <c r="B165" s="49" t="s">
        <v>221</v>
      </c>
      <c r="C165" s="49" t="s">
        <v>222</v>
      </c>
      <c r="D165" s="49" t="s">
        <v>450</v>
      </c>
      <c r="E165" s="49" t="s">
        <v>161</v>
      </c>
      <c r="F165" s="117">
        <f>'Book Review'!K165</f>
        <v>3</v>
      </c>
      <c r="G165" s="117">
        <f>'Book Review'!Q165</f>
        <v>3</v>
      </c>
      <c r="H165" s="117">
        <f>'Book Review'!W165</f>
        <v>3</v>
      </c>
      <c r="I165" s="117"/>
      <c r="J165" s="117"/>
      <c r="K165" s="117">
        <f>'Book Review'!AO165</f>
        <v>3</v>
      </c>
      <c r="L165" s="117">
        <f>'Book Review'!AU165</f>
        <v>3</v>
      </c>
      <c r="M165" s="116"/>
      <c r="N165" s="117">
        <f>Debate!K165</f>
        <v>3</v>
      </c>
      <c r="O165" s="117">
        <f>Debate!Q165</f>
        <v>3</v>
      </c>
      <c r="P165" s="117"/>
      <c r="Q165" s="117">
        <f>Debate!AC165</f>
        <v>3</v>
      </c>
      <c r="R165" s="117"/>
      <c r="S165" s="117">
        <f>Debate!AO165</f>
        <v>3</v>
      </c>
      <c r="T165" s="117">
        <f>Debate!AU165</f>
        <v>3</v>
      </c>
      <c r="U165" s="116"/>
      <c r="V165" s="49"/>
      <c r="W165" s="117">
        <f>GD!Q165</f>
        <v>3</v>
      </c>
      <c r="X165" s="117">
        <f>GD!W165</f>
        <v>3</v>
      </c>
      <c r="Y165" s="117"/>
      <c r="Z165" s="117"/>
      <c r="AA165" s="49"/>
      <c r="AB165" s="117"/>
      <c r="AC165" s="116"/>
      <c r="AD165" s="117">
        <f>'Case study'!K165</f>
        <v>3</v>
      </c>
      <c r="AE165" s="117">
        <f>'Case study'!Q165</f>
        <v>3</v>
      </c>
      <c r="AF165" s="117">
        <f>'Case study'!W165</f>
        <v>3</v>
      </c>
      <c r="AG165" s="117"/>
      <c r="AH165" s="117"/>
      <c r="AI165" s="117">
        <f>'Case study'!AO165</f>
        <v>3</v>
      </c>
      <c r="AJ165" s="117">
        <f>'Case study'!AU165</f>
        <v>3</v>
      </c>
      <c r="AK165" s="116"/>
      <c r="AL165" s="117">
        <f>Capstone!K165</f>
        <v>3</v>
      </c>
      <c r="AM165" s="117">
        <f>Capstone!Q166</f>
        <v>3</v>
      </c>
      <c r="AN165" s="117">
        <f>Capstone!W166</f>
        <v>3</v>
      </c>
      <c r="AO165" s="117"/>
      <c r="AP165" s="117"/>
      <c r="AQ165" s="117">
        <f>Capstone!AO166</f>
        <v>2.125</v>
      </c>
      <c r="AR165" s="117"/>
      <c r="AS165" s="116"/>
      <c r="AT165" s="117">
        <f>IFERROR(AVERAGE(Table110461117[[#This Row],[Column2]],Table110461117[[#This Row],[Column11]],Table110461117[[#This Row],[Column29]]),"0")</f>
        <v>3</v>
      </c>
      <c r="AU165" s="117">
        <f>IFERROR(AVERAGE(Table110461117[[#This Row],[Column3]],Table110461117[[#This Row],[Column12]],Table110461117[[#This Row],[Column21]],Table110461117[[#This Row],[Column30]]),"0")</f>
        <v>3</v>
      </c>
      <c r="AV165" s="117">
        <f>IFERROR(AVERAGE(Table110461117[[#This Row],[Column31]],Table110461117[[#This Row],[Column22]],Table110461117[[#This Row],[Column4]]),"0")</f>
        <v>3</v>
      </c>
      <c r="AW165" s="117">
        <f>IFERROR(AVERAGE(Table110461117[[#This Row],[Column14]]),"0")</f>
        <v>3</v>
      </c>
      <c r="AX165" s="117"/>
      <c r="AY165" s="117">
        <f>IFERROR(AVERAGE(Table110461117[[#This Row],[Column34]],Table110461117[[#This Row],[Column16]],Table110461117[[#This Row],[Column7]]),"0")</f>
        <v>3</v>
      </c>
      <c r="AZ165" s="117">
        <f>IFERROR(AVERAGE(Table110461117[[#This Row],[Column35]],Table110461117[[#This Row],[Column17]],Table110461117[[#This Row],[Column8]]),"0")</f>
        <v>3</v>
      </c>
      <c r="BA165" s="116"/>
      <c r="BB165" s="117"/>
      <c r="BC165" s="117">
        <f>IFERROR(AVERAGE('Book Review'!AY165,Debate!AY165,'Case study'!AY165,Capstone!AY165),"A")</f>
        <v>3</v>
      </c>
      <c r="BD165" s="117">
        <f>IFERROR(AVERAGE('Book Review'!AZ165,Debate!AZ165,'Case study'!AZ165),"A")</f>
        <v>2.3333333333333335</v>
      </c>
    </row>
    <row r="166" spans="1:56" s="109" customFormat="1" ht="23.1" customHeight="1" x14ac:dyDescent="0.3">
      <c r="A166" s="6">
        <v>164</v>
      </c>
      <c r="B166" s="7" t="s">
        <v>207</v>
      </c>
      <c r="C166" s="7" t="s">
        <v>208</v>
      </c>
      <c r="D166" s="7" t="s">
        <v>542</v>
      </c>
      <c r="E166" s="7" t="s">
        <v>161</v>
      </c>
      <c r="F166" s="118">
        <f>'Book Review'!K166</f>
        <v>3.25</v>
      </c>
      <c r="G166" s="118">
        <f>'Book Review'!Q166</f>
        <v>3.2</v>
      </c>
      <c r="H166" s="118">
        <f>'Book Review'!W166</f>
        <v>3</v>
      </c>
      <c r="I166" s="118"/>
      <c r="J166" s="118"/>
      <c r="K166" s="118">
        <f>'Book Review'!AO166</f>
        <v>3</v>
      </c>
      <c r="L166" s="118">
        <f>'Book Review'!AU166</f>
        <v>3</v>
      </c>
      <c r="M166" s="116"/>
      <c r="N166" s="118">
        <f>Debate!K166</f>
        <v>3</v>
      </c>
      <c r="O166" s="118">
        <f>Debate!Q166</f>
        <v>3.3</v>
      </c>
      <c r="P166" s="118"/>
      <c r="Q166" s="118">
        <f>Debate!AC166</f>
        <v>3</v>
      </c>
      <c r="R166" s="118"/>
      <c r="S166" s="118">
        <f>Debate!AO166</f>
        <v>3</v>
      </c>
      <c r="T166" s="118">
        <f>Debate!AU166</f>
        <v>3</v>
      </c>
      <c r="U166" s="116"/>
      <c r="V166" s="7"/>
      <c r="W166" s="118">
        <f>GD!Q166</f>
        <v>3</v>
      </c>
      <c r="X166" s="118">
        <f>GD!W166</f>
        <v>4</v>
      </c>
      <c r="Y166" s="118"/>
      <c r="Z166" s="118"/>
      <c r="AA166" s="7"/>
      <c r="AB166" s="118"/>
      <c r="AC166" s="116"/>
      <c r="AD166" s="118">
        <f>'Case study'!K166</f>
        <v>3.25</v>
      </c>
      <c r="AE166" s="118">
        <f>'Case study'!Q166</f>
        <v>3.2</v>
      </c>
      <c r="AF166" s="118">
        <f>'Case study'!W166</f>
        <v>3</v>
      </c>
      <c r="AG166" s="118"/>
      <c r="AH166" s="118"/>
      <c r="AI166" s="118">
        <f>'Case study'!AO166</f>
        <v>3</v>
      </c>
      <c r="AJ166" s="118">
        <f>'Case study'!AU166</f>
        <v>3</v>
      </c>
      <c r="AK166" s="116"/>
      <c r="AL166" s="118">
        <f>Capstone!K166</f>
        <v>2.1666666666666665</v>
      </c>
      <c r="AM166" s="118">
        <f>Capstone!Q167</f>
        <v>2.5</v>
      </c>
      <c r="AN166" s="118">
        <f>Capstone!W167</f>
        <v>3</v>
      </c>
      <c r="AO166" s="118"/>
      <c r="AP166" s="118"/>
      <c r="AQ166" s="118">
        <f>Capstone!AO167</f>
        <v>3.25</v>
      </c>
      <c r="AR166" s="118"/>
      <c r="AS166" s="116"/>
      <c r="AT166" s="118">
        <f>IFERROR(AVERAGE(Table110461117[[#This Row],[Column2]],Table110461117[[#This Row],[Column11]],Table110461117[[#This Row],[Column29]]),"0")</f>
        <v>3.1666666666666665</v>
      </c>
      <c r="AU166" s="118">
        <f>IFERROR(AVERAGE(Table110461117[[#This Row],[Column3]],Table110461117[[#This Row],[Column12]],Table110461117[[#This Row],[Column21]],Table110461117[[#This Row],[Column30]]),"0")</f>
        <v>3.1749999999999998</v>
      </c>
      <c r="AV166" s="118">
        <f>IFERROR(AVERAGE(Table110461117[[#This Row],[Column31]],Table110461117[[#This Row],[Column22]],Table110461117[[#This Row],[Column4]]),"0")</f>
        <v>3.3333333333333335</v>
      </c>
      <c r="AW166" s="118">
        <f>IFERROR(AVERAGE(Table110461117[[#This Row],[Column14]]),"0")</f>
        <v>3</v>
      </c>
      <c r="AX166" s="118"/>
      <c r="AY166" s="118">
        <f>IFERROR(AVERAGE(Table110461117[[#This Row],[Column34]],Table110461117[[#This Row],[Column16]],Table110461117[[#This Row],[Column7]]),"0")</f>
        <v>3</v>
      </c>
      <c r="AZ166" s="118">
        <f>IFERROR(AVERAGE(Table110461117[[#This Row],[Column35]],Table110461117[[#This Row],[Column17]],Table110461117[[#This Row],[Column8]]),"0")</f>
        <v>3</v>
      </c>
      <c r="BA166" s="116"/>
      <c r="BB166" s="118"/>
      <c r="BC166" s="118">
        <f>IFERROR(AVERAGE('Book Review'!AY166,Debate!AY166,'Case study'!AY166,Capstone!AY166),"A")</f>
        <v>2.625</v>
      </c>
      <c r="BD166" s="118">
        <f>IFERROR(AVERAGE('Book Review'!AZ166,Debate!AZ166,'Case study'!AZ166),"A")</f>
        <v>2.3333333333333335</v>
      </c>
    </row>
    <row r="167" spans="1:56" s="109" customFormat="1" ht="23.1" customHeight="1" x14ac:dyDescent="0.3">
      <c r="A167" s="115">
        <v>165</v>
      </c>
      <c r="B167" s="49" t="s">
        <v>48</v>
      </c>
      <c r="C167" s="49" t="s">
        <v>49</v>
      </c>
      <c r="D167" s="49" t="s">
        <v>450</v>
      </c>
      <c r="E167" s="49" t="s">
        <v>35</v>
      </c>
      <c r="F167" s="117">
        <f>'Book Review'!K167</f>
        <v>2.625</v>
      </c>
      <c r="G167" s="117">
        <f>'Book Review'!Q167</f>
        <v>2.6</v>
      </c>
      <c r="H167" s="117">
        <f>'Book Review'!W167</f>
        <v>2.5</v>
      </c>
      <c r="I167" s="117"/>
      <c r="J167" s="117"/>
      <c r="K167" s="117">
        <f>'Book Review'!AO167</f>
        <v>2.75</v>
      </c>
      <c r="L167" s="117">
        <f>'Book Review'!AU167</f>
        <v>2.5</v>
      </c>
      <c r="M167" s="116"/>
      <c r="N167" s="117">
        <f>Debate!K167</f>
        <v>3</v>
      </c>
      <c r="O167" s="117">
        <f>Debate!Q167</f>
        <v>2.75</v>
      </c>
      <c r="P167" s="117"/>
      <c r="Q167" s="117">
        <f>Debate!AC167</f>
        <v>2.5</v>
      </c>
      <c r="R167" s="117"/>
      <c r="S167" s="117">
        <f>Debate!AO167</f>
        <v>2.5</v>
      </c>
      <c r="T167" s="117">
        <f>Debate!AU167</f>
        <v>2.5</v>
      </c>
      <c r="U167" s="116"/>
      <c r="V167" s="49"/>
      <c r="W167" s="117">
        <f>GD!Q167</f>
        <v>2.75</v>
      </c>
      <c r="X167" s="117">
        <f>GD!W167</f>
        <v>2.5</v>
      </c>
      <c r="Y167" s="117"/>
      <c r="Z167" s="117"/>
      <c r="AA167" s="49"/>
      <c r="AB167" s="117"/>
      <c r="AC167" s="116"/>
      <c r="AD167" s="117">
        <f>'Case study'!K167</f>
        <v>2.625</v>
      </c>
      <c r="AE167" s="117">
        <f>'Case study'!Q167</f>
        <v>2.6</v>
      </c>
      <c r="AF167" s="117">
        <f>'Case study'!W167</f>
        <v>3</v>
      </c>
      <c r="AG167" s="117"/>
      <c r="AH167" s="117"/>
      <c r="AI167" s="117">
        <f>'Case study'!AO167</f>
        <v>2.625</v>
      </c>
      <c r="AJ167" s="117">
        <f>'Case study'!AU167</f>
        <v>2.5</v>
      </c>
      <c r="AK167" s="116"/>
      <c r="AL167" s="117">
        <f>Capstone!K167</f>
        <v>3</v>
      </c>
      <c r="AM167" s="117">
        <f>Capstone!Q168</f>
        <v>3.5</v>
      </c>
      <c r="AN167" s="117">
        <f>Capstone!W168</f>
        <v>3</v>
      </c>
      <c r="AO167" s="117"/>
      <c r="AP167" s="117"/>
      <c r="AQ167" s="117">
        <f>Capstone!AO168</f>
        <v>3.5</v>
      </c>
      <c r="AR167" s="117"/>
      <c r="AS167" s="116"/>
      <c r="AT167" s="117">
        <f>IFERROR(AVERAGE(Table110461117[[#This Row],[Column2]],Table110461117[[#This Row],[Column11]],Table110461117[[#This Row],[Column29]]),"0")</f>
        <v>2.75</v>
      </c>
      <c r="AU167" s="117">
        <f>IFERROR(AVERAGE(Table110461117[[#This Row],[Column3]],Table110461117[[#This Row],[Column12]],Table110461117[[#This Row],[Column21]],Table110461117[[#This Row],[Column30]]),"0")</f>
        <v>2.6749999999999998</v>
      </c>
      <c r="AV167" s="117">
        <f>IFERROR(AVERAGE(Table110461117[[#This Row],[Column31]],Table110461117[[#This Row],[Column22]],Table110461117[[#This Row],[Column4]]),"0")</f>
        <v>2.6666666666666665</v>
      </c>
      <c r="AW167" s="117">
        <f>IFERROR(AVERAGE(Table110461117[[#This Row],[Column14]]),"0")</f>
        <v>2.5</v>
      </c>
      <c r="AX167" s="117"/>
      <c r="AY167" s="117">
        <f>IFERROR(AVERAGE(Table110461117[[#This Row],[Column34]],Table110461117[[#This Row],[Column16]],Table110461117[[#This Row],[Column7]]),"0")</f>
        <v>2.625</v>
      </c>
      <c r="AZ167" s="117">
        <f>IFERROR(AVERAGE(Table110461117[[#This Row],[Column35]],Table110461117[[#This Row],[Column17]],Table110461117[[#This Row],[Column8]]),"0")</f>
        <v>2.5</v>
      </c>
      <c r="BA167" s="116"/>
      <c r="BB167" s="117"/>
      <c r="BC167" s="117">
        <f>IFERROR(AVERAGE('Book Review'!AY167,Debate!AY167,'Case study'!AY167,Capstone!AY167),"A")</f>
        <v>2.875</v>
      </c>
      <c r="BD167" s="117">
        <f>IFERROR(AVERAGE('Book Review'!AZ167,Debate!AZ167,'Case study'!AZ167),"A")</f>
        <v>2.6666666666666665</v>
      </c>
    </row>
    <row r="168" spans="1:56" s="109" customFormat="1" ht="23.1" customHeight="1" x14ac:dyDescent="0.3">
      <c r="A168" s="6">
        <v>166</v>
      </c>
      <c r="B168" s="7" t="s">
        <v>159</v>
      </c>
      <c r="C168" s="7" t="s">
        <v>160</v>
      </c>
      <c r="D168" s="7" t="s">
        <v>450</v>
      </c>
      <c r="E168" s="7" t="s">
        <v>35</v>
      </c>
      <c r="F168" s="118">
        <f>'Book Review'!K168</f>
        <v>2.25</v>
      </c>
      <c r="G168" s="118">
        <f>'Book Review'!Q168</f>
        <v>2.6</v>
      </c>
      <c r="H168" s="118">
        <f>'Book Review'!W168</f>
        <v>3</v>
      </c>
      <c r="I168" s="118"/>
      <c r="J168" s="118"/>
      <c r="K168" s="118">
        <f>'Book Review'!AO168</f>
        <v>2</v>
      </c>
      <c r="L168" s="118">
        <f>'Book Review'!AU168</f>
        <v>2</v>
      </c>
      <c r="M168" s="116"/>
      <c r="N168" s="118">
        <f>Debate!K168</f>
        <v>2</v>
      </c>
      <c r="O168" s="118">
        <f>Debate!Q168</f>
        <v>2.8</v>
      </c>
      <c r="P168" s="118"/>
      <c r="Q168" s="118">
        <f>Debate!AC168</f>
        <v>2</v>
      </c>
      <c r="R168" s="118"/>
      <c r="S168" s="118">
        <f>Debate!AO168</f>
        <v>2.3333333333333335</v>
      </c>
      <c r="T168" s="118">
        <f>Debate!AU168</f>
        <v>2</v>
      </c>
      <c r="U168" s="116"/>
      <c r="V168" s="7"/>
      <c r="W168" s="118">
        <f>GD!Q168</f>
        <v>2.5</v>
      </c>
      <c r="X168" s="118">
        <f>GD!W168</f>
        <v>3</v>
      </c>
      <c r="Y168" s="118"/>
      <c r="Z168" s="118"/>
      <c r="AA168" s="7"/>
      <c r="AB168" s="118"/>
      <c r="AC168" s="116"/>
      <c r="AD168" s="118">
        <f>'Case study'!K168</f>
        <v>2.25</v>
      </c>
      <c r="AE168" s="118">
        <f>'Case study'!Q168</f>
        <v>2.6</v>
      </c>
      <c r="AF168" s="118">
        <f>'Case study'!W168</f>
        <v>3</v>
      </c>
      <c r="AG168" s="118"/>
      <c r="AH168" s="118"/>
      <c r="AI168" s="118">
        <f>'Case study'!AO168</f>
        <v>2</v>
      </c>
      <c r="AJ168" s="118">
        <f>'Case study'!AU168</f>
        <v>3</v>
      </c>
      <c r="AK168" s="116"/>
      <c r="AL168" s="118">
        <f>Capstone!K168</f>
        <v>3.6666666666666665</v>
      </c>
      <c r="AM168" s="118">
        <f>Capstone!Q169</f>
        <v>3.5</v>
      </c>
      <c r="AN168" s="118">
        <f>Capstone!W169</f>
        <v>2</v>
      </c>
      <c r="AO168" s="118"/>
      <c r="AP168" s="118"/>
      <c r="AQ168" s="118">
        <f>Capstone!AO169</f>
        <v>4.5</v>
      </c>
      <c r="AR168" s="118"/>
      <c r="AS168" s="116"/>
      <c r="AT168" s="118">
        <f>IFERROR(AVERAGE(Table110461117[[#This Row],[Column2]],Table110461117[[#This Row],[Column11]],Table110461117[[#This Row],[Column29]]),"0")</f>
        <v>2.1666666666666665</v>
      </c>
      <c r="AU168" s="118">
        <f>IFERROR(AVERAGE(Table110461117[[#This Row],[Column3]],Table110461117[[#This Row],[Column12]],Table110461117[[#This Row],[Column21]],Table110461117[[#This Row],[Column30]]),"0")</f>
        <v>2.625</v>
      </c>
      <c r="AV168" s="118">
        <f>IFERROR(AVERAGE(Table110461117[[#This Row],[Column31]],Table110461117[[#This Row],[Column22]],Table110461117[[#This Row],[Column4]]),"0")</f>
        <v>3</v>
      </c>
      <c r="AW168" s="118">
        <f>IFERROR(AVERAGE(Table110461117[[#This Row],[Column14]]),"0")</f>
        <v>2</v>
      </c>
      <c r="AX168" s="118"/>
      <c r="AY168" s="118">
        <f>IFERROR(AVERAGE(Table110461117[[#This Row],[Column34]],Table110461117[[#This Row],[Column16]],Table110461117[[#This Row],[Column7]]),"0")</f>
        <v>2.1111111111111112</v>
      </c>
      <c r="AZ168" s="118">
        <f>IFERROR(AVERAGE(Table110461117[[#This Row],[Column35]],Table110461117[[#This Row],[Column17]],Table110461117[[#This Row],[Column8]]),"0")</f>
        <v>2.3333333333333335</v>
      </c>
      <c r="BA168" s="116"/>
      <c r="BB168" s="118"/>
      <c r="BC168" s="118">
        <f>IFERROR(AVERAGE('Book Review'!AY168,Debate!AY168,'Case study'!AY168,Capstone!AY168),"A")</f>
        <v>3.25</v>
      </c>
      <c r="BD168" s="118">
        <f>IFERROR(AVERAGE('Book Review'!AZ168,Debate!AZ168,'Case study'!AZ168),"A")</f>
        <v>4</v>
      </c>
    </row>
    <row r="169" spans="1:56" s="109" customFormat="1" ht="23.1" customHeight="1" x14ac:dyDescent="0.3">
      <c r="A169" s="115">
        <v>167</v>
      </c>
      <c r="B169" s="49" t="s">
        <v>192</v>
      </c>
      <c r="C169" s="49" t="s">
        <v>193</v>
      </c>
      <c r="D169" s="49" t="s">
        <v>450</v>
      </c>
      <c r="E169" s="49" t="s">
        <v>161</v>
      </c>
      <c r="F169" s="117">
        <f>'Book Review'!K169</f>
        <v>2.5</v>
      </c>
      <c r="G169" s="117">
        <f>'Book Review'!Q169</f>
        <v>2.8</v>
      </c>
      <c r="H169" s="117">
        <f>'Book Review'!W169</f>
        <v>2</v>
      </c>
      <c r="I169" s="117"/>
      <c r="J169" s="117"/>
      <c r="K169" s="117">
        <f>'Book Review'!AO169</f>
        <v>2</v>
      </c>
      <c r="L169" s="117">
        <f>'Book Review'!AU169</f>
        <v>3</v>
      </c>
      <c r="M169" s="116"/>
      <c r="N169" s="117">
        <f>Debate!K169</f>
        <v>3</v>
      </c>
      <c r="O169" s="117">
        <f>Debate!Q169</f>
        <v>2.5</v>
      </c>
      <c r="P169" s="117"/>
      <c r="Q169" s="117">
        <f>Debate!AC169</f>
        <v>4</v>
      </c>
      <c r="R169" s="117"/>
      <c r="S169" s="117">
        <f>Debate!AO169</f>
        <v>3</v>
      </c>
      <c r="T169" s="117">
        <f>Debate!AU169</f>
        <v>3</v>
      </c>
      <c r="U169" s="116"/>
      <c r="V169" s="49"/>
      <c r="W169" s="117">
        <f>GD!Q169</f>
        <v>2.5</v>
      </c>
      <c r="X169" s="117">
        <f>GD!W169</f>
        <v>2</v>
      </c>
      <c r="Y169" s="117"/>
      <c r="Z169" s="117"/>
      <c r="AA169" s="49"/>
      <c r="AB169" s="117"/>
      <c r="AC169" s="116"/>
      <c r="AD169" s="117">
        <f>'Case study'!K169</f>
        <v>2.75</v>
      </c>
      <c r="AE169" s="117">
        <f>'Case study'!Q169</f>
        <v>3.4</v>
      </c>
      <c r="AF169" s="117">
        <f>'Case study'!W169</f>
        <v>2</v>
      </c>
      <c r="AG169" s="117"/>
      <c r="AH169" s="117"/>
      <c r="AI169" s="117">
        <f>'Case study'!AO169</f>
        <v>2.25</v>
      </c>
      <c r="AJ169" s="117">
        <f>'Case study'!AU169</f>
        <v>3</v>
      </c>
      <c r="AK169" s="116"/>
      <c r="AL169" s="117">
        <f>Capstone!K169</f>
        <v>4</v>
      </c>
      <c r="AM169" s="117">
        <f>Capstone!Q170</f>
        <v>4.5</v>
      </c>
      <c r="AN169" s="117">
        <f>Capstone!W170</f>
        <v>3</v>
      </c>
      <c r="AO169" s="117"/>
      <c r="AP169" s="117"/>
      <c r="AQ169" s="117">
        <f>Capstone!AO170</f>
        <v>4.25</v>
      </c>
      <c r="AR169" s="117"/>
      <c r="AS169" s="116"/>
      <c r="AT169" s="117">
        <f>IFERROR(AVERAGE(Table110461117[[#This Row],[Column2]],Table110461117[[#This Row],[Column11]],Table110461117[[#This Row],[Column29]]),"0")</f>
        <v>2.75</v>
      </c>
      <c r="AU169" s="117">
        <f>IFERROR(AVERAGE(Table110461117[[#This Row],[Column3]],Table110461117[[#This Row],[Column12]],Table110461117[[#This Row],[Column21]],Table110461117[[#This Row],[Column30]]),"0")</f>
        <v>2.8</v>
      </c>
      <c r="AV169" s="117">
        <f>IFERROR(AVERAGE(Table110461117[[#This Row],[Column31]],Table110461117[[#This Row],[Column22]],Table110461117[[#This Row],[Column4]]),"0")</f>
        <v>2</v>
      </c>
      <c r="AW169" s="117">
        <f>IFERROR(AVERAGE(Table110461117[[#This Row],[Column14]]),"0")</f>
        <v>4</v>
      </c>
      <c r="AX169" s="117"/>
      <c r="AY169" s="117">
        <f>IFERROR(AVERAGE(Table110461117[[#This Row],[Column34]],Table110461117[[#This Row],[Column16]],Table110461117[[#This Row],[Column7]]),"0")</f>
        <v>2.4166666666666665</v>
      </c>
      <c r="AZ169" s="117">
        <f>IFERROR(AVERAGE(Table110461117[[#This Row],[Column35]],Table110461117[[#This Row],[Column17]],Table110461117[[#This Row],[Column8]]),"0")</f>
        <v>3</v>
      </c>
      <c r="BA169" s="116"/>
      <c r="BB169" s="117"/>
      <c r="BC169" s="117">
        <f>IFERROR(AVERAGE('Book Review'!AY169,Debate!AY169,'Case study'!AY169,Capstone!AY169),"A")</f>
        <v>3</v>
      </c>
      <c r="BD169" s="117">
        <f>IFERROR(AVERAGE('Book Review'!AZ169,Debate!AZ169,'Case study'!AZ169),"A")</f>
        <v>3.3333333333333335</v>
      </c>
    </row>
    <row r="170" spans="1:56" s="109" customFormat="1" ht="23.1" customHeight="1" x14ac:dyDescent="0.3">
      <c r="A170" s="6">
        <v>168</v>
      </c>
      <c r="B170" s="7" t="s">
        <v>223</v>
      </c>
      <c r="C170" s="7" t="s">
        <v>224</v>
      </c>
      <c r="D170" s="7" t="s">
        <v>542</v>
      </c>
      <c r="E170" s="7" t="s">
        <v>161</v>
      </c>
      <c r="F170" s="118">
        <f>'Book Review'!K170</f>
        <v>3</v>
      </c>
      <c r="G170" s="118">
        <f>'Book Review'!Q170</f>
        <v>3</v>
      </c>
      <c r="H170" s="118">
        <f>'Book Review'!W170</f>
        <v>3</v>
      </c>
      <c r="I170" s="118"/>
      <c r="J170" s="118"/>
      <c r="K170" s="118">
        <f>'Book Review'!AO170</f>
        <v>3</v>
      </c>
      <c r="L170" s="118">
        <f>'Book Review'!AU170</f>
        <v>3</v>
      </c>
      <c r="M170" s="116"/>
      <c r="N170" s="118">
        <f>Debate!K170</f>
        <v>3</v>
      </c>
      <c r="O170" s="118">
        <f>Debate!Q170</f>
        <v>3</v>
      </c>
      <c r="P170" s="118"/>
      <c r="Q170" s="118">
        <f>Debate!AC170</f>
        <v>3</v>
      </c>
      <c r="R170" s="118"/>
      <c r="S170" s="118">
        <f>Debate!AO170</f>
        <v>3</v>
      </c>
      <c r="T170" s="118">
        <f>Debate!AU170</f>
        <v>3</v>
      </c>
      <c r="U170" s="116"/>
      <c r="V170" s="7"/>
      <c r="W170" s="118">
        <f>GD!Q170</f>
        <v>3</v>
      </c>
      <c r="X170" s="118">
        <f>GD!W170</f>
        <v>3</v>
      </c>
      <c r="Y170" s="118"/>
      <c r="Z170" s="118"/>
      <c r="AA170" s="7"/>
      <c r="AB170" s="118"/>
      <c r="AC170" s="116"/>
      <c r="AD170" s="118">
        <f>'Case study'!K170</f>
        <v>3</v>
      </c>
      <c r="AE170" s="118">
        <f>'Case study'!Q170</f>
        <v>3</v>
      </c>
      <c r="AF170" s="118">
        <f>'Case study'!W170</f>
        <v>3</v>
      </c>
      <c r="AG170" s="118"/>
      <c r="AH170" s="118"/>
      <c r="AI170" s="118">
        <f>'Case study'!AO170</f>
        <v>3</v>
      </c>
      <c r="AJ170" s="118">
        <f>'Case study'!AU170</f>
        <v>3</v>
      </c>
      <c r="AK170" s="116"/>
      <c r="AL170" s="118">
        <f>Capstone!K170</f>
        <v>4.333333333333333</v>
      </c>
      <c r="AM170" s="118">
        <f>Capstone!Q171</f>
        <v>4</v>
      </c>
      <c r="AN170" s="118">
        <f>Capstone!W171</f>
        <v>2</v>
      </c>
      <c r="AO170" s="118"/>
      <c r="AP170" s="118"/>
      <c r="AQ170" s="118">
        <f>Capstone!AO171</f>
        <v>4</v>
      </c>
      <c r="AR170" s="118"/>
      <c r="AS170" s="116"/>
      <c r="AT170" s="118">
        <f>IFERROR(AVERAGE(Table110461117[[#This Row],[Column2]],Table110461117[[#This Row],[Column11]],Table110461117[[#This Row],[Column29]]),"0")</f>
        <v>3</v>
      </c>
      <c r="AU170" s="118">
        <f>IFERROR(AVERAGE(Table110461117[[#This Row],[Column3]],Table110461117[[#This Row],[Column12]],Table110461117[[#This Row],[Column21]],Table110461117[[#This Row],[Column30]]),"0")</f>
        <v>3</v>
      </c>
      <c r="AV170" s="118">
        <f>IFERROR(AVERAGE(Table110461117[[#This Row],[Column31]],Table110461117[[#This Row],[Column22]],Table110461117[[#This Row],[Column4]]),"0")</f>
        <v>3</v>
      </c>
      <c r="AW170" s="118">
        <f>IFERROR(AVERAGE(Table110461117[[#This Row],[Column14]]),"0")</f>
        <v>3</v>
      </c>
      <c r="AX170" s="118"/>
      <c r="AY170" s="118">
        <f>IFERROR(AVERAGE(Table110461117[[#This Row],[Column34]],Table110461117[[#This Row],[Column16]],Table110461117[[#This Row],[Column7]]),"0")</f>
        <v>3</v>
      </c>
      <c r="AZ170" s="118">
        <f>IFERROR(AVERAGE(Table110461117[[#This Row],[Column35]],Table110461117[[#This Row],[Column17]],Table110461117[[#This Row],[Column8]]),"0")</f>
        <v>3</v>
      </c>
      <c r="BA170" s="116"/>
      <c r="BB170" s="118"/>
      <c r="BC170" s="118">
        <f>IFERROR(AVERAGE('Book Review'!AY170,Debate!AY170,'Case study'!AY170,Capstone!AY170),"A")</f>
        <v>3.5</v>
      </c>
      <c r="BD170" s="118">
        <f>IFERROR(AVERAGE('Book Review'!AZ170,Debate!AZ170,'Case study'!AZ170),"A")</f>
        <v>3</v>
      </c>
    </row>
    <row r="171" spans="1:56" s="109" customFormat="1" ht="23.1" customHeight="1" x14ac:dyDescent="0.3">
      <c r="A171" s="115">
        <v>169</v>
      </c>
      <c r="B171" s="49" t="s">
        <v>393</v>
      </c>
      <c r="C171" s="49" t="s">
        <v>394</v>
      </c>
      <c r="D171" s="49" t="s">
        <v>450</v>
      </c>
      <c r="E171" s="49" t="s">
        <v>493</v>
      </c>
      <c r="F171" s="117">
        <f>'Book Review'!K171</f>
        <v>1.75</v>
      </c>
      <c r="G171" s="117">
        <f>'Book Review'!Q171</f>
        <v>2.4</v>
      </c>
      <c r="H171" s="117">
        <f>'Book Review'!W171</f>
        <v>2</v>
      </c>
      <c r="I171" s="117"/>
      <c r="J171" s="117"/>
      <c r="K171" s="117">
        <f>'Book Review'!AO171</f>
        <v>2.5</v>
      </c>
      <c r="L171" s="117">
        <f>'Book Review'!AU171</f>
        <v>3</v>
      </c>
      <c r="M171" s="116"/>
      <c r="N171" s="117">
        <f>Debate!K171</f>
        <v>1</v>
      </c>
      <c r="O171" s="117">
        <f>Debate!Q171</f>
        <v>1.2</v>
      </c>
      <c r="P171" s="117"/>
      <c r="Q171" s="117">
        <f>Debate!AC171</f>
        <v>1</v>
      </c>
      <c r="R171" s="117"/>
      <c r="S171" s="117">
        <f>Debate!AO171</f>
        <v>1</v>
      </c>
      <c r="T171" s="117">
        <f>Debate!AU171</f>
        <v>1</v>
      </c>
      <c r="U171" s="116"/>
      <c r="V171" s="49"/>
      <c r="W171" s="117">
        <f>GD!Q171</f>
        <v>1.5</v>
      </c>
      <c r="X171" s="117">
        <f>GD!W171</f>
        <v>2</v>
      </c>
      <c r="Y171" s="117"/>
      <c r="Z171" s="117"/>
      <c r="AA171" s="49"/>
      <c r="AB171" s="117"/>
      <c r="AC171" s="116"/>
      <c r="AD171" s="117">
        <f>'Case study'!K171</f>
        <v>2.25</v>
      </c>
      <c r="AE171" s="117">
        <f>'Case study'!Q171</f>
        <v>2</v>
      </c>
      <c r="AF171" s="117">
        <f>'Case study'!W171</f>
        <v>2</v>
      </c>
      <c r="AG171" s="117"/>
      <c r="AH171" s="117"/>
      <c r="AI171" s="117">
        <f>'Case study'!AO171</f>
        <v>2</v>
      </c>
      <c r="AJ171" s="117">
        <f>'Case study'!AU171</f>
        <v>3</v>
      </c>
      <c r="AK171" s="116"/>
      <c r="AL171" s="117">
        <f>Capstone!K171</f>
        <v>4</v>
      </c>
      <c r="AM171" s="117">
        <f>Capstone!Q172</f>
        <v>5</v>
      </c>
      <c r="AN171" s="117">
        <f>Capstone!W172</f>
        <v>3</v>
      </c>
      <c r="AO171" s="117"/>
      <c r="AP171" s="117"/>
      <c r="AQ171" s="117">
        <f>Capstone!AO172</f>
        <v>2.75</v>
      </c>
      <c r="AR171" s="117"/>
      <c r="AS171" s="116"/>
      <c r="AT171" s="117">
        <f>IFERROR(AVERAGE(Table110461117[[#This Row],[Column2]],Table110461117[[#This Row],[Column11]],Table110461117[[#This Row],[Column29]]),"0")</f>
        <v>1.6666666666666667</v>
      </c>
      <c r="AU171" s="117">
        <f>IFERROR(AVERAGE(Table110461117[[#This Row],[Column3]],Table110461117[[#This Row],[Column12]],Table110461117[[#This Row],[Column21]],Table110461117[[#This Row],[Column30]]),"0")</f>
        <v>1.7749999999999999</v>
      </c>
      <c r="AV171" s="117">
        <f>IFERROR(AVERAGE(Table110461117[[#This Row],[Column31]],Table110461117[[#This Row],[Column22]],Table110461117[[#This Row],[Column4]]),"0")</f>
        <v>2</v>
      </c>
      <c r="AW171" s="117">
        <f>IFERROR(AVERAGE(Table110461117[[#This Row],[Column14]]),"0")</f>
        <v>1</v>
      </c>
      <c r="AX171" s="117"/>
      <c r="AY171" s="117">
        <f>IFERROR(AVERAGE(Table110461117[[#This Row],[Column34]],Table110461117[[#This Row],[Column16]],Table110461117[[#This Row],[Column7]]),"0")</f>
        <v>1.8333333333333333</v>
      </c>
      <c r="AZ171" s="117">
        <f>IFERROR(AVERAGE(Table110461117[[#This Row],[Column35]],Table110461117[[#This Row],[Column17]],Table110461117[[#This Row],[Column8]]),"0")</f>
        <v>2.3333333333333335</v>
      </c>
      <c r="BA171" s="116"/>
      <c r="BB171" s="117"/>
      <c r="BC171" s="117">
        <f>IFERROR(AVERAGE('Book Review'!AY171,Debate!AY171,'Case study'!AY171,Capstone!AY171),"A")</f>
        <v>3</v>
      </c>
      <c r="BD171" s="117">
        <f>IFERROR(AVERAGE('Book Review'!AZ171,Debate!AZ171,'Case study'!AZ171),"A")</f>
        <v>2.3333333333333335</v>
      </c>
    </row>
    <row r="172" spans="1:56" s="109" customFormat="1" ht="23.1" customHeight="1" x14ac:dyDescent="0.3">
      <c r="A172" s="6">
        <v>170</v>
      </c>
      <c r="B172" s="7" t="s">
        <v>395</v>
      </c>
      <c r="C172" s="7" t="s">
        <v>396</v>
      </c>
      <c r="D172" s="7" t="s">
        <v>542</v>
      </c>
      <c r="E172" s="7" t="s">
        <v>493</v>
      </c>
      <c r="F172" s="118">
        <f>'Book Review'!K172</f>
        <v>2.75</v>
      </c>
      <c r="G172" s="118">
        <f>'Book Review'!Q172</f>
        <v>3</v>
      </c>
      <c r="H172" s="118">
        <f>'Book Review'!W172</f>
        <v>3</v>
      </c>
      <c r="I172" s="118"/>
      <c r="J172" s="118"/>
      <c r="K172" s="118">
        <f>'Book Review'!AO172</f>
        <v>3</v>
      </c>
      <c r="L172" s="118">
        <f>'Book Review'!AU172</f>
        <v>3</v>
      </c>
      <c r="M172" s="116"/>
      <c r="N172" s="118">
        <f>Debate!K172</f>
        <v>3</v>
      </c>
      <c r="O172" s="118">
        <f>Debate!Q172</f>
        <v>3</v>
      </c>
      <c r="P172" s="118"/>
      <c r="Q172" s="118">
        <f>Debate!AC172</f>
        <v>2</v>
      </c>
      <c r="R172" s="118"/>
      <c r="S172" s="118">
        <f>Debate!AO172</f>
        <v>3</v>
      </c>
      <c r="T172" s="118">
        <f>Debate!AU172</f>
        <v>3</v>
      </c>
      <c r="U172" s="116"/>
      <c r="V172" s="7"/>
      <c r="W172" s="118">
        <f>GD!Q172</f>
        <v>3</v>
      </c>
      <c r="X172" s="118">
        <f>GD!W172</f>
        <v>3</v>
      </c>
      <c r="Y172" s="118"/>
      <c r="Z172" s="118"/>
      <c r="AA172" s="7"/>
      <c r="AB172" s="118"/>
      <c r="AC172" s="116"/>
      <c r="AD172" s="118">
        <f>'Case study'!K172</f>
        <v>2.75</v>
      </c>
      <c r="AE172" s="118">
        <f>'Case study'!Q172</f>
        <v>3</v>
      </c>
      <c r="AF172" s="118">
        <f>'Case study'!W172</f>
        <v>3</v>
      </c>
      <c r="AG172" s="118"/>
      <c r="AH172" s="118"/>
      <c r="AI172" s="118">
        <f>'Case study'!AO172</f>
        <v>3</v>
      </c>
      <c r="AJ172" s="118">
        <f>'Case study'!AU172</f>
        <v>3</v>
      </c>
      <c r="AK172" s="116"/>
      <c r="AL172" s="118">
        <f>Capstone!K172</f>
        <v>3.3333333333333335</v>
      </c>
      <c r="AM172" s="118">
        <f>Capstone!Q173</f>
        <v>4</v>
      </c>
      <c r="AN172" s="118">
        <f>Capstone!W173</f>
        <v>2</v>
      </c>
      <c r="AO172" s="118"/>
      <c r="AP172" s="118"/>
      <c r="AQ172" s="118">
        <f>Capstone!AO173</f>
        <v>3.5</v>
      </c>
      <c r="AR172" s="118"/>
      <c r="AS172" s="116"/>
      <c r="AT172" s="118">
        <f>IFERROR(AVERAGE(Table110461117[[#This Row],[Column2]],Table110461117[[#This Row],[Column11]],Table110461117[[#This Row],[Column29]]),"0")</f>
        <v>2.8333333333333335</v>
      </c>
      <c r="AU172" s="118">
        <f>IFERROR(AVERAGE(Table110461117[[#This Row],[Column3]],Table110461117[[#This Row],[Column12]],Table110461117[[#This Row],[Column21]],Table110461117[[#This Row],[Column30]]),"0")</f>
        <v>3</v>
      </c>
      <c r="AV172" s="118">
        <f>IFERROR(AVERAGE(Table110461117[[#This Row],[Column31]],Table110461117[[#This Row],[Column22]],Table110461117[[#This Row],[Column4]]),"0")</f>
        <v>3</v>
      </c>
      <c r="AW172" s="118">
        <f>IFERROR(AVERAGE(Table110461117[[#This Row],[Column14]]),"0")</f>
        <v>2</v>
      </c>
      <c r="AX172" s="118"/>
      <c r="AY172" s="118">
        <f>IFERROR(AVERAGE(Table110461117[[#This Row],[Column34]],Table110461117[[#This Row],[Column16]],Table110461117[[#This Row],[Column7]]),"0")</f>
        <v>3</v>
      </c>
      <c r="AZ172" s="118">
        <f>IFERROR(AVERAGE(Table110461117[[#This Row],[Column35]],Table110461117[[#This Row],[Column17]],Table110461117[[#This Row],[Column8]]),"0")</f>
        <v>3</v>
      </c>
      <c r="BA172" s="116"/>
      <c r="BB172" s="118"/>
      <c r="BC172" s="118">
        <f>IFERROR(AVERAGE('Book Review'!AY172,Debate!AY172,'Case study'!AY172,Capstone!AY172),"A")</f>
        <v>2.75</v>
      </c>
      <c r="BD172" s="118">
        <f>IFERROR(AVERAGE('Book Review'!AZ172,Debate!AZ172,'Case study'!AZ172),"A")</f>
        <v>2.3333333333333335</v>
      </c>
    </row>
    <row r="173" spans="1:56" s="109" customFormat="1" ht="23.1" customHeight="1" x14ac:dyDescent="0.3">
      <c r="A173" s="115">
        <v>171</v>
      </c>
      <c r="B173" s="49" t="s">
        <v>285</v>
      </c>
      <c r="C173" s="49" t="s">
        <v>286</v>
      </c>
      <c r="D173" s="49" t="s">
        <v>542</v>
      </c>
      <c r="E173" s="49" t="s">
        <v>161</v>
      </c>
      <c r="F173" s="117">
        <f>'Book Review'!K173</f>
        <v>3.75</v>
      </c>
      <c r="G173" s="117">
        <f>'Book Review'!Q173</f>
        <v>2.8</v>
      </c>
      <c r="H173" s="117">
        <f>'Book Review'!W173</f>
        <v>3</v>
      </c>
      <c r="I173" s="117"/>
      <c r="J173" s="117"/>
      <c r="K173" s="117">
        <f>'Book Review'!AO173</f>
        <v>3</v>
      </c>
      <c r="L173" s="117">
        <f>'Book Review'!AU173</f>
        <v>2</v>
      </c>
      <c r="M173" s="116"/>
      <c r="N173" s="117">
        <f>Debate!K173</f>
        <v>1</v>
      </c>
      <c r="O173" s="117">
        <f>Debate!Q173</f>
        <v>1.9</v>
      </c>
      <c r="P173" s="117"/>
      <c r="Q173" s="117">
        <f>Debate!AC173</f>
        <v>2</v>
      </c>
      <c r="R173" s="117"/>
      <c r="S173" s="117">
        <f>Debate!AO173</f>
        <v>1.6666666666666667</v>
      </c>
      <c r="T173" s="117">
        <f>Debate!AU173</f>
        <v>3</v>
      </c>
      <c r="U173" s="116"/>
      <c r="V173" s="49"/>
      <c r="W173" s="117">
        <f>GD!Q173</f>
        <v>1.25</v>
      </c>
      <c r="X173" s="117">
        <f>GD!W173</f>
        <v>1</v>
      </c>
      <c r="Y173" s="117"/>
      <c r="Z173" s="117"/>
      <c r="AA173" s="49"/>
      <c r="AB173" s="117"/>
      <c r="AC173" s="116"/>
      <c r="AD173" s="117">
        <f>'Case study'!K173</f>
        <v>1.5</v>
      </c>
      <c r="AE173" s="117">
        <f>'Case study'!Q173</f>
        <v>2</v>
      </c>
      <c r="AF173" s="117">
        <f>'Case study'!W173</f>
        <v>2</v>
      </c>
      <c r="AG173" s="117"/>
      <c r="AH173" s="117"/>
      <c r="AI173" s="117">
        <f>'Case study'!AO173</f>
        <v>1.75</v>
      </c>
      <c r="AJ173" s="117">
        <f>'Case study'!AU173</f>
        <v>2</v>
      </c>
      <c r="AK173" s="116"/>
      <c r="AL173" s="117">
        <f>Capstone!K173</f>
        <v>2.6666666666666665</v>
      </c>
      <c r="AM173" s="117">
        <f>Capstone!Q174</f>
        <v>3</v>
      </c>
      <c r="AN173" s="117">
        <f>Capstone!W174</f>
        <v>2</v>
      </c>
      <c r="AO173" s="117"/>
      <c r="AP173" s="117"/>
      <c r="AQ173" s="117">
        <f>Capstone!AO174</f>
        <v>3</v>
      </c>
      <c r="AR173" s="117"/>
      <c r="AS173" s="116"/>
      <c r="AT173" s="117">
        <f>IFERROR(AVERAGE(Table110461117[[#This Row],[Column2]],Table110461117[[#This Row],[Column11]],Table110461117[[#This Row],[Column29]]),"0")</f>
        <v>2.0833333333333335</v>
      </c>
      <c r="AU173" s="117">
        <f>IFERROR(AVERAGE(Table110461117[[#This Row],[Column3]],Table110461117[[#This Row],[Column12]],Table110461117[[#This Row],[Column21]],Table110461117[[#This Row],[Column30]]),"0")</f>
        <v>1.9874999999999998</v>
      </c>
      <c r="AV173" s="117">
        <f>IFERROR(AVERAGE(Table110461117[[#This Row],[Column31]],Table110461117[[#This Row],[Column22]],Table110461117[[#This Row],[Column4]]),"0")</f>
        <v>2</v>
      </c>
      <c r="AW173" s="117">
        <f>IFERROR(AVERAGE(Table110461117[[#This Row],[Column14]]),"0")</f>
        <v>2</v>
      </c>
      <c r="AX173" s="117"/>
      <c r="AY173" s="117">
        <f>IFERROR(AVERAGE(Table110461117[[#This Row],[Column34]],Table110461117[[#This Row],[Column16]],Table110461117[[#This Row],[Column7]]),"0")</f>
        <v>2.1388888888888888</v>
      </c>
      <c r="AZ173" s="117">
        <f>IFERROR(AVERAGE(Table110461117[[#This Row],[Column35]],Table110461117[[#This Row],[Column17]],Table110461117[[#This Row],[Column8]]),"0")</f>
        <v>2.3333333333333335</v>
      </c>
      <c r="BA173" s="116"/>
      <c r="BB173" s="117"/>
      <c r="BC173" s="117">
        <f>IFERROR(AVERAGE('Book Review'!AY173,Debate!AY173,'Case study'!AY173,Capstone!AY173),"A")</f>
        <v>3.25</v>
      </c>
      <c r="BD173" s="117">
        <f>IFERROR(AVERAGE('Book Review'!AZ173,Debate!AZ173,'Case study'!AZ173),"A")</f>
        <v>1.6666666666666667</v>
      </c>
    </row>
    <row r="174" spans="1:56" s="109" customFormat="1" ht="23.1" customHeight="1" x14ac:dyDescent="0.3">
      <c r="A174" s="6">
        <v>172</v>
      </c>
      <c r="B174" s="7" t="s">
        <v>397</v>
      </c>
      <c r="C174" s="7" t="s">
        <v>539</v>
      </c>
      <c r="D174" s="7" t="s">
        <v>542</v>
      </c>
      <c r="E174" s="7" t="s">
        <v>289</v>
      </c>
      <c r="F174" s="118">
        <f>'Book Review'!K174</f>
        <v>2</v>
      </c>
      <c r="G174" s="118">
        <f>'Book Review'!Q174</f>
        <v>2</v>
      </c>
      <c r="H174" s="118">
        <f>'Book Review'!W174</f>
        <v>2</v>
      </c>
      <c r="I174" s="118"/>
      <c r="J174" s="118"/>
      <c r="K174" s="118">
        <f>'Book Review'!AO174</f>
        <v>2</v>
      </c>
      <c r="L174" s="118">
        <f>'Book Review'!AU174</f>
        <v>2</v>
      </c>
      <c r="M174" s="116"/>
      <c r="N174" s="118">
        <f>Debate!K174</f>
        <v>2</v>
      </c>
      <c r="O174" s="118">
        <f>Debate!Q174</f>
        <v>2</v>
      </c>
      <c r="P174" s="118"/>
      <c r="Q174" s="118">
        <f>Debate!AC174</f>
        <v>2</v>
      </c>
      <c r="R174" s="118"/>
      <c r="S174" s="118">
        <f>Debate!AO174</f>
        <v>2</v>
      </c>
      <c r="T174" s="118">
        <f>Debate!AU174</f>
        <v>2</v>
      </c>
      <c r="U174" s="116"/>
      <c r="V174" s="7"/>
      <c r="W174" s="118">
        <f>GD!Q174</f>
        <v>2</v>
      </c>
      <c r="X174" s="118">
        <f>GD!W174</f>
        <v>2</v>
      </c>
      <c r="Y174" s="118"/>
      <c r="Z174" s="118"/>
      <c r="AA174" s="7"/>
      <c r="AB174" s="118"/>
      <c r="AC174" s="116"/>
      <c r="AD174" s="118">
        <f>'Case study'!K174</f>
        <v>2</v>
      </c>
      <c r="AE174" s="118">
        <f>'Case study'!Q174</f>
        <v>2</v>
      </c>
      <c r="AF174" s="118">
        <f>'Case study'!W174</f>
        <v>2</v>
      </c>
      <c r="AG174" s="118"/>
      <c r="AH174" s="118"/>
      <c r="AI174" s="118">
        <f>'Case study'!AO174</f>
        <v>2</v>
      </c>
      <c r="AJ174" s="118">
        <f>'Case study'!AU174</f>
        <v>3</v>
      </c>
      <c r="AK174" s="116"/>
      <c r="AL174" s="118">
        <f>Capstone!K174</f>
        <v>3</v>
      </c>
      <c r="AM174" s="118">
        <f>Capstone!Q175</f>
        <v>3</v>
      </c>
      <c r="AN174" s="118">
        <f>Capstone!W175</f>
        <v>1</v>
      </c>
      <c r="AO174" s="118"/>
      <c r="AP174" s="118"/>
      <c r="AQ174" s="118">
        <f>Capstone!AO175</f>
        <v>3.25</v>
      </c>
      <c r="AR174" s="118"/>
      <c r="AS174" s="116"/>
      <c r="AT174" s="118">
        <f>IFERROR(AVERAGE(Table110461117[[#This Row],[Column2]],Table110461117[[#This Row],[Column11]],Table110461117[[#This Row],[Column29]]),"0")</f>
        <v>2</v>
      </c>
      <c r="AU174" s="118">
        <f>IFERROR(AVERAGE(Table110461117[[#This Row],[Column3]],Table110461117[[#This Row],[Column12]],Table110461117[[#This Row],[Column21]],Table110461117[[#This Row],[Column30]]),"0")</f>
        <v>2</v>
      </c>
      <c r="AV174" s="118">
        <f>IFERROR(AVERAGE(Table110461117[[#This Row],[Column31]],Table110461117[[#This Row],[Column22]],Table110461117[[#This Row],[Column4]]),"0")</f>
        <v>2</v>
      </c>
      <c r="AW174" s="118">
        <f>IFERROR(AVERAGE(Table110461117[[#This Row],[Column14]]),"0")</f>
        <v>2</v>
      </c>
      <c r="AX174" s="118"/>
      <c r="AY174" s="118">
        <f>IFERROR(AVERAGE(Table110461117[[#This Row],[Column34]],Table110461117[[#This Row],[Column16]],Table110461117[[#This Row],[Column7]]),"0")</f>
        <v>2</v>
      </c>
      <c r="AZ174" s="118">
        <f>IFERROR(AVERAGE(Table110461117[[#This Row],[Column35]],Table110461117[[#This Row],[Column17]],Table110461117[[#This Row],[Column8]]),"0")</f>
        <v>2.3333333333333335</v>
      </c>
      <c r="BA174" s="116"/>
      <c r="BB174" s="118"/>
      <c r="BC174" s="118">
        <f>IFERROR(AVERAGE('Book Review'!AY174,Debate!AY174,'Case study'!AY174,Capstone!AY174),"A")</f>
        <v>2.75</v>
      </c>
      <c r="BD174" s="118">
        <f>IFERROR(AVERAGE('Book Review'!AZ174,Debate!AZ174,'Case study'!AZ174),"A")</f>
        <v>2.6666666666666665</v>
      </c>
    </row>
    <row r="175" spans="1:56" s="109" customFormat="1" ht="23.1" customHeight="1" x14ac:dyDescent="0.3">
      <c r="A175" s="115">
        <v>173</v>
      </c>
      <c r="B175" s="49" t="s">
        <v>398</v>
      </c>
      <c r="C175" s="49" t="s">
        <v>399</v>
      </c>
      <c r="D175" s="49" t="s">
        <v>542</v>
      </c>
      <c r="E175" s="49" t="s">
        <v>493</v>
      </c>
      <c r="F175" s="117">
        <f>'Book Review'!K175</f>
        <v>2.25</v>
      </c>
      <c r="G175" s="117">
        <f>'Book Review'!Q175</f>
        <v>3.6</v>
      </c>
      <c r="H175" s="117">
        <f>'Book Review'!W175</f>
        <v>3</v>
      </c>
      <c r="I175" s="117"/>
      <c r="J175" s="117"/>
      <c r="K175" s="117">
        <f>'Book Review'!AO175</f>
        <v>2.5</v>
      </c>
      <c r="L175" s="117">
        <f>'Book Review'!AU175</f>
        <v>3</v>
      </c>
      <c r="M175" s="116"/>
      <c r="N175" s="117">
        <f>Debate!K175</f>
        <v>2</v>
      </c>
      <c r="O175" s="117">
        <f>Debate!Q175</f>
        <v>2.7</v>
      </c>
      <c r="P175" s="117"/>
      <c r="Q175" s="117">
        <f>Debate!AC175</f>
        <v>2</v>
      </c>
      <c r="R175" s="117"/>
      <c r="S175" s="117">
        <f>Debate!AO175</f>
        <v>2</v>
      </c>
      <c r="T175" s="117">
        <f>Debate!AU175</f>
        <v>3</v>
      </c>
      <c r="U175" s="116"/>
      <c r="V175" s="49"/>
      <c r="W175" s="117">
        <f>GD!Q175</f>
        <v>1.5</v>
      </c>
      <c r="X175" s="117">
        <f>GD!W175</f>
        <v>1</v>
      </c>
      <c r="Y175" s="117"/>
      <c r="Z175" s="117"/>
      <c r="AA175" s="49"/>
      <c r="AB175" s="117"/>
      <c r="AC175" s="116"/>
      <c r="AD175" s="117">
        <f>'Case study'!K175</f>
        <v>1</v>
      </c>
      <c r="AE175" s="117">
        <f>'Case study'!Q175</f>
        <v>2.2000000000000002</v>
      </c>
      <c r="AF175" s="117">
        <f>'Case study'!W175</f>
        <v>1</v>
      </c>
      <c r="AG175" s="117"/>
      <c r="AH175" s="117"/>
      <c r="AI175" s="117">
        <f>'Case study'!AO175</f>
        <v>1</v>
      </c>
      <c r="AJ175" s="117">
        <f>'Case study'!AU175</f>
        <v>1</v>
      </c>
      <c r="AK175" s="116"/>
      <c r="AL175" s="117">
        <f>Capstone!K175</f>
        <v>3.6666666666666665</v>
      </c>
      <c r="AM175" s="117">
        <f>Capstone!Q176</f>
        <v>3</v>
      </c>
      <c r="AN175" s="117">
        <f>Capstone!W176</f>
        <v>3</v>
      </c>
      <c r="AO175" s="117"/>
      <c r="AP175" s="117"/>
      <c r="AQ175" s="117">
        <f>Capstone!AO176</f>
        <v>3</v>
      </c>
      <c r="AR175" s="117"/>
      <c r="AS175" s="116"/>
      <c r="AT175" s="117">
        <f>IFERROR(AVERAGE(Table110461117[[#This Row],[Column2]],Table110461117[[#This Row],[Column11]],Table110461117[[#This Row],[Column29]]),"0")</f>
        <v>1.75</v>
      </c>
      <c r="AU175" s="117">
        <f>IFERROR(AVERAGE(Table110461117[[#This Row],[Column3]],Table110461117[[#This Row],[Column12]],Table110461117[[#This Row],[Column21]],Table110461117[[#This Row],[Column30]]),"0")</f>
        <v>2.5</v>
      </c>
      <c r="AV175" s="117">
        <f>IFERROR(AVERAGE(Table110461117[[#This Row],[Column31]],Table110461117[[#This Row],[Column22]],Table110461117[[#This Row],[Column4]]),"0")</f>
        <v>1.6666666666666667</v>
      </c>
      <c r="AW175" s="117">
        <f>IFERROR(AVERAGE(Table110461117[[#This Row],[Column14]]),"0")</f>
        <v>2</v>
      </c>
      <c r="AX175" s="117"/>
      <c r="AY175" s="117">
        <f>IFERROR(AVERAGE(Table110461117[[#This Row],[Column34]],Table110461117[[#This Row],[Column16]],Table110461117[[#This Row],[Column7]]),"0")</f>
        <v>1.8333333333333333</v>
      </c>
      <c r="AZ175" s="117">
        <f>IFERROR(AVERAGE(Table110461117[[#This Row],[Column35]],Table110461117[[#This Row],[Column17]],Table110461117[[#This Row],[Column8]]),"0")</f>
        <v>2.3333333333333335</v>
      </c>
      <c r="BA175" s="116"/>
      <c r="BB175" s="117"/>
      <c r="BC175" s="117">
        <f>IFERROR(AVERAGE('Book Review'!AY175,Debate!AY175,'Case study'!AY175,Capstone!AY175),"A")</f>
        <v>2.75</v>
      </c>
      <c r="BD175" s="117">
        <f>IFERROR(AVERAGE('Book Review'!AZ175,Debate!AZ175,'Case study'!AZ175),"A")</f>
        <v>2.3333333333333335</v>
      </c>
    </row>
    <row r="176" spans="1:56" s="109" customFormat="1" ht="23.1" customHeight="1" x14ac:dyDescent="0.3">
      <c r="A176" s="6">
        <v>174</v>
      </c>
      <c r="B176" s="7" t="s">
        <v>400</v>
      </c>
      <c r="C176" s="7" t="s">
        <v>401</v>
      </c>
      <c r="D176" s="7" t="s">
        <v>542</v>
      </c>
      <c r="E176" s="7" t="s">
        <v>493</v>
      </c>
      <c r="F176" s="118">
        <f>'Book Review'!K176</f>
        <v>2.5</v>
      </c>
      <c r="G176" s="118">
        <f>'Book Review'!Q176</f>
        <v>2.2000000000000002</v>
      </c>
      <c r="H176" s="118">
        <f>'Book Review'!W176</f>
        <v>3</v>
      </c>
      <c r="I176" s="118"/>
      <c r="J176" s="118"/>
      <c r="K176" s="118">
        <f>'Book Review'!AO176</f>
        <v>3</v>
      </c>
      <c r="L176" s="118">
        <f>'Book Review'!AU176</f>
        <v>3</v>
      </c>
      <c r="M176" s="116"/>
      <c r="N176" s="118">
        <f>Debate!K176</f>
        <v>3</v>
      </c>
      <c r="O176" s="118">
        <f>Debate!Q176</f>
        <v>2.5</v>
      </c>
      <c r="P176" s="118"/>
      <c r="Q176" s="118">
        <f>Debate!AC176</f>
        <v>3</v>
      </c>
      <c r="R176" s="118"/>
      <c r="S176" s="118">
        <f>Debate!AO176</f>
        <v>2</v>
      </c>
      <c r="T176" s="118">
        <f>Debate!AU176</f>
        <v>3</v>
      </c>
      <c r="U176" s="116"/>
      <c r="V176" s="7"/>
      <c r="W176" s="118">
        <f>GD!Q176</f>
        <v>2</v>
      </c>
      <c r="X176" s="118">
        <f>GD!W176</f>
        <v>3</v>
      </c>
      <c r="Y176" s="118"/>
      <c r="Z176" s="118"/>
      <c r="AA176" s="7"/>
      <c r="AB176" s="118"/>
      <c r="AC176" s="116"/>
      <c r="AD176" s="118">
        <f>'Case study'!K176</f>
        <v>2.5</v>
      </c>
      <c r="AE176" s="118">
        <f>'Case study'!Q176</f>
        <v>2.2000000000000002</v>
      </c>
      <c r="AF176" s="118">
        <f>'Case study'!W176</f>
        <v>3</v>
      </c>
      <c r="AG176" s="118"/>
      <c r="AH176" s="118"/>
      <c r="AI176" s="118">
        <f>'Case study'!AO176</f>
        <v>3</v>
      </c>
      <c r="AJ176" s="118">
        <f>'Case study'!AU176</f>
        <v>3</v>
      </c>
      <c r="AK176" s="116"/>
      <c r="AL176" s="118">
        <f>Capstone!K176</f>
        <v>3</v>
      </c>
      <c r="AM176" s="118">
        <f>Capstone!Q177</f>
        <v>2</v>
      </c>
      <c r="AN176" s="118">
        <f>Capstone!W177</f>
        <v>2</v>
      </c>
      <c r="AO176" s="118"/>
      <c r="AP176" s="118"/>
      <c r="AQ176" s="118">
        <f>Capstone!AO177</f>
        <v>1.75</v>
      </c>
      <c r="AR176" s="118"/>
      <c r="AS176" s="116"/>
      <c r="AT176" s="118">
        <f>IFERROR(AVERAGE(Table110461117[[#This Row],[Column2]],Table110461117[[#This Row],[Column11]],Table110461117[[#This Row],[Column29]]),"0")</f>
        <v>2.6666666666666665</v>
      </c>
      <c r="AU176" s="118">
        <f>IFERROR(AVERAGE(Table110461117[[#This Row],[Column3]],Table110461117[[#This Row],[Column12]],Table110461117[[#This Row],[Column21]],Table110461117[[#This Row],[Column30]]),"0")</f>
        <v>2.2250000000000001</v>
      </c>
      <c r="AV176" s="118">
        <f>IFERROR(AVERAGE(Table110461117[[#This Row],[Column31]],Table110461117[[#This Row],[Column22]],Table110461117[[#This Row],[Column4]]),"0")</f>
        <v>3</v>
      </c>
      <c r="AW176" s="118">
        <f>IFERROR(AVERAGE(Table110461117[[#This Row],[Column14]]),"0")</f>
        <v>3</v>
      </c>
      <c r="AX176" s="118"/>
      <c r="AY176" s="118">
        <f>IFERROR(AVERAGE(Table110461117[[#This Row],[Column34]],Table110461117[[#This Row],[Column16]],Table110461117[[#This Row],[Column7]]),"0")</f>
        <v>2.6666666666666665</v>
      </c>
      <c r="AZ176" s="118">
        <f>IFERROR(AVERAGE(Table110461117[[#This Row],[Column35]],Table110461117[[#This Row],[Column17]],Table110461117[[#This Row],[Column8]]),"0")</f>
        <v>3</v>
      </c>
      <c r="BA176" s="116"/>
      <c r="BB176" s="118"/>
      <c r="BC176" s="118">
        <f>IFERROR(AVERAGE('Book Review'!AY176,Debate!AY176,'Case study'!AY176,Capstone!AY176),"A")</f>
        <v>3</v>
      </c>
      <c r="BD176" s="118">
        <f>IFERROR(AVERAGE('Book Review'!AZ176,Debate!AZ176,'Case study'!AZ176),"A")</f>
        <v>3</v>
      </c>
    </row>
    <row r="177" spans="1:56" s="109" customFormat="1" ht="23.1" customHeight="1" x14ac:dyDescent="0.3">
      <c r="A177" s="115">
        <v>175</v>
      </c>
      <c r="B177" s="49" t="s">
        <v>120</v>
      </c>
      <c r="C177" s="49" t="s">
        <v>121</v>
      </c>
      <c r="D177" s="49" t="s">
        <v>450</v>
      </c>
      <c r="E177" s="49" t="s">
        <v>35</v>
      </c>
      <c r="F177" s="117">
        <f>'Book Review'!K177</f>
        <v>1.75</v>
      </c>
      <c r="G177" s="117">
        <f>'Book Review'!Q177</f>
        <v>2</v>
      </c>
      <c r="H177" s="117">
        <f>'Book Review'!W177</f>
        <v>2</v>
      </c>
      <c r="I177" s="117"/>
      <c r="J177" s="117"/>
      <c r="K177" s="117">
        <f>'Book Review'!AO177</f>
        <v>2</v>
      </c>
      <c r="L177" s="117">
        <f>'Book Review'!AU177</f>
        <v>3</v>
      </c>
      <c r="M177" s="116"/>
      <c r="N177" s="117">
        <f>Debate!K177</f>
        <v>2</v>
      </c>
      <c r="O177" s="117">
        <f>Debate!Q177</f>
        <v>1.5</v>
      </c>
      <c r="P177" s="117"/>
      <c r="Q177" s="117">
        <f>Debate!AC177</f>
        <v>2</v>
      </c>
      <c r="R177" s="117"/>
      <c r="S177" s="117">
        <f>Debate!AO177</f>
        <v>2</v>
      </c>
      <c r="T177" s="117">
        <f>Debate!AU177</f>
        <v>3</v>
      </c>
      <c r="U177" s="116"/>
      <c r="V177" s="49"/>
      <c r="W177" s="117">
        <f>GD!Q177</f>
        <v>2</v>
      </c>
      <c r="X177" s="117">
        <f>GD!W177</f>
        <v>3</v>
      </c>
      <c r="Y177" s="117"/>
      <c r="Z177" s="117"/>
      <c r="AA177" s="49"/>
      <c r="AB177" s="117"/>
      <c r="AC177" s="116"/>
      <c r="AD177" s="117">
        <f>'Case study'!K177</f>
        <v>1.5</v>
      </c>
      <c r="AE177" s="117">
        <f>'Case study'!Q177</f>
        <v>1.6</v>
      </c>
      <c r="AF177" s="117">
        <f>'Case study'!W177</f>
        <v>2</v>
      </c>
      <c r="AG177" s="117"/>
      <c r="AH177" s="117"/>
      <c r="AI177" s="117">
        <f>'Case study'!AO177</f>
        <v>1.75</v>
      </c>
      <c r="AJ177" s="117">
        <f>'Case study'!AU177</f>
        <v>3</v>
      </c>
      <c r="AK177" s="116"/>
      <c r="AL177" s="117">
        <f>Capstone!K177</f>
        <v>1.6666666666666667</v>
      </c>
      <c r="AM177" s="117">
        <f>Capstone!Q178</f>
        <v>2.25</v>
      </c>
      <c r="AN177" s="117">
        <f>Capstone!W178</f>
        <v>2.5</v>
      </c>
      <c r="AO177" s="117"/>
      <c r="AP177" s="117"/>
      <c r="AQ177" s="117">
        <f>Capstone!AO178</f>
        <v>3.25</v>
      </c>
      <c r="AR177" s="117"/>
      <c r="AS177" s="116"/>
      <c r="AT177" s="117">
        <f>IFERROR(AVERAGE(Table110461117[[#This Row],[Column2]],Table110461117[[#This Row],[Column11]],Table110461117[[#This Row],[Column29]]),"0")</f>
        <v>1.75</v>
      </c>
      <c r="AU177" s="117">
        <f>IFERROR(AVERAGE(Table110461117[[#This Row],[Column3]],Table110461117[[#This Row],[Column12]],Table110461117[[#This Row],[Column21]],Table110461117[[#This Row],[Column30]]),"0")</f>
        <v>1.7749999999999999</v>
      </c>
      <c r="AV177" s="117">
        <f>IFERROR(AVERAGE(Table110461117[[#This Row],[Column31]],Table110461117[[#This Row],[Column22]],Table110461117[[#This Row],[Column4]]),"0")</f>
        <v>2.3333333333333335</v>
      </c>
      <c r="AW177" s="117">
        <f>IFERROR(AVERAGE(Table110461117[[#This Row],[Column14]]),"0")</f>
        <v>2</v>
      </c>
      <c r="AX177" s="117"/>
      <c r="AY177" s="117">
        <f>IFERROR(AVERAGE(Table110461117[[#This Row],[Column34]],Table110461117[[#This Row],[Column16]],Table110461117[[#This Row],[Column7]]),"0")</f>
        <v>1.9166666666666667</v>
      </c>
      <c r="AZ177" s="117">
        <f>IFERROR(AVERAGE(Table110461117[[#This Row],[Column35]],Table110461117[[#This Row],[Column17]],Table110461117[[#This Row],[Column8]]),"0")</f>
        <v>3</v>
      </c>
      <c r="BA177" s="116"/>
      <c r="BB177" s="117"/>
      <c r="BC177" s="117">
        <f>IFERROR(AVERAGE('Book Review'!AY177,Debate!AY177,'Case study'!AY177,Capstone!AY177),"A")</f>
        <v>2.75</v>
      </c>
      <c r="BD177" s="117">
        <f>IFERROR(AVERAGE('Book Review'!AZ177,Debate!AZ177,'Case study'!AZ177),"A")</f>
        <v>2.6666666666666665</v>
      </c>
    </row>
    <row r="178" spans="1:56" s="109" customFormat="1" ht="23.1" customHeight="1" x14ac:dyDescent="0.3">
      <c r="A178" s="6">
        <v>176</v>
      </c>
      <c r="B178" s="7" t="s">
        <v>402</v>
      </c>
      <c r="C178" s="7" t="s">
        <v>403</v>
      </c>
      <c r="D178" s="7" t="s">
        <v>450</v>
      </c>
      <c r="E178" s="7" t="s">
        <v>493</v>
      </c>
      <c r="F178" s="118">
        <f>'Book Review'!K178</f>
        <v>2.125</v>
      </c>
      <c r="G178" s="118">
        <f>'Book Review'!Q178</f>
        <v>2.1</v>
      </c>
      <c r="H178" s="118">
        <f>'Book Review'!W178</f>
        <v>2.5</v>
      </c>
      <c r="I178" s="118"/>
      <c r="J178" s="118"/>
      <c r="K178" s="118">
        <f>'Book Review'!AO178</f>
        <v>2</v>
      </c>
      <c r="L178" s="118">
        <f>'Book Review'!AU178</f>
        <v>2</v>
      </c>
      <c r="M178" s="116"/>
      <c r="N178" s="118">
        <f>Debate!K178</f>
        <v>2</v>
      </c>
      <c r="O178" s="118">
        <f>Debate!Q178</f>
        <v>2</v>
      </c>
      <c r="P178" s="118"/>
      <c r="Q178" s="118">
        <f>Debate!AC178</f>
        <v>2</v>
      </c>
      <c r="R178" s="118"/>
      <c r="S178" s="118">
        <f>Debate!AO178</f>
        <v>2.1666666666666665</v>
      </c>
      <c r="T178" s="118">
        <f>Debate!AU178</f>
        <v>2</v>
      </c>
      <c r="U178" s="116"/>
      <c r="V178" s="7"/>
      <c r="W178" s="118">
        <f>GD!Q178</f>
        <v>2</v>
      </c>
      <c r="X178" s="118">
        <f>GD!W178</f>
        <v>2</v>
      </c>
      <c r="Y178" s="118"/>
      <c r="Z178" s="118"/>
      <c r="AA178" s="7"/>
      <c r="AB178" s="118"/>
      <c r="AC178" s="116"/>
      <c r="AD178" s="118">
        <f>'Case study'!K178</f>
        <v>2.125</v>
      </c>
      <c r="AE178" s="118">
        <f>'Case study'!Q178</f>
        <v>2.1</v>
      </c>
      <c r="AF178" s="118">
        <f>'Case study'!W178</f>
        <v>2.5</v>
      </c>
      <c r="AG178" s="118"/>
      <c r="AH178" s="118"/>
      <c r="AI178" s="118">
        <f>'Case study'!AO178</f>
        <v>2.25</v>
      </c>
      <c r="AJ178" s="118">
        <f>'Case study'!AU178</f>
        <v>2</v>
      </c>
      <c r="AK178" s="116"/>
      <c r="AL178" s="118">
        <f>Capstone!K178</f>
        <v>3</v>
      </c>
      <c r="AM178" s="118">
        <f>Capstone!Q179</f>
        <v>2.5</v>
      </c>
      <c r="AN178" s="118">
        <f>Capstone!W179</f>
        <v>3</v>
      </c>
      <c r="AO178" s="118"/>
      <c r="AP178" s="118"/>
      <c r="AQ178" s="118">
        <f>Capstone!AO179</f>
        <v>2.25</v>
      </c>
      <c r="AR178" s="118"/>
      <c r="AS178" s="116"/>
      <c r="AT178" s="118">
        <f>IFERROR(AVERAGE(Table110461117[[#This Row],[Column2]],Table110461117[[#This Row],[Column11]],Table110461117[[#This Row],[Column29]]),"0")</f>
        <v>2.0833333333333335</v>
      </c>
      <c r="AU178" s="118">
        <f>IFERROR(AVERAGE(Table110461117[[#This Row],[Column3]],Table110461117[[#This Row],[Column12]],Table110461117[[#This Row],[Column21]],Table110461117[[#This Row],[Column30]]),"0")</f>
        <v>2.0499999999999998</v>
      </c>
      <c r="AV178" s="118">
        <f>IFERROR(AVERAGE(Table110461117[[#This Row],[Column31]],Table110461117[[#This Row],[Column22]],Table110461117[[#This Row],[Column4]]),"0")</f>
        <v>2.3333333333333335</v>
      </c>
      <c r="AW178" s="118">
        <f>IFERROR(AVERAGE(Table110461117[[#This Row],[Column14]]),"0")</f>
        <v>2</v>
      </c>
      <c r="AX178" s="118"/>
      <c r="AY178" s="118">
        <f>IFERROR(AVERAGE(Table110461117[[#This Row],[Column34]],Table110461117[[#This Row],[Column16]],Table110461117[[#This Row],[Column7]]),"0")</f>
        <v>2.1388888888888888</v>
      </c>
      <c r="AZ178" s="118">
        <f>IFERROR(AVERAGE(Table110461117[[#This Row],[Column35]],Table110461117[[#This Row],[Column17]],Table110461117[[#This Row],[Column8]]),"0")</f>
        <v>2</v>
      </c>
      <c r="BA178" s="116"/>
      <c r="BB178" s="118"/>
      <c r="BC178" s="118">
        <f>IFERROR(AVERAGE('Book Review'!AY178,Debate!AY178,'Case study'!AY178,Capstone!AY178),"A")</f>
        <v>2</v>
      </c>
      <c r="BD178" s="118">
        <f>IFERROR(AVERAGE('Book Review'!AZ178,Debate!AZ178,'Case study'!AZ178),"A")</f>
        <v>2</v>
      </c>
    </row>
    <row r="179" spans="1:56" s="109" customFormat="1" ht="23.1" customHeight="1" x14ac:dyDescent="0.3">
      <c r="A179" s="115">
        <v>177</v>
      </c>
      <c r="B179" s="49" t="s">
        <v>271</v>
      </c>
      <c r="C179" s="49" t="s">
        <v>272</v>
      </c>
      <c r="D179" s="49" t="s">
        <v>450</v>
      </c>
      <c r="E179" s="49" t="s">
        <v>161</v>
      </c>
      <c r="F179" s="117">
        <f>'Book Review'!K179</f>
        <v>2.25</v>
      </c>
      <c r="G179" s="117">
        <f>'Book Review'!Q179</f>
        <v>3</v>
      </c>
      <c r="H179" s="117">
        <f>'Book Review'!W179</f>
        <v>3</v>
      </c>
      <c r="I179" s="117"/>
      <c r="J179" s="117"/>
      <c r="K179" s="117">
        <f>'Book Review'!AO179</f>
        <v>3</v>
      </c>
      <c r="L179" s="117">
        <f>'Book Review'!AU179</f>
        <v>3</v>
      </c>
      <c r="M179" s="116"/>
      <c r="N179" s="117">
        <f>Debate!K179</f>
        <v>3</v>
      </c>
      <c r="O179" s="117">
        <f>Debate!Q179</f>
        <v>2.7</v>
      </c>
      <c r="P179" s="117"/>
      <c r="Q179" s="117">
        <f>Debate!AC179</f>
        <v>3</v>
      </c>
      <c r="R179" s="117"/>
      <c r="S179" s="117">
        <f>Debate!AO179</f>
        <v>3</v>
      </c>
      <c r="T179" s="117">
        <f>Debate!AU179</f>
        <v>3</v>
      </c>
      <c r="U179" s="116"/>
      <c r="V179" s="49"/>
      <c r="W179" s="117">
        <f>GD!Q179</f>
        <v>3</v>
      </c>
      <c r="X179" s="117">
        <f>GD!W179</f>
        <v>3</v>
      </c>
      <c r="Y179" s="117"/>
      <c r="Z179" s="117"/>
      <c r="AA179" s="49"/>
      <c r="AB179" s="117"/>
      <c r="AC179" s="116"/>
      <c r="AD179" s="117">
        <f>'Case study'!K179</f>
        <v>2.25</v>
      </c>
      <c r="AE179" s="117">
        <f>'Case study'!Q179</f>
        <v>3</v>
      </c>
      <c r="AF179" s="117">
        <f>'Case study'!W179</f>
        <v>3</v>
      </c>
      <c r="AG179" s="117"/>
      <c r="AH179" s="117"/>
      <c r="AI179" s="117">
        <f>'Case study'!AO179</f>
        <v>3</v>
      </c>
      <c r="AJ179" s="117">
        <f>'Case study'!AU179</f>
        <v>3</v>
      </c>
      <c r="AK179" s="116"/>
      <c r="AL179" s="117">
        <f>Capstone!K179</f>
        <v>3</v>
      </c>
      <c r="AM179" s="117">
        <f>Capstone!Q180</f>
        <v>3.25</v>
      </c>
      <c r="AN179" s="117">
        <f>Capstone!W180</f>
        <v>3</v>
      </c>
      <c r="AO179" s="117"/>
      <c r="AP179" s="117"/>
      <c r="AQ179" s="117">
        <f>Capstone!AO180</f>
        <v>3.5</v>
      </c>
      <c r="AR179" s="117"/>
      <c r="AS179" s="116"/>
      <c r="AT179" s="117">
        <f>IFERROR(AVERAGE(Table110461117[[#This Row],[Column2]],Table110461117[[#This Row],[Column11]],Table110461117[[#This Row],[Column29]]),"0")</f>
        <v>2.5</v>
      </c>
      <c r="AU179" s="117">
        <f>IFERROR(AVERAGE(Table110461117[[#This Row],[Column3]],Table110461117[[#This Row],[Column12]],Table110461117[[#This Row],[Column21]],Table110461117[[#This Row],[Column30]]),"0")</f>
        <v>2.9249999999999998</v>
      </c>
      <c r="AV179" s="117">
        <f>IFERROR(AVERAGE(Table110461117[[#This Row],[Column31]],Table110461117[[#This Row],[Column22]],Table110461117[[#This Row],[Column4]]),"0")</f>
        <v>3</v>
      </c>
      <c r="AW179" s="117">
        <f>IFERROR(AVERAGE(Table110461117[[#This Row],[Column14]]),"0")</f>
        <v>3</v>
      </c>
      <c r="AX179" s="117"/>
      <c r="AY179" s="117">
        <f>IFERROR(AVERAGE(Table110461117[[#This Row],[Column34]],Table110461117[[#This Row],[Column16]],Table110461117[[#This Row],[Column7]]),"0")</f>
        <v>3</v>
      </c>
      <c r="AZ179" s="117">
        <f>IFERROR(AVERAGE(Table110461117[[#This Row],[Column35]],Table110461117[[#This Row],[Column17]],Table110461117[[#This Row],[Column8]]),"0")</f>
        <v>3</v>
      </c>
      <c r="BA179" s="116"/>
      <c r="BB179" s="117"/>
      <c r="BC179" s="117">
        <f>IFERROR(AVERAGE('Book Review'!AY179,Debate!AY179,'Case study'!AY179,Capstone!AY179),"A")</f>
        <v>2.75</v>
      </c>
      <c r="BD179" s="117">
        <f>IFERROR(AVERAGE('Book Review'!AZ179,Debate!AZ179,'Case study'!AZ179),"A")</f>
        <v>2.6666666666666665</v>
      </c>
    </row>
    <row r="180" spans="1:56" s="109" customFormat="1" ht="23.1" customHeight="1" x14ac:dyDescent="0.3">
      <c r="A180" s="6">
        <v>178</v>
      </c>
      <c r="B180" s="7" t="s">
        <v>52</v>
      </c>
      <c r="C180" s="7" t="s">
        <v>53</v>
      </c>
      <c r="D180" s="7" t="s">
        <v>542</v>
      </c>
      <c r="E180" s="7" t="s">
        <v>35</v>
      </c>
      <c r="F180" s="118">
        <f>'Book Review'!K180</f>
        <v>2.75</v>
      </c>
      <c r="G180" s="118">
        <f>'Book Review'!Q180</f>
        <v>3.4</v>
      </c>
      <c r="H180" s="118">
        <f>'Book Review'!W180</f>
        <v>3</v>
      </c>
      <c r="I180" s="118"/>
      <c r="J180" s="118"/>
      <c r="K180" s="118">
        <f>'Book Review'!AO180</f>
        <v>3</v>
      </c>
      <c r="L180" s="118">
        <f>'Book Review'!AU180</f>
        <v>2</v>
      </c>
      <c r="M180" s="116"/>
      <c r="N180" s="118">
        <f>Debate!K180</f>
        <v>3</v>
      </c>
      <c r="O180" s="118">
        <f>Debate!Q180</f>
        <v>3.4</v>
      </c>
      <c r="P180" s="118"/>
      <c r="Q180" s="118">
        <f>Debate!AC180</f>
        <v>3</v>
      </c>
      <c r="R180" s="118"/>
      <c r="S180" s="118">
        <f>Debate!AO180</f>
        <v>3</v>
      </c>
      <c r="T180" s="118">
        <f>Debate!AU180</f>
        <v>3</v>
      </c>
      <c r="U180" s="116"/>
      <c r="V180" s="7"/>
      <c r="W180" s="118">
        <f>GD!Q180</f>
        <v>3.25</v>
      </c>
      <c r="X180" s="118">
        <f>GD!W180</f>
        <v>4</v>
      </c>
      <c r="Y180" s="118"/>
      <c r="Z180" s="118"/>
      <c r="AA180" s="7"/>
      <c r="AB180" s="118"/>
      <c r="AC180" s="116"/>
      <c r="AD180" s="118">
        <f>'Case study'!K180</f>
        <v>2.75</v>
      </c>
      <c r="AE180" s="118">
        <f>'Case study'!Q180</f>
        <v>3.4</v>
      </c>
      <c r="AF180" s="118">
        <f>'Case study'!W180</f>
        <v>3</v>
      </c>
      <c r="AG180" s="118"/>
      <c r="AH180" s="118"/>
      <c r="AI180" s="118">
        <f>'Case study'!AO180</f>
        <v>2.75</v>
      </c>
      <c r="AJ180" s="118">
        <f>'Case study'!AU180</f>
        <v>3</v>
      </c>
      <c r="AK180" s="116"/>
      <c r="AL180" s="118">
        <f>Capstone!K180</f>
        <v>3</v>
      </c>
      <c r="AM180" s="118">
        <f>Capstone!Q181</f>
        <v>3</v>
      </c>
      <c r="AN180" s="118">
        <f>Capstone!W181</f>
        <v>3</v>
      </c>
      <c r="AO180" s="118"/>
      <c r="AP180" s="118"/>
      <c r="AQ180" s="118">
        <f>Capstone!AO181</f>
        <v>2</v>
      </c>
      <c r="AR180" s="118"/>
      <c r="AS180" s="116"/>
      <c r="AT180" s="118">
        <f>IFERROR(AVERAGE(Table110461117[[#This Row],[Column2]],Table110461117[[#This Row],[Column11]],Table110461117[[#This Row],[Column29]]),"0")</f>
        <v>2.8333333333333335</v>
      </c>
      <c r="AU180" s="118">
        <f>IFERROR(AVERAGE(Table110461117[[#This Row],[Column3]],Table110461117[[#This Row],[Column12]],Table110461117[[#This Row],[Column21]],Table110461117[[#This Row],[Column30]]),"0")</f>
        <v>3.3625000000000003</v>
      </c>
      <c r="AV180" s="118">
        <f>IFERROR(AVERAGE(Table110461117[[#This Row],[Column31]],Table110461117[[#This Row],[Column22]],Table110461117[[#This Row],[Column4]]),"0")</f>
        <v>3.3333333333333335</v>
      </c>
      <c r="AW180" s="118">
        <f>IFERROR(AVERAGE(Table110461117[[#This Row],[Column14]]),"0")</f>
        <v>3</v>
      </c>
      <c r="AX180" s="118"/>
      <c r="AY180" s="118">
        <f>IFERROR(AVERAGE(Table110461117[[#This Row],[Column34]],Table110461117[[#This Row],[Column16]],Table110461117[[#This Row],[Column7]]),"0")</f>
        <v>2.9166666666666665</v>
      </c>
      <c r="AZ180" s="118">
        <f>IFERROR(AVERAGE(Table110461117[[#This Row],[Column35]],Table110461117[[#This Row],[Column17]],Table110461117[[#This Row],[Column8]]),"0")</f>
        <v>2.6666666666666665</v>
      </c>
      <c r="BA180" s="116"/>
      <c r="BB180" s="118"/>
      <c r="BC180" s="118">
        <f>IFERROR(AVERAGE('Book Review'!AY180,Debate!AY180,'Case study'!AY180,Capstone!AY180),"A")</f>
        <v>2.75</v>
      </c>
      <c r="BD180" s="118">
        <f>IFERROR(AVERAGE('Book Review'!AZ180,Debate!AZ180,'Case study'!AZ180),"A")</f>
        <v>2.6666666666666665</v>
      </c>
    </row>
    <row r="181" spans="1:56" s="109" customFormat="1" ht="23.1" customHeight="1" x14ac:dyDescent="0.3">
      <c r="A181" s="115">
        <v>179</v>
      </c>
      <c r="B181" s="49" t="s">
        <v>239</v>
      </c>
      <c r="C181" s="49" t="s">
        <v>240</v>
      </c>
      <c r="D181" s="49" t="s">
        <v>542</v>
      </c>
      <c r="E181" s="49" t="s">
        <v>161</v>
      </c>
      <c r="F181" s="117">
        <f>'Book Review'!K181</f>
        <v>3</v>
      </c>
      <c r="G181" s="117">
        <f>'Book Review'!Q181</f>
        <v>3</v>
      </c>
      <c r="H181" s="117">
        <f>'Book Review'!W181</f>
        <v>3</v>
      </c>
      <c r="I181" s="117"/>
      <c r="J181" s="117"/>
      <c r="K181" s="117">
        <f>'Book Review'!AO181</f>
        <v>3</v>
      </c>
      <c r="L181" s="117">
        <f>'Book Review'!AU181</f>
        <v>3</v>
      </c>
      <c r="M181" s="116"/>
      <c r="N181" s="117">
        <f>Debate!K181</f>
        <v>3</v>
      </c>
      <c r="O181" s="117">
        <f>Debate!Q181</f>
        <v>3</v>
      </c>
      <c r="P181" s="117"/>
      <c r="Q181" s="117">
        <f>Debate!AC181</f>
        <v>3</v>
      </c>
      <c r="R181" s="117"/>
      <c r="S181" s="117">
        <f>Debate!AO181</f>
        <v>3</v>
      </c>
      <c r="T181" s="117">
        <f>Debate!AU181</f>
        <v>3</v>
      </c>
      <c r="U181" s="116"/>
      <c r="V181" s="49"/>
      <c r="W181" s="117">
        <f>GD!Q181</f>
        <v>3</v>
      </c>
      <c r="X181" s="117">
        <f>GD!W181</f>
        <v>3</v>
      </c>
      <c r="Y181" s="117"/>
      <c r="Z181" s="117"/>
      <c r="AA181" s="49"/>
      <c r="AB181" s="117"/>
      <c r="AC181" s="116"/>
      <c r="AD181" s="117">
        <f>'Case study'!K181</f>
        <v>3</v>
      </c>
      <c r="AE181" s="117">
        <f>'Case study'!Q181</f>
        <v>3</v>
      </c>
      <c r="AF181" s="117">
        <f>'Case study'!W181</f>
        <v>3</v>
      </c>
      <c r="AG181" s="117"/>
      <c r="AH181" s="117"/>
      <c r="AI181" s="117">
        <f>'Case study'!AO181</f>
        <v>3</v>
      </c>
      <c r="AJ181" s="117">
        <f>'Case study'!AU181</f>
        <v>3</v>
      </c>
      <c r="AK181" s="116"/>
      <c r="AL181" s="117">
        <f>Capstone!K181</f>
        <v>2</v>
      </c>
      <c r="AM181" s="117">
        <f>Capstone!Q182</f>
        <v>5</v>
      </c>
      <c r="AN181" s="117">
        <f>Capstone!W182</f>
        <v>2</v>
      </c>
      <c r="AO181" s="117"/>
      <c r="AP181" s="117"/>
      <c r="AQ181" s="117">
        <f>Capstone!AO182</f>
        <v>5</v>
      </c>
      <c r="AR181" s="117"/>
      <c r="AS181" s="116"/>
      <c r="AT181" s="117">
        <f>IFERROR(AVERAGE(Table110461117[[#This Row],[Column2]],Table110461117[[#This Row],[Column11]],Table110461117[[#This Row],[Column29]]),"0")</f>
        <v>3</v>
      </c>
      <c r="AU181" s="117">
        <f>IFERROR(AVERAGE(Table110461117[[#This Row],[Column3]],Table110461117[[#This Row],[Column12]],Table110461117[[#This Row],[Column21]],Table110461117[[#This Row],[Column30]]),"0")</f>
        <v>3</v>
      </c>
      <c r="AV181" s="117">
        <f>IFERROR(AVERAGE(Table110461117[[#This Row],[Column31]],Table110461117[[#This Row],[Column22]],Table110461117[[#This Row],[Column4]]),"0")</f>
        <v>3</v>
      </c>
      <c r="AW181" s="117">
        <f>IFERROR(AVERAGE(Table110461117[[#This Row],[Column14]]),"0")</f>
        <v>3</v>
      </c>
      <c r="AX181" s="117"/>
      <c r="AY181" s="117">
        <f>IFERROR(AVERAGE(Table110461117[[#This Row],[Column34]],Table110461117[[#This Row],[Column16]],Table110461117[[#This Row],[Column7]]),"0")</f>
        <v>3</v>
      </c>
      <c r="AZ181" s="117">
        <f>IFERROR(AVERAGE(Table110461117[[#This Row],[Column35]],Table110461117[[#This Row],[Column17]],Table110461117[[#This Row],[Column8]]),"0")</f>
        <v>3</v>
      </c>
      <c r="BA181" s="116"/>
      <c r="BB181" s="117"/>
      <c r="BC181" s="117">
        <f>IFERROR(AVERAGE('Book Review'!AY181,Debate!AY181,'Case study'!AY181,Capstone!AY181),"A")</f>
        <v>3</v>
      </c>
      <c r="BD181" s="117">
        <f>IFERROR(AVERAGE('Book Review'!AZ181,Debate!AZ181,'Case study'!AZ181),"A")</f>
        <v>2.6666666666666665</v>
      </c>
    </row>
    <row r="182" spans="1:56" s="109" customFormat="1" ht="23.1" customHeight="1" x14ac:dyDescent="0.3">
      <c r="A182" s="6">
        <v>180</v>
      </c>
      <c r="B182" s="7" t="s">
        <v>255</v>
      </c>
      <c r="C182" s="7" t="s">
        <v>256</v>
      </c>
      <c r="D182" s="7" t="s">
        <v>450</v>
      </c>
      <c r="E182" s="7" t="s">
        <v>161</v>
      </c>
      <c r="F182" s="118">
        <f>'Book Review'!K182</f>
        <v>0</v>
      </c>
      <c r="G182" s="118">
        <f>'Book Review'!Q182</f>
        <v>0</v>
      </c>
      <c r="H182" s="118">
        <f>'Book Review'!W182</f>
        <v>0</v>
      </c>
      <c r="I182" s="118"/>
      <c r="J182" s="118"/>
      <c r="K182" s="118">
        <f>'Book Review'!AO182</f>
        <v>0</v>
      </c>
      <c r="L182" s="118">
        <f>'Book Review'!AU182</f>
        <v>0</v>
      </c>
      <c r="M182" s="116"/>
      <c r="N182" s="118">
        <f>Debate!K182</f>
        <v>3</v>
      </c>
      <c r="O182" s="118">
        <f>Debate!Q182</f>
        <v>2.9</v>
      </c>
      <c r="P182" s="118"/>
      <c r="Q182" s="118">
        <f>Debate!AC182</f>
        <v>3</v>
      </c>
      <c r="R182" s="118"/>
      <c r="S182" s="118">
        <f>Debate!AO182</f>
        <v>3.6666666666666665</v>
      </c>
      <c r="T182" s="118">
        <f>Debate!AU182</f>
        <v>3</v>
      </c>
      <c r="U182" s="116"/>
      <c r="V182" s="7"/>
      <c r="W182" s="118">
        <f>GD!Q182</f>
        <v>2.75</v>
      </c>
      <c r="X182" s="118">
        <f>GD!W182</f>
        <v>2</v>
      </c>
      <c r="Y182" s="118"/>
      <c r="Z182" s="118"/>
      <c r="AA182" s="7"/>
      <c r="AB182" s="118"/>
      <c r="AC182" s="116"/>
      <c r="AD182" s="118">
        <f>'Case study'!K182</f>
        <v>2</v>
      </c>
      <c r="AE182" s="118">
        <f>'Case study'!Q182</f>
        <v>2.4</v>
      </c>
      <c r="AF182" s="118">
        <f>'Case study'!W182</f>
        <v>2</v>
      </c>
      <c r="AG182" s="118"/>
      <c r="AH182" s="118"/>
      <c r="AI182" s="118">
        <f>'Case study'!AO182</f>
        <v>2</v>
      </c>
      <c r="AJ182" s="118">
        <f>'Case study'!AU182</f>
        <v>3</v>
      </c>
      <c r="AK182" s="116"/>
      <c r="AL182" s="118">
        <f>Capstone!K182</f>
        <v>5</v>
      </c>
      <c r="AM182" s="118">
        <f>Capstone!Q183</f>
        <v>3</v>
      </c>
      <c r="AN182" s="118">
        <f>Capstone!W183</f>
        <v>3</v>
      </c>
      <c r="AO182" s="118"/>
      <c r="AP182" s="118"/>
      <c r="AQ182" s="118">
        <f>Capstone!AO183</f>
        <v>2.75</v>
      </c>
      <c r="AR182" s="118"/>
      <c r="AS182" s="116"/>
      <c r="AT182" s="118">
        <f>IFERROR(AVERAGE(Table110461117[[#This Row],[Column2]],Table110461117[[#This Row],[Column11]],Table110461117[[#This Row],[Column29]]),"0")</f>
        <v>1.6666666666666667</v>
      </c>
      <c r="AU182" s="118">
        <f>IFERROR(AVERAGE(Table110461117[[#This Row],[Column3]],Table110461117[[#This Row],[Column12]],Table110461117[[#This Row],[Column21]],Table110461117[[#This Row],[Column30]]),"0")</f>
        <v>2.0125000000000002</v>
      </c>
      <c r="AV182" s="118">
        <f>IFERROR(AVERAGE(Table110461117[[#This Row],[Column31]],Table110461117[[#This Row],[Column22]],Table110461117[[#This Row],[Column4]]),"0")</f>
        <v>1.3333333333333333</v>
      </c>
      <c r="AW182" s="118">
        <f>IFERROR(AVERAGE(Table110461117[[#This Row],[Column14]]),"0")</f>
        <v>3</v>
      </c>
      <c r="AX182" s="118"/>
      <c r="AY182" s="118">
        <f>IFERROR(AVERAGE(Table110461117[[#This Row],[Column34]],Table110461117[[#This Row],[Column16]],Table110461117[[#This Row],[Column7]]),"0")</f>
        <v>1.8888888888888886</v>
      </c>
      <c r="AZ182" s="118">
        <f>IFERROR(AVERAGE(Table110461117[[#This Row],[Column35]],Table110461117[[#This Row],[Column17]],Table110461117[[#This Row],[Column8]]),"0")</f>
        <v>2</v>
      </c>
      <c r="BA182" s="116"/>
      <c r="BB182" s="118"/>
      <c r="BC182" s="118">
        <f>IFERROR(AVERAGE('Book Review'!AY182,Debate!AY182,'Case study'!AY182,Capstone!AY182),"A")</f>
        <v>2.25</v>
      </c>
      <c r="BD182" s="118">
        <f>IFERROR(AVERAGE('Book Review'!AZ182,Debate!AZ182,'Case study'!AZ182),"A")</f>
        <v>2</v>
      </c>
    </row>
    <row r="183" spans="1:56" s="109" customFormat="1" ht="23.1" customHeight="1" x14ac:dyDescent="0.3">
      <c r="A183" s="115">
        <v>181</v>
      </c>
      <c r="B183" s="49" t="s">
        <v>404</v>
      </c>
      <c r="C183" s="49" t="s">
        <v>405</v>
      </c>
      <c r="D183" s="49" t="s">
        <v>450</v>
      </c>
      <c r="E183" s="49" t="s">
        <v>493</v>
      </c>
      <c r="F183" s="117">
        <f>'Book Review'!K183</f>
        <v>2.25</v>
      </c>
      <c r="G183" s="117">
        <f>'Book Review'!Q183</f>
        <v>2.4</v>
      </c>
      <c r="H183" s="117">
        <f>'Book Review'!W183</f>
        <v>3</v>
      </c>
      <c r="I183" s="117"/>
      <c r="J183" s="117"/>
      <c r="K183" s="117">
        <f>'Book Review'!AO183</f>
        <v>2.5</v>
      </c>
      <c r="L183" s="117">
        <f>'Book Review'!AU183</f>
        <v>3</v>
      </c>
      <c r="M183" s="116"/>
      <c r="N183" s="117">
        <f>Debate!K183</f>
        <v>2</v>
      </c>
      <c r="O183" s="117">
        <f>Debate!Q183</f>
        <v>2.7</v>
      </c>
      <c r="P183" s="117"/>
      <c r="Q183" s="117">
        <f>Debate!AC183</f>
        <v>2</v>
      </c>
      <c r="R183" s="117"/>
      <c r="S183" s="117">
        <f>Debate!AO183</f>
        <v>2</v>
      </c>
      <c r="T183" s="117">
        <f>Debate!AU183</f>
        <v>3</v>
      </c>
      <c r="U183" s="116"/>
      <c r="V183" s="49"/>
      <c r="W183" s="117">
        <f>GD!Q183</f>
        <v>2</v>
      </c>
      <c r="X183" s="117">
        <f>GD!W183</f>
        <v>3</v>
      </c>
      <c r="Y183" s="117"/>
      <c r="Z183" s="117"/>
      <c r="AA183" s="49"/>
      <c r="AB183" s="117"/>
      <c r="AC183" s="116"/>
      <c r="AD183" s="117">
        <f>'Case study'!K183</f>
        <v>2.25</v>
      </c>
      <c r="AE183" s="117">
        <f>'Case study'!Q183</f>
        <v>2.4</v>
      </c>
      <c r="AF183" s="117">
        <f>'Case study'!W183</f>
        <v>3</v>
      </c>
      <c r="AG183" s="117"/>
      <c r="AH183" s="117"/>
      <c r="AI183" s="117">
        <f>'Case study'!AO183</f>
        <v>2.75</v>
      </c>
      <c r="AJ183" s="117">
        <f>'Case study'!AU183</f>
        <v>3</v>
      </c>
      <c r="AK183" s="116"/>
      <c r="AL183" s="117">
        <f>Capstone!K183</f>
        <v>2.6666666666666665</v>
      </c>
      <c r="AM183" s="117">
        <f>Capstone!Q184</f>
        <v>3.5</v>
      </c>
      <c r="AN183" s="117">
        <f>Capstone!W184</f>
        <v>4</v>
      </c>
      <c r="AO183" s="117"/>
      <c r="AP183" s="117"/>
      <c r="AQ183" s="117">
        <f>Capstone!AO184</f>
        <v>3.5</v>
      </c>
      <c r="AR183" s="117"/>
      <c r="AS183" s="116"/>
      <c r="AT183" s="117">
        <f>IFERROR(AVERAGE(Table110461117[[#This Row],[Column2]],Table110461117[[#This Row],[Column11]],Table110461117[[#This Row],[Column29]]),"0")</f>
        <v>2.1666666666666665</v>
      </c>
      <c r="AU183" s="117">
        <f>IFERROR(AVERAGE(Table110461117[[#This Row],[Column3]],Table110461117[[#This Row],[Column12]],Table110461117[[#This Row],[Column21]],Table110461117[[#This Row],[Column30]]),"0")</f>
        <v>2.375</v>
      </c>
      <c r="AV183" s="117">
        <f>IFERROR(AVERAGE(Table110461117[[#This Row],[Column31]],Table110461117[[#This Row],[Column22]],Table110461117[[#This Row],[Column4]]),"0")</f>
        <v>3</v>
      </c>
      <c r="AW183" s="117">
        <f>IFERROR(AVERAGE(Table110461117[[#This Row],[Column14]]),"0")</f>
        <v>2</v>
      </c>
      <c r="AX183" s="117"/>
      <c r="AY183" s="117">
        <f>IFERROR(AVERAGE(Table110461117[[#This Row],[Column34]],Table110461117[[#This Row],[Column16]],Table110461117[[#This Row],[Column7]]),"0")</f>
        <v>2.4166666666666665</v>
      </c>
      <c r="AZ183" s="117">
        <f>IFERROR(AVERAGE(Table110461117[[#This Row],[Column35]],Table110461117[[#This Row],[Column17]],Table110461117[[#This Row],[Column8]]),"0")</f>
        <v>3</v>
      </c>
      <c r="BA183" s="116"/>
      <c r="BB183" s="117"/>
      <c r="BC183" s="117">
        <f>IFERROR(AVERAGE('Book Review'!AY183,Debate!AY183,'Case study'!AY183,Capstone!AY183),"A")</f>
        <v>3.375</v>
      </c>
      <c r="BD183" s="117">
        <f>IFERROR(AVERAGE('Book Review'!AZ183,Debate!AZ183,'Case study'!AZ183),"A")</f>
        <v>3.6666666666666665</v>
      </c>
    </row>
    <row r="184" spans="1:56" s="109" customFormat="1" ht="23.1" customHeight="1" x14ac:dyDescent="0.3">
      <c r="A184" s="6">
        <v>182</v>
      </c>
      <c r="B184" s="7" t="s">
        <v>44</v>
      </c>
      <c r="C184" s="7" t="s">
        <v>45</v>
      </c>
      <c r="D184" s="7" t="s">
        <v>450</v>
      </c>
      <c r="E184" s="7" t="s">
        <v>35</v>
      </c>
      <c r="F184" s="118">
        <f>'Book Review'!K184</f>
        <v>4</v>
      </c>
      <c r="G184" s="118">
        <f>'Book Review'!Q184</f>
        <v>4</v>
      </c>
      <c r="H184" s="118">
        <f>'Book Review'!W184</f>
        <v>4</v>
      </c>
      <c r="I184" s="118"/>
      <c r="J184" s="118"/>
      <c r="K184" s="118">
        <f>'Book Review'!AO184</f>
        <v>3.5</v>
      </c>
      <c r="L184" s="118">
        <f>'Book Review'!AU184</f>
        <v>2</v>
      </c>
      <c r="M184" s="116"/>
      <c r="N184" s="118">
        <f>Debate!K184</f>
        <v>4</v>
      </c>
      <c r="O184" s="118">
        <f>Debate!Q184</f>
        <v>4</v>
      </c>
      <c r="P184" s="118"/>
      <c r="Q184" s="118">
        <f>Debate!AC184</f>
        <v>4</v>
      </c>
      <c r="R184" s="118"/>
      <c r="S184" s="118">
        <f>Debate!AO184</f>
        <v>4</v>
      </c>
      <c r="T184" s="118">
        <f>Debate!AU184</f>
        <v>3</v>
      </c>
      <c r="U184" s="116"/>
      <c r="V184" s="7"/>
      <c r="W184" s="118">
        <f>GD!Q184</f>
        <v>4</v>
      </c>
      <c r="X184" s="118">
        <f>GD!W184</f>
        <v>4</v>
      </c>
      <c r="Y184" s="118"/>
      <c r="Z184" s="118"/>
      <c r="AA184" s="7"/>
      <c r="AB184" s="118"/>
      <c r="AC184" s="116"/>
      <c r="AD184" s="118">
        <f>'Case study'!K184</f>
        <v>4</v>
      </c>
      <c r="AE184" s="118">
        <f>'Case study'!Q184</f>
        <v>4</v>
      </c>
      <c r="AF184" s="118">
        <f>'Case study'!W184</f>
        <v>4</v>
      </c>
      <c r="AG184" s="118"/>
      <c r="AH184" s="118"/>
      <c r="AI184" s="118">
        <f>'Case study'!AO184</f>
        <v>3.25</v>
      </c>
      <c r="AJ184" s="118">
        <f>'Case study'!AU184</f>
        <v>3</v>
      </c>
      <c r="AK184" s="116"/>
      <c r="AL184" s="118">
        <f>Capstone!K184</f>
        <v>3.6666666666666665</v>
      </c>
      <c r="AM184" s="118">
        <f>Capstone!Q185</f>
        <v>4</v>
      </c>
      <c r="AN184" s="118">
        <f>Capstone!W185</f>
        <v>2</v>
      </c>
      <c r="AO184" s="118"/>
      <c r="AP184" s="118"/>
      <c r="AQ184" s="118">
        <f>Capstone!AO185</f>
        <v>4.5</v>
      </c>
      <c r="AR184" s="118"/>
      <c r="AS184" s="116"/>
      <c r="AT184" s="118">
        <f>IFERROR(AVERAGE(Table110461117[[#This Row],[Column2]],Table110461117[[#This Row],[Column11]],Table110461117[[#This Row],[Column29]]),"0")</f>
        <v>4</v>
      </c>
      <c r="AU184" s="118">
        <f>IFERROR(AVERAGE(Table110461117[[#This Row],[Column3]],Table110461117[[#This Row],[Column12]],Table110461117[[#This Row],[Column21]],Table110461117[[#This Row],[Column30]]),"0")</f>
        <v>4</v>
      </c>
      <c r="AV184" s="118">
        <f>IFERROR(AVERAGE(Table110461117[[#This Row],[Column31]],Table110461117[[#This Row],[Column22]],Table110461117[[#This Row],[Column4]]),"0")</f>
        <v>4</v>
      </c>
      <c r="AW184" s="118">
        <f>IFERROR(AVERAGE(Table110461117[[#This Row],[Column14]]),"0")</f>
        <v>4</v>
      </c>
      <c r="AX184" s="118"/>
      <c r="AY184" s="118">
        <f>IFERROR(AVERAGE(Table110461117[[#This Row],[Column34]],Table110461117[[#This Row],[Column16]],Table110461117[[#This Row],[Column7]]),"0")</f>
        <v>3.5833333333333335</v>
      </c>
      <c r="AZ184" s="118">
        <f>IFERROR(AVERAGE(Table110461117[[#This Row],[Column35]],Table110461117[[#This Row],[Column17]],Table110461117[[#This Row],[Column8]]),"0")</f>
        <v>2.6666666666666665</v>
      </c>
      <c r="BA184" s="116"/>
      <c r="BB184" s="118"/>
      <c r="BC184" s="118">
        <f>IFERROR(AVERAGE('Book Review'!AY184,Debate!AY184,'Case study'!AY184,Capstone!AY184),"A")</f>
        <v>3.75</v>
      </c>
      <c r="BD184" s="118">
        <f>IFERROR(AVERAGE('Book Review'!AZ184,Debate!AZ184,'Case study'!AZ184),"A")</f>
        <v>3.3333333333333335</v>
      </c>
    </row>
    <row r="185" spans="1:56" s="109" customFormat="1" ht="23.1" customHeight="1" x14ac:dyDescent="0.3">
      <c r="A185" s="115">
        <v>183</v>
      </c>
      <c r="B185" s="49" t="s">
        <v>406</v>
      </c>
      <c r="C185" s="49" t="s">
        <v>407</v>
      </c>
      <c r="D185" s="49" t="s">
        <v>450</v>
      </c>
      <c r="E185" s="49" t="s">
        <v>493</v>
      </c>
      <c r="F185" s="117">
        <f>'Book Review'!K185</f>
        <v>2</v>
      </c>
      <c r="G185" s="117">
        <f>'Book Review'!Q185</f>
        <v>2.4</v>
      </c>
      <c r="H185" s="117">
        <f>'Book Review'!W185</f>
        <v>2</v>
      </c>
      <c r="I185" s="117"/>
      <c r="J185" s="117"/>
      <c r="K185" s="117">
        <f>'Book Review'!AO185</f>
        <v>2.5</v>
      </c>
      <c r="L185" s="117">
        <f>'Book Review'!AU185</f>
        <v>2</v>
      </c>
      <c r="M185" s="116"/>
      <c r="N185" s="117">
        <f>Debate!K185</f>
        <v>2</v>
      </c>
      <c r="O185" s="117">
        <f>Debate!Q185</f>
        <v>2.4</v>
      </c>
      <c r="P185" s="117"/>
      <c r="Q185" s="117">
        <f>Debate!AC185</f>
        <v>3</v>
      </c>
      <c r="R185" s="117"/>
      <c r="S185" s="117">
        <f>Debate!AO185</f>
        <v>3</v>
      </c>
      <c r="T185" s="117">
        <f>Debate!AU185</f>
        <v>3</v>
      </c>
      <c r="U185" s="116"/>
      <c r="V185" s="49"/>
      <c r="W185" s="117">
        <f>GD!Q185</f>
        <v>2.5</v>
      </c>
      <c r="X185" s="117">
        <f>GD!W185</f>
        <v>2</v>
      </c>
      <c r="Y185" s="117"/>
      <c r="Z185" s="117"/>
      <c r="AA185" s="49"/>
      <c r="AB185" s="117"/>
      <c r="AC185" s="116"/>
      <c r="AD185" s="117">
        <f>'Case study'!K185</f>
        <v>2</v>
      </c>
      <c r="AE185" s="117">
        <f>'Case study'!Q185</f>
        <v>2.2000000000000002</v>
      </c>
      <c r="AF185" s="117">
        <f>'Case study'!W185</f>
        <v>2</v>
      </c>
      <c r="AG185" s="117"/>
      <c r="AH185" s="117"/>
      <c r="AI185" s="117">
        <f>'Case study'!AO185</f>
        <v>2</v>
      </c>
      <c r="AJ185" s="117">
        <f>'Case study'!AU185</f>
        <v>3</v>
      </c>
      <c r="AK185" s="116"/>
      <c r="AL185" s="117">
        <f>Capstone!K185</f>
        <v>4.333333333333333</v>
      </c>
      <c r="AM185" s="117">
        <f>Capstone!Q186</f>
        <v>3.5</v>
      </c>
      <c r="AN185" s="117">
        <f>Capstone!W186</f>
        <v>4</v>
      </c>
      <c r="AO185" s="117"/>
      <c r="AP185" s="117"/>
      <c r="AQ185" s="117">
        <f>Capstone!AO186</f>
        <v>2</v>
      </c>
      <c r="AR185" s="117"/>
      <c r="AS185" s="116"/>
      <c r="AT185" s="117">
        <f>IFERROR(AVERAGE(Table110461117[[#This Row],[Column2]],Table110461117[[#This Row],[Column11]],Table110461117[[#This Row],[Column29]]),"0")</f>
        <v>2</v>
      </c>
      <c r="AU185" s="117">
        <f>IFERROR(AVERAGE(Table110461117[[#This Row],[Column3]],Table110461117[[#This Row],[Column12]],Table110461117[[#This Row],[Column21]],Table110461117[[#This Row],[Column30]]),"0")</f>
        <v>2.375</v>
      </c>
      <c r="AV185" s="117">
        <f>IFERROR(AVERAGE(Table110461117[[#This Row],[Column31]],Table110461117[[#This Row],[Column22]],Table110461117[[#This Row],[Column4]]),"0")</f>
        <v>2</v>
      </c>
      <c r="AW185" s="117">
        <f>IFERROR(AVERAGE(Table110461117[[#This Row],[Column14]]),"0")</f>
        <v>3</v>
      </c>
      <c r="AX185" s="117"/>
      <c r="AY185" s="117">
        <f>IFERROR(AVERAGE(Table110461117[[#This Row],[Column34]],Table110461117[[#This Row],[Column16]],Table110461117[[#This Row],[Column7]]),"0")</f>
        <v>2.5</v>
      </c>
      <c r="AZ185" s="117">
        <f>IFERROR(AVERAGE(Table110461117[[#This Row],[Column35]],Table110461117[[#This Row],[Column17]],Table110461117[[#This Row],[Column8]]),"0")</f>
        <v>2.6666666666666665</v>
      </c>
      <c r="BA185" s="116"/>
      <c r="BB185" s="117"/>
      <c r="BC185" s="117">
        <f>IFERROR(AVERAGE('Book Review'!AY185,Debate!AY185,'Case study'!AY185,Capstone!AY185),"A")</f>
        <v>2.5</v>
      </c>
      <c r="BD185" s="117">
        <f>IFERROR(AVERAGE('Book Review'!AZ185,Debate!AZ185,'Case study'!AZ185),"A")</f>
        <v>2.6666666666666665</v>
      </c>
    </row>
    <row r="186" spans="1:56" s="109" customFormat="1" ht="23.1" customHeight="1" x14ac:dyDescent="0.3">
      <c r="A186" s="6">
        <v>184</v>
      </c>
      <c r="B186" s="7" t="s">
        <v>287</v>
      </c>
      <c r="C186" s="7" t="s">
        <v>288</v>
      </c>
      <c r="D186" s="7" t="s">
        <v>450</v>
      </c>
      <c r="E186" s="7" t="s">
        <v>161</v>
      </c>
      <c r="F186" s="118">
        <f>'Book Review'!K186</f>
        <v>3.5</v>
      </c>
      <c r="G186" s="118">
        <f>'Book Review'!Q186</f>
        <v>2.8</v>
      </c>
      <c r="H186" s="118">
        <f>'Book Review'!W186</f>
        <v>4</v>
      </c>
      <c r="I186" s="118"/>
      <c r="J186" s="118"/>
      <c r="K186" s="118">
        <f>'Book Review'!AO186</f>
        <v>2.5</v>
      </c>
      <c r="L186" s="118">
        <f>'Book Review'!AU186</f>
        <v>3</v>
      </c>
      <c r="M186" s="116"/>
      <c r="N186" s="118">
        <f>Debate!K186</f>
        <v>2</v>
      </c>
      <c r="O186" s="118">
        <f>Debate!Q186</f>
        <v>3.4</v>
      </c>
      <c r="P186" s="118"/>
      <c r="Q186" s="118">
        <f>Debate!AC186</f>
        <v>3</v>
      </c>
      <c r="R186" s="118"/>
      <c r="S186" s="118">
        <f>Debate!AO186</f>
        <v>2.6666666666666665</v>
      </c>
      <c r="T186" s="118">
        <f>Debate!AU186</f>
        <v>3</v>
      </c>
      <c r="U186" s="116"/>
      <c r="V186" s="7"/>
      <c r="W186" s="118">
        <f>GD!Q186</f>
        <v>2.75</v>
      </c>
      <c r="X186" s="118">
        <f>GD!W186</f>
        <v>3</v>
      </c>
      <c r="Y186" s="118"/>
      <c r="Z186" s="118"/>
      <c r="AA186" s="7"/>
      <c r="AB186" s="118"/>
      <c r="AC186" s="116"/>
      <c r="AD186" s="118">
        <f>'Case study'!K186</f>
        <v>3.5</v>
      </c>
      <c r="AE186" s="118">
        <f>'Case study'!Q186</f>
        <v>2.8</v>
      </c>
      <c r="AF186" s="118">
        <f>'Case study'!W186</f>
        <v>4</v>
      </c>
      <c r="AG186" s="118"/>
      <c r="AH186" s="118"/>
      <c r="AI186" s="118">
        <f>'Case study'!AO186</f>
        <v>2.75</v>
      </c>
      <c r="AJ186" s="118">
        <f>'Case study'!AU186</f>
        <v>3</v>
      </c>
      <c r="AK186" s="116"/>
      <c r="AL186" s="118">
        <f>Capstone!K186</f>
        <v>2.3333333333333335</v>
      </c>
      <c r="AM186" s="118">
        <f>Capstone!Q187</f>
        <v>2.5</v>
      </c>
      <c r="AN186" s="118">
        <f>Capstone!W187</f>
        <v>2</v>
      </c>
      <c r="AO186" s="118"/>
      <c r="AP186" s="118"/>
      <c r="AQ186" s="118">
        <f>Capstone!AO187</f>
        <v>3</v>
      </c>
      <c r="AR186" s="118"/>
      <c r="AS186" s="116"/>
      <c r="AT186" s="118">
        <f>IFERROR(AVERAGE(Table110461117[[#This Row],[Column2]],Table110461117[[#This Row],[Column11]],Table110461117[[#This Row],[Column29]]),"0")</f>
        <v>3</v>
      </c>
      <c r="AU186" s="118">
        <f>IFERROR(AVERAGE(Table110461117[[#This Row],[Column3]],Table110461117[[#This Row],[Column12]],Table110461117[[#This Row],[Column21]],Table110461117[[#This Row],[Column30]]),"0")</f>
        <v>2.9375</v>
      </c>
      <c r="AV186" s="118">
        <f>IFERROR(AVERAGE(Table110461117[[#This Row],[Column31]],Table110461117[[#This Row],[Column22]],Table110461117[[#This Row],[Column4]]),"0")</f>
        <v>3.6666666666666665</v>
      </c>
      <c r="AW186" s="118">
        <f>IFERROR(AVERAGE(Table110461117[[#This Row],[Column14]]),"0")</f>
        <v>3</v>
      </c>
      <c r="AX186" s="118"/>
      <c r="AY186" s="118">
        <f>IFERROR(AVERAGE(Table110461117[[#This Row],[Column34]],Table110461117[[#This Row],[Column16]],Table110461117[[#This Row],[Column7]]),"0")</f>
        <v>2.6388888888888888</v>
      </c>
      <c r="AZ186" s="118">
        <f>IFERROR(AVERAGE(Table110461117[[#This Row],[Column35]],Table110461117[[#This Row],[Column17]],Table110461117[[#This Row],[Column8]]),"0")</f>
        <v>3</v>
      </c>
      <c r="BA186" s="116"/>
      <c r="BB186" s="118"/>
      <c r="BC186" s="118">
        <f>IFERROR(AVERAGE('Book Review'!AY186,Debate!AY186,'Case study'!AY186,Capstone!AY186),"A")</f>
        <v>3</v>
      </c>
      <c r="BD186" s="118">
        <f>IFERROR(AVERAGE('Book Review'!AZ186,Debate!AZ186,'Case study'!AZ186),"A")</f>
        <v>3</v>
      </c>
    </row>
    <row r="187" spans="1:56" s="109" customFormat="1" ht="23.1" customHeight="1" x14ac:dyDescent="0.3">
      <c r="A187" s="115">
        <v>185</v>
      </c>
      <c r="B187" s="49" t="s">
        <v>408</v>
      </c>
      <c r="C187" s="49" t="s">
        <v>409</v>
      </c>
      <c r="D187" s="49" t="s">
        <v>450</v>
      </c>
      <c r="E187" s="49" t="s">
        <v>493</v>
      </c>
      <c r="F187" s="117">
        <f>'Book Review'!K187</f>
        <v>2.25</v>
      </c>
      <c r="G187" s="117">
        <f>'Book Review'!Q187</f>
        <v>2.8</v>
      </c>
      <c r="H187" s="117">
        <f>'Book Review'!W187</f>
        <v>2</v>
      </c>
      <c r="I187" s="117"/>
      <c r="J187" s="117"/>
      <c r="K187" s="117">
        <f>'Book Review'!AO187</f>
        <v>3</v>
      </c>
      <c r="L187" s="117">
        <f>'Book Review'!AU187</f>
        <v>3</v>
      </c>
      <c r="M187" s="116"/>
      <c r="N187" s="117">
        <f>Debate!K187</f>
        <v>3</v>
      </c>
      <c r="O187" s="117">
        <f>Debate!Q187</f>
        <v>2.2999999999999998</v>
      </c>
      <c r="P187" s="117"/>
      <c r="Q187" s="117">
        <f>Debate!AC187</f>
        <v>3</v>
      </c>
      <c r="R187" s="117"/>
      <c r="S187" s="117">
        <f>Debate!AO187</f>
        <v>3</v>
      </c>
      <c r="T187" s="117">
        <f>Debate!AU187</f>
        <v>3</v>
      </c>
      <c r="U187" s="116"/>
      <c r="V187" s="49"/>
      <c r="W187" s="117">
        <f>GD!Q187</f>
        <v>3</v>
      </c>
      <c r="X187" s="117">
        <f>GD!W187</f>
        <v>3</v>
      </c>
      <c r="Y187" s="117"/>
      <c r="Z187" s="117"/>
      <c r="AA187" s="49"/>
      <c r="AB187" s="117"/>
      <c r="AC187" s="116"/>
      <c r="AD187" s="117">
        <f>'Case study'!K187</f>
        <v>2.25</v>
      </c>
      <c r="AE187" s="117">
        <f>'Case study'!Q187</f>
        <v>2.8</v>
      </c>
      <c r="AF187" s="117">
        <f>'Case study'!W187</f>
        <v>2</v>
      </c>
      <c r="AG187" s="117"/>
      <c r="AH187" s="117"/>
      <c r="AI187" s="117">
        <f>'Case study'!AO187</f>
        <v>3</v>
      </c>
      <c r="AJ187" s="117">
        <f>'Case study'!AU187</f>
        <v>3</v>
      </c>
      <c r="AK187" s="116"/>
      <c r="AL187" s="117">
        <f>Capstone!K187</f>
        <v>2.6666666666666665</v>
      </c>
      <c r="AM187" s="117">
        <f>Capstone!Q188</f>
        <v>3</v>
      </c>
      <c r="AN187" s="117">
        <f>Capstone!W188</f>
        <v>2</v>
      </c>
      <c r="AO187" s="117"/>
      <c r="AP187" s="117"/>
      <c r="AQ187" s="117">
        <f>Capstone!AO188</f>
        <v>1.75</v>
      </c>
      <c r="AR187" s="117"/>
      <c r="AS187" s="116"/>
      <c r="AT187" s="117">
        <f>IFERROR(AVERAGE(Table110461117[[#This Row],[Column2]],Table110461117[[#This Row],[Column11]],Table110461117[[#This Row],[Column29]]),"0")</f>
        <v>2.5</v>
      </c>
      <c r="AU187" s="117">
        <f>IFERROR(AVERAGE(Table110461117[[#This Row],[Column3]],Table110461117[[#This Row],[Column12]],Table110461117[[#This Row],[Column21]],Table110461117[[#This Row],[Column30]]),"0")</f>
        <v>2.7249999999999996</v>
      </c>
      <c r="AV187" s="117">
        <f>IFERROR(AVERAGE(Table110461117[[#This Row],[Column31]],Table110461117[[#This Row],[Column22]],Table110461117[[#This Row],[Column4]]),"0")</f>
        <v>2.3333333333333335</v>
      </c>
      <c r="AW187" s="117">
        <f>IFERROR(AVERAGE(Table110461117[[#This Row],[Column14]]),"0")</f>
        <v>3</v>
      </c>
      <c r="AX187" s="117"/>
      <c r="AY187" s="117">
        <f>IFERROR(AVERAGE(Table110461117[[#This Row],[Column34]],Table110461117[[#This Row],[Column16]],Table110461117[[#This Row],[Column7]]),"0")</f>
        <v>3</v>
      </c>
      <c r="AZ187" s="117">
        <f>IFERROR(AVERAGE(Table110461117[[#This Row],[Column35]],Table110461117[[#This Row],[Column17]],Table110461117[[#This Row],[Column8]]),"0")</f>
        <v>3</v>
      </c>
      <c r="BA187" s="116"/>
      <c r="BB187" s="117"/>
      <c r="BC187" s="117">
        <f>IFERROR(AVERAGE('Book Review'!AY187,Debate!AY187,'Case study'!AY187,Capstone!AY187),"A")</f>
        <v>2.75</v>
      </c>
      <c r="BD187" s="117">
        <f>IFERROR(AVERAGE('Book Review'!AZ187,Debate!AZ187,'Case study'!AZ187),"A")</f>
        <v>2.6666666666666665</v>
      </c>
    </row>
    <row r="188" spans="1:56" s="109" customFormat="1" ht="23.1" customHeight="1" x14ac:dyDescent="0.3">
      <c r="A188" s="6">
        <v>186</v>
      </c>
      <c r="B188" s="7" t="s">
        <v>410</v>
      </c>
      <c r="C188" s="7" t="s">
        <v>411</v>
      </c>
      <c r="D188" s="7" t="s">
        <v>450</v>
      </c>
      <c r="E188" s="7" t="s">
        <v>493</v>
      </c>
      <c r="F188" s="118">
        <f>'Book Review'!K188</f>
        <v>2.25</v>
      </c>
      <c r="G188" s="118">
        <f>'Book Review'!Q188</f>
        <v>3.2</v>
      </c>
      <c r="H188" s="118">
        <f>'Book Review'!W188</f>
        <v>2</v>
      </c>
      <c r="I188" s="118"/>
      <c r="J188" s="118"/>
      <c r="K188" s="118">
        <f>'Book Review'!AO188</f>
        <v>3</v>
      </c>
      <c r="L188" s="118">
        <f>'Book Review'!AU188</f>
        <v>2</v>
      </c>
      <c r="M188" s="116"/>
      <c r="N188" s="118">
        <f>Debate!K188</f>
        <v>3</v>
      </c>
      <c r="O188" s="118">
        <f>Debate!Q188</f>
        <v>2.6</v>
      </c>
      <c r="P188" s="118"/>
      <c r="Q188" s="118">
        <f>Debate!AC188</f>
        <v>3</v>
      </c>
      <c r="R188" s="118"/>
      <c r="S188" s="118">
        <f>Debate!AO188</f>
        <v>3.6666666666666665</v>
      </c>
      <c r="T188" s="118">
        <f>Debate!AU188</f>
        <v>3</v>
      </c>
      <c r="U188" s="116"/>
      <c r="V188" s="7"/>
      <c r="W188" s="118">
        <f>GD!Q188</f>
        <v>3</v>
      </c>
      <c r="X188" s="118">
        <f>GD!W188</f>
        <v>2</v>
      </c>
      <c r="Y188" s="118"/>
      <c r="Z188" s="118"/>
      <c r="AA188" s="7"/>
      <c r="AB188" s="118"/>
      <c r="AC188" s="116"/>
      <c r="AD188" s="118">
        <f>'Case study'!K188</f>
        <v>2</v>
      </c>
      <c r="AE188" s="118">
        <f>'Case study'!Q188</f>
        <v>2.6</v>
      </c>
      <c r="AF188" s="118">
        <f>'Case study'!W188</f>
        <v>2</v>
      </c>
      <c r="AG188" s="118"/>
      <c r="AH188" s="118"/>
      <c r="AI188" s="118">
        <f>'Case study'!AO188</f>
        <v>2</v>
      </c>
      <c r="AJ188" s="118">
        <f>'Case study'!AU188</f>
        <v>3</v>
      </c>
      <c r="AK188" s="116"/>
      <c r="AL188" s="118">
        <f>Capstone!K188</f>
        <v>1.6666666666666667</v>
      </c>
      <c r="AM188" s="118">
        <f>Capstone!Q189</f>
        <v>4</v>
      </c>
      <c r="AN188" s="118">
        <f>Capstone!W189</f>
        <v>3</v>
      </c>
      <c r="AO188" s="118"/>
      <c r="AP188" s="118"/>
      <c r="AQ188" s="118">
        <f>Capstone!AO189</f>
        <v>3.5</v>
      </c>
      <c r="AR188" s="118"/>
      <c r="AS188" s="116"/>
      <c r="AT188" s="118">
        <f>IFERROR(AVERAGE(Table110461117[[#This Row],[Column2]],Table110461117[[#This Row],[Column11]],Table110461117[[#This Row],[Column29]]),"0")</f>
        <v>2.4166666666666665</v>
      </c>
      <c r="AU188" s="118">
        <f>IFERROR(AVERAGE(Table110461117[[#This Row],[Column3]],Table110461117[[#This Row],[Column12]],Table110461117[[#This Row],[Column21]],Table110461117[[#This Row],[Column30]]),"0")</f>
        <v>2.85</v>
      </c>
      <c r="AV188" s="118">
        <f>IFERROR(AVERAGE(Table110461117[[#This Row],[Column31]],Table110461117[[#This Row],[Column22]],Table110461117[[#This Row],[Column4]]),"0")</f>
        <v>2</v>
      </c>
      <c r="AW188" s="118">
        <f>IFERROR(AVERAGE(Table110461117[[#This Row],[Column14]]),"0")</f>
        <v>3</v>
      </c>
      <c r="AX188" s="118"/>
      <c r="AY188" s="118">
        <f>IFERROR(AVERAGE(Table110461117[[#This Row],[Column34]],Table110461117[[#This Row],[Column16]],Table110461117[[#This Row],[Column7]]),"0")</f>
        <v>2.8888888888888888</v>
      </c>
      <c r="AZ188" s="118">
        <f>IFERROR(AVERAGE(Table110461117[[#This Row],[Column35]],Table110461117[[#This Row],[Column17]],Table110461117[[#This Row],[Column8]]),"0")</f>
        <v>2.6666666666666665</v>
      </c>
      <c r="BA188" s="116"/>
      <c r="BB188" s="118"/>
      <c r="BC188" s="118">
        <f>IFERROR(AVERAGE('Book Review'!AY188,Debate!AY188,'Case study'!AY188,Capstone!AY188),"A")</f>
        <v>2.25</v>
      </c>
      <c r="BD188" s="118">
        <f>IFERROR(AVERAGE('Book Review'!AZ188,Debate!AZ188,'Case study'!AZ188),"A")</f>
        <v>2.6666666666666665</v>
      </c>
    </row>
    <row r="189" spans="1:56" s="109" customFormat="1" ht="23.1" customHeight="1" x14ac:dyDescent="0.3">
      <c r="A189" s="115">
        <v>187</v>
      </c>
      <c r="B189" s="49" t="s">
        <v>412</v>
      </c>
      <c r="C189" s="49" t="s">
        <v>413</v>
      </c>
      <c r="D189" s="49" t="s">
        <v>542</v>
      </c>
      <c r="E189" s="49" t="s">
        <v>493</v>
      </c>
      <c r="F189" s="117">
        <f>'Book Review'!K189</f>
        <v>3</v>
      </c>
      <c r="G189" s="117">
        <f>'Book Review'!Q189</f>
        <v>3.2</v>
      </c>
      <c r="H189" s="117">
        <f>'Book Review'!W189</f>
        <v>3</v>
      </c>
      <c r="I189" s="117"/>
      <c r="J189" s="117"/>
      <c r="K189" s="117">
        <f>'Book Review'!AO189</f>
        <v>3</v>
      </c>
      <c r="L189" s="117">
        <f>'Book Review'!AU189</f>
        <v>3</v>
      </c>
      <c r="M189" s="116"/>
      <c r="N189" s="117">
        <f>Debate!K189</f>
        <v>3</v>
      </c>
      <c r="O189" s="117">
        <f>Debate!Q189</f>
        <v>3.2</v>
      </c>
      <c r="P189" s="117"/>
      <c r="Q189" s="117">
        <f>Debate!AC189</f>
        <v>3</v>
      </c>
      <c r="R189" s="117"/>
      <c r="S189" s="117">
        <f>Debate!AO189</f>
        <v>3</v>
      </c>
      <c r="T189" s="117">
        <f>Debate!AU189</f>
        <v>3</v>
      </c>
      <c r="U189" s="116"/>
      <c r="V189" s="49"/>
      <c r="W189" s="117">
        <f>GD!Q189</f>
        <v>3</v>
      </c>
      <c r="X189" s="117">
        <f>GD!W189</f>
        <v>4</v>
      </c>
      <c r="Y189" s="117"/>
      <c r="Z189" s="117"/>
      <c r="AA189" s="49"/>
      <c r="AB189" s="117"/>
      <c r="AC189" s="116"/>
      <c r="AD189" s="117">
        <f>'Case study'!K189</f>
        <v>3</v>
      </c>
      <c r="AE189" s="117">
        <f>'Case study'!Q189</f>
        <v>3.2</v>
      </c>
      <c r="AF189" s="117">
        <f>'Case study'!W189</f>
        <v>3</v>
      </c>
      <c r="AG189" s="117"/>
      <c r="AH189" s="117"/>
      <c r="AI189" s="117">
        <f>'Case study'!AO189</f>
        <v>3</v>
      </c>
      <c r="AJ189" s="117">
        <f>'Case study'!AU189</f>
        <v>3</v>
      </c>
      <c r="AK189" s="116"/>
      <c r="AL189" s="117">
        <f>Capstone!K189</f>
        <v>3.6666666666666665</v>
      </c>
      <c r="AM189" s="117">
        <f>Capstone!Q190</f>
        <v>4</v>
      </c>
      <c r="AN189" s="117">
        <f>Capstone!W190</f>
        <v>2</v>
      </c>
      <c r="AO189" s="117"/>
      <c r="AP189" s="117"/>
      <c r="AQ189" s="117">
        <f>Capstone!AO190</f>
        <v>4</v>
      </c>
      <c r="AR189" s="117"/>
      <c r="AS189" s="116"/>
      <c r="AT189" s="117">
        <f>IFERROR(AVERAGE(Table110461117[[#This Row],[Column2]],Table110461117[[#This Row],[Column11]],Table110461117[[#This Row],[Column29]]),"0")</f>
        <v>3</v>
      </c>
      <c r="AU189" s="117">
        <f>IFERROR(AVERAGE(Table110461117[[#This Row],[Column3]],Table110461117[[#This Row],[Column12]],Table110461117[[#This Row],[Column21]],Table110461117[[#This Row],[Column30]]),"0")</f>
        <v>3.1500000000000004</v>
      </c>
      <c r="AV189" s="117">
        <f>IFERROR(AVERAGE(Table110461117[[#This Row],[Column31]],Table110461117[[#This Row],[Column22]],Table110461117[[#This Row],[Column4]]),"0")</f>
        <v>3.3333333333333335</v>
      </c>
      <c r="AW189" s="117">
        <f>IFERROR(AVERAGE(Table110461117[[#This Row],[Column14]]),"0")</f>
        <v>3</v>
      </c>
      <c r="AX189" s="117"/>
      <c r="AY189" s="117">
        <f>IFERROR(AVERAGE(Table110461117[[#This Row],[Column34]],Table110461117[[#This Row],[Column16]],Table110461117[[#This Row],[Column7]]),"0")</f>
        <v>3</v>
      </c>
      <c r="AZ189" s="117">
        <f>IFERROR(AVERAGE(Table110461117[[#This Row],[Column35]],Table110461117[[#This Row],[Column17]],Table110461117[[#This Row],[Column8]]),"0")</f>
        <v>3</v>
      </c>
      <c r="BA189" s="116"/>
      <c r="BB189" s="117"/>
      <c r="BC189" s="117">
        <f>IFERROR(AVERAGE('Book Review'!AY189,Debate!AY189,'Case study'!AY189,Capstone!AY189),"A")</f>
        <v>2.5</v>
      </c>
      <c r="BD189" s="117">
        <f>IFERROR(AVERAGE('Book Review'!AZ189,Debate!AZ189,'Case study'!AZ189),"A")</f>
        <v>2</v>
      </c>
    </row>
    <row r="190" spans="1:56" s="109" customFormat="1" ht="23.1" customHeight="1" x14ac:dyDescent="0.3">
      <c r="A190" s="6">
        <v>188</v>
      </c>
      <c r="B190" s="7" t="s">
        <v>148</v>
      </c>
      <c r="C190" s="7" t="s">
        <v>149</v>
      </c>
      <c r="D190" s="7" t="s">
        <v>542</v>
      </c>
      <c r="E190" s="7" t="s">
        <v>35</v>
      </c>
      <c r="F190" s="118">
        <f>'Book Review'!K190</f>
        <v>2.25</v>
      </c>
      <c r="G190" s="118">
        <f>'Book Review'!Q190</f>
        <v>2.6</v>
      </c>
      <c r="H190" s="118">
        <f>'Book Review'!W190</f>
        <v>2</v>
      </c>
      <c r="I190" s="118"/>
      <c r="J190" s="118"/>
      <c r="K190" s="118">
        <f>'Book Review'!AO190</f>
        <v>2.5</v>
      </c>
      <c r="L190" s="118">
        <f>'Book Review'!AU190</f>
        <v>3</v>
      </c>
      <c r="M190" s="116"/>
      <c r="N190" s="118">
        <f>Debate!K190</f>
        <v>1</v>
      </c>
      <c r="O190" s="118">
        <f>Debate!Q190</f>
        <v>1.9</v>
      </c>
      <c r="P190" s="118"/>
      <c r="Q190" s="118">
        <f>Debate!AC190</f>
        <v>1</v>
      </c>
      <c r="R190" s="118"/>
      <c r="S190" s="118">
        <f>Debate!AO190</f>
        <v>2</v>
      </c>
      <c r="T190" s="118">
        <f>Debate!AU190</f>
        <v>1</v>
      </c>
      <c r="U190" s="116"/>
      <c r="V190" s="7"/>
      <c r="W190" s="118">
        <f>GD!Q190</f>
        <v>1.25</v>
      </c>
      <c r="X190" s="118">
        <f>GD!W190</f>
        <v>2</v>
      </c>
      <c r="Y190" s="118"/>
      <c r="Z190" s="118"/>
      <c r="AA190" s="7"/>
      <c r="AB190" s="118"/>
      <c r="AC190" s="116"/>
      <c r="AD190" s="118">
        <f>'Case study'!K190</f>
        <v>2</v>
      </c>
      <c r="AE190" s="118">
        <f>'Case study'!Q190</f>
        <v>2.8</v>
      </c>
      <c r="AF190" s="118">
        <f>'Case study'!W190</f>
        <v>2</v>
      </c>
      <c r="AG190" s="118"/>
      <c r="AH190" s="118"/>
      <c r="AI190" s="118">
        <f>'Case study'!AO190</f>
        <v>2</v>
      </c>
      <c r="AJ190" s="118">
        <f>'Case study'!AU190</f>
        <v>3</v>
      </c>
      <c r="AK190" s="116"/>
      <c r="AL190" s="118">
        <f>Capstone!K190</f>
        <v>4</v>
      </c>
      <c r="AM190" s="118">
        <f>Capstone!Q191</f>
        <v>4</v>
      </c>
      <c r="AN190" s="118">
        <f>Capstone!W191</f>
        <v>3</v>
      </c>
      <c r="AO190" s="118"/>
      <c r="AP190" s="118"/>
      <c r="AQ190" s="118">
        <f>Capstone!AO191</f>
        <v>4</v>
      </c>
      <c r="AR190" s="118"/>
      <c r="AS190" s="116"/>
      <c r="AT190" s="118">
        <f>IFERROR(AVERAGE(Table110461117[[#This Row],[Column2]],Table110461117[[#This Row],[Column11]],Table110461117[[#This Row],[Column29]]),"0")</f>
        <v>1.75</v>
      </c>
      <c r="AU190" s="118">
        <f>IFERROR(AVERAGE(Table110461117[[#This Row],[Column3]],Table110461117[[#This Row],[Column12]],Table110461117[[#This Row],[Column21]],Table110461117[[#This Row],[Column30]]),"0")</f>
        <v>2.1375000000000002</v>
      </c>
      <c r="AV190" s="118">
        <f>IFERROR(AVERAGE(Table110461117[[#This Row],[Column31]],Table110461117[[#This Row],[Column22]],Table110461117[[#This Row],[Column4]]),"0")</f>
        <v>2</v>
      </c>
      <c r="AW190" s="118">
        <f>IFERROR(AVERAGE(Table110461117[[#This Row],[Column14]]),"0")</f>
        <v>1</v>
      </c>
      <c r="AX190" s="118"/>
      <c r="AY190" s="118">
        <f>IFERROR(AVERAGE(Table110461117[[#This Row],[Column34]],Table110461117[[#This Row],[Column16]],Table110461117[[#This Row],[Column7]]),"0")</f>
        <v>2.1666666666666665</v>
      </c>
      <c r="AZ190" s="118">
        <f>IFERROR(AVERAGE(Table110461117[[#This Row],[Column35]],Table110461117[[#This Row],[Column17]],Table110461117[[#This Row],[Column8]]),"0")</f>
        <v>2.3333333333333335</v>
      </c>
      <c r="BA190" s="116"/>
      <c r="BB190" s="118"/>
      <c r="BC190" s="118">
        <f>IFERROR(AVERAGE('Book Review'!AY190,Debate!AY190,'Case study'!AY190,Capstone!AY190),"A")</f>
        <v>3</v>
      </c>
      <c r="BD190" s="118">
        <f>IFERROR(AVERAGE('Book Review'!AZ190,Debate!AZ190,'Case study'!AZ190),"A")</f>
        <v>2</v>
      </c>
    </row>
    <row r="191" spans="1:56" s="109" customFormat="1" ht="23.1" customHeight="1" x14ac:dyDescent="0.3">
      <c r="A191" s="115">
        <v>189</v>
      </c>
      <c r="B191" s="49" t="s">
        <v>414</v>
      </c>
      <c r="C191" s="49" t="s">
        <v>415</v>
      </c>
      <c r="D191" s="49" t="s">
        <v>450</v>
      </c>
      <c r="E191" s="49" t="s">
        <v>493</v>
      </c>
      <c r="F191" s="117">
        <f>'Book Review'!K191</f>
        <v>2.5</v>
      </c>
      <c r="G191" s="117">
        <f>'Book Review'!Q191</f>
        <v>2.8</v>
      </c>
      <c r="H191" s="117">
        <f>'Book Review'!W191</f>
        <v>3</v>
      </c>
      <c r="I191" s="117"/>
      <c r="J191" s="117"/>
      <c r="K191" s="117">
        <f>'Book Review'!AO191</f>
        <v>2.5</v>
      </c>
      <c r="L191" s="117">
        <f>'Book Review'!AU191</f>
        <v>4</v>
      </c>
      <c r="M191" s="116"/>
      <c r="N191" s="117">
        <f>Debate!K191</f>
        <v>2</v>
      </c>
      <c r="O191" s="117">
        <f>Debate!Q191</f>
        <v>2.6</v>
      </c>
      <c r="P191" s="117"/>
      <c r="Q191" s="117">
        <f>Debate!AC191</f>
        <v>2</v>
      </c>
      <c r="R191" s="117"/>
      <c r="S191" s="117">
        <f>Debate!AO191</f>
        <v>2.3333333333333335</v>
      </c>
      <c r="T191" s="117">
        <f>Debate!AU191</f>
        <v>3</v>
      </c>
      <c r="U191" s="116"/>
      <c r="V191" s="49"/>
      <c r="W191" s="117">
        <f>GD!Q191</f>
        <v>2.25</v>
      </c>
      <c r="X191" s="117">
        <f>GD!W191</f>
        <v>2</v>
      </c>
      <c r="Y191" s="117"/>
      <c r="Z191" s="117"/>
      <c r="AA191" s="49"/>
      <c r="AB191" s="117"/>
      <c r="AC191" s="116"/>
      <c r="AD191" s="117">
        <f>'Case study'!K191</f>
        <v>3</v>
      </c>
      <c r="AE191" s="117">
        <f>'Case study'!Q191</f>
        <v>3.2</v>
      </c>
      <c r="AF191" s="117">
        <f>'Case study'!W191</f>
        <v>3</v>
      </c>
      <c r="AG191" s="117"/>
      <c r="AH191" s="117"/>
      <c r="AI191" s="117">
        <f>'Case study'!AO191</f>
        <v>3</v>
      </c>
      <c r="AJ191" s="117">
        <f>'Case study'!AU191</f>
        <v>3</v>
      </c>
      <c r="AK191" s="116"/>
      <c r="AL191" s="117">
        <f>Capstone!K191</f>
        <v>4</v>
      </c>
      <c r="AM191" s="117">
        <f>Capstone!Q192</f>
        <v>2.25</v>
      </c>
      <c r="AN191" s="117">
        <f>Capstone!W192</f>
        <v>2.5</v>
      </c>
      <c r="AO191" s="117"/>
      <c r="AP191" s="117"/>
      <c r="AQ191" s="117">
        <f>Capstone!AO192</f>
        <v>3.25</v>
      </c>
      <c r="AR191" s="117"/>
      <c r="AS191" s="116"/>
      <c r="AT191" s="117">
        <f>IFERROR(AVERAGE(Table110461117[[#This Row],[Column2]],Table110461117[[#This Row],[Column11]],Table110461117[[#This Row],[Column29]]),"0")</f>
        <v>2.5</v>
      </c>
      <c r="AU191" s="117">
        <f>IFERROR(AVERAGE(Table110461117[[#This Row],[Column3]],Table110461117[[#This Row],[Column12]],Table110461117[[#This Row],[Column21]],Table110461117[[#This Row],[Column30]]),"0")</f>
        <v>2.7125000000000004</v>
      </c>
      <c r="AV191" s="117">
        <f>IFERROR(AVERAGE(Table110461117[[#This Row],[Column31]],Table110461117[[#This Row],[Column22]],Table110461117[[#This Row],[Column4]]),"0")</f>
        <v>2.6666666666666665</v>
      </c>
      <c r="AW191" s="117">
        <f>IFERROR(AVERAGE(Table110461117[[#This Row],[Column14]]),"0")</f>
        <v>2</v>
      </c>
      <c r="AX191" s="117"/>
      <c r="AY191" s="117">
        <f>IFERROR(AVERAGE(Table110461117[[#This Row],[Column34]],Table110461117[[#This Row],[Column16]],Table110461117[[#This Row],[Column7]]),"0")</f>
        <v>2.6111111111111112</v>
      </c>
      <c r="AZ191" s="117">
        <f>IFERROR(AVERAGE(Table110461117[[#This Row],[Column35]],Table110461117[[#This Row],[Column17]],Table110461117[[#This Row],[Column8]]),"0")</f>
        <v>3.3333333333333335</v>
      </c>
      <c r="BA191" s="116"/>
      <c r="BB191" s="117"/>
      <c r="BC191" s="117">
        <f>IFERROR(AVERAGE('Book Review'!AY191,Debate!AY191,'Case study'!AY191,Capstone!AY191),"A")</f>
        <v>3.25</v>
      </c>
      <c r="BD191" s="117">
        <f>IFERROR(AVERAGE('Book Review'!AZ191,Debate!AZ191,'Case study'!AZ191),"A")</f>
        <v>3</v>
      </c>
    </row>
    <row r="192" spans="1:56" s="109" customFormat="1" ht="23.1" customHeight="1" x14ac:dyDescent="0.3">
      <c r="A192" s="6">
        <v>190</v>
      </c>
      <c r="B192" s="7" t="s">
        <v>416</v>
      </c>
      <c r="C192" s="7" t="s">
        <v>417</v>
      </c>
      <c r="D192" s="7" t="s">
        <v>542</v>
      </c>
      <c r="E192" s="7" t="s">
        <v>289</v>
      </c>
      <c r="F192" s="118">
        <f>'Book Review'!K192</f>
        <v>2.125</v>
      </c>
      <c r="G192" s="118">
        <f>'Book Review'!Q192</f>
        <v>2.2000000000000002</v>
      </c>
      <c r="H192" s="118">
        <f>'Book Review'!W192</f>
        <v>2</v>
      </c>
      <c r="I192" s="118"/>
      <c r="J192" s="118"/>
      <c r="K192" s="118">
        <f>'Book Review'!AO192</f>
        <v>2</v>
      </c>
      <c r="L192" s="118">
        <f>'Book Review'!AU192</f>
        <v>2.5</v>
      </c>
      <c r="M192" s="116"/>
      <c r="N192" s="118">
        <f>Debate!K192</f>
        <v>2</v>
      </c>
      <c r="O192" s="118">
        <f>Debate!Q192</f>
        <v>2.15</v>
      </c>
      <c r="P192" s="118"/>
      <c r="Q192" s="118">
        <f>Debate!AC192</f>
        <v>2.5</v>
      </c>
      <c r="R192" s="118"/>
      <c r="S192" s="118">
        <f>Debate!AO192</f>
        <v>2.1666666666666665</v>
      </c>
      <c r="T192" s="118">
        <f>Debate!AU192</f>
        <v>2.5</v>
      </c>
      <c r="U192" s="116"/>
      <c r="V192" s="7"/>
      <c r="W192" s="118">
        <f>GD!Q192</f>
        <v>2.125</v>
      </c>
      <c r="X192" s="118">
        <f>GD!W192</f>
        <v>2.5</v>
      </c>
      <c r="Y192" s="118"/>
      <c r="Z192" s="118"/>
      <c r="AA192" s="7"/>
      <c r="AB192" s="118"/>
      <c r="AC192" s="116"/>
      <c r="AD192" s="118">
        <f>'Case study'!K192</f>
        <v>2.125</v>
      </c>
      <c r="AE192" s="118">
        <f>'Case study'!Q192</f>
        <v>2.2000000000000002</v>
      </c>
      <c r="AF192" s="118">
        <f>'Case study'!W192</f>
        <v>2.5</v>
      </c>
      <c r="AG192" s="118"/>
      <c r="AH192" s="118"/>
      <c r="AI192" s="118">
        <f>'Case study'!AO192</f>
        <v>2.375</v>
      </c>
      <c r="AJ192" s="118">
        <f>'Case study'!AU192</f>
        <v>2</v>
      </c>
      <c r="AK192" s="116"/>
      <c r="AL192" s="118">
        <f>Capstone!K192</f>
        <v>3.3333333333333335</v>
      </c>
      <c r="AM192" s="118">
        <f>Capstone!Q193</f>
        <v>4</v>
      </c>
      <c r="AN192" s="118">
        <f>Capstone!W193</f>
        <v>2</v>
      </c>
      <c r="AO192" s="118"/>
      <c r="AP192" s="118"/>
      <c r="AQ192" s="118">
        <f>Capstone!AO193</f>
        <v>4</v>
      </c>
      <c r="AR192" s="118"/>
      <c r="AS192" s="116"/>
      <c r="AT192" s="118">
        <f>IFERROR(AVERAGE(Table110461117[[#This Row],[Column2]],Table110461117[[#This Row],[Column11]],Table110461117[[#This Row],[Column29]]),"0")</f>
        <v>2.0833333333333335</v>
      </c>
      <c r="AU192" s="118">
        <f>IFERROR(AVERAGE(Table110461117[[#This Row],[Column3]],Table110461117[[#This Row],[Column12]],Table110461117[[#This Row],[Column21]],Table110461117[[#This Row],[Column30]]),"0")</f>
        <v>2.1687500000000002</v>
      </c>
      <c r="AV192" s="118">
        <f>IFERROR(AVERAGE(Table110461117[[#This Row],[Column31]],Table110461117[[#This Row],[Column22]],Table110461117[[#This Row],[Column4]]),"0")</f>
        <v>2.3333333333333335</v>
      </c>
      <c r="AW192" s="118">
        <f>IFERROR(AVERAGE(Table110461117[[#This Row],[Column14]]),"0")</f>
        <v>2.5</v>
      </c>
      <c r="AX192" s="118"/>
      <c r="AY192" s="118">
        <f>IFERROR(AVERAGE(Table110461117[[#This Row],[Column34]],Table110461117[[#This Row],[Column16]],Table110461117[[#This Row],[Column7]]),"0")</f>
        <v>2.1805555555555554</v>
      </c>
      <c r="AZ192" s="118">
        <f>IFERROR(AVERAGE(Table110461117[[#This Row],[Column35]],Table110461117[[#This Row],[Column17]],Table110461117[[#This Row],[Column8]]),"0")</f>
        <v>2.3333333333333335</v>
      </c>
      <c r="BA192" s="116"/>
      <c r="BB192" s="118"/>
      <c r="BC192" s="118">
        <f>IFERROR(AVERAGE('Book Review'!AY192,Debate!AY192,'Case study'!AY192,Capstone!AY192),"A")</f>
        <v>2.125</v>
      </c>
      <c r="BD192" s="118">
        <f>IFERROR(AVERAGE('Book Review'!AZ192,Debate!AZ192,'Case study'!AZ192),"A")</f>
        <v>2.3333333333333335</v>
      </c>
    </row>
    <row r="193" spans="1:56" s="109" customFormat="1" ht="23.1" customHeight="1" x14ac:dyDescent="0.3">
      <c r="A193" s="115">
        <v>191</v>
      </c>
      <c r="B193" s="49" t="s">
        <v>418</v>
      </c>
      <c r="C193" s="49" t="s">
        <v>419</v>
      </c>
      <c r="D193" s="49" t="s">
        <v>450</v>
      </c>
      <c r="E193" s="49" t="s">
        <v>493</v>
      </c>
      <c r="F193" s="117">
        <f>'Book Review'!K193</f>
        <v>2.5</v>
      </c>
      <c r="G193" s="117">
        <f>'Book Review'!Q193</f>
        <v>3</v>
      </c>
      <c r="H193" s="117">
        <f>'Book Review'!W193</f>
        <v>2</v>
      </c>
      <c r="I193" s="117"/>
      <c r="J193" s="117"/>
      <c r="K193" s="117">
        <f>'Book Review'!AO193</f>
        <v>2.5</v>
      </c>
      <c r="L193" s="117">
        <f>'Book Review'!AU193</f>
        <v>2</v>
      </c>
      <c r="M193" s="116"/>
      <c r="N193" s="117">
        <f>Debate!K193</f>
        <v>2</v>
      </c>
      <c r="O193" s="117">
        <f>Debate!Q193</f>
        <v>2.1</v>
      </c>
      <c r="P193" s="117"/>
      <c r="Q193" s="117">
        <f>Debate!AC193</f>
        <v>2</v>
      </c>
      <c r="R193" s="117"/>
      <c r="S193" s="117">
        <f>Debate!AO193</f>
        <v>2</v>
      </c>
      <c r="T193" s="117">
        <f>Debate!AU193</f>
        <v>3</v>
      </c>
      <c r="U193" s="116"/>
      <c r="V193" s="49"/>
      <c r="W193" s="117">
        <f>GD!Q193</f>
        <v>2.25</v>
      </c>
      <c r="X193" s="117">
        <f>GD!W193</f>
        <v>2</v>
      </c>
      <c r="Y193" s="117"/>
      <c r="Z193" s="117"/>
      <c r="AA193" s="49"/>
      <c r="AB193" s="117"/>
      <c r="AC193" s="116"/>
      <c r="AD193" s="117">
        <f>'Case study'!K193</f>
        <v>1.75</v>
      </c>
      <c r="AE193" s="117">
        <f>'Case study'!Q193</f>
        <v>2.4</v>
      </c>
      <c r="AF193" s="117">
        <f>'Case study'!W193</f>
        <v>2</v>
      </c>
      <c r="AG193" s="117"/>
      <c r="AH193" s="117"/>
      <c r="AI193" s="117">
        <f>'Case study'!AO193</f>
        <v>1.75</v>
      </c>
      <c r="AJ193" s="117">
        <f>'Case study'!AU193</f>
        <v>3</v>
      </c>
      <c r="AK193" s="116"/>
      <c r="AL193" s="117">
        <f>Capstone!K193</f>
        <v>4</v>
      </c>
      <c r="AM193" s="117">
        <f>Capstone!Q194</f>
        <v>2.25</v>
      </c>
      <c r="AN193" s="117">
        <f>Capstone!W194</f>
        <v>2</v>
      </c>
      <c r="AO193" s="117"/>
      <c r="AP193" s="117"/>
      <c r="AQ193" s="117">
        <f>Capstone!AO194</f>
        <v>3.25</v>
      </c>
      <c r="AR193" s="117"/>
      <c r="AS193" s="116"/>
      <c r="AT193" s="117">
        <f>IFERROR(AVERAGE(Table110461117[[#This Row],[Column2]],Table110461117[[#This Row],[Column11]],Table110461117[[#This Row],[Column29]]),"0")</f>
        <v>2.0833333333333335</v>
      </c>
      <c r="AU193" s="117">
        <f>IFERROR(AVERAGE(Table110461117[[#This Row],[Column3]],Table110461117[[#This Row],[Column12]],Table110461117[[#This Row],[Column21]],Table110461117[[#This Row],[Column30]]),"0")</f>
        <v>2.4375</v>
      </c>
      <c r="AV193" s="117">
        <f>IFERROR(AVERAGE(Table110461117[[#This Row],[Column31]],Table110461117[[#This Row],[Column22]],Table110461117[[#This Row],[Column4]]),"0")</f>
        <v>2</v>
      </c>
      <c r="AW193" s="117">
        <f>IFERROR(AVERAGE(Table110461117[[#This Row],[Column14]]),"0")</f>
        <v>2</v>
      </c>
      <c r="AX193" s="117"/>
      <c r="AY193" s="117">
        <f>IFERROR(AVERAGE(Table110461117[[#This Row],[Column34]],Table110461117[[#This Row],[Column16]],Table110461117[[#This Row],[Column7]]),"0")</f>
        <v>2.0833333333333335</v>
      </c>
      <c r="AZ193" s="117">
        <f>IFERROR(AVERAGE(Table110461117[[#This Row],[Column35]],Table110461117[[#This Row],[Column17]],Table110461117[[#This Row],[Column8]]),"0")</f>
        <v>2.6666666666666665</v>
      </c>
      <c r="BA193" s="116"/>
      <c r="BB193" s="117"/>
      <c r="BC193" s="117">
        <f>IFERROR(AVERAGE('Book Review'!AY193,Debate!AY193,'Case study'!AY193,Capstone!AY193),"A")</f>
        <v>3.25</v>
      </c>
      <c r="BD193" s="117">
        <f>IFERROR(AVERAGE('Book Review'!AZ193,Debate!AZ193,'Case study'!AZ193),"A")</f>
        <v>3</v>
      </c>
    </row>
    <row r="194" spans="1:56" s="109" customFormat="1" ht="23.1" customHeight="1" x14ac:dyDescent="0.3">
      <c r="A194" s="6">
        <v>192</v>
      </c>
      <c r="B194" s="7" t="s">
        <v>420</v>
      </c>
      <c r="C194" s="7" t="s">
        <v>421</v>
      </c>
      <c r="D194" s="7" t="s">
        <v>450</v>
      </c>
      <c r="E194" s="7" t="s">
        <v>493</v>
      </c>
      <c r="F194" s="118">
        <f>'Book Review'!K194</f>
        <v>2.125</v>
      </c>
      <c r="G194" s="118">
        <f>'Book Review'!Q194</f>
        <v>2.2000000000000002</v>
      </c>
      <c r="H194" s="118">
        <f>'Book Review'!W194</f>
        <v>2</v>
      </c>
      <c r="I194" s="118"/>
      <c r="J194" s="118"/>
      <c r="K194" s="118">
        <f>'Book Review'!AO194</f>
        <v>2</v>
      </c>
      <c r="L194" s="118">
        <f>'Book Review'!AU194</f>
        <v>2.5</v>
      </c>
      <c r="M194" s="116"/>
      <c r="N194" s="118">
        <f>Debate!K194</f>
        <v>2</v>
      </c>
      <c r="O194" s="118">
        <f>Debate!Q194</f>
        <v>2.15</v>
      </c>
      <c r="P194" s="118"/>
      <c r="Q194" s="118">
        <f>Debate!AC194</f>
        <v>2.5</v>
      </c>
      <c r="R194" s="118"/>
      <c r="S194" s="118">
        <f>Debate!AO194</f>
        <v>2.1666666666666665</v>
      </c>
      <c r="T194" s="118">
        <f>Debate!AU194</f>
        <v>2.5</v>
      </c>
      <c r="U194" s="116"/>
      <c r="V194" s="7"/>
      <c r="W194" s="118">
        <f>GD!Q194</f>
        <v>2.125</v>
      </c>
      <c r="X194" s="118">
        <f>GD!W194</f>
        <v>2.5</v>
      </c>
      <c r="Y194" s="118"/>
      <c r="Z194" s="118"/>
      <c r="AA194" s="7"/>
      <c r="AB194" s="118"/>
      <c r="AC194" s="116"/>
      <c r="AD194" s="118">
        <f>'Case study'!K194</f>
        <v>2.125</v>
      </c>
      <c r="AE194" s="118">
        <f>'Case study'!Q194</f>
        <v>2.2000000000000002</v>
      </c>
      <c r="AF194" s="118">
        <f>'Case study'!W194</f>
        <v>2</v>
      </c>
      <c r="AG194" s="118"/>
      <c r="AH194" s="118"/>
      <c r="AI194" s="118">
        <f>'Case study'!AO194</f>
        <v>2.25</v>
      </c>
      <c r="AJ194" s="118">
        <f>'Case study'!AU194</f>
        <v>2</v>
      </c>
      <c r="AK194" s="116"/>
      <c r="AL194" s="118">
        <f>Capstone!K194</f>
        <v>3.3333333333333335</v>
      </c>
      <c r="AM194" s="118">
        <f>Capstone!Q195</f>
        <v>3.5</v>
      </c>
      <c r="AN194" s="118">
        <f>Capstone!W195</f>
        <v>3</v>
      </c>
      <c r="AO194" s="118"/>
      <c r="AP194" s="118"/>
      <c r="AQ194" s="118">
        <f>Capstone!AO195</f>
        <v>3.25</v>
      </c>
      <c r="AR194" s="118"/>
      <c r="AS194" s="116"/>
      <c r="AT194" s="118">
        <f>IFERROR(AVERAGE(Table110461117[[#This Row],[Column2]],Table110461117[[#This Row],[Column11]],Table110461117[[#This Row],[Column29]]),"0")</f>
        <v>2.0833333333333335</v>
      </c>
      <c r="AU194" s="118">
        <f>IFERROR(AVERAGE(Table110461117[[#This Row],[Column3]],Table110461117[[#This Row],[Column12]],Table110461117[[#This Row],[Column21]],Table110461117[[#This Row],[Column30]]),"0")</f>
        <v>2.1687500000000002</v>
      </c>
      <c r="AV194" s="118">
        <f>IFERROR(AVERAGE(Table110461117[[#This Row],[Column31]],Table110461117[[#This Row],[Column22]],Table110461117[[#This Row],[Column4]]),"0")</f>
        <v>2.1666666666666665</v>
      </c>
      <c r="AW194" s="118">
        <f>IFERROR(AVERAGE(Table110461117[[#This Row],[Column14]]),"0")</f>
        <v>2.5</v>
      </c>
      <c r="AX194" s="118"/>
      <c r="AY194" s="118">
        <f>IFERROR(AVERAGE(Table110461117[[#This Row],[Column34]],Table110461117[[#This Row],[Column16]],Table110461117[[#This Row],[Column7]]),"0")</f>
        <v>2.1388888888888888</v>
      </c>
      <c r="AZ194" s="118">
        <f>IFERROR(AVERAGE(Table110461117[[#This Row],[Column35]],Table110461117[[#This Row],[Column17]],Table110461117[[#This Row],[Column8]]),"0")</f>
        <v>2.3333333333333335</v>
      </c>
      <c r="BA194" s="116"/>
      <c r="BB194" s="118"/>
      <c r="BC194" s="118">
        <f>IFERROR(AVERAGE('Book Review'!AY194,Debate!AY194,'Case study'!AY194,Capstone!AY194),"A")</f>
        <v>2.125</v>
      </c>
      <c r="BD194" s="118">
        <f>IFERROR(AVERAGE('Book Review'!AZ194,Debate!AZ194,'Case study'!AZ194),"A")</f>
        <v>2.3333333333333335</v>
      </c>
    </row>
    <row r="195" spans="1:56" s="109" customFormat="1" ht="23.1" customHeight="1" x14ac:dyDescent="0.3">
      <c r="A195" s="115">
        <v>193</v>
      </c>
      <c r="B195" s="49" t="s">
        <v>422</v>
      </c>
      <c r="C195" s="49" t="s">
        <v>423</v>
      </c>
      <c r="D195" s="49" t="s">
        <v>450</v>
      </c>
      <c r="E195" s="49" t="s">
        <v>493</v>
      </c>
      <c r="F195" s="117">
        <f>'Book Review'!K195</f>
        <v>3</v>
      </c>
      <c r="G195" s="117">
        <f>'Book Review'!Q195</f>
        <v>2.8</v>
      </c>
      <c r="H195" s="117">
        <f>'Book Review'!W195</f>
        <v>3</v>
      </c>
      <c r="I195" s="117"/>
      <c r="J195" s="117"/>
      <c r="K195" s="117">
        <f>'Book Review'!AO195</f>
        <v>3</v>
      </c>
      <c r="L195" s="117">
        <f>'Book Review'!AU195</f>
        <v>3</v>
      </c>
      <c r="M195" s="116"/>
      <c r="N195" s="117">
        <f>Debate!K195</f>
        <v>3</v>
      </c>
      <c r="O195" s="117">
        <f>Debate!Q195</f>
        <v>3</v>
      </c>
      <c r="P195" s="117"/>
      <c r="Q195" s="117">
        <f>Debate!AC195</f>
        <v>3</v>
      </c>
      <c r="R195" s="117"/>
      <c r="S195" s="117">
        <f>Debate!AO195</f>
        <v>2.6666666666666665</v>
      </c>
      <c r="T195" s="117">
        <f>Debate!AU195</f>
        <v>3</v>
      </c>
      <c r="U195" s="116"/>
      <c r="V195" s="49"/>
      <c r="W195" s="117">
        <f>GD!Q195</f>
        <v>2.75</v>
      </c>
      <c r="X195" s="117">
        <f>GD!W195</f>
        <v>3</v>
      </c>
      <c r="Y195" s="117"/>
      <c r="Z195" s="117"/>
      <c r="AA195" s="49"/>
      <c r="AB195" s="117"/>
      <c r="AC195" s="116"/>
      <c r="AD195" s="117">
        <f>'Case study'!K195</f>
        <v>3</v>
      </c>
      <c r="AE195" s="117">
        <f>'Case study'!Q195</f>
        <v>2.8</v>
      </c>
      <c r="AF195" s="117">
        <f>'Case study'!W195</f>
        <v>3</v>
      </c>
      <c r="AG195" s="117"/>
      <c r="AH195" s="117"/>
      <c r="AI195" s="117">
        <f>'Case study'!AO195</f>
        <v>3</v>
      </c>
      <c r="AJ195" s="117">
        <f>'Case study'!AU195</f>
        <v>3</v>
      </c>
      <c r="AK195" s="116"/>
      <c r="AL195" s="117">
        <f>Capstone!K195</f>
        <v>3.6666666666666665</v>
      </c>
      <c r="AM195" s="117">
        <f>Capstone!Q196</f>
        <v>5</v>
      </c>
      <c r="AN195" s="117">
        <f>Capstone!W196</f>
        <v>3</v>
      </c>
      <c r="AO195" s="117"/>
      <c r="AP195" s="117"/>
      <c r="AQ195" s="117">
        <f>Capstone!AO196</f>
        <v>4</v>
      </c>
      <c r="AR195" s="117"/>
      <c r="AS195" s="116"/>
      <c r="AT195" s="117">
        <f>IFERROR(AVERAGE(Table110461117[[#This Row],[Column2]],Table110461117[[#This Row],[Column11]],Table110461117[[#This Row],[Column29]]),"0")</f>
        <v>3</v>
      </c>
      <c r="AU195" s="117">
        <f>IFERROR(AVERAGE(Table110461117[[#This Row],[Column3]],Table110461117[[#This Row],[Column12]],Table110461117[[#This Row],[Column21]],Table110461117[[#This Row],[Column30]]),"0")</f>
        <v>2.8375000000000004</v>
      </c>
      <c r="AV195" s="117">
        <f>IFERROR(AVERAGE(Table110461117[[#This Row],[Column31]],Table110461117[[#This Row],[Column22]],Table110461117[[#This Row],[Column4]]),"0")</f>
        <v>3</v>
      </c>
      <c r="AW195" s="117">
        <f>IFERROR(AVERAGE(Table110461117[[#This Row],[Column14]]),"0")</f>
        <v>3</v>
      </c>
      <c r="AX195" s="117"/>
      <c r="AY195" s="117">
        <f>IFERROR(AVERAGE(Table110461117[[#This Row],[Column34]],Table110461117[[#This Row],[Column16]],Table110461117[[#This Row],[Column7]]),"0")</f>
        <v>2.8888888888888888</v>
      </c>
      <c r="AZ195" s="117">
        <f>IFERROR(AVERAGE(Table110461117[[#This Row],[Column35]],Table110461117[[#This Row],[Column17]],Table110461117[[#This Row],[Column8]]),"0")</f>
        <v>3</v>
      </c>
      <c r="BA195" s="116"/>
      <c r="BB195" s="117"/>
      <c r="BC195" s="117">
        <f>IFERROR(AVERAGE('Book Review'!AY195,Debate!AY195,'Case study'!AY195,Capstone!AY195),"A")</f>
        <v>3.25</v>
      </c>
      <c r="BD195" s="117">
        <f>IFERROR(AVERAGE('Book Review'!AZ195,Debate!AZ195,'Case study'!AZ195),"A")</f>
        <v>2.6666666666666665</v>
      </c>
    </row>
    <row r="196" spans="1:56" s="109" customFormat="1" ht="23.1" customHeight="1" x14ac:dyDescent="0.3">
      <c r="A196" s="6">
        <v>194</v>
      </c>
      <c r="B196" s="7" t="s">
        <v>424</v>
      </c>
      <c r="C196" s="7" t="s">
        <v>425</v>
      </c>
      <c r="D196" s="7" t="s">
        <v>450</v>
      </c>
      <c r="E196" s="7" t="s">
        <v>493</v>
      </c>
      <c r="F196" s="118">
        <f>'Book Review'!K196</f>
        <v>2</v>
      </c>
      <c r="G196" s="118">
        <f>'Book Review'!Q196</f>
        <v>2.4</v>
      </c>
      <c r="H196" s="118">
        <f>'Book Review'!W196</f>
        <v>2</v>
      </c>
      <c r="I196" s="118"/>
      <c r="J196" s="118"/>
      <c r="K196" s="118">
        <f>'Book Review'!AO196</f>
        <v>2</v>
      </c>
      <c r="L196" s="118">
        <f>'Book Review'!AU196</f>
        <v>2</v>
      </c>
      <c r="M196" s="116"/>
      <c r="N196" s="118">
        <f>Debate!K196</f>
        <v>2</v>
      </c>
      <c r="O196" s="118">
        <f>Debate!Q196</f>
        <v>2.8</v>
      </c>
      <c r="P196" s="118"/>
      <c r="Q196" s="118">
        <f>Debate!AC196</f>
        <v>3</v>
      </c>
      <c r="R196" s="118"/>
      <c r="S196" s="118">
        <f>Debate!AO196</f>
        <v>3.6666666666666665</v>
      </c>
      <c r="T196" s="118">
        <f>Debate!AU196</f>
        <v>3</v>
      </c>
      <c r="U196" s="116"/>
      <c r="V196" s="7"/>
      <c r="W196" s="118">
        <f>GD!Q196</f>
        <v>3.75</v>
      </c>
      <c r="X196" s="118">
        <f>GD!W196</f>
        <v>2</v>
      </c>
      <c r="Y196" s="118"/>
      <c r="Z196" s="118"/>
      <c r="AA196" s="7"/>
      <c r="AB196" s="118"/>
      <c r="AC196" s="116"/>
      <c r="AD196" s="118">
        <f>'Case study'!K196</f>
        <v>3.75</v>
      </c>
      <c r="AE196" s="118">
        <f>'Case study'!Q196</f>
        <v>3.6</v>
      </c>
      <c r="AF196" s="118">
        <f>'Case study'!W196</f>
        <v>3</v>
      </c>
      <c r="AG196" s="118"/>
      <c r="AH196" s="118"/>
      <c r="AI196" s="118">
        <f>'Case study'!AO196</f>
        <v>3.25</v>
      </c>
      <c r="AJ196" s="118">
        <f>'Case study'!AU196</f>
        <v>3</v>
      </c>
      <c r="AK196" s="116"/>
      <c r="AL196" s="118">
        <f>Capstone!K196</f>
        <v>4</v>
      </c>
      <c r="AM196" s="118">
        <f>Capstone!Q197</f>
        <v>3</v>
      </c>
      <c r="AN196" s="118">
        <f>Capstone!W197</f>
        <v>2</v>
      </c>
      <c r="AO196" s="118"/>
      <c r="AP196" s="118"/>
      <c r="AQ196" s="118">
        <f>Capstone!AO197</f>
        <v>4.25</v>
      </c>
      <c r="AR196" s="118"/>
      <c r="AS196" s="116"/>
      <c r="AT196" s="118">
        <f>IFERROR(AVERAGE(Table110461117[[#This Row],[Column2]],Table110461117[[#This Row],[Column11]],Table110461117[[#This Row],[Column29]]),"0")</f>
        <v>2.5833333333333335</v>
      </c>
      <c r="AU196" s="118">
        <f>IFERROR(AVERAGE(Table110461117[[#This Row],[Column3]],Table110461117[[#This Row],[Column12]],Table110461117[[#This Row],[Column21]],Table110461117[[#This Row],[Column30]]),"0")</f>
        <v>3.1374999999999997</v>
      </c>
      <c r="AV196" s="118">
        <f>IFERROR(AVERAGE(Table110461117[[#This Row],[Column31]],Table110461117[[#This Row],[Column22]],Table110461117[[#This Row],[Column4]]),"0")</f>
        <v>2.3333333333333335</v>
      </c>
      <c r="AW196" s="118">
        <f>IFERROR(AVERAGE(Table110461117[[#This Row],[Column14]]),"0")</f>
        <v>3</v>
      </c>
      <c r="AX196" s="118"/>
      <c r="AY196" s="118">
        <f>IFERROR(AVERAGE(Table110461117[[#This Row],[Column34]],Table110461117[[#This Row],[Column16]],Table110461117[[#This Row],[Column7]]),"0")</f>
        <v>2.9722222222222219</v>
      </c>
      <c r="AZ196" s="118">
        <f>IFERROR(AVERAGE(Table110461117[[#This Row],[Column35]],Table110461117[[#This Row],[Column17]],Table110461117[[#This Row],[Column8]]),"0")</f>
        <v>2.6666666666666665</v>
      </c>
      <c r="BA196" s="116"/>
      <c r="BB196" s="118"/>
      <c r="BC196" s="118">
        <f>IFERROR(AVERAGE('Book Review'!AY196,Debate!AY196,'Case study'!AY196,Capstone!AY196),"A")</f>
        <v>3.5</v>
      </c>
      <c r="BD196" s="118">
        <f>IFERROR(AVERAGE('Book Review'!AZ196,Debate!AZ196,'Case study'!AZ196),"A")</f>
        <v>2.6666666666666665</v>
      </c>
    </row>
    <row r="197" spans="1:56" s="109" customFormat="1" ht="23.1" customHeight="1" x14ac:dyDescent="0.3">
      <c r="A197" s="115">
        <v>195</v>
      </c>
      <c r="B197" s="49" t="s">
        <v>426</v>
      </c>
      <c r="C197" s="49" t="s">
        <v>427</v>
      </c>
      <c r="D197" s="49" t="s">
        <v>450</v>
      </c>
      <c r="E197" s="49" t="s">
        <v>289</v>
      </c>
      <c r="F197" s="117">
        <f>'Book Review'!K197</f>
        <v>2.25</v>
      </c>
      <c r="G197" s="117">
        <f>'Book Review'!Q197</f>
        <v>2.6</v>
      </c>
      <c r="H197" s="117">
        <f>'Book Review'!W197</f>
        <v>2</v>
      </c>
      <c r="I197" s="117"/>
      <c r="J197" s="117"/>
      <c r="K197" s="117">
        <f>'Book Review'!AO197</f>
        <v>2</v>
      </c>
      <c r="L197" s="117">
        <f>'Book Review'!AU197</f>
        <v>3</v>
      </c>
      <c r="M197" s="116"/>
      <c r="N197" s="117">
        <f>Debate!K197</f>
        <v>1</v>
      </c>
      <c r="O197" s="117">
        <f>Debate!Q197</f>
        <v>1.5</v>
      </c>
      <c r="P197" s="117"/>
      <c r="Q197" s="117">
        <f>Debate!AC197</f>
        <v>1</v>
      </c>
      <c r="R197" s="117"/>
      <c r="S197" s="117">
        <f>Debate!AO197</f>
        <v>1.3333333333333333</v>
      </c>
      <c r="T197" s="117">
        <f>Debate!AU197</f>
        <v>3</v>
      </c>
      <c r="U197" s="116"/>
      <c r="V197" s="49"/>
      <c r="W197" s="117">
        <f>GD!Q197</f>
        <v>1.5</v>
      </c>
      <c r="X197" s="117">
        <f>GD!W197</f>
        <v>1</v>
      </c>
      <c r="Y197" s="117"/>
      <c r="Z197" s="117"/>
      <c r="AA197" s="49"/>
      <c r="AB197" s="117"/>
      <c r="AC197" s="116"/>
      <c r="AD197" s="117">
        <f>'Case study'!K197</f>
        <v>2</v>
      </c>
      <c r="AE197" s="117">
        <f>'Case study'!Q197</f>
        <v>2.6</v>
      </c>
      <c r="AF197" s="117">
        <f>'Case study'!W197</f>
        <v>2</v>
      </c>
      <c r="AG197" s="117"/>
      <c r="AH197" s="117"/>
      <c r="AI197" s="117">
        <f>'Case study'!AO197</f>
        <v>2</v>
      </c>
      <c r="AJ197" s="117">
        <f>'Case study'!AU197</f>
        <v>3</v>
      </c>
      <c r="AK197" s="116"/>
      <c r="AL197" s="117">
        <f>Capstone!K197</f>
        <v>3.6666666666666665</v>
      </c>
      <c r="AM197" s="117">
        <f>Capstone!Q198</f>
        <v>4.5</v>
      </c>
      <c r="AN197" s="117">
        <f>Capstone!W198</f>
        <v>3</v>
      </c>
      <c r="AO197" s="117"/>
      <c r="AP197" s="117"/>
      <c r="AQ197" s="117">
        <f>Capstone!AO198</f>
        <v>2.5</v>
      </c>
      <c r="AR197" s="117"/>
      <c r="AS197" s="116"/>
      <c r="AT197" s="117">
        <f>IFERROR(AVERAGE(Table110461117[[#This Row],[Column2]],Table110461117[[#This Row],[Column11]],Table110461117[[#This Row],[Column29]]),"0")</f>
        <v>1.75</v>
      </c>
      <c r="AU197" s="117">
        <f>IFERROR(AVERAGE(Table110461117[[#This Row],[Column3]],Table110461117[[#This Row],[Column12]],Table110461117[[#This Row],[Column21]],Table110461117[[#This Row],[Column30]]),"0")</f>
        <v>2.0499999999999998</v>
      </c>
      <c r="AV197" s="117">
        <f>IFERROR(AVERAGE(Table110461117[[#This Row],[Column31]],Table110461117[[#This Row],[Column22]],Table110461117[[#This Row],[Column4]]),"0")</f>
        <v>1.6666666666666667</v>
      </c>
      <c r="AW197" s="117">
        <f>IFERROR(AVERAGE(Table110461117[[#This Row],[Column14]]),"0")</f>
        <v>1</v>
      </c>
      <c r="AX197" s="117"/>
      <c r="AY197" s="117">
        <f>IFERROR(AVERAGE(Table110461117[[#This Row],[Column34]],Table110461117[[#This Row],[Column16]],Table110461117[[#This Row],[Column7]]),"0")</f>
        <v>1.7777777777777777</v>
      </c>
      <c r="AZ197" s="117">
        <f>IFERROR(AVERAGE(Table110461117[[#This Row],[Column35]],Table110461117[[#This Row],[Column17]],Table110461117[[#This Row],[Column8]]),"0")</f>
        <v>3</v>
      </c>
      <c r="BA197" s="116"/>
      <c r="BB197" s="117"/>
      <c r="BC197" s="117">
        <f>IFERROR(AVERAGE('Book Review'!AY197,Debate!AY197,'Case study'!AY197,Capstone!AY197),"A")</f>
        <v>2.5</v>
      </c>
      <c r="BD197" s="117">
        <f>IFERROR(AVERAGE('Book Review'!AZ197,Debate!AZ197,'Case study'!AZ197),"A")</f>
        <v>2.3333333333333335</v>
      </c>
    </row>
    <row r="198" spans="1:56" s="109" customFormat="1" ht="23.1" customHeight="1" x14ac:dyDescent="0.3">
      <c r="A198" s="6">
        <v>196</v>
      </c>
      <c r="B198" s="7" t="s">
        <v>428</v>
      </c>
      <c r="C198" s="7" t="s">
        <v>429</v>
      </c>
      <c r="D198" s="7" t="s">
        <v>450</v>
      </c>
      <c r="E198" s="7" t="s">
        <v>493</v>
      </c>
      <c r="F198" s="118">
        <f>'Book Review'!K198</f>
        <v>2</v>
      </c>
      <c r="G198" s="118">
        <f>'Book Review'!Q198</f>
        <v>2.6</v>
      </c>
      <c r="H198" s="118">
        <f>'Book Review'!W198</f>
        <v>2</v>
      </c>
      <c r="I198" s="118"/>
      <c r="J198" s="118"/>
      <c r="K198" s="118">
        <f>'Book Review'!AO198</f>
        <v>2</v>
      </c>
      <c r="L198" s="118">
        <f>'Book Review'!AU198</f>
        <v>3</v>
      </c>
      <c r="M198" s="116"/>
      <c r="N198" s="118">
        <f>Debate!K198</f>
        <v>2</v>
      </c>
      <c r="O198" s="118">
        <f>Debate!Q198</f>
        <v>2.9</v>
      </c>
      <c r="P198" s="118"/>
      <c r="Q198" s="118">
        <f>Debate!AC198</f>
        <v>2</v>
      </c>
      <c r="R198" s="118"/>
      <c r="S198" s="118">
        <f>Debate!AO198</f>
        <v>3.6666666666666665</v>
      </c>
      <c r="T198" s="118">
        <f>Debate!AU198</f>
        <v>3</v>
      </c>
      <c r="U198" s="116"/>
      <c r="V198" s="7"/>
      <c r="W198" s="118">
        <f>GD!Q198</f>
        <v>2.75</v>
      </c>
      <c r="X198" s="118">
        <f>GD!W198</f>
        <v>2</v>
      </c>
      <c r="Y198" s="118"/>
      <c r="Z198" s="118"/>
      <c r="AA198" s="7"/>
      <c r="AB198" s="118"/>
      <c r="AC198" s="116"/>
      <c r="AD198" s="118">
        <f>'Case study'!K198</f>
        <v>2.5</v>
      </c>
      <c r="AE198" s="118">
        <f>'Case study'!Q198</f>
        <v>3.4</v>
      </c>
      <c r="AF198" s="118">
        <f>'Case study'!W198</f>
        <v>3</v>
      </c>
      <c r="AG198" s="118"/>
      <c r="AH198" s="118"/>
      <c r="AI198" s="118">
        <f>'Case study'!AO198</f>
        <v>2.5</v>
      </c>
      <c r="AJ198" s="118">
        <f>'Case study'!AU198</f>
        <v>3</v>
      </c>
      <c r="AK198" s="116"/>
      <c r="AL198" s="118">
        <f>Capstone!K198</f>
        <v>2.3333333333333335</v>
      </c>
      <c r="AM198" s="118">
        <f>Capstone!Q199</f>
        <v>4</v>
      </c>
      <c r="AN198" s="118">
        <f>Capstone!W199</f>
        <v>2</v>
      </c>
      <c r="AO198" s="118"/>
      <c r="AP198" s="118"/>
      <c r="AQ198" s="118">
        <f>Capstone!AO199</f>
        <v>3.5</v>
      </c>
      <c r="AR198" s="118"/>
      <c r="AS198" s="116"/>
      <c r="AT198" s="118">
        <f>IFERROR(AVERAGE(Table110461117[[#This Row],[Column2]],Table110461117[[#This Row],[Column11]],Table110461117[[#This Row],[Column29]]),"0")</f>
        <v>2.1666666666666665</v>
      </c>
      <c r="AU198" s="118">
        <f>IFERROR(AVERAGE(Table110461117[[#This Row],[Column3]],Table110461117[[#This Row],[Column12]],Table110461117[[#This Row],[Column21]],Table110461117[[#This Row],[Column30]]),"0")</f>
        <v>2.9125000000000001</v>
      </c>
      <c r="AV198" s="118">
        <f>IFERROR(AVERAGE(Table110461117[[#This Row],[Column31]],Table110461117[[#This Row],[Column22]],Table110461117[[#This Row],[Column4]]),"0")</f>
        <v>2.3333333333333335</v>
      </c>
      <c r="AW198" s="118">
        <f>IFERROR(AVERAGE(Table110461117[[#This Row],[Column14]]),"0")</f>
        <v>2</v>
      </c>
      <c r="AX198" s="118"/>
      <c r="AY198" s="118">
        <f>IFERROR(AVERAGE(Table110461117[[#This Row],[Column34]],Table110461117[[#This Row],[Column16]],Table110461117[[#This Row],[Column7]]),"0")</f>
        <v>2.7222222222222219</v>
      </c>
      <c r="AZ198" s="118">
        <f>IFERROR(AVERAGE(Table110461117[[#This Row],[Column35]],Table110461117[[#This Row],[Column17]],Table110461117[[#This Row],[Column8]]),"0")</f>
        <v>3</v>
      </c>
      <c r="BA198" s="116"/>
      <c r="BB198" s="118"/>
      <c r="BC198" s="118">
        <f>IFERROR(AVERAGE('Book Review'!AY198,Debate!AY198,'Case study'!AY198,Capstone!AY198),"A")</f>
        <v>3</v>
      </c>
      <c r="BD198" s="118">
        <f>IFERROR(AVERAGE('Book Review'!AZ198,Debate!AZ198,'Case study'!AZ198),"A")</f>
        <v>3</v>
      </c>
    </row>
    <row r="199" spans="1:56" s="109" customFormat="1" ht="23.1" customHeight="1" x14ac:dyDescent="0.3">
      <c r="A199" s="115">
        <v>197</v>
      </c>
      <c r="B199" s="49" t="s">
        <v>430</v>
      </c>
      <c r="C199" s="49" t="s">
        <v>431</v>
      </c>
      <c r="D199" s="49" t="s">
        <v>542</v>
      </c>
      <c r="E199" s="49" t="s">
        <v>493</v>
      </c>
      <c r="F199" s="117">
        <f>'Book Review'!K199</f>
        <v>2.5</v>
      </c>
      <c r="G199" s="117">
        <f>'Book Review'!Q199</f>
        <v>3.6</v>
      </c>
      <c r="H199" s="117">
        <f>'Book Review'!W199</f>
        <v>2</v>
      </c>
      <c r="I199" s="117"/>
      <c r="J199" s="117"/>
      <c r="K199" s="117">
        <f>'Book Review'!AO199</f>
        <v>2.5</v>
      </c>
      <c r="L199" s="117">
        <f>'Book Review'!AU199</f>
        <v>3</v>
      </c>
      <c r="M199" s="116"/>
      <c r="N199" s="117">
        <f>Debate!K199</f>
        <v>3</v>
      </c>
      <c r="O199" s="117">
        <f>Debate!Q199</f>
        <v>2.9</v>
      </c>
      <c r="P199" s="117"/>
      <c r="Q199" s="117">
        <f>Debate!AC199</f>
        <v>3</v>
      </c>
      <c r="R199" s="117"/>
      <c r="S199" s="117">
        <f>Debate!AO199</f>
        <v>2.6666666666666665</v>
      </c>
      <c r="T199" s="117">
        <f>Debate!AU199</f>
        <v>3</v>
      </c>
      <c r="U199" s="116"/>
      <c r="V199" s="49"/>
      <c r="W199" s="117">
        <f>GD!Q199</f>
        <v>0.75</v>
      </c>
      <c r="X199" s="117">
        <f>GD!W199</f>
        <v>0</v>
      </c>
      <c r="Y199" s="117"/>
      <c r="Z199" s="117"/>
      <c r="AA199" s="49"/>
      <c r="AB199" s="117"/>
      <c r="AC199" s="116"/>
      <c r="AD199" s="117">
        <f>'Case study'!K199</f>
        <v>2.5</v>
      </c>
      <c r="AE199" s="117">
        <f>'Case study'!Q199</f>
        <v>3.4</v>
      </c>
      <c r="AF199" s="117">
        <f>'Case study'!W199</f>
        <v>2</v>
      </c>
      <c r="AG199" s="117"/>
      <c r="AH199" s="117"/>
      <c r="AI199" s="117">
        <f>'Case study'!AO199</f>
        <v>2.5</v>
      </c>
      <c r="AJ199" s="117">
        <f>'Case study'!AU199</f>
        <v>3</v>
      </c>
      <c r="AK199" s="116"/>
      <c r="AL199" s="117">
        <f>Capstone!K199</f>
        <v>3</v>
      </c>
      <c r="AM199" s="117">
        <f>Capstone!Q200</f>
        <v>3</v>
      </c>
      <c r="AN199" s="117">
        <f>Capstone!W200</f>
        <v>3</v>
      </c>
      <c r="AO199" s="117"/>
      <c r="AP199" s="117"/>
      <c r="AQ199" s="117">
        <f>Capstone!AO200</f>
        <v>3</v>
      </c>
      <c r="AR199" s="117"/>
      <c r="AS199" s="116"/>
      <c r="AT199" s="117">
        <f>IFERROR(AVERAGE(Table110461117[[#This Row],[Column2]],Table110461117[[#This Row],[Column11]],Table110461117[[#This Row],[Column29]]),"0")</f>
        <v>2.6666666666666665</v>
      </c>
      <c r="AU199" s="117">
        <f>IFERROR(AVERAGE(Table110461117[[#This Row],[Column3]],Table110461117[[#This Row],[Column12]],Table110461117[[#This Row],[Column21]],Table110461117[[#This Row],[Column30]]),"0")</f>
        <v>2.6625000000000001</v>
      </c>
      <c r="AV199" s="117">
        <f>IFERROR(AVERAGE(Table110461117[[#This Row],[Column31]],Table110461117[[#This Row],[Column22]],Table110461117[[#This Row],[Column4]]),"0")</f>
        <v>1.3333333333333333</v>
      </c>
      <c r="AW199" s="117">
        <f>IFERROR(AVERAGE(Table110461117[[#This Row],[Column14]]),"0")</f>
        <v>3</v>
      </c>
      <c r="AX199" s="117"/>
      <c r="AY199" s="117">
        <f>IFERROR(AVERAGE(Table110461117[[#This Row],[Column34]],Table110461117[[#This Row],[Column16]],Table110461117[[#This Row],[Column7]]),"0")</f>
        <v>2.5555555555555554</v>
      </c>
      <c r="AZ199" s="117">
        <f>IFERROR(AVERAGE(Table110461117[[#This Row],[Column35]],Table110461117[[#This Row],[Column17]],Table110461117[[#This Row],[Column8]]),"0")</f>
        <v>3</v>
      </c>
      <c r="BA199" s="116"/>
      <c r="BB199" s="117"/>
      <c r="BC199" s="117">
        <f>IFERROR(AVERAGE('Book Review'!AY199,Debate!AY199,'Case study'!AY199,Capstone!AY199),"A")</f>
        <v>3.25</v>
      </c>
      <c r="BD199" s="117">
        <f>IFERROR(AVERAGE('Book Review'!AZ199,Debate!AZ199,'Case study'!AZ199),"A")</f>
        <v>3.3333333333333335</v>
      </c>
    </row>
    <row r="200" spans="1:56" s="109" customFormat="1" ht="23.1" customHeight="1" x14ac:dyDescent="0.3">
      <c r="A200" s="6">
        <v>198</v>
      </c>
      <c r="B200" s="7" t="s">
        <v>176</v>
      </c>
      <c r="C200" s="7" t="s">
        <v>177</v>
      </c>
      <c r="D200" s="7" t="s">
        <v>542</v>
      </c>
      <c r="E200" s="7" t="s">
        <v>161</v>
      </c>
      <c r="F200" s="118">
        <f>'Book Review'!K200</f>
        <v>3</v>
      </c>
      <c r="G200" s="118">
        <f>'Book Review'!Q200</f>
        <v>3</v>
      </c>
      <c r="H200" s="118">
        <f>'Book Review'!W200</f>
        <v>3</v>
      </c>
      <c r="I200" s="118"/>
      <c r="J200" s="118"/>
      <c r="K200" s="118">
        <f>'Book Review'!AO200</f>
        <v>3</v>
      </c>
      <c r="L200" s="118">
        <f>'Book Review'!AU200</f>
        <v>3</v>
      </c>
      <c r="M200" s="116"/>
      <c r="N200" s="118">
        <f>Debate!K200</f>
        <v>3</v>
      </c>
      <c r="O200" s="118">
        <f>Debate!Q200</f>
        <v>3</v>
      </c>
      <c r="P200" s="118"/>
      <c r="Q200" s="118">
        <f>Debate!AC200</f>
        <v>3</v>
      </c>
      <c r="R200" s="118"/>
      <c r="S200" s="118">
        <f>Debate!AO200</f>
        <v>3</v>
      </c>
      <c r="T200" s="118">
        <f>Debate!AU200</f>
        <v>3</v>
      </c>
      <c r="U200" s="116"/>
      <c r="V200" s="7"/>
      <c r="W200" s="118">
        <f>GD!Q200</f>
        <v>3</v>
      </c>
      <c r="X200" s="118">
        <f>GD!W200</f>
        <v>3</v>
      </c>
      <c r="Y200" s="118"/>
      <c r="Z200" s="118"/>
      <c r="AA200" s="7"/>
      <c r="AB200" s="118"/>
      <c r="AC200" s="116"/>
      <c r="AD200" s="118">
        <f>'Case study'!K200</f>
        <v>3</v>
      </c>
      <c r="AE200" s="118">
        <f>'Case study'!Q200</f>
        <v>3</v>
      </c>
      <c r="AF200" s="118">
        <f>'Case study'!W200</f>
        <v>3</v>
      </c>
      <c r="AG200" s="118"/>
      <c r="AH200" s="118"/>
      <c r="AI200" s="118">
        <f>'Case study'!AO200</f>
        <v>3</v>
      </c>
      <c r="AJ200" s="118">
        <f>'Case study'!AU200</f>
        <v>3</v>
      </c>
      <c r="AK200" s="116"/>
      <c r="AL200" s="118">
        <f>Capstone!K200</f>
        <v>2.6666666666666665</v>
      </c>
      <c r="AM200" s="118">
        <f>Capstone!Q201</f>
        <v>3.5</v>
      </c>
      <c r="AN200" s="118">
        <f>Capstone!W201</f>
        <v>2</v>
      </c>
      <c r="AO200" s="118"/>
      <c r="AP200" s="118"/>
      <c r="AQ200" s="118">
        <f>Capstone!AO201</f>
        <v>4.25</v>
      </c>
      <c r="AR200" s="118"/>
      <c r="AS200" s="116"/>
      <c r="AT200" s="118">
        <f>IFERROR(AVERAGE(Table110461117[[#This Row],[Column2]],Table110461117[[#This Row],[Column11]],Table110461117[[#This Row],[Column29]]),"0")</f>
        <v>3</v>
      </c>
      <c r="AU200" s="118">
        <f>IFERROR(AVERAGE(Table110461117[[#This Row],[Column3]],Table110461117[[#This Row],[Column12]],Table110461117[[#This Row],[Column21]],Table110461117[[#This Row],[Column30]]),"0")</f>
        <v>3</v>
      </c>
      <c r="AV200" s="118">
        <f>IFERROR(AVERAGE(Table110461117[[#This Row],[Column31]],Table110461117[[#This Row],[Column22]],Table110461117[[#This Row],[Column4]]),"0")</f>
        <v>3</v>
      </c>
      <c r="AW200" s="118">
        <f>IFERROR(AVERAGE(Table110461117[[#This Row],[Column14]]),"0")</f>
        <v>3</v>
      </c>
      <c r="AX200" s="118"/>
      <c r="AY200" s="118">
        <f>IFERROR(AVERAGE(Table110461117[[#This Row],[Column34]],Table110461117[[#This Row],[Column16]],Table110461117[[#This Row],[Column7]]),"0")</f>
        <v>3</v>
      </c>
      <c r="AZ200" s="118">
        <f>IFERROR(AVERAGE(Table110461117[[#This Row],[Column35]],Table110461117[[#This Row],[Column17]],Table110461117[[#This Row],[Column8]]),"0")</f>
        <v>3</v>
      </c>
      <c r="BA200" s="116"/>
      <c r="BB200" s="118"/>
      <c r="BC200" s="118">
        <f>IFERROR(AVERAGE('Book Review'!AY200,Debate!AY200,'Case study'!AY200,Capstone!AY200),"A")</f>
        <v>2.75</v>
      </c>
      <c r="BD200" s="118">
        <f>IFERROR(AVERAGE('Book Review'!AZ200,Debate!AZ200,'Case study'!AZ200),"A")</f>
        <v>2.3333333333333335</v>
      </c>
    </row>
    <row r="201" spans="1:56" s="109" customFormat="1" ht="23.1" customHeight="1" x14ac:dyDescent="0.3">
      <c r="A201" s="115">
        <v>199</v>
      </c>
      <c r="B201" s="49" t="s">
        <v>432</v>
      </c>
      <c r="C201" s="49" t="s">
        <v>433</v>
      </c>
      <c r="D201" s="49" t="s">
        <v>542</v>
      </c>
      <c r="E201" s="49" t="s">
        <v>289</v>
      </c>
      <c r="F201" s="117">
        <f>'Book Review'!K201</f>
        <v>0</v>
      </c>
      <c r="G201" s="117">
        <f>'Book Review'!Q201</f>
        <v>0</v>
      </c>
      <c r="H201" s="117">
        <f>'Book Review'!W201</f>
        <v>0</v>
      </c>
      <c r="I201" s="117"/>
      <c r="J201" s="117"/>
      <c r="K201" s="117">
        <f>'Book Review'!AO201</f>
        <v>0</v>
      </c>
      <c r="L201" s="117">
        <f>'Book Review'!AU201</f>
        <v>0</v>
      </c>
      <c r="M201" s="116"/>
      <c r="N201" s="117">
        <f>Debate!K201</f>
        <v>2</v>
      </c>
      <c r="O201" s="117">
        <f>Debate!Q201</f>
        <v>3.5</v>
      </c>
      <c r="P201" s="117"/>
      <c r="Q201" s="117">
        <f>Debate!AC201</f>
        <v>2</v>
      </c>
      <c r="R201" s="117"/>
      <c r="S201" s="117">
        <f>Debate!AO201</f>
        <v>2</v>
      </c>
      <c r="T201" s="117">
        <f>Debate!AU201</f>
        <v>3</v>
      </c>
      <c r="U201" s="116"/>
      <c r="V201" s="49"/>
      <c r="W201" s="117">
        <f>GD!Q201</f>
        <v>3</v>
      </c>
      <c r="X201" s="117">
        <f>GD!W201</f>
        <v>2</v>
      </c>
      <c r="Y201" s="117"/>
      <c r="Z201" s="117"/>
      <c r="AA201" s="49"/>
      <c r="AB201" s="117"/>
      <c r="AC201" s="116"/>
      <c r="AD201" s="117">
        <f>'Case study'!K201</f>
        <v>1.25</v>
      </c>
      <c r="AE201" s="117">
        <f>'Case study'!Q201</f>
        <v>2.6</v>
      </c>
      <c r="AF201" s="117">
        <f>'Case study'!W201</f>
        <v>2</v>
      </c>
      <c r="AG201" s="117"/>
      <c r="AH201" s="117"/>
      <c r="AI201" s="117">
        <f>'Case study'!AO201</f>
        <v>1.25</v>
      </c>
      <c r="AJ201" s="117">
        <f>'Case study'!AU201</f>
        <v>3</v>
      </c>
      <c r="AK201" s="116"/>
      <c r="AL201" s="117">
        <f>Capstone!K201</f>
        <v>3.6666666666666665</v>
      </c>
      <c r="AM201" s="117">
        <f>Capstone!Q202</f>
        <v>3</v>
      </c>
      <c r="AN201" s="117">
        <f>Capstone!W202</f>
        <v>2</v>
      </c>
      <c r="AO201" s="117"/>
      <c r="AP201" s="117"/>
      <c r="AQ201" s="117">
        <f>Capstone!AO202</f>
        <v>4</v>
      </c>
      <c r="AR201" s="117"/>
      <c r="AS201" s="116"/>
      <c r="AT201" s="117">
        <f>IFERROR(AVERAGE(Table110461117[[#This Row],[Column2]],Table110461117[[#This Row],[Column11]],Table110461117[[#This Row],[Column29]]),"0")</f>
        <v>1.0833333333333333</v>
      </c>
      <c r="AU201" s="117">
        <f>IFERROR(AVERAGE(Table110461117[[#This Row],[Column3]],Table110461117[[#This Row],[Column12]],Table110461117[[#This Row],[Column21]],Table110461117[[#This Row],[Column30]]),"0")</f>
        <v>2.2749999999999999</v>
      </c>
      <c r="AV201" s="117">
        <f>IFERROR(AVERAGE(Table110461117[[#This Row],[Column31]],Table110461117[[#This Row],[Column22]],Table110461117[[#This Row],[Column4]]),"0")</f>
        <v>1.3333333333333333</v>
      </c>
      <c r="AW201" s="117">
        <f>IFERROR(AVERAGE(Table110461117[[#This Row],[Column14]]),"0")</f>
        <v>2</v>
      </c>
      <c r="AX201" s="117"/>
      <c r="AY201" s="117">
        <f>IFERROR(AVERAGE(Table110461117[[#This Row],[Column34]],Table110461117[[#This Row],[Column16]],Table110461117[[#This Row],[Column7]]),"0")</f>
        <v>1.0833333333333333</v>
      </c>
      <c r="AZ201" s="117">
        <f>IFERROR(AVERAGE(Table110461117[[#This Row],[Column35]],Table110461117[[#This Row],[Column17]],Table110461117[[#This Row],[Column8]]),"0")</f>
        <v>2</v>
      </c>
      <c r="BA201" s="116"/>
      <c r="BB201" s="117"/>
      <c r="BC201" s="117">
        <f>IFERROR(AVERAGE('Book Review'!AY201,Debate!AY201,'Case study'!AY201,Capstone!AY201),"A")</f>
        <v>1.75</v>
      </c>
      <c r="BD201" s="117">
        <f>IFERROR(AVERAGE('Book Review'!AZ201,Debate!AZ201,'Case study'!AZ201),"A")</f>
        <v>1.3333333333333333</v>
      </c>
    </row>
    <row r="202" spans="1:56" s="109" customFormat="1" ht="23.1" customHeight="1" x14ac:dyDescent="0.3">
      <c r="A202" s="6">
        <v>200</v>
      </c>
      <c r="B202" s="7" t="s">
        <v>434</v>
      </c>
      <c r="C202" s="7" t="s">
        <v>435</v>
      </c>
      <c r="D202" s="7" t="s">
        <v>450</v>
      </c>
      <c r="E202" s="7" t="s">
        <v>493</v>
      </c>
      <c r="F202" s="118">
        <f>'Book Review'!K202</f>
        <v>3</v>
      </c>
      <c r="G202" s="118">
        <f>'Book Review'!Q202</f>
        <v>2.8</v>
      </c>
      <c r="H202" s="118">
        <f>'Book Review'!W202</f>
        <v>2</v>
      </c>
      <c r="I202" s="118"/>
      <c r="J202" s="118"/>
      <c r="K202" s="118">
        <f>'Book Review'!AO202</f>
        <v>2.5</v>
      </c>
      <c r="L202" s="118">
        <f>'Book Review'!AU202</f>
        <v>3</v>
      </c>
      <c r="M202" s="116"/>
      <c r="N202" s="118">
        <f>Debate!K202</f>
        <v>3</v>
      </c>
      <c r="O202" s="118">
        <f>Debate!Q202</f>
        <v>2.8</v>
      </c>
      <c r="P202" s="118"/>
      <c r="Q202" s="118">
        <f>Debate!AC202</f>
        <v>4</v>
      </c>
      <c r="R202" s="118"/>
      <c r="S202" s="118">
        <f>Debate!AO202</f>
        <v>3.3333333333333335</v>
      </c>
      <c r="T202" s="118">
        <f>Debate!AU202</f>
        <v>3</v>
      </c>
      <c r="U202" s="116"/>
      <c r="V202" s="7"/>
      <c r="W202" s="118">
        <f>GD!Q202</f>
        <v>2.75</v>
      </c>
      <c r="X202" s="118">
        <f>GD!W202</f>
        <v>3</v>
      </c>
      <c r="Y202" s="118"/>
      <c r="Z202" s="118"/>
      <c r="AA202" s="7"/>
      <c r="AB202" s="118"/>
      <c r="AC202" s="116"/>
      <c r="AD202" s="118">
        <f>'Case study'!K202</f>
        <v>2.5</v>
      </c>
      <c r="AE202" s="118">
        <f>'Case study'!Q202</f>
        <v>2.8</v>
      </c>
      <c r="AF202" s="118">
        <f>'Case study'!W202</f>
        <v>2</v>
      </c>
      <c r="AG202" s="118"/>
      <c r="AH202" s="118"/>
      <c r="AI202" s="118">
        <f>'Case study'!AO202</f>
        <v>2</v>
      </c>
      <c r="AJ202" s="118">
        <f>'Case study'!AU202</f>
        <v>3</v>
      </c>
      <c r="AK202" s="116"/>
      <c r="AL202" s="118">
        <f>Capstone!K202</f>
        <v>3.6666666666666665</v>
      </c>
      <c r="AM202" s="118">
        <f>Capstone!Q203</f>
        <v>2.25</v>
      </c>
      <c r="AN202" s="118">
        <f>Capstone!W203</f>
        <v>2.5</v>
      </c>
      <c r="AO202" s="118"/>
      <c r="AP202" s="118"/>
      <c r="AQ202" s="118">
        <f>Capstone!AO203</f>
        <v>3.25</v>
      </c>
      <c r="AR202" s="118"/>
      <c r="AS202" s="116"/>
      <c r="AT202" s="118">
        <f>IFERROR(AVERAGE(Table110461117[[#This Row],[Column2]],Table110461117[[#This Row],[Column11]],Table110461117[[#This Row],[Column29]]),"0")</f>
        <v>2.8333333333333335</v>
      </c>
      <c r="AU202" s="118">
        <f>IFERROR(AVERAGE(Table110461117[[#This Row],[Column3]],Table110461117[[#This Row],[Column12]],Table110461117[[#This Row],[Column21]],Table110461117[[#This Row],[Column30]]),"0")</f>
        <v>2.7874999999999996</v>
      </c>
      <c r="AV202" s="118">
        <f>IFERROR(AVERAGE(Table110461117[[#This Row],[Column31]],Table110461117[[#This Row],[Column22]],Table110461117[[#This Row],[Column4]]),"0")</f>
        <v>2.3333333333333335</v>
      </c>
      <c r="AW202" s="118">
        <f>IFERROR(AVERAGE(Table110461117[[#This Row],[Column14]]),"0")</f>
        <v>4</v>
      </c>
      <c r="AX202" s="118"/>
      <c r="AY202" s="118">
        <f>IFERROR(AVERAGE(Table110461117[[#This Row],[Column34]],Table110461117[[#This Row],[Column16]],Table110461117[[#This Row],[Column7]]),"0")</f>
        <v>2.6111111111111112</v>
      </c>
      <c r="AZ202" s="118">
        <f>IFERROR(AVERAGE(Table110461117[[#This Row],[Column35]],Table110461117[[#This Row],[Column17]],Table110461117[[#This Row],[Column8]]),"0")</f>
        <v>3</v>
      </c>
      <c r="BA202" s="116"/>
      <c r="BB202" s="118"/>
      <c r="BC202" s="118">
        <f>IFERROR(AVERAGE('Book Review'!AY202,Debate!AY202,'Case study'!AY202,Capstone!AY202),"A")</f>
        <v>3.25</v>
      </c>
      <c r="BD202" s="118">
        <f>IFERROR(AVERAGE('Book Review'!AZ202,Debate!AZ202,'Case study'!AZ202),"A")</f>
        <v>3</v>
      </c>
    </row>
    <row r="203" spans="1:56" s="109" customFormat="1" ht="23.1" customHeight="1" x14ac:dyDescent="0.3">
      <c r="A203" s="115">
        <v>201</v>
      </c>
      <c r="B203" s="49" t="s">
        <v>436</v>
      </c>
      <c r="C203" s="49" t="s">
        <v>437</v>
      </c>
      <c r="D203" s="49" t="s">
        <v>450</v>
      </c>
      <c r="E203" s="49" t="s">
        <v>493</v>
      </c>
      <c r="F203" s="117">
        <f>'Book Review'!K203</f>
        <v>2.25</v>
      </c>
      <c r="G203" s="117">
        <f>'Book Review'!Q203</f>
        <v>2.2000000000000002</v>
      </c>
      <c r="H203" s="117">
        <f>'Book Review'!W203</f>
        <v>2</v>
      </c>
      <c r="I203" s="117"/>
      <c r="J203" s="117"/>
      <c r="K203" s="117">
        <f>'Book Review'!AO203</f>
        <v>2</v>
      </c>
      <c r="L203" s="117">
        <f>'Book Review'!AU203</f>
        <v>2.5</v>
      </c>
      <c r="M203" s="116"/>
      <c r="N203" s="117">
        <f>Debate!K203</f>
        <v>2</v>
      </c>
      <c r="O203" s="117">
        <f>Debate!Q203</f>
        <v>2.1</v>
      </c>
      <c r="P203" s="117"/>
      <c r="Q203" s="117">
        <f>Debate!AC203</f>
        <v>2</v>
      </c>
      <c r="R203" s="117"/>
      <c r="S203" s="117">
        <f>Debate!AO203</f>
        <v>2.1666666666666665</v>
      </c>
      <c r="T203" s="117">
        <f>Debate!AU203</f>
        <v>2.5</v>
      </c>
      <c r="U203" s="116"/>
      <c r="V203" s="49"/>
      <c r="W203" s="117">
        <f>GD!Q203</f>
        <v>2.125</v>
      </c>
      <c r="X203" s="117">
        <f>GD!W203</f>
        <v>2</v>
      </c>
      <c r="Y203" s="117"/>
      <c r="Z203" s="117"/>
      <c r="AA203" s="49"/>
      <c r="AB203" s="117"/>
      <c r="AC203" s="116"/>
      <c r="AD203" s="117">
        <f>'Case study'!K203</f>
        <v>2.25</v>
      </c>
      <c r="AE203" s="117">
        <f>'Case study'!Q203</f>
        <v>2.2000000000000002</v>
      </c>
      <c r="AF203" s="117">
        <f>'Case study'!W203</f>
        <v>2.5</v>
      </c>
      <c r="AG203" s="117"/>
      <c r="AH203" s="117"/>
      <c r="AI203" s="117">
        <f>'Case study'!AO203</f>
        <v>2.25</v>
      </c>
      <c r="AJ203" s="117">
        <f>'Case study'!AU203</f>
        <v>2.5</v>
      </c>
      <c r="AK203" s="116"/>
      <c r="AL203" s="117">
        <f>Capstone!K203</f>
        <v>3.6666666666666665</v>
      </c>
      <c r="AM203" s="117">
        <f>Capstone!Q204</f>
        <v>3.25</v>
      </c>
      <c r="AN203" s="117">
        <f>Capstone!W204</f>
        <v>1</v>
      </c>
      <c r="AO203" s="117"/>
      <c r="AP203" s="117"/>
      <c r="AQ203" s="117">
        <f>Capstone!AO204</f>
        <v>2.875</v>
      </c>
      <c r="AR203" s="117"/>
      <c r="AS203" s="116"/>
      <c r="AT203" s="117">
        <f>IFERROR(AVERAGE(Table110461117[[#This Row],[Column2]],Table110461117[[#This Row],[Column11]],Table110461117[[#This Row],[Column29]]),"0")</f>
        <v>2.1666666666666665</v>
      </c>
      <c r="AU203" s="117">
        <f>IFERROR(AVERAGE(Table110461117[[#This Row],[Column3]],Table110461117[[#This Row],[Column12]],Table110461117[[#This Row],[Column21]],Table110461117[[#This Row],[Column30]]),"0")</f>
        <v>2.15625</v>
      </c>
      <c r="AV203" s="117">
        <f>IFERROR(AVERAGE(Table110461117[[#This Row],[Column31]],Table110461117[[#This Row],[Column22]],Table110461117[[#This Row],[Column4]]),"0")</f>
        <v>2.1666666666666665</v>
      </c>
      <c r="AW203" s="117">
        <f>IFERROR(AVERAGE(Table110461117[[#This Row],[Column14]]),"0")</f>
        <v>2</v>
      </c>
      <c r="AX203" s="117"/>
      <c r="AY203" s="117">
        <f>IFERROR(AVERAGE(Table110461117[[#This Row],[Column34]],Table110461117[[#This Row],[Column16]],Table110461117[[#This Row],[Column7]]),"0")</f>
        <v>2.1388888888888888</v>
      </c>
      <c r="AZ203" s="117">
        <f>IFERROR(AVERAGE(Table110461117[[#This Row],[Column35]],Table110461117[[#This Row],[Column17]],Table110461117[[#This Row],[Column8]]),"0")</f>
        <v>2.5</v>
      </c>
      <c r="BA203" s="116"/>
      <c r="BB203" s="117"/>
      <c r="BC203" s="117">
        <f>IFERROR(AVERAGE('Book Review'!AY203,Debate!AY203,'Case study'!AY203,Capstone!AY203),"A")</f>
        <v>2</v>
      </c>
      <c r="BD203" s="117">
        <f>IFERROR(AVERAGE('Book Review'!AZ203,Debate!AZ203,'Case study'!AZ203),"A")</f>
        <v>2</v>
      </c>
    </row>
    <row r="204" spans="1:56" s="109" customFormat="1" ht="23.1" customHeight="1" x14ac:dyDescent="0.3">
      <c r="A204" s="6">
        <v>202</v>
      </c>
      <c r="B204" s="7" t="s">
        <v>438</v>
      </c>
      <c r="C204" s="7" t="s">
        <v>439</v>
      </c>
      <c r="D204" s="7" t="s">
        <v>450</v>
      </c>
      <c r="E204" s="7" t="s">
        <v>289</v>
      </c>
      <c r="F204" s="118">
        <f>'Book Review'!K204</f>
        <v>2</v>
      </c>
      <c r="G204" s="118">
        <f>'Book Review'!Q204</f>
        <v>1</v>
      </c>
      <c r="H204" s="118">
        <f>'Book Review'!W204</f>
        <v>1</v>
      </c>
      <c r="I204" s="118"/>
      <c r="J204" s="118"/>
      <c r="K204" s="118">
        <f>'Book Review'!AO204</f>
        <v>1.5</v>
      </c>
      <c r="L204" s="118">
        <f>'Book Review'!AU204</f>
        <v>1</v>
      </c>
      <c r="M204" s="116"/>
      <c r="N204" s="118">
        <f>Debate!K204</f>
        <v>1</v>
      </c>
      <c r="O204" s="118">
        <f>Debate!Q204</f>
        <v>1.4</v>
      </c>
      <c r="P204" s="118"/>
      <c r="Q204" s="118">
        <f>Debate!AC204</f>
        <v>2</v>
      </c>
      <c r="R204" s="118"/>
      <c r="S204" s="118">
        <f>Debate!AO204</f>
        <v>1</v>
      </c>
      <c r="T204" s="118">
        <f>Debate!AU204</f>
        <v>2</v>
      </c>
      <c r="U204" s="116"/>
      <c r="V204" s="7"/>
      <c r="W204" s="118">
        <f>GD!Q204</f>
        <v>1.25</v>
      </c>
      <c r="X204" s="118">
        <f>GD!W204</f>
        <v>1</v>
      </c>
      <c r="Y204" s="118"/>
      <c r="Z204" s="118"/>
      <c r="AA204" s="7"/>
      <c r="AB204" s="118"/>
      <c r="AC204" s="116"/>
      <c r="AD204" s="118">
        <f>'Case study'!K204</f>
        <v>2</v>
      </c>
      <c r="AE204" s="118">
        <f>'Case study'!Q204</f>
        <v>1</v>
      </c>
      <c r="AF204" s="118">
        <f>'Case study'!W204</f>
        <v>1</v>
      </c>
      <c r="AG204" s="118"/>
      <c r="AH204" s="118"/>
      <c r="AI204" s="118">
        <f>'Case study'!AO204</f>
        <v>1.25</v>
      </c>
      <c r="AJ204" s="118">
        <f>'Case study'!AU204</f>
        <v>3</v>
      </c>
      <c r="AK204" s="116"/>
      <c r="AL204" s="118">
        <f>Capstone!K204</f>
        <v>3.1666666666666665</v>
      </c>
      <c r="AM204" s="118">
        <f>Capstone!Q205</f>
        <v>3</v>
      </c>
      <c r="AN204" s="118">
        <f>Capstone!W205</f>
        <v>3</v>
      </c>
      <c r="AO204" s="118"/>
      <c r="AP204" s="118"/>
      <c r="AQ204" s="118">
        <f>Capstone!AO205</f>
        <v>3</v>
      </c>
      <c r="AR204" s="118"/>
      <c r="AS204" s="116"/>
      <c r="AT204" s="118">
        <f>IFERROR(AVERAGE(Table110461117[[#This Row],[Column2]],Table110461117[[#This Row],[Column11]],Table110461117[[#This Row],[Column29]]),"0")</f>
        <v>1.6666666666666667</v>
      </c>
      <c r="AU204" s="118">
        <f>IFERROR(AVERAGE(Table110461117[[#This Row],[Column3]],Table110461117[[#This Row],[Column12]],Table110461117[[#This Row],[Column21]],Table110461117[[#This Row],[Column30]]),"0")</f>
        <v>1.1625000000000001</v>
      </c>
      <c r="AV204" s="118">
        <f>IFERROR(AVERAGE(Table110461117[[#This Row],[Column31]],Table110461117[[#This Row],[Column22]],Table110461117[[#This Row],[Column4]]),"0")</f>
        <v>1</v>
      </c>
      <c r="AW204" s="118">
        <f>IFERROR(AVERAGE(Table110461117[[#This Row],[Column14]]),"0")</f>
        <v>2</v>
      </c>
      <c r="AX204" s="118"/>
      <c r="AY204" s="118">
        <f>IFERROR(AVERAGE(Table110461117[[#This Row],[Column34]],Table110461117[[#This Row],[Column16]],Table110461117[[#This Row],[Column7]]),"0")</f>
        <v>1.25</v>
      </c>
      <c r="AZ204" s="118">
        <f>IFERROR(AVERAGE(Table110461117[[#This Row],[Column35]],Table110461117[[#This Row],[Column17]],Table110461117[[#This Row],[Column8]]),"0")</f>
        <v>2</v>
      </c>
      <c r="BA204" s="116"/>
      <c r="BB204" s="118"/>
      <c r="BC204" s="118">
        <f>IFERROR(AVERAGE('Book Review'!AY204,Debate!AY204,'Case study'!AY204,Capstone!AY204),"A")</f>
        <v>2.625</v>
      </c>
      <c r="BD204" s="118">
        <f>IFERROR(AVERAGE('Book Review'!AZ204,Debate!AZ204,'Case study'!AZ204),"A")</f>
        <v>2.3333333333333335</v>
      </c>
    </row>
    <row r="205" spans="1:56" s="109" customFormat="1" ht="23.1" customHeight="1" x14ac:dyDescent="0.3">
      <c r="A205" s="115">
        <v>203</v>
      </c>
      <c r="B205" s="49" t="s">
        <v>440</v>
      </c>
      <c r="C205" s="49" t="s">
        <v>441</v>
      </c>
      <c r="D205" s="49" t="s">
        <v>450</v>
      </c>
      <c r="E205" s="49" t="s">
        <v>289</v>
      </c>
      <c r="F205" s="117">
        <f>'Book Review'!K205</f>
        <v>4</v>
      </c>
      <c r="G205" s="117">
        <f>'Book Review'!Q205</f>
        <v>3.4</v>
      </c>
      <c r="H205" s="117">
        <f>'Book Review'!W205</f>
        <v>2</v>
      </c>
      <c r="I205" s="117"/>
      <c r="J205" s="117"/>
      <c r="K205" s="117">
        <f>'Book Review'!AO205</f>
        <v>4</v>
      </c>
      <c r="L205" s="117">
        <f>'Book Review'!AU205</f>
        <v>3</v>
      </c>
      <c r="M205" s="116"/>
      <c r="N205" s="117">
        <f>Debate!K205</f>
        <v>2</v>
      </c>
      <c r="O205" s="117">
        <f>Debate!Q205</f>
        <v>1.8</v>
      </c>
      <c r="P205" s="117"/>
      <c r="Q205" s="117">
        <f>Debate!AC205</f>
        <v>2</v>
      </c>
      <c r="R205" s="117"/>
      <c r="S205" s="117">
        <f>Debate!AO205</f>
        <v>2</v>
      </c>
      <c r="T205" s="117">
        <f>Debate!AU205</f>
        <v>2</v>
      </c>
      <c r="U205" s="116"/>
      <c r="V205" s="49"/>
      <c r="W205" s="117">
        <f>GD!Q205</f>
        <v>3</v>
      </c>
      <c r="X205" s="117">
        <f>GD!W205</f>
        <v>3</v>
      </c>
      <c r="Y205" s="117"/>
      <c r="Z205" s="117"/>
      <c r="AA205" s="49"/>
      <c r="AB205" s="117"/>
      <c r="AC205" s="116"/>
      <c r="AD205" s="117">
        <f>'Case study'!K205</f>
        <v>4</v>
      </c>
      <c r="AE205" s="117">
        <f>'Case study'!Q205</f>
        <v>3.4</v>
      </c>
      <c r="AF205" s="117">
        <f>'Case study'!W205</f>
        <v>3</v>
      </c>
      <c r="AG205" s="117"/>
      <c r="AH205" s="117"/>
      <c r="AI205" s="117">
        <f>'Case study'!AO205</f>
        <v>4</v>
      </c>
      <c r="AJ205" s="117">
        <f>'Case study'!AU205</f>
        <v>3</v>
      </c>
      <c r="AK205" s="116"/>
      <c r="AL205" s="117">
        <f>Capstone!K205</f>
        <v>2.6666666666666665</v>
      </c>
      <c r="AM205" s="117">
        <f>Capstone!Q206</f>
        <v>4</v>
      </c>
      <c r="AN205" s="117">
        <f>Capstone!W206</f>
        <v>2</v>
      </c>
      <c r="AO205" s="117"/>
      <c r="AP205" s="117"/>
      <c r="AQ205" s="117">
        <f>Capstone!AO206</f>
        <v>4</v>
      </c>
      <c r="AR205" s="117"/>
      <c r="AS205" s="116"/>
      <c r="AT205" s="117">
        <f>IFERROR(AVERAGE(Table110461117[[#This Row],[Column2]],Table110461117[[#This Row],[Column11]],Table110461117[[#This Row],[Column29]]),"0")</f>
        <v>3.3333333333333335</v>
      </c>
      <c r="AU205" s="117">
        <f>IFERROR(AVERAGE(Table110461117[[#This Row],[Column3]],Table110461117[[#This Row],[Column12]],Table110461117[[#This Row],[Column21]],Table110461117[[#This Row],[Column30]]),"0")</f>
        <v>2.9</v>
      </c>
      <c r="AV205" s="117">
        <f>IFERROR(AVERAGE(Table110461117[[#This Row],[Column31]],Table110461117[[#This Row],[Column22]],Table110461117[[#This Row],[Column4]]),"0")</f>
        <v>2.6666666666666665</v>
      </c>
      <c r="AW205" s="117">
        <f>IFERROR(AVERAGE(Table110461117[[#This Row],[Column14]]),"0")</f>
        <v>2</v>
      </c>
      <c r="AX205" s="117"/>
      <c r="AY205" s="117">
        <f>IFERROR(AVERAGE(Table110461117[[#This Row],[Column34]],Table110461117[[#This Row],[Column16]],Table110461117[[#This Row],[Column7]]),"0")</f>
        <v>3.3333333333333335</v>
      </c>
      <c r="AZ205" s="117">
        <f>IFERROR(AVERAGE(Table110461117[[#This Row],[Column35]],Table110461117[[#This Row],[Column17]],Table110461117[[#This Row],[Column8]]),"0")</f>
        <v>2.6666666666666665</v>
      </c>
      <c r="BA205" s="116"/>
      <c r="BB205" s="117"/>
      <c r="BC205" s="117">
        <f>IFERROR(AVERAGE('Book Review'!AY205,Debate!AY205,'Case study'!AY205,Capstone!AY205),"A")</f>
        <v>3.25</v>
      </c>
      <c r="BD205" s="117">
        <f>IFERROR(AVERAGE('Book Review'!AZ205,Debate!AZ205,'Case study'!AZ205),"A")</f>
        <v>3.3333333333333335</v>
      </c>
    </row>
    <row r="206" spans="1:56" s="109" customFormat="1" ht="23.1" customHeight="1" x14ac:dyDescent="0.3">
      <c r="A206" s="6">
        <v>204</v>
      </c>
      <c r="B206" s="7" t="s">
        <v>442</v>
      </c>
      <c r="C206" s="7" t="s">
        <v>443</v>
      </c>
      <c r="D206" s="7" t="s">
        <v>450</v>
      </c>
      <c r="E206" s="7" t="s">
        <v>289</v>
      </c>
      <c r="F206" s="118">
        <f>'Book Review'!K206</f>
        <v>2.5</v>
      </c>
      <c r="G206" s="118">
        <f>'Book Review'!Q206</f>
        <v>3.2</v>
      </c>
      <c r="H206" s="118">
        <f>'Book Review'!W206</f>
        <v>4</v>
      </c>
      <c r="I206" s="118"/>
      <c r="J206" s="118"/>
      <c r="K206" s="118">
        <f>'Book Review'!AO206</f>
        <v>2.5</v>
      </c>
      <c r="L206" s="118">
        <f>'Book Review'!AU206</f>
        <v>3</v>
      </c>
      <c r="M206" s="116"/>
      <c r="N206" s="118">
        <f>Debate!K206</f>
        <v>3</v>
      </c>
      <c r="O206" s="118">
        <f>Debate!Q206</f>
        <v>2.7</v>
      </c>
      <c r="P206" s="118"/>
      <c r="Q206" s="118">
        <f>Debate!AC206</f>
        <v>4</v>
      </c>
      <c r="R206" s="118"/>
      <c r="S206" s="118">
        <f>Debate!AO206</f>
        <v>2.3333333333333335</v>
      </c>
      <c r="T206" s="118">
        <f>Debate!AU206</f>
        <v>3</v>
      </c>
      <c r="U206" s="116"/>
      <c r="V206" s="7"/>
      <c r="W206" s="118">
        <f>GD!Q206</f>
        <v>1.25</v>
      </c>
      <c r="X206" s="118">
        <f>GD!W206</f>
        <v>1</v>
      </c>
      <c r="Y206" s="118"/>
      <c r="Z206" s="118"/>
      <c r="AA206" s="7"/>
      <c r="AB206" s="118"/>
      <c r="AC206" s="116"/>
      <c r="AD206" s="118">
        <f>'Case study'!K206</f>
        <v>1.75</v>
      </c>
      <c r="AE206" s="118">
        <f>'Case study'!Q206</f>
        <v>3</v>
      </c>
      <c r="AF206" s="118">
        <f>'Case study'!W206</f>
        <v>2</v>
      </c>
      <c r="AG206" s="118"/>
      <c r="AH206" s="118"/>
      <c r="AI206" s="118">
        <f>'Case study'!AO206</f>
        <v>1.75</v>
      </c>
      <c r="AJ206" s="118">
        <f>'Case study'!AU206</f>
        <v>3</v>
      </c>
      <c r="AK206" s="116"/>
      <c r="AL206" s="118">
        <f>Capstone!K206</f>
        <v>4</v>
      </c>
      <c r="AM206" s="118">
        <f>Capstone!Q207</f>
        <v>4</v>
      </c>
      <c r="AN206" s="118">
        <f>Capstone!W207</f>
        <v>3</v>
      </c>
      <c r="AO206" s="118"/>
      <c r="AP206" s="118"/>
      <c r="AQ206" s="118">
        <f>Capstone!AO207</f>
        <v>4</v>
      </c>
      <c r="AR206" s="118"/>
      <c r="AS206" s="116"/>
      <c r="AT206" s="118">
        <f>IFERROR(AVERAGE(Table110461117[[#This Row],[Column2]],Table110461117[[#This Row],[Column11]],Table110461117[[#This Row],[Column29]]),"0")</f>
        <v>2.4166666666666665</v>
      </c>
      <c r="AU206" s="118">
        <f>IFERROR(AVERAGE(Table110461117[[#This Row],[Column3]],Table110461117[[#This Row],[Column12]],Table110461117[[#This Row],[Column21]],Table110461117[[#This Row],[Column30]]),"0")</f>
        <v>2.5375000000000001</v>
      </c>
      <c r="AV206" s="118">
        <f>IFERROR(AVERAGE(Table110461117[[#This Row],[Column31]],Table110461117[[#This Row],[Column22]],Table110461117[[#This Row],[Column4]]),"0")</f>
        <v>2.3333333333333335</v>
      </c>
      <c r="AW206" s="118">
        <f>IFERROR(AVERAGE(Table110461117[[#This Row],[Column14]]),"0")</f>
        <v>4</v>
      </c>
      <c r="AX206" s="118"/>
      <c r="AY206" s="118">
        <f>IFERROR(AVERAGE(Table110461117[[#This Row],[Column34]],Table110461117[[#This Row],[Column16]],Table110461117[[#This Row],[Column7]]),"0")</f>
        <v>2.1944444444444446</v>
      </c>
      <c r="AZ206" s="118">
        <f>IFERROR(AVERAGE(Table110461117[[#This Row],[Column35]],Table110461117[[#This Row],[Column17]],Table110461117[[#This Row],[Column8]]),"0")</f>
        <v>3</v>
      </c>
      <c r="BA206" s="116"/>
      <c r="BB206" s="118"/>
      <c r="BC206" s="118">
        <f>IFERROR(AVERAGE('Book Review'!AY206,Debate!AY206,'Case study'!AY206,Capstone!AY206),"A")</f>
        <v>3</v>
      </c>
      <c r="BD206" s="118">
        <f>IFERROR(AVERAGE('Book Review'!AZ206,Debate!AZ206,'Case study'!AZ206),"A")</f>
        <v>2.6666666666666665</v>
      </c>
    </row>
    <row r="207" spans="1:56" s="109" customFormat="1" ht="23.1" customHeight="1" x14ac:dyDescent="0.3">
      <c r="A207" s="115">
        <v>205</v>
      </c>
      <c r="B207" s="49" t="s">
        <v>444</v>
      </c>
      <c r="C207" s="49" t="s">
        <v>445</v>
      </c>
      <c r="D207" s="49" t="s">
        <v>450</v>
      </c>
      <c r="E207" s="49" t="s">
        <v>289</v>
      </c>
      <c r="F207" s="117">
        <f>'Book Review'!K207</f>
        <v>3.75</v>
      </c>
      <c r="G207" s="117">
        <f>'Book Review'!Q207</f>
        <v>3.4</v>
      </c>
      <c r="H207" s="117">
        <f>'Book Review'!W207</f>
        <v>2</v>
      </c>
      <c r="I207" s="117"/>
      <c r="J207" s="117"/>
      <c r="K207" s="117">
        <f>'Book Review'!AO207</f>
        <v>3</v>
      </c>
      <c r="L207" s="117">
        <f>'Book Review'!AU207</f>
        <v>3</v>
      </c>
      <c r="M207" s="116"/>
      <c r="N207" s="117">
        <f>Debate!K207</f>
        <v>3</v>
      </c>
      <c r="O207" s="117">
        <f>Debate!Q207</f>
        <v>2.6</v>
      </c>
      <c r="P207" s="117"/>
      <c r="Q207" s="117">
        <f>Debate!AC207</f>
        <v>3</v>
      </c>
      <c r="R207" s="117"/>
      <c r="S207" s="117">
        <f>Debate!AO207</f>
        <v>2.6666666666666665</v>
      </c>
      <c r="T207" s="117">
        <f>Debate!AU207</f>
        <v>3</v>
      </c>
      <c r="U207" s="116"/>
      <c r="V207" s="49"/>
      <c r="W207" s="117">
        <f>GD!Q207</f>
        <v>3.25</v>
      </c>
      <c r="X207" s="117">
        <f>GD!W207</f>
        <v>4</v>
      </c>
      <c r="Y207" s="117"/>
      <c r="Z207" s="117"/>
      <c r="AA207" s="49"/>
      <c r="AB207" s="117"/>
      <c r="AC207" s="116"/>
      <c r="AD207" s="117">
        <f>'Case study'!K207</f>
        <v>3.5</v>
      </c>
      <c r="AE207" s="117">
        <f>'Case study'!Q207</f>
        <v>3.2</v>
      </c>
      <c r="AF207" s="117">
        <f>'Case study'!W207</f>
        <v>3</v>
      </c>
      <c r="AG207" s="117"/>
      <c r="AH207" s="117"/>
      <c r="AI207" s="117">
        <f>'Case study'!AO207</f>
        <v>3</v>
      </c>
      <c r="AJ207" s="117">
        <f>'Case study'!AU207</f>
        <v>3</v>
      </c>
      <c r="AK207" s="116"/>
      <c r="AL207" s="117">
        <f>Capstone!K207</f>
        <v>4</v>
      </c>
      <c r="AM207" s="117">
        <f>Capstone!Q208</f>
        <v>4</v>
      </c>
      <c r="AN207" s="117">
        <f>Capstone!W208</f>
        <v>1</v>
      </c>
      <c r="AO207" s="117"/>
      <c r="AP207" s="117"/>
      <c r="AQ207" s="117">
        <f>Capstone!AO208</f>
        <v>4</v>
      </c>
      <c r="AR207" s="117"/>
      <c r="AS207" s="116"/>
      <c r="AT207" s="117">
        <f>IFERROR(AVERAGE(Table110461117[[#This Row],[Column2]],Table110461117[[#This Row],[Column11]],Table110461117[[#This Row],[Column29]]),"0")</f>
        <v>3.4166666666666665</v>
      </c>
      <c r="AU207" s="117">
        <f>IFERROR(AVERAGE(Table110461117[[#This Row],[Column3]],Table110461117[[#This Row],[Column12]],Table110461117[[#This Row],[Column21]],Table110461117[[#This Row],[Column30]]),"0")</f>
        <v>3.1124999999999998</v>
      </c>
      <c r="AV207" s="117">
        <f>IFERROR(AVERAGE(Table110461117[[#This Row],[Column31]],Table110461117[[#This Row],[Column22]],Table110461117[[#This Row],[Column4]]),"0")</f>
        <v>3</v>
      </c>
      <c r="AW207" s="117">
        <f>IFERROR(AVERAGE(Table110461117[[#This Row],[Column14]]),"0")</f>
        <v>3</v>
      </c>
      <c r="AX207" s="117"/>
      <c r="AY207" s="117">
        <f>IFERROR(AVERAGE(Table110461117[[#This Row],[Column34]],Table110461117[[#This Row],[Column16]],Table110461117[[#This Row],[Column7]]),"0")</f>
        <v>2.8888888888888888</v>
      </c>
      <c r="AZ207" s="117">
        <f>IFERROR(AVERAGE(Table110461117[[#This Row],[Column35]],Table110461117[[#This Row],[Column17]],Table110461117[[#This Row],[Column8]]),"0")</f>
        <v>3</v>
      </c>
      <c r="BA207" s="116"/>
      <c r="BB207" s="117"/>
      <c r="BC207" s="117">
        <f>IFERROR(AVERAGE('Book Review'!AY207,Debate!AY207,'Case study'!AY207,Capstone!AY207),"A")</f>
        <v>3.75</v>
      </c>
      <c r="BD207" s="117">
        <f>IFERROR(AVERAGE('Book Review'!AZ207,Debate!AZ207,'Case study'!AZ207),"A")</f>
        <v>3.3333333333333335</v>
      </c>
    </row>
    <row r="208" spans="1:56" s="109" customFormat="1" ht="23.1" customHeight="1" x14ac:dyDescent="0.3">
      <c r="A208" s="6">
        <v>206</v>
      </c>
      <c r="B208" s="7" t="s">
        <v>446</v>
      </c>
      <c r="C208" s="7" t="s">
        <v>447</v>
      </c>
      <c r="D208" s="7" t="s">
        <v>450</v>
      </c>
      <c r="E208" s="7" t="s">
        <v>289</v>
      </c>
      <c r="F208" s="118">
        <f>'Book Review'!K208</f>
        <v>0</v>
      </c>
      <c r="G208" s="118">
        <f>'Book Review'!Q208</f>
        <v>0</v>
      </c>
      <c r="H208" s="118">
        <f>'Book Review'!W208</f>
        <v>0</v>
      </c>
      <c r="I208" s="118"/>
      <c r="J208" s="118"/>
      <c r="K208" s="118">
        <f>'Book Review'!AO208</f>
        <v>0</v>
      </c>
      <c r="L208" s="118">
        <f>'Book Review'!AU208</f>
        <v>0</v>
      </c>
      <c r="M208" s="116"/>
      <c r="N208" s="118">
        <f>Debate!K208</f>
        <v>2</v>
      </c>
      <c r="O208" s="118">
        <f>Debate!Q208</f>
        <v>2.5</v>
      </c>
      <c r="P208" s="118"/>
      <c r="Q208" s="118">
        <f>Debate!AC208</f>
        <v>2</v>
      </c>
      <c r="R208" s="118"/>
      <c r="S208" s="118">
        <f>Debate!AO208</f>
        <v>1.6666666666666667</v>
      </c>
      <c r="T208" s="118">
        <f>Debate!AU208</f>
        <v>3</v>
      </c>
      <c r="U208" s="116"/>
      <c r="V208" s="7"/>
      <c r="W208" s="118">
        <f>GD!Q208</f>
        <v>0.5</v>
      </c>
      <c r="X208" s="118">
        <f>GD!W208</f>
        <v>0</v>
      </c>
      <c r="Y208" s="118"/>
      <c r="Z208" s="118"/>
      <c r="AA208" s="7"/>
      <c r="AB208" s="118"/>
      <c r="AC208" s="116"/>
      <c r="AD208" s="118">
        <f>'Case study'!K208</f>
        <v>1</v>
      </c>
      <c r="AE208" s="118">
        <f>'Case study'!Q208</f>
        <v>2.8</v>
      </c>
      <c r="AF208" s="118">
        <f>'Case study'!W208</f>
        <v>1</v>
      </c>
      <c r="AG208" s="118"/>
      <c r="AH208" s="118"/>
      <c r="AI208" s="118">
        <f>'Case study'!AO208</f>
        <v>1</v>
      </c>
      <c r="AJ208" s="118">
        <f>'Case study'!AU208</f>
        <v>2</v>
      </c>
      <c r="AK208" s="116"/>
      <c r="AL208" s="118">
        <f>Capstone!K208</f>
        <v>4</v>
      </c>
      <c r="AM208" s="118">
        <f>Capstone!Q209</f>
        <v>3</v>
      </c>
      <c r="AN208" s="118">
        <f>Capstone!W209</f>
        <v>3</v>
      </c>
      <c r="AO208" s="118"/>
      <c r="AP208" s="118"/>
      <c r="AQ208" s="118">
        <f>Capstone!AO209</f>
        <v>3.5</v>
      </c>
      <c r="AR208" s="118"/>
      <c r="AS208" s="116"/>
      <c r="AT208" s="118">
        <f>IFERROR(AVERAGE(Table110461117[[#This Row],[Column2]],Table110461117[[#This Row],[Column11]],Table110461117[[#This Row],[Column29]]),"0")</f>
        <v>1</v>
      </c>
      <c r="AU208" s="118">
        <f>IFERROR(AVERAGE(Table110461117[[#This Row],[Column3]],Table110461117[[#This Row],[Column12]],Table110461117[[#This Row],[Column21]],Table110461117[[#This Row],[Column30]]),"0")</f>
        <v>1.45</v>
      </c>
      <c r="AV208" s="118">
        <f>IFERROR(AVERAGE(Table110461117[[#This Row],[Column31]],Table110461117[[#This Row],[Column22]],Table110461117[[#This Row],[Column4]]),"0")</f>
        <v>0.33333333333333331</v>
      </c>
      <c r="AW208" s="118">
        <f>IFERROR(AVERAGE(Table110461117[[#This Row],[Column14]]),"0")</f>
        <v>2</v>
      </c>
      <c r="AX208" s="118"/>
      <c r="AY208" s="118">
        <f>IFERROR(AVERAGE(Table110461117[[#This Row],[Column34]],Table110461117[[#This Row],[Column16]],Table110461117[[#This Row],[Column7]]),"0")</f>
        <v>0.88888888888888895</v>
      </c>
      <c r="AZ208" s="118">
        <f>IFERROR(AVERAGE(Table110461117[[#This Row],[Column35]],Table110461117[[#This Row],[Column17]],Table110461117[[#This Row],[Column8]]),"0")</f>
        <v>1.6666666666666667</v>
      </c>
      <c r="BA208" s="116"/>
      <c r="BB208" s="118"/>
      <c r="BC208" s="118">
        <f>IFERROR(AVERAGE('Book Review'!AY208,Debate!AY208,'Case study'!AY208,Capstone!AY208),"A")</f>
        <v>1.75</v>
      </c>
      <c r="BD208" s="118">
        <f>IFERROR(AVERAGE('Book Review'!AZ208,Debate!AZ208,'Case study'!AZ208),"A")</f>
        <v>1.3333333333333333</v>
      </c>
    </row>
    <row r="209" spans="1:56" s="109" customFormat="1" ht="23.1" customHeight="1" x14ac:dyDescent="0.3">
      <c r="A209" s="115">
        <v>207</v>
      </c>
      <c r="B209" s="49" t="s">
        <v>448</v>
      </c>
      <c r="C209" s="49" t="s">
        <v>449</v>
      </c>
      <c r="D209" s="49" t="s">
        <v>450</v>
      </c>
      <c r="E209" s="49" t="s">
        <v>289</v>
      </c>
      <c r="F209" s="117">
        <f>'Book Review'!K209</f>
        <v>2.5</v>
      </c>
      <c r="G209" s="117">
        <f>'Book Review'!Q209</f>
        <v>2.6</v>
      </c>
      <c r="H209" s="117">
        <f>'Book Review'!W209</f>
        <v>3</v>
      </c>
      <c r="I209" s="117"/>
      <c r="J209" s="117"/>
      <c r="K209" s="117">
        <f>'Book Review'!AO209</f>
        <v>2.5</v>
      </c>
      <c r="L209" s="117">
        <f>'Book Review'!AU209</f>
        <v>3</v>
      </c>
      <c r="M209" s="116"/>
      <c r="N209" s="117">
        <f>Debate!K209</f>
        <v>2</v>
      </c>
      <c r="O209" s="117">
        <f>Debate!Q209</f>
        <v>2.7</v>
      </c>
      <c r="P209" s="117"/>
      <c r="Q209" s="117">
        <f>Debate!AC209</f>
        <v>3</v>
      </c>
      <c r="R209" s="117"/>
      <c r="S209" s="117">
        <f>Debate!AO209</f>
        <v>2.3333333333333335</v>
      </c>
      <c r="T209" s="117">
        <f>Debate!AU209</f>
        <v>3</v>
      </c>
      <c r="U209" s="116"/>
      <c r="V209" s="49"/>
      <c r="W209" s="117">
        <f>GD!Q209</f>
        <v>2.25</v>
      </c>
      <c r="X209" s="117">
        <f>GD!W209</f>
        <v>3</v>
      </c>
      <c r="Y209" s="117"/>
      <c r="Z209" s="117"/>
      <c r="AA209" s="49"/>
      <c r="AB209" s="117"/>
      <c r="AC209" s="116"/>
      <c r="AD209" s="117">
        <f>'Case study'!K209</f>
        <v>2.5</v>
      </c>
      <c r="AE209" s="117">
        <f>'Case study'!Q209</f>
        <v>2.6</v>
      </c>
      <c r="AF209" s="117">
        <f>'Case study'!W209</f>
        <v>3</v>
      </c>
      <c r="AG209" s="117"/>
      <c r="AH209" s="117"/>
      <c r="AI209" s="117">
        <f>'Case study'!AO209</f>
        <v>3</v>
      </c>
      <c r="AJ209" s="117">
        <f>'Case study'!AU209</f>
        <v>3</v>
      </c>
      <c r="AK209" s="116"/>
      <c r="AL209" s="117">
        <f>Capstone!K209</f>
        <v>3</v>
      </c>
      <c r="AM209" s="117">
        <f>Capstone!Q210</f>
        <v>3.75</v>
      </c>
      <c r="AN209" s="117">
        <f>Capstone!W210</f>
        <v>4</v>
      </c>
      <c r="AO209" s="117"/>
      <c r="AP209" s="117"/>
      <c r="AQ209" s="117">
        <f>Capstone!AO210</f>
        <v>3</v>
      </c>
      <c r="AR209" s="117"/>
      <c r="AS209" s="116"/>
      <c r="AT209" s="117">
        <f>IFERROR(AVERAGE(Table110461117[[#This Row],[Column2]],Table110461117[[#This Row],[Column11]],Table110461117[[#This Row],[Column29]]),"0")</f>
        <v>2.3333333333333335</v>
      </c>
      <c r="AU209" s="117">
        <f>IFERROR(AVERAGE(Table110461117[[#This Row],[Column3]],Table110461117[[#This Row],[Column12]],Table110461117[[#This Row],[Column21]],Table110461117[[#This Row],[Column30]]),"0")</f>
        <v>2.5375000000000001</v>
      </c>
      <c r="AV209" s="117">
        <f>IFERROR(AVERAGE(Table110461117[[#This Row],[Column31]],Table110461117[[#This Row],[Column22]],Table110461117[[#This Row],[Column4]]),"0")</f>
        <v>3</v>
      </c>
      <c r="AW209" s="117">
        <f>IFERROR(AVERAGE(Table110461117[[#This Row],[Column14]]),"0")</f>
        <v>3</v>
      </c>
      <c r="AX209" s="117"/>
      <c r="AY209" s="117">
        <f>IFERROR(AVERAGE(Table110461117[[#This Row],[Column34]],Table110461117[[#This Row],[Column16]],Table110461117[[#This Row],[Column7]]),"0")</f>
        <v>2.6111111111111112</v>
      </c>
      <c r="AZ209" s="117">
        <f>IFERROR(AVERAGE(Table110461117[[#This Row],[Column35]],Table110461117[[#This Row],[Column17]],Table110461117[[#This Row],[Column8]]),"0")</f>
        <v>3</v>
      </c>
      <c r="BA209" s="116"/>
      <c r="BB209" s="117"/>
      <c r="BC209" s="117">
        <f>IFERROR(AVERAGE('Book Review'!AY209,Debate!AY209,'Case study'!AY209,Capstone!AY209),"A")</f>
        <v>2.75</v>
      </c>
      <c r="BD209" s="117">
        <f>IFERROR(AVERAGE('Book Review'!AZ209,Debate!AZ209,'Case study'!AZ209),"A")</f>
        <v>2.3333333333333335</v>
      </c>
    </row>
    <row r="210" spans="1:56" s="109" customFormat="1" ht="23.1" customHeight="1" x14ac:dyDescent="0.3">
      <c r="A210" s="6">
        <v>208</v>
      </c>
      <c r="B210" s="7" t="s">
        <v>74</v>
      </c>
      <c r="C210" s="7" t="s">
        <v>494</v>
      </c>
      <c r="D210" s="7" t="s">
        <v>450</v>
      </c>
      <c r="E210" s="7" t="s">
        <v>289</v>
      </c>
      <c r="F210" s="118">
        <f>'Book Review'!K210</f>
        <v>3.25</v>
      </c>
      <c r="G210" s="118">
        <f>'Book Review'!Q210</f>
        <v>4</v>
      </c>
      <c r="H210" s="118">
        <f>'Book Review'!W210</f>
        <v>4</v>
      </c>
      <c r="I210" s="118"/>
      <c r="J210" s="118"/>
      <c r="K210" s="118">
        <f>'Book Review'!AO210</f>
        <v>3</v>
      </c>
      <c r="L210" s="118">
        <f>'Book Review'!AU210</f>
        <v>3</v>
      </c>
      <c r="M210" s="116"/>
      <c r="N210" s="118">
        <f>Debate!K210</f>
        <v>3</v>
      </c>
      <c r="O210" s="118">
        <f>Debate!Q210</f>
        <v>4</v>
      </c>
      <c r="P210" s="118"/>
      <c r="Q210" s="118">
        <f>Debate!AC210</f>
        <v>3</v>
      </c>
      <c r="R210" s="118"/>
      <c r="S210" s="118">
        <f>Debate!AO210</f>
        <v>3.6666666666666665</v>
      </c>
      <c r="T210" s="118">
        <f>Debate!AU210</f>
        <v>3</v>
      </c>
      <c r="U210" s="116"/>
      <c r="V210" s="7"/>
      <c r="W210" s="118">
        <f>GD!Q210</f>
        <v>3.75</v>
      </c>
      <c r="X210" s="118">
        <f>GD!W210</f>
        <v>4</v>
      </c>
      <c r="Y210" s="118"/>
      <c r="Z210" s="118"/>
      <c r="AA210" s="7"/>
      <c r="AB210" s="118"/>
      <c r="AC210" s="116"/>
      <c r="AD210" s="118">
        <f>'Case study'!K210</f>
        <v>3.25</v>
      </c>
      <c r="AE210" s="118">
        <f>'Case study'!Q210</f>
        <v>4</v>
      </c>
      <c r="AF210" s="118">
        <f>'Case study'!W210</f>
        <v>4</v>
      </c>
      <c r="AG210" s="118"/>
      <c r="AH210" s="118"/>
      <c r="AI210" s="118">
        <f>'Case study'!AO210</f>
        <v>3</v>
      </c>
      <c r="AJ210" s="118">
        <f>'Case study'!AU210</f>
        <v>3</v>
      </c>
      <c r="AK210" s="116"/>
      <c r="AL210" s="118">
        <f>Capstone!K210</f>
        <v>3</v>
      </c>
      <c r="AM210" s="118">
        <f>Capstone!Q211</f>
        <v>2</v>
      </c>
      <c r="AN210" s="118">
        <f>Capstone!W211</f>
        <v>2</v>
      </c>
      <c r="AO210" s="118"/>
      <c r="AP210" s="118"/>
      <c r="AQ210" s="118">
        <f>Capstone!AO211</f>
        <v>2</v>
      </c>
      <c r="AR210" s="118"/>
      <c r="AS210" s="116"/>
      <c r="AT210" s="118">
        <f>IFERROR(AVERAGE(Table110461117[[#This Row],[Column2]],Table110461117[[#This Row],[Column11]],Table110461117[[#This Row],[Column29]]),"0")</f>
        <v>3.1666666666666665</v>
      </c>
      <c r="AU210" s="118">
        <f>IFERROR(AVERAGE(Table110461117[[#This Row],[Column3]],Table110461117[[#This Row],[Column12]],Table110461117[[#This Row],[Column21]],Table110461117[[#This Row],[Column30]]),"0")</f>
        <v>3.9375</v>
      </c>
      <c r="AV210" s="118">
        <f>IFERROR(AVERAGE(Table110461117[[#This Row],[Column31]],Table110461117[[#This Row],[Column22]],Table110461117[[#This Row],[Column4]]),"0")</f>
        <v>4</v>
      </c>
      <c r="AW210" s="118">
        <f>IFERROR(AVERAGE(Table110461117[[#This Row],[Column14]]),"0")</f>
        <v>3</v>
      </c>
      <c r="AX210" s="118"/>
      <c r="AY210" s="118">
        <f>IFERROR(AVERAGE(Table110461117[[#This Row],[Column34]],Table110461117[[#This Row],[Column16]],Table110461117[[#This Row],[Column7]]),"0")</f>
        <v>3.2222222222222219</v>
      </c>
      <c r="AZ210" s="118">
        <f>IFERROR(AVERAGE(Table110461117[[#This Row],[Column35]],Table110461117[[#This Row],[Column17]],Table110461117[[#This Row],[Column8]]),"0")</f>
        <v>3</v>
      </c>
      <c r="BA210" s="116"/>
      <c r="BB210" s="118"/>
      <c r="BC210" s="118">
        <f>IFERROR(AVERAGE('Book Review'!AY210,Debate!AY210,'Case study'!AY210,Capstone!AY210),"A")</f>
        <v>3.125</v>
      </c>
      <c r="BD210" s="118">
        <f>IFERROR(AVERAGE('Book Review'!AZ210,Debate!AZ210,'Case study'!AZ210),"A")</f>
        <v>3</v>
      </c>
    </row>
    <row r="211" spans="1:56" s="109" customFormat="1" ht="23.1" customHeight="1" x14ac:dyDescent="0.3">
      <c r="A211" s="115">
        <v>209</v>
      </c>
      <c r="B211" s="49" t="s">
        <v>451</v>
      </c>
      <c r="C211" s="49" t="s">
        <v>452</v>
      </c>
      <c r="D211" s="49" t="s">
        <v>450</v>
      </c>
      <c r="E211" s="49" t="s">
        <v>289</v>
      </c>
      <c r="F211" s="117">
        <f>'Book Review'!K211</f>
        <v>2</v>
      </c>
      <c r="G211" s="117">
        <f>'Book Review'!Q211</f>
        <v>2</v>
      </c>
      <c r="H211" s="117">
        <f>'Book Review'!W211</f>
        <v>2</v>
      </c>
      <c r="I211" s="117"/>
      <c r="J211" s="117"/>
      <c r="K211" s="117">
        <f>'Book Review'!AO211</f>
        <v>2</v>
      </c>
      <c r="L211" s="117">
        <f>'Book Review'!AU211</f>
        <v>2</v>
      </c>
      <c r="M211" s="116"/>
      <c r="N211" s="117">
        <f>Debate!K211</f>
        <v>2</v>
      </c>
      <c r="O211" s="117">
        <f>Debate!Q211</f>
        <v>2</v>
      </c>
      <c r="P211" s="117"/>
      <c r="Q211" s="117">
        <f>Debate!AC211</f>
        <v>2</v>
      </c>
      <c r="R211" s="117"/>
      <c r="S211" s="117">
        <f>Debate!AO211</f>
        <v>2</v>
      </c>
      <c r="T211" s="117">
        <f>Debate!AU211</f>
        <v>2</v>
      </c>
      <c r="U211" s="116"/>
      <c r="V211" s="49"/>
      <c r="W211" s="117">
        <f>GD!Q211</f>
        <v>2</v>
      </c>
      <c r="X211" s="117">
        <f>GD!W211</f>
        <v>2</v>
      </c>
      <c r="Y211" s="117"/>
      <c r="Z211" s="117"/>
      <c r="AA211" s="49"/>
      <c r="AB211" s="117"/>
      <c r="AC211" s="116"/>
      <c r="AD211" s="117">
        <f>'Case study'!K211</f>
        <v>2</v>
      </c>
      <c r="AE211" s="117">
        <f>'Case study'!Q211</f>
        <v>2</v>
      </c>
      <c r="AF211" s="117">
        <f>'Case study'!W211</f>
        <v>2</v>
      </c>
      <c r="AG211" s="117"/>
      <c r="AH211" s="117"/>
      <c r="AI211" s="117">
        <f>'Case study'!AO211</f>
        <v>2</v>
      </c>
      <c r="AJ211" s="117">
        <f>'Case study'!AU211</f>
        <v>3</v>
      </c>
      <c r="AK211" s="116"/>
      <c r="AL211" s="117">
        <f>Capstone!K211</f>
        <v>2</v>
      </c>
      <c r="AM211" s="117">
        <f>Capstone!Q212</f>
        <v>3</v>
      </c>
      <c r="AN211" s="117">
        <f>Capstone!W212</f>
        <v>3</v>
      </c>
      <c r="AO211" s="117"/>
      <c r="AP211" s="117"/>
      <c r="AQ211" s="117">
        <f>Capstone!AO212</f>
        <v>3</v>
      </c>
      <c r="AR211" s="117"/>
      <c r="AS211" s="116"/>
      <c r="AT211" s="117">
        <f>IFERROR(AVERAGE(Table110461117[[#This Row],[Column2]],Table110461117[[#This Row],[Column11]],Table110461117[[#This Row],[Column29]]),"0")</f>
        <v>2</v>
      </c>
      <c r="AU211" s="117">
        <f>IFERROR(AVERAGE(Table110461117[[#This Row],[Column3]],Table110461117[[#This Row],[Column12]],Table110461117[[#This Row],[Column21]],Table110461117[[#This Row],[Column30]]),"0")</f>
        <v>2</v>
      </c>
      <c r="AV211" s="117">
        <f>IFERROR(AVERAGE(Table110461117[[#This Row],[Column31]],Table110461117[[#This Row],[Column22]],Table110461117[[#This Row],[Column4]]),"0")</f>
        <v>2</v>
      </c>
      <c r="AW211" s="117">
        <f>IFERROR(AVERAGE(Table110461117[[#This Row],[Column14]]),"0")</f>
        <v>2</v>
      </c>
      <c r="AX211" s="117"/>
      <c r="AY211" s="117">
        <f>IFERROR(AVERAGE(Table110461117[[#This Row],[Column34]],Table110461117[[#This Row],[Column16]],Table110461117[[#This Row],[Column7]]),"0")</f>
        <v>2</v>
      </c>
      <c r="AZ211" s="117">
        <f>IFERROR(AVERAGE(Table110461117[[#This Row],[Column35]],Table110461117[[#This Row],[Column17]],Table110461117[[#This Row],[Column8]]),"0")</f>
        <v>2.3333333333333335</v>
      </c>
      <c r="BA211" s="116"/>
      <c r="BB211" s="117"/>
      <c r="BC211" s="117">
        <f>IFERROR(AVERAGE('Book Review'!AY211,Debate!AY211,'Case study'!AY211,Capstone!AY211),"A")</f>
        <v>2.5</v>
      </c>
      <c r="BD211" s="117">
        <f>IFERROR(AVERAGE('Book Review'!AZ211,Debate!AZ211,'Case study'!AZ211),"A")</f>
        <v>2.3333333333333335</v>
      </c>
    </row>
    <row r="212" spans="1:56" s="109" customFormat="1" ht="23.1" customHeight="1" x14ac:dyDescent="0.3">
      <c r="A212" s="6">
        <v>210</v>
      </c>
      <c r="B212" s="7" t="s">
        <v>453</v>
      </c>
      <c r="C212" s="7" t="s">
        <v>454</v>
      </c>
      <c r="D212" s="7" t="s">
        <v>450</v>
      </c>
      <c r="E212" s="7" t="s">
        <v>289</v>
      </c>
      <c r="F212" s="118">
        <f>'Book Review'!K212</f>
        <v>3.25</v>
      </c>
      <c r="G212" s="118">
        <f>'Book Review'!Q212</f>
        <v>3</v>
      </c>
      <c r="H212" s="118">
        <f>'Book Review'!W212</f>
        <v>3</v>
      </c>
      <c r="I212" s="118"/>
      <c r="J212" s="118"/>
      <c r="K212" s="118">
        <f>'Book Review'!AO212</f>
        <v>2.5</v>
      </c>
      <c r="L212" s="118">
        <f>'Book Review'!AU212</f>
        <v>3</v>
      </c>
      <c r="M212" s="116"/>
      <c r="N212" s="118">
        <f>Debate!K212</f>
        <v>2</v>
      </c>
      <c r="O212" s="118">
        <f>Debate!Q212</f>
        <v>3.1</v>
      </c>
      <c r="P212" s="118"/>
      <c r="Q212" s="118">
        <f>Debate!AC212</f>
        <v>3</v>
      </c>
      <c r="R212" s="118"/>
      <c r="S212" s="118">
        <f>Debate!AO212</f>
        <v>3</v>
      </c>
      <c r="T212" s="118">
        <f>Debate!AU212</f>
        <v>3</v>
      </c>
      <c r="U212" s="116"/>
      <c r="V212" s="7"/>
      <c r="W212" s="118">
        <f>GD!Q212</f>
        <v>3</v>
      </c>
      <c r="X212" s="118">
        <f>GD!W212</f>
        <v>3</v>
      </c>
      <c r="Y212" s="118"/>
      <c r="Z212" s="118"/>
      <c r="AA212" s="7"/>
      <c r="AB212" s="118"/>
      <c r="AC212" s="116"/>
      <c r="AD212" s="118">
        <f>'Case study'!K212</f>
        <v>3.25</v>
      </c>
      <c r="AE212" s="118">
        <f>'Case study'!Q212</f>
        <v>3</v>
      </c>
      <c r="AF212" s="118">
        <f>'Case study'!W212</f>
        <v>3</v>
      </c>
      <c r="AG212" s="118"/>
      <c r="AH212" s="118"/>
      <c r="AI212" s="118">
        <f>'Case study'!AO212</f>
        <v>2.75</v>
      </c>
      <c r="AJ212" s="118">
        <f>'Case study'!AU212</f>
        <v>3</v>
      </c>
      <c r="AK212" s="116"/>
      <c r="AL212" s="118">
        <f>Capstone!K212</f>
        <v>2</v>
      </c>
      <c r="AM212" s="118">
        <f>Capstone!Q213</f>
        <v>4</v>
      </c>
      <c r="AN212" s="118">
        <f>Capstone!W213</f>
        <v>3</v>
      </c>
      <c r="AO212" s="118"/>
      <c r="AP212" s="118"/>
      <c r="AQ212" s="118">
        <f>Capstone!AO213</f>
        <v>4</v>
      </c>
      <c r="AR212" s="118"/>
      <c r="AS212" s="116"/>
      <c r="AT212" s="118">
        <f>IFERROR(AVERAGE(Table110461117[[#This Row],[Column2]],Table110461117[[#This Row],[Column11]],Table110461117[[#This Row],[Column29]]),"0")</f>
        <v>2.8333333333333335</v>
      </c>
      <c r="AU212" s="118">
        <f>IFERROR(AVERAGE(Table110461117[[#This Row],[Column3]],Table110461117[[#This Row],[Column12]],Table110461117[[#This Row],[Column21]],Table110461117[[#This Row],[Column30]]),"0")</f>
        <v>3.0249999999999999</v>
      </c>
      <c r="AV212" s="118">
        <f>IFERROR(AVERAGE(Table110461117[[#This Row],[Column31]],Table110461117[[#This Row],[Column22]],Table110461117[[#This Row],[Column4]]),"0")</f>
        <v>3</v>
      </c>
      <c r="AW212" s="118">
        <f>IFERROR(AVERAGE(Table110461117[[#This Row],[Column14]]),"0")</f>
        <v>3</v>
      </c>
      <c r="AX212" s="118"/>
      <c r="AY212" s="118">
        <f>IFERROR(AVERAGE(Table110461117[[#This Row],[Column34]],Table110461117[[#This Row],[Column16]],Table110461117[[#This Row],[Column7]]),"0")</f>
        <v>2.75</v>
      </c>
      <c r="AZ212" s="118">
        <f>IFERROR(AVERAGE(Table110461117[[#This Row],[Column35]],Table110461117[[#This Row],[Column17]],Table110461117[[#This Row],[Column8]]),"0")</f>
        <v>3</v>
      </c>
      <c r="BA212" s="116"/>
      <c r="BB212" s="118"/>
      <c r="BC212" s="118">
        <f>IFERROR(AVERAGE('Book Review'!AY212,Debate!AY212,'Case study'!AY212,Capstone!AY212),"A")</f>
        <v>3.25</v>
      </c>
      <c r="BD212" s="118">
        <f>IFERROR(AVERAGE('Book Review'!AZ212,Debate!AZ212,'Case study'!AZ212),"A")</f>
        <v>3.6666666666666665</v>
      </c>
    </row>
    <row r="213" spans="1:56" s="109" customFormat="1" ht="23.1" customHeight="1" x14ac:dyDescent="0.3">
      <c r="A213" s="115">
        <v>211</v>
      </c>
      <c r="B213" s="49" t="s">
        <v>455</v>
      </c>
      <c r="C213" s="49" t="s">
        <v>456</v>
      </c>
      <c r="D213" s="49" t="s">
        <v>542</v>
      </c>
      <c r="E213" s="49" t="s">
        <v>289</v>
      </c>
      <c r="F213" s="117">
        <f>'Book Review'!K213</f>
        <v>2.75</v>
      </c>
      <c r="G213" s="117">
        <f>'Book Review'!Q213</f>
        <v>3.4</v>
      </c>
      <c r="H213" s="117">
        <f>'Book Review'!W213</f>
        <v>2</v>
      </c>
      <c r="I213" s="117"/>
      <c r="J213" s="117"/>
      <c r="K213" s="117">
        <f>'Book Review'!AO213</f>
        <v>2.5</v>
      </c>
      <c r="L213" s="117">
        <f>'Book Review'!AU213</f>
        <v>2</v>
      </c>
      <c r="M213" s="116"/>
      <c r="N213" s="117">
        <f>Debate!K213</f>
        <v>3</v>
      </c>
      <c r="O213" s="117">
        <f>Debate!Q213</f>
        <v>3.1</v>
      </c>
      <c r="P213" s="117"/>
      <c r="Q213" s="117">
        <f>Debate!AC213</f>
        <v>4</v>
      </c>
      <c r="R213" s="117"/>
      <c r="S213" s="117">
        <f>Debate!AO213</f>
        <v>3.6666666666666665</v>
      </c>
      <c r="T213" s="117">
        <f>Debate!AU213</f>
        <v>3</v>
      </c>
      <c r="U213" s="116"/>
      <c r="V213" s="49"/>
      <c r="W213" s="117">
        <f>GD!Q213</f>
        <v>3</v>
      </c>
      <c r="X213" s="117">
        <f>GD!W213</f>
        <v>2</v>
      </c>
      <c r="Y213" s="117"/>
      <c r="Z213" s="117"/>
      <c r="AA213" s="49"/>
      <c r="AB213" s="117"/>
      <c r="AC213" s="116"/>
      <c r="AD213" s="117">
        <f>'Case study'!K213</f>
        <v>4</v>
      </c>
      <c r="AE213" s="117">
        <f>'Case study'!Q213</f>
        <v>3.6</v>
      </c>
      <c r="AF213" s="117">
        <f>'Case study'!W213</f>
        <v>3</v>
      </c>
      <c r="AG213" s="117"/>
      <c r="AH213" s="117"/>
      <c r="AI213" s="117">
        <f>'Case study'!AO213</f>
        <v>4</v>
      </c>
      <c r="AJ213" s="117">
        <f>'Case study'!AU213</f>
        <v>3</v>
      </c>
      <c r="AK213" s="116"/>
      <c r="AL213" s="117">
        <f>Capstone!K213</f>
        <v>3.6666666666666665</v>
      </c>
      <c r="AM213" s="117">
        <f>Capstone!Q214</f>
        <v>4</v>
      </c>
      <c r="AN213" s="117">
        <f>Capstone!W214</f>
        <v>3</v>
      </c>
      <c r="AO213" s="117"/>
      <c r="AP213" s="117"/>
      <c r="AQ213" s="117">
        <f>Capstone!AO214</f>
        <v>4.25</v>
      </c>
      <c r="AR213" s="117"/>
      <c r="AS213" s="116"/>
      <c r="AT213" s="117">
        <f>IFERROR(AVERAGE(Table110461117[[#This Row],[Column2]],Table110461117[[#This Row],[Column11]],Table110461117[[#This Row],[Column29]]),"0")</f>
        <v>3.25</v>
      </c>
      <c r="AU213" s="117">
        <f>IFERROR(AVERAGE(Table110461117[[#This Row],[Column3]],Table110461117[[#This Row],[Column12]],Table110461117[[#This Row],[Column21]],Table110461117[[#This Row],[Column30]]),"0")</f>
        <v>3.2749999999999999</v>
      </c>
      <c r="AV213" s="117">
        <f>IFERROR(AVERAGE(Table110461117[[#This Row],[Column31]],Table110461117[[#This Row],[Column22]],Table110461117[[#This Row],[Column4]]),"0")</f>
        <v>2.3333333333333335</v>
      </c>
      <c r="AW213" s="117">
        <f>IFERROR(AVERAGE(Table110461117[[#This Row],[Column14]]),"0")</f>
        <v>4</v>
      </c>
      <c r="AX213" s="117"/>
      <c r="AY213" s="117">
        <f>IFERROR(AVERAGE(Table110461117[[#This Row],[Column34]],Table110461117[[#This Row],[Column16]],Table110461117[[#This Row],[Column7]]),"0")</f>
        <v>3.3888888888888888</v>
      </c>
      <c r="AZ213" s="117">
        <f>IFERROR(AVERAGE(Table110461117[[#This Row],[Column35]],Table110461117[[#This Row],[Column17]],Table110461117[[#This Row],[Column8]]),"0")</f>
        <v>2.6666666666666665</v>
      </c>
      <c r="BA213" s="116"/>
      <c r="BB213" s="117"/>
      <c r="BC213" s="117">
        <f>IFERROR(AVERAGE('Book Review'!AY213,Debate!AY213,'Case study'!AY213,Capstone!AY213),"A")</f>
        <v>3.75</v>
      </c>
      <c r="BD213" s="117">
        <f>IFERROR(AVERAGE('Book Review'!AZ213,Debate!AZ213,'Case study'!AZ213),"A")</f>
        <v>3.3333333333333335</v>
      </c>
    </row>
    <row r="214" spans="1:56" s="109" customFormat="1" ht="23.1" customHeight="1" x14ac:dyDescent="0.3">
      <c r="A214" s="6">
        <v>212</v>
      </c>
      <c r="B214" s="7" t="s">
        <v>457</v>
      </c>
      <c r="C214" s="7" t="s">
        <v>458</v>
      </c>
      <c r="D214" s="7" t="s">
        <v>542</v>
      </c>
      <c r="E214" s="7" t="s">
        <v>289</v>
      </c>
      <c r="F214" s="118">
        <f>'Book Review'!K214</f>
        <v>2.5</v>
      </c>
      <c r="G214" s="118">
        <f>'Book Review'!Q214</f>
        <v>4.2</v>
      </c>
      <c r="H214" s="118">
        <f>'Book Review'!W214</f>
        <v>3</v>
      </c>
      <c r="I214" s="118"/>
      <c r="J214" s="118"/>
      <c r="K214" s="118">
        <f>'Book Review'!AO214</f>
        <v>3</v>
      </c>
      <c r="L214" s="118">
        <f>'Book Review'!AU214</f>
        <v>2</v>
      </c>
      <c r="M214" s="116"/>
      <c r="N214" s="118">
        <f>Debate!K214</f>
        <v>3</v>
      </c>
      <c r="O214" s="118">
        <f>Debate!Q214</f>
        <v>4</v>
      </c>
      <c r="P214" s="118"/>
      <c r="Q214" s="118">
        <f>Debate!AC214</f>
        <v>3</v>
      </c>
      <c r="R214" s="118"/>
      <c r="S214" s="118">
        <f>Debate!AO214</f>
        <v>3</v>
      </c>
      <c r="T214" s="118">
        <f>Debate!AU214</f>
        <v>3</v>
      </c>
      <c r="U214" s="116"/>
      <c r="V214" s="7"/>
      <c r="W214" s="118">
        <f>GD!Q214</f>
        <v>4.25</v>
      </c>
      <c r="X214" s="118">
        <f>GD!W214</f>
        <v>4</v>
      </c>
      <c r="Y214" s="118"/>
      <c r="Z214" s="118"/>
      <c r="AA214" s="7"/>
      <c r="AB214" s="118"/>
      <c r="AC214" s="116"/>
      <c r="AD214" s="118">
        <f>'Case study'!K214</f>
        <v>3.25</v>
      </c>
      <c r="AE214" s="118">
        <f>'Case study'!Q214</f>
        <v>4</v>
      </c>
      <c r="AF214" s="118">
        <f>'Case study'!W214</f>
        <v>3</v>
      </c>
      <c r="AG214" s="118"/>
      <c r="AH214" s="118"/>
      <c r="AI214" s="118">
        <f>'Case study'!AO214</f>
        <v>2.75</v>
      </c>
      <c r="AJ214" s="118">
        <f>'Case study'!AU214</f>
        <v>3</v>
      </c>
      <c r="AK214" s="116"/>
      <c r="AL214" s="118">
        <f>Capstone!K214</f>
        <v>4.333333333333333</v>
      </c>
      <c r="AM214" s="118">
        <f>Capstone!Q215</f>
        <v>3.75</v>
      </c>
      <c r="AN214" s="118">
        <f>Capstone!W215</f>
        <v>3.5</v>
      </c>
      <c r="AO214" s="118"/>
      <c r="AP214" s="118"/>
      <c r="AQ214" s="118">
        <f>Capstone!AO215</f>
        <v>3.25</v>
      </c>
      <c r="AR214" s="118"/>
      <c r="AS214" s="116"/>
      <c r="AT214" s="118">
        <f>IFERROR(AVERAGE(Table110461117[[#This Row],[Column2]],Table110461117[[#This Row],[Column11]],Table110461117[[#This Row],[Column29]]),"0")</f>
        <v>2.9166666666666665</v>
      </c>
      <c r="AU214" s="118">
        <f>IFERROR(AVERAGE(Table110461117[[#This Row],[Column3]],Table110461117[[#This Row],[Column12]],Table110461117[[#This Row],[Column21]],Table110461117[[#This Row],[Column30]]),"0")</f>
        <v>4.1124999999999998</v>
      </c>
      <c r="AV214" s="118">
        <f>IFERROR(AVERAGE(Table110461117[[#This Row],[Column31]],Table110461117[[#This Row],[Column22]],Table110461117[[#This Row],[Column4]]),"0")</f>
        <v>3.3333333333333335</v>
      </c>
      <c r="AW214" s="118">
        <f>IFERROR(AVERAGE(Table110461117[[#This Row],[Column14]]),"0")</f>
        <v>3</v>
      </c>
      <c r="AX214" s="118"/>
      <c r="AY214" s="118">
        <f>IFERROR(AVERAGE(Table110461117[[#This Row],[Column34]],Table110461117[[#This Row],[Column16]],Table110461117[[#This Row],[Column7]]),"0")</f>
        <v>2.9166666666666665</v>
      </c>
      <c r="AZ214" s="118">
        <f>IFERROR(AVERAGE(Table110461117[[#This Row],[Column35]],Table110461117[[#This Row],[Column17]],Table110461117[[#This Row],[Column8]]),"0")</f>
        <v>2.6666666666666665</v>
      </c>
      <c r="BA214" s="116"/>
      <c r="BB214" s="118"/>
      <c r="BC214" s="118">
        <f>IFERROR(AVERAGE('Book Review'!AY214,Debate!AY214,'Case study'!AY214,Capstone!AY214),"A")</f>
        <v>4</v>
      </c>
      <c r="BD214" s="118">
        <f>IFERROR(AVERAGE('Book Review'!AZ214,Debate!AZ214,'Case study'!AZ214),"A")</f>
        <v>4</v>
      </c>
    </row>
    <row r="215" spans="1:56" s="109" customFormat="1" ht="23.1" customHeight="1" x14ac:dyDescent="0.3">
      <c r="A215" s="115">
        <v>213</v>
      </c>
      <c r="B215" s="49" t="s">
        <v>459</v>
      </c>
      <c r="C215" s="49" t="s">
        <v>460</v>
      </c>
      <c r="D215" s="49" t="s">
        <v>542</v>
      </c>
      <c r="E215" s="49" t="s">
        <v>289</v>
      </c>
      <c r="F215" s="117">
        <f>'Book Review'!K215</f>
        <v>3.625</v>
      </c>
      <c r="G215" s="117">
        <f>'Book Review'!Q215</f>
        <v>3.6</v>
      </c>
      <c r="H215" s="117">
        <f>'Book Review'!W215</f>
        <v>4</v>
      </c>
      <c r="I215" s="117"/>
      <c r="J215" s="117"/>
      <c r="K215" s="117">
        <f>'Book Review'!AO215</f>
        <v>3.5</v>
      </c>
      <c r="L215" s="117">
        <f>'Book Review'!AU215</f>
        <v>3.5</v>
      </c>
      <c r="M215" s="116"/>
      <c r="N215" s="117">
        <f>Debate!K215</f>
        <v>4</v>
      </c>
      <c r="O215" s="117">
        <f>Debate!Q215</f>
        <v>3.65</v>
      </c>
      <c r="P215" s="117"/>
      <c r="Q215" s="117">
        <f>Debate!AC215</f>
        <v>3.5</v>
      </c>
      <c r="R215" s="117"/>
      <c r="S215" s="117">
        <f>Debate!AO215</f>
        <v>3.6666666666666665</v>
      </c>
      <c r="T215" s="117">
        <f>Debate!AU215</f>
        <v>3.5</v>
      </c>
      <c r="U215" s="116"/>
      <c r="V215" s="49"/>
      <c r="W215" s="117">
        <f>GD!Q215</f>
        <v>3.625</v>
      </c>
      <c r="X215" s="117">
        <f>GD!W215</f>
        <v>3.5</v>
      </c>
      <c r="Y215" s="117"/>
      <c r="Z215" s="117"/>
      <c r="AA215" s="49"/>
      <c r="AB215" s="117"/>
      <c r="AC215" s="116"/>
      <c r="AD215" s="117">
        <f>'Case study'!K215</f>
        <v>3.625</v>
      </c>
      <c r="AE215" s="117">
        <f>'Case study'!Q215</f>
        <v>3.6</v>
      </c>
      <c r="AF215" s="117">
        <f>'Case study'!W215</f>
        <v>3.5</v>
      </c>
      <c r="AG215" s="117"/>
      <c r="AH215" s="117"/>
      <c r="AI215" s="117">
        <f>'Case study'!AO215</f>
        <v>3.625</v>
      </c>
      <c r="AJ215" s="117">
        <f>'Case study'!AU215</f>
        <v>3.5</v>
      </c>
      <c r="AK215" s="116"/>
      <c r="AL215" s="117">
        <f>Capstone!K215</f>
        <v>3.6666666666666665</v>
      </c>
      <c r="AM215" s="117">
        <f>Capstone!Q216</f>
        <v>2.75</v>
      </c>
      <c r="AN215" s="117">
        <f>Capstone!W216</f>
        <v>2.5</v>
      </c>
      <c r="AO215" s="117"/>
      <c r="AP215" s="117"/>
      <c r="AQ215" s="117">
        <f>Capstone!AO216</f>
        <v>3.25</v>
      </c>
      <c r="AR215" s="117"/>
      <c r="AS215" s="116"/>
      <c r="AT215" s="117">
        <f>IFERROR(AVERAGE(Table110461117[[#This Row],[Column2]],Table110461117[[#This Row],[Column11]],Table110461117[[#This Row],[Column29]]),"0")</f>
        <v>3.75</v>
      </c>
      <c r="AU215" s="117">
        <f>IFERROR(AVERAGE(Table110461117[[#This Row],[Column3]],Table110461117[[#This Row],[Column12]],Table110461117[[#This Row],[Column21]],Table110461117[[#This Row],[Column30]]),"0")</f>
        <v>3.6187499999999999</v>
      </c>
      <c r="AV215" s="117">
        <f>IFERROR(AVERAGE(Table110461117[[#This Row],[Column31]],Table110461117[[#This Row],[Column22]],Table110461117[[#This Row],[Column4]]),"0")</f>
        <v>3.6666666666666665</v>
      </c>
      <c r="AW215" s="117">
        <f>IFERROR(AVERAGE(Table110461117[[#This Row],[Column14]]),"0")</f>
        <v>3.5</v>
      </c>
      <c r="AX215" s="117"/>
      <c r="AY215" s="117">
        <f>IFERROR(AVERAGE(Table110461117[[#This Row],[Column34]],Table110461117[[#This Row],[Column16]],Table110461117[[#This Row],[Column7]]),"0")</f>
        <v>3.5972222222222219</v>
      </c>
      <c r="AZ215" s="117">
        <f>IFERROR(AVERAGE(Table110461117[[#This Row],[Column35]],Table110461117[[#This Row],[Column17]],Table110461117[[#This Row],[Column8]]),"0")</f>
        <v>3.5</v>
      </c>
      <c r="BA215" s="116"/>
      <c r="BB215" s="117"/>
      <c r="BC215" s="117">
        <f>IFERROR(AVERAGE('Book Review'!AY215,Debate!AY215,'Case study'!AY215,Capstone!AY215),"A")</f>
        <v>3.75</v>
      </c>
      <c r="BD215" s="117">
        <f>IFERROR(AVERAGE('Book Review'!AZ215,Debate!AZ215,'Case study'!AZ215),"A")</f>
        <v>3.6666666666666665</v>
      </c>
    </row>
    <row r="216" spans="1:56" s="109" customFormat="1" ht="23.1" customHeight="1" x14ac:dyDescent="0.3">
      <c r="A216" s="6">
        <v>214</v>
      </c>
      <c r="B216" s="7" t="s">
        <v>461</v>
      </c>
      <c r="C216" s="7" t="s">
        <v>462</v>
      </c>
      <c r="D216" s="7" t="s">
        <v>450</v>
      </c>
      <c r="E216" s="7" t="s">
        <v>289</v>
      </c>
      <c r="F216" s="118">
        <f>'Book Review'!K216</f>
        <v>2.625</v>
      </c>
      <c r="G216" s="118">
        <f>'Book Review'!Q216</f>
        <v>2.7</v>
      </c>
      <c r="H216" s="118">
        <f>'Book Review'!W216</f>
        <v>2.5</v>
      </c>
      <c r="I216" s="118"/>
      <c r="J216" s="118"/>
      <c r="K216" s="118">
        <f>'Book Review'!AO216</f>
        <v>2.5</v>
      </c>
      <c r="L216" s="118">
        <f>'Book Review'!AU216</f>
        <v>3</v>
      </c>
      <c r="M216" s="116"/>
      <c r="N216" s="118">
        <f>Debate!K216</f>
        <v>2.5</v>
      </c>
      <c r="O216" s="118">
        <f>Debate!Q216</f>
        <v>2.65</v>
      </c>
      <c r="P216" s="118"/>
      <c r="Q216" s="118">
        <f>Debate!AC216</f>
        <v>3</v>
      </c>
      <c r="R216" s="118"/>
      <c r="S216" s="118">
        <f>Debate!AO216</f>
        <v>2.6666666666666665</v>
      </c>
      <c r="T216" s="118">
        <f>Debate!AU216</f>
        <v>3</v>
      </c>
      <c r="U216" s="116"/>
      <c r="V216" s="7"/>
      <c r="W216" s="118">
        <f>GD!Q216</f>
        <v>2.625</v>
      </c>
      <c r="X216" s="118">
        <f>GD!W216</f>
        <v>3</v>
      </c>
      <c r="Y216" s="118"/>
      <c r="Z216" s="118"/>
      <c r="AA216" s="7"/>
      <c r="AB216" s="118"/>
      <c r="AC216" s="116"/>
      <c r="AD216" s="118">
        <f>'Case study'!K216</f>
        <v>2.625</v>
      </c>
      <c r="AE216" s="118">
        <f>'Case study'!Q216</f>
        <v>2.7</v>
      </c>
      <c r="AF216" s="118">
        <f>'Case study'!W216</f>
        <v>2.5</v>
      </c>
      <c r="AG216" s="118"/>
      <c r="AH216" s="118"/>
      <c r="AI216" s="118">
        <f>'Case study'!AO216</f>
        <v>2.75</v>
      </c>
      <c r="AJ216" s="118">
        <f>'Case study'!AU216</f>
        <v>2.5</v>
      </c>
      <c r="AK216" s="116"/>
      <c r="AL216" s="118">
        <f>Capstone!K216</f>
        <v>3.3333333333333335</v>
      </c>
      <c r="AM216" s="118">
        <f>Capstone!Q217</f>
        <v>3.5</v>
      </c>
      <c r="AN216" s="118">
        <f>Capstone!W217</f>
        <v>2</v>
      </c>
      <c r="AO216" s="118"/>
      <c r="AP216" s="118"/>
      <c r="AQ216" s="118">
        <f>Capstone!AO217</f>
        <v>2.75</v>
      </c>
      <c r="AR216" s="118"/>
      <c r="AS216" s="116"/>
      <c r="AT216" s="118">
        <f>IFERROR(AVERAGE(Table110461117[[#This Row],[Column2]],Table110461117[[#This Row],[Column11]],Table110461117[[#This Row],[Column29]]),"0")</f>
        <v>2.5833333333333335</v>
      </c>
      <c r="AU216" s="118">
        <f>IFERROR(AVERAGE(Table110461117[[#This Row],[Column3]],Table110461117[[#This Row],[Column12]],Table110461117[[#This Row],[Column21]],Table110461117[[#This Row],[Column30]]),"0")</f>
        <v>2.6687500000000002</v>
      </c>
      <c r="AV216" s="118">
        <f>IFERROR(AVERAGE(Table110461117[[#This Row],[Column31]],Table110461117[[#This Row],[Column22]],Table110461117[[#This Row],[Column4]]),"0")</f>
        <v>2.6666666666666665</v>
      </c>
      <c r="AW216" s="118">
        <f>IFERROR(AVERAGE(Table110461117[[#This Row],[Column14]]),"0")</f>
        <v>3</v>
      </c>
      <c r="AX216" s="118"/>
      <c r="AY216" s="118">
        <f>IFERROR(AVERAGE(Table110461117[[#This Row],[Column34]],Table110461117[[#This Row],[Column16]],Table110461117[[#This Row],[Column7]]),"0")</f>
        <v>2.6388888888888888</v>
      </c>
      <c r="AZ216" s="118">
        <f>IFERROR(AVERAGE(Table110461117[[#This Row],[Column35]],Table110461117[[#This Row],[Column17]],Table110461117[[#This Row],[Column8]]),"0")</f>
        <v>2.8333333333333335</v>
      </c>
      <c r="BA216" s="116"/>
      <c r="BB216" s="118"/>
      <c r="BC216" s="118">
        <f>IFERROR(AVERAGE('Book Review'!AY216,Debate!AY216,'Case study'!AY216,Capstone!AY216),"A")</f>
        <v>2.625</v>
      </c>
      <c r="BD216" s="118">
        <f>IFERROR(AVERAGE('Book Review'!AZ216,Debate!AZ216,'Case study'!AZ216),"A")</f>
        <v>2.8333333333333335</v>
      </c>
    </row>
    <row r="217" spans="1:56" s="109" customFormat="1" ht="23.1" customHeight="1" x14ac:dyDescent="0.3">
      <c r="A217" s="115">
        <v>215</v>
      </c>
      <c r="B217" s="49" t="s">
        <v>463</v>
      </c>
      <c r="C217" s="49" t="s">
        <v>464</v>
      </c>
      <c r="D217" s="49" t="s">
        <v>450</v>
      </c>
      <c r="E217" s="49" t="s">
        <v>289</v>
      </c>
      <c r="F217" s="117">
        <f>'Book Review'!K217</f>
        <v>2.5</v>
      </c>
      <c r="G217" s="117">
        <f>'Book Review'!Q217</f>
        <v>2.6</v>
      </c>
      <c r="H217" s="117">
        <f>'Book Review'!W217</f>
        <v>2</v>
      </c>
      <c r="I217" s="117"/>
      <c r="J217" s="117"/>
      <c r="K217" s="117">
        <f>'Book Review'!AO217</f>
        <v>2.5</v>
      </c>
      <c r="L217" s="117">
        <f>'Book Review'!AU217</f>
        <v>4</v>
      </c>
      <c r="M217" s="116"/>
      <c r="N217" s="117">
        <f>Debate!K217</f>
        <v>3</v>
      </c>
      <c r="O217" s="117">
        <f>Debate!Q217</f>
        <v>3.1</v>
      </c>
      <c r="P217" s="117"/>
      <c r="Q217" s="117">
        <f>Debate!AC217</f>
        <v>3</v>
      </c>
      <c r="R217" s="117"/>
      <c r="S217" s="117">
        <f>Debate!AO217</f>
        <v>2.6666666666666665</v>
      </c>
      <c r="T217" s="117">
        <f>Debate!AU217</f>
        <v>3</v>
      </c>
      <c r="U217" s="116"/>
      <c r="V217" s="49"/>
      <c r="W217" s="117">
        <f>GD!Q217</f>
        <v>1.25</v>
      </c>
      <c r="X217" s="117">
        <f>GD!W217</f>
        <v>1</v>
      </c>
      <c r="Y217" s="117"/>
      <c r="Z217" s="117"/>
      <c r="AA217" s="49"/>
      <c r="AB217" s="117"/>
      <c r="AC217" s="116"/>
      <c r="AD217" s="117">
        <f>'Case study'!K217</f>
        <v>3</v>
      </c>
      <c r="AE217" s="117">
        <f>'Case study'!Q217</f>
        <v>3</v>
      </c>
      <c r="AF217" s="117">
        <f>'Case study'!W217</f>
        <v>2</v>
      </c>
      <c r="AG217" s="117"/>
      <c r="AH217" s="117"/>
      <c r="AI217" s="117">
        <f>'Case study'!AO217</f>
        <v>3</v>
      </c>
      <c r="AJ217" s="117">
        <f>'Case study'!AU217</f>
        <v>3</v>
      </c>
      <c r="AK217" s="116"/>
      <c r="AL217" s="117">
        <f>Capstone!K217</f>
        <v>2.6666666666666665</v>
      </c>
      <c r="AM217" s="117">
        <f>Capstone!Q218</f>
        <v>3.25</v>
      </c>
      <c r="AN217" s="117">
        <f>Capstone!W218</f>
        <v>1</v>
      </c>
      <c r="AO217" s="117"/>
      <c r="AP217" s="117"/>
      <c r="AQ217" s="117">
        <f>Capstone!AO218</f>
        <v>3</v>
      </c>
      <c r="AR217" s="117"/>
      <c r="AS217" s="116"/>
      <c r="AT217" s="117">
        <f>IFERROR(AVERAGE(Table110461117[[#This Row],[Column2]],Table110461117[[#This Row],[Column11]],Table110461117[[#This Row],[Column29]]),"0")</f>
        <v>2.8333333333333335</v>
      </c>
      <c r="AU217" s="117">
        <f>IFERROR(AVERAGE(Table110461117[[#This Row],[Column3]],Table110461117[[#This Row],[Column12]],Table110461117[[#This Row],[Column21]],Table110461117[[#This Row],[Column30]]),"0")</f>
        <v>2.4874999999999998</v>
      </c>
      <c r="AV217" s="117">
        <f>IFERROR(AVERAGE(Table110461117[[#This Row],[Column31]],Table110461117[[#This Row],[Column22]],Table110461117[[#This Row],[Column4]]),"0")</f>
        <v>1.6666666666666667</v>
      </c>
      <c r="AW217" s="117">
        <f>IFERROR(AVERAGE(Table110461117[[#This Row],[Column14]]),"0")</f>
        <v>3</v>
      </c>
      <c r="AX217" s="117"/>
      <c r="AY217" s="117">
        <f>IFERROR(AVERAGE(Table110461117[[#This Row],[Column34]],Table110461117[[#This Row],[Column16]],Table110461117[[#This Row],[Column7]]),"0")</f>
        <v>2.7222222222222219</v>
      </c>
      <c r="AZ217" s="117">
        <f>IFERROR(AVERAGE(Table110461117[[#This Row],[Column35]],Table110461117[[#This Row],[Column17]],Table110461117[[#This Row],[Column8]]),"0")</f>
        <v>3.3333333333333335</v>
      </c>
      <c r="BA217" s="116"/>
      <c r="BB217" s="117"/>
      <c r="BC217" s="117">
        <f>IFERROR(AVERAGE('Book Review'!AY217,Debate!AY217,'Case study'!AY217,Capstone!AY217),"A")</f>
        <v>3.25</v>
      </c>
      <c r="BD217" s="117">
        <f>IFERROR(AVERAGE('Book Review'!AZ217,Debate!AZ217,'Case study'!AZ217),"A")</f>
        <v>3.3333333333333335</v>
      </c>
    </row>
    <row r="218" spans="1:56" s="109" customFormat="1" ht="23.1" customHeight="1" x14ac:dyDescent="0.3">
      <c r="A218" s="6">
        <v>216</v>
      </c>
      <c r="B218" s="7" t="s">
        <v>465</v>
      </c>
      <c r="C218" s="7" t="s">
        <v>466</v>
      </c>
      <c r="D218" s="7" t="s">
        <v>450</v>
      </c>
      <c r="E218" s="7" t="s">
        <v>289</v>
      </c>
      <c r="F218" s="118">
        <f>'Book Review'!K218</f>
        <v>1.25</v>
      </c>
      <c r="G218" s="118">
        <f>'Book Review'!Q218</f>
        <v>1</v>
      </c>
      <c r="H218" s="118">
        <f>'Book Review'!W218</f>
        <v>1</v>
      </c>
      <c r="I218" s="118"/>
      <c r="J218" s="118"/>
      <c r="K218" s="118">
        <f>'Book Review'!AO218</f>
        <v>2</v>
      </c>
      <c r="L218" s="118">
        <f>'Book Review'!AU218</f>
        <v>1</v>
      </c>
      <c r="M218" s="116"/>
      <c r="N218" s="118">
        <f>Debate!K218</f>
        <v>1</v>
      </c>
      <c r="O218" s="118">
        <f>Debate!Q218</f>
        <v>1.1000000000000001</v>
      </c>
      <c r="P218" s="118"/>
      <c r="Q218" s="118">
        <f>Debate!AC218</f>
        <v>1</v>
      </c>
      <c r="R218" s="118"/>
      <c r="S218" s="118">
        <f>Debate!AO218</f>
        <v>1</v>
      </c>
      <c r="T218" s="118">
        <f>Debate!AU218</f>
        <v>3</v>
      </c>
      <c r="U218" s="116"/>
      <c r="V218" s="7"/>
      <c r="W218" s="118">
        <f>GD!Q218</f>
        <v>1</v>
      </c>
      <c r="X218" s="118">
        <f>GD!W218</f>
        <v>1</v>
      </c>
      <c r="Y218" s="118"/>
      <c r="Z218" s="118"/>
      <c r="AA218" s="7"/>
      <c r="AB218" s="118"/>
      <c r="AC218" s="116"/>
      <c r="AD218" s="118">
        <f>'Case study'!K218</f>
        <v>1.25</v>
      </c>
      <c r="AE218" s="118">
        <f>'Case study'!Q218</f>
        <v>1</v>
      </c>
      <c r="AF218" s="118">
        <f>'Case study'!W218</f>
        <v>1</v>
      </c>
      <c r="AG218" s="118"/>
      <c r="AH218" s="118"/>
      <c r="AI218" s="118">
        <f>'Case study'!AO218</f>
        <v>1.5</v>
      </c>
      <c r="AJ218" s="118">
        <f>'Case study'!AU218</f>
        <v>2</v>
      </c>
      <c r="AK218" s="116"/>
      <c r="AL218" s="118">
        <f>Capstone!K218</f>
        <v>3</v>
      </c>
      <c r="AM218" s="118">
        <f>Capstone!Q219</f>
        <v>5</v>
      </c>
      <c r="AN218" s="118">
        <f>Capstone!W219</f>
        <v>4</v>
      </c>
      <c r="AO218" s="118"/>
      <c r="AP218" s="118"/>
      <c r="AQ218" s="118">
        <f>Capstone!AO219</f>
        <v>4.25</v>
      </c>
      <c r="AR218" s="118"/>
      <c r="AS218" s="116"/>
      <c r="AT218" s="118">
        <f>IFERROR(AVERAGE(Table110461117[[#This Row],[Column2]],Table110461117[[#This Row],[Column11]],Table110461117[[#This Row],[Column29]]),"0")</f>
        <v>1.1666666666666667</v>
      </c>
      <c r="AU218" s="118">
        <f>IFERROR(AVERAGE(Table110461117[[#This Row],[Column3]],Table110461117[[#This Row],[Column12]],Table110461117[[#This Row],[Column21]],Table110461117[[#This Row],[Column30]]),"0")</f>
        <v>1.0249999999999999</v>
      </c>
      <c r="AV218" s="118">
        <f>IFERROR(AVERAGE(Table110461117[[#This Row],[Column31]],Table110461117[[#This Row],[Column22]],Table110461117[[#This Row],[Column4]]),"0")</f>
        <v>1</v>
      </c>
      <c r="AW218" s="118">
        <f>IFERROR(AVERAGE(Table110461117[[#This Row],[Column14]]),"0")</f>
        <v>1</v>
      </c>
      <c r="AX218" s="118"/>
      <c r="AY218" s="118">
        <f>IFERROR(AVERAGE(Table110461117[[#This Row],[Column34]],Table110461117[[#This Row],[Column16]],Table110461117[[#This Row],[Column7]]),"0")</f>
        <v>1.5</v>
      </c>
      <c r="AZ218" s="118">
        <f>IFERROR(AVERAGE(Table110461117[[#This Row],[Column35]],Table110461117[[#This Row],[Column17]],Table110461117[[#This Row],[Column8]]),"0")</f>
        <v>2</v>
      </c>
      <c r="BA218" s="116"/>
      <c r="BB218" s="118"/>
      <c r="BC218" s="118">
        <f>IFERROR(AVERAGE('Book Review'!AY218,Debate!AY218,'Case study'!AY218,Capstone!AY218),"A")</f>
        <v>2.125</v>
      </c>
      <c r="BD218" s="118">
        <f>IFERROR(AVERAGE('Book Review'!AZ218,Debate!AZ218,'Case study'!AZ218),"A")</f>
        <v>8.6666666666666661</v>
      </c>
    </row>
    <row r="219" spans="1:56" s="109" customFormat="1" ht="23.1" customHeight="1" x14ac:dyDescent="0.3">
      <c r="A219" s="115">
        <v>217</v>
      </c>
      <c r="B219" s="49" t="s">
        <v>467</v>
      </c>
      <c r="C219" s="49" t="s">
        <v>468</v>
      </c>
      <c r="D219" s="49" t="s">
        <v>542</v>
      </c>
      <c r="E219" s="49" t="s">
        <v>289</v>
      </c>
      <c r="F219" s="117">
        <f>'Book Review'!K219</f>
        <v>4</v>
      </c>
      <c r="G219" s="117">
        <f>'Book Review'!Q219</f>
        <v>4</v>
      </c>
      <c r="H219" s="117">
        <f>'Book Review'!W219</f>
        <v>3</v>
      </c>
      <c r="I219" s="117"/>
      <c r="J219" s="117"/>
      <c r="K219" s="117">
        <f>'Book Review'!AO219</f>
        <v>4</v>
      </c>
      <c r="L219" s="117">
        <f>'Book Review'!AU219</f>
        <v>3</v>
      </c>
      <c r="M219" s="116"/>
      <c r="N219" s="117">
        <f>Debate!K219</f>
        <v>3</v>
      </c>
      <c r="O219" s="117">
        <f>Debate!Q219</f>
        <v>4</v>
      </c>
      <c r="P219" s="117"/>
      <c r="Q219" s="117">
        <f>Debate!AC219</f>
        <v>4</v>
      </c>
      <c r="R219" s="117"/>
      <c r="S219" s="117">
        <f>Debate!AO219</f>
        <v>4</v>
      </c>
      <c r="T219" s="117">
        <f>Debate!AU219</f>
        <v>3</v>
      </c>
      <c r="U219" s="116"/>
      <c r="V219" s="49"/>
      <c r="W219" s="117">
        <f>GD!Q219</f>
        <v>4</v>
      </c>
      <c r="X219" s="117">
        <f>GD!W219</f>
        <v>3</v>
      </c>
      <c r="Y219" s="117"/>
      <c r="Z219" s="117"/>
      <c r="AA219" s="49"/>
      <c r="AB219" s="117"/>
      <c r="AC219" s="116"/>
      <c r="AD219" s="117">
        <f>'Case study'!K219</f>
        <v>4</v>
      </c>
      <c r="AE219" s="117">
        <f>'Case study'!Q219</f>
        <v>4.4000000000000004</v>
      </c>
      <c r="AF219" s="117">
        <f>'Case study'!W219</f>
        <v>4</v>
      </c>
      <c r="AG219" s="117"/>
      <c r="AH219" s="117"/>
      <c r="AI219" s="117">
        <f>'Case study'!AO219</f>
        <v>4</v>
      </c>
      <c r="AJ219" s="117">
        <f>'Case study'!AU219</f>
        <v>3</v>
      </c>
      <c r="AK219" s="116"/>
      <c r="AL219" s="117">
        <f>Capstone!K219</f>
        <v>3.6666666666666665</v>
      </c>
      <c r="AM219" s="117">
        <f>Capstone!Q220</f>
        <v>4</v>
      </c>
      <c r="AN219" s="117">
        <f>Capstone!W220</f>
        <v>3</v>
      </c>
      <c r="AO219" s="117"/>
      <c r="AP219" s="117"/>
      <c r="AQ219" s="117">
        <f>Capstone!AO220</f>
        <v>4</v>
      </c>
      <c r="AR219" s="117"/>
      <c r="AS219" s="116"/>
      <c r="AT219" s="117">
        <f>IFERROR(AVERAGE(Table110461117[[#This Row],[Column2]],Table110461117[[#This Row],[Column11]],Table110461117[[#This Row],[Column29]]),"0")</f>
        <v>3.6666666666666665</v>
      </c>
      <c r="AU219" s="117">
        <f>IFERROR(AVERAGE(Table110461117[[#This Row],[Column3]],Table110461117[[#This Row],[Column12]],Table110461117[[#This Row],[Column21]],Table110461117[[#This Row],[Column30]]),"0")</f>
        <v>4.0999999999999996</v>
      </c>
      <c r="AV219" s="117">
        <f>IFERROR(AVERAGE(Table110461117[[#This Row],[Column31]],Table110461117[[#This Row],[Column22]],Table110461117[[#This Row],[Column4]]),"0")</f>
        <v>3.3333333333333335</v>
      </c>
      <c r="AW219" s="117">
        <f>IFERROR(AVERAGE(Table110461117[[#This Row],[Column14]]),"0")</f>
        <v>4</v>
      </c>
      <c r="AX219" s="117"/>
      <c r="AY219" s="117">
        <f>IFERROR(AVERAGE(Table110461117[[#This Row],[Column34]],Table110461117[[#This Row],[Column16]],Table110461117[[#This Row],[Column7]]),"0")</f>
        <v>4</v>
      </c>
      <c r="AZ219" s="117">
        <f>IFERROR(AVERAGE(Table110461117[[#This Row],[Column35]],Table110461117[[#This Row],[Column17]],Table110461117[[#This Row],[Column8]]),"0")</f>
        <v>3</v>
      </c>
      <c r="BA219" s="116"/>
      <c r="BB219" s="117"/>
      <c r="BC219" s="117">
        <f>IFERROR(AVERAGE('Book Review'!AY219,Debate!AY219,'Case study'!AY219,Capstone!AY219),"A")</f>
        <v>4</v>
      </c>
      <c r="BD219" s="117">
        <f>IFERROR(AVERAGE('Book Review'!AZ219,Debate!AZ219,'Case study'!AZ219),"A")</f>
        <v>4</v>
      </c>
    </row>
    <row r="220" spans="1:56" s="109" customFormat="1" ht="23.1" customHeight="1" x14ac:dyDescent="0.3">
      <c r="A220" s="6">
        <v>218</v>
      </c>
      <c r="B220" s="7" t="s">
        <v>469</v>
      </c>
      <c r="C220" s="7" t="s">
        <v>470</v>
      </c>
      <c r="D220" s="7" t="s">
        <v>450</v>
      </c>
      <c r="E220" s="7" t="s">
        <v>289</v>
      </c>
      <c r="F220" s="118">
        <f>'Book Review'!K220</f>
        <v>2.25</v>
      </c>
      <c r="G220" s="118">
        <f>'Book Review'!Q220</f>
        <v>2.2000000000000002</v>
      </c>
      <c r="H220" s="118">
        <f>'Book Review'!W220</f>
        <v>3</v>
      </c>
      <c r="I220" s="118"/>
      <c r="J220" s="118"/>
      <c r="K220" s="118">
        <f>'Book Review'!AO220</f>
        <v>3</v>
      </c>
      <c r="L220" s="118">
        <f>'Book Review'!AU220</f>
        <v>3</v>
      </c>
      <c r="M220" s="116"/>
      <c r="N220" s="118">
        <f>Debate!K220</f>
        <v>3</v>
      </c>
      <c r="O220" s="118">
        <f>Debate!Q220</f>
        <v>2.2000000000000002</v>
      </c>
      <c r="P220" s="118"/>
      <c r="Q220" s="118">
        <f>Debate!AC220</f>
        <v>3</v>
      </c>
      <c r="R220" s="118"/>
      <c r="S220" s="118">
        <f>Debate!AO220</f>
        <v>2.3333333333333335</v>
      </c>
      <c r="T220" s="118">
        <f>Debate!AU220</f>
        <v>3</v>
      </c>
      <c r="U220" s="116"/>
      <c r="V220" s="7"/>
      <c r="W220" s="118">
        <f>GD!Q220</f>
        <v>2.25</v>
      </c>
      <c r="X220" s="118">
        <f>GD!W220</f>
        <v>2</v>
      </c>
      <c r="Y220" s="118"/>
      <c r="Z220" s="118"/>
      <c r="AA220" s="7"/>
      <c r="AB220" s="118"/>
      <c r="AC220" s="116"/>
      <c r="AD220" s="118">
        <f>'Case study'!K220</f>
        <v>2.25</v>
      </c>
      <c r="AE220" s="118">
        <f>'Case study'!Q220</f>
        <v>2.2000000000000002</v>
      </c>
      <c r="AF220" s="118">
        <f>'Case study'!W220</f>
        <v>3</v>
      </c>
      <c r="AG220" s="118"/>
      <c r="AH220" s="118"/>
      <c r="AI220" s="118">
        <f>'Case study'!AO220</f>
        <v>2.75</v>
      </c>
      <c r="AJ220" s="118">
        <f>'Case study'!AU220</f>
        <v>3</v>
      </c>
      <c r="AK220" s="116"/>
      <c r="AL220" s="118">
        <f>Capstone!K220</f>
        <v>4</v>
      </c>
      <c r="AM220" s="118">
        <f>Capstone!Q221</f>
        <v>3.25</v>
      </c>
      <c r="AN220" s="118">
        <f>Capstone!W221</f>
        <v>3</v>
      </c>
      <c r="AO220" s="118"/>
      <c r="AP220" s="118"/>
      <c r="AQ220" s="118">
        <f>Capstone!AO221</f>
        <v>3.25</v>
      </c>
      <c r="AR220" s="118"/>
      <c r="AS220" s="116"/>
      <c r="AT220" s="118">
        <f>IFERROR(AVERAGE(Table110461117[[#This Row],[Column2]],Table110461117[[#This Row],[Column11]],Table110461117[[#This Row],[Column29]]),"0")</f>
        <v>2.5</v>
      </c>
      <c r="AU220" s="118">
        <f>IFERROR(AVERAGE(Table110461117[[#This Row],[Column3]],Table110461117[[#This Row],[Column12]],Table110461117[[#This Row],[Column21]],Table110461117[[#This Row],[Column30]]),"0")</f>
        <v>2.2125000000000004</v>
      </c>
      <c r="AV220" s="118">
        <f>IFERROR(AVERAGE(Table110461117[[#This Row],[Column31]],Table110461117[[#This Row],[Column22]],Table110461117[[#This Row],[Column4]]),"0")</f>
        <v>2.6666666666666665</v>
      </c>
      <c r="AW220" s="118">
        <f>IFERROR(AVERAGE(Table110461117[[#This Row],[Column14]]),"0")</f>
        <v>3</v>
      </c>
      <c r="AX220" s="118"/>
      <c r="AY220" s="118">
        <f>IFERROR(AVERAGE(Table110461117[[#This Row],[Column34]],Table110461117[[#This Row],[Column16]],Table110461117[[#This Row],[Column7]]),"0")</f>
        <v>2.6944444444444446</v>
      </c>
      <c r="AZ220" s="118">
        <f>IFERROR(AVERAGE(Table110461117[[#This Row],[Column35]],Table110461117[[#This Row],[Column17]],Table110461117[[#This Row],[Column8]]),"0")</f>
        <v>3</v>
      </c>
      <c r="BA220" s="116"/>
      <c r="BB220" s="118"/>
      <c r="BC220" s="118">
        <f>IFERROR(AVERAGE('Book Review'!AY220,Debate!AY220,'Case study'!AY220,Capstone!AY220),"A")</f>
        <v>3</v>
      </c>
      <c r="BD220" s="118">
        <f>IFERROR(AVERAGE('Book Review'!AZ220,Debate!AZ220,'Case study'!AZ220),"A")</f>
        <v>2.3333333333333335</v>
      </c>
    </row>
    <row r="221" spans="1:56" s="109" customFormat="1" ht="23.1" customHeight="1" x14ac:dyDescent="0.3">
      <c r="A221" s="115">
        <v>219</v>
      </c>
      <c r="B221" s="49" t="s">
        <v>471</v>
      </c>
      <c r="C221" s="49" t="s">
        <v>472</v>
      </c>
      <c r="D221" s="49" t="s">
        <v>450</v>
      </c>
      <c r="E221" s="49" t="s">
        <v>289</v>
      </c>
      <c r="F221" s="117">
        <f>'Book Review'!K221</f>
        <v>3</v>
      </c>
      <c r="G221" s="117">
        <f>'Book Review'!Q221</f>
        <v>2.9</v>
      </c>
      <c r="H221" s="117">
        <f>'Book Review'!W221</f>
        <v>3.5</v>
      </c>
      <c r="I221" s="117"/>
      <c r="J221" s="117"/>
      <c r="K221" s="117">
        <f>'Book Review'!AO221</f>
        <v>2.5</v>
      </c>
      <c r="L221" s="117">
        <f>'Book Review'!AU221</f>
        <v>3</v>
      </c>
      <c r="M221" s="116"/>
      <c r="N221" s="117">
        <f>Debate!K221</f>
        <v>3.5</v>
      </c>
      <c r="O221" s="117">
        <f>Debate!Q221</f>
        <v>2.9</v>
      </c>
      <c r="P221" s="117"/>
      <c r="Q221" s="117">
        <f>Debate!AC221</f>
        <v>2.5</v>
      </c>
      <c r="R221" s="117"/>
      <c r="S221" s="117">
        <f>Debate!AO221</f>
        <v>3</v>
      </c>
      <c r="T221" s="117">
        <f>Debate!AU221</f>
        <v>3</v>
      </c>
      <c r="U221" s="116"/>
      <c r="V221" s="49"/>
      <c r="W221" s="117">
        <f>GD!Q221</f>
        <v>2.875</v>
      </c>
      <c r="X221" s="117">
        <f>GD!W221</f>
        <v>2.5</v>
      </c>
      <c r="Y221" s="117"/>
      <c r="Z221" s="117"/>
      <c r="AA221" s="49"/>
      <c r="AB221" s="117"/>
      <c r="AC221" s="116"/>
      <c r="AD221" s="117">
        <f>'Case study'!K221</f>
        <v>3</v>
      </c>
      <c r="AE221" s="117">
        <f>'Case study'!Q221</f>
        <v>2.9</v>
      </c>
      <c r="AF221" s="117">
        <f>'Case study'!W221</f>
        <v>3</v>
      </c>
      <c r="AG221" s="117"/>
      <c r="AH221" s="117"/>
      <c r="AI221" s="117">
        <f>'Case study'!AO221</f>
        <v>3</v>
      </c>
      <c r="AJ221" s="117">
        <f>'Case study'!AU221</f>
        <v>3</v>
      </c>
      <c r="AK221" s="116"/>
      <c r="AL221" s="117">
        <f>Capstone!K221</f>
        <v>3.6666666666666665</v>
      </c>
      <c r="AM221" s="117">
        <f>Capstone!Q222</f>
        <v>4.5</v>
      </c>
      <c r="AN221" s="117">
        <f>Capstone!W222</f>
        <v>2</v>
      </c>
      <c r="AO221" s="117"/>
      <c r="AP221" s="117"/>
      <c r="AQ221" s="117">
        <f>Capstone!AO222</f>
        <v>4.25</v>
      </c>
      <c r="AR221" s="117"/>
      <c r="AS221" s="116"/>
      <c r="AT221" s="117">
        <f>IFERROR(AVERAGE(Table110461117[[#This Row],[Column2]],Table110461117[[#This Row],[Column11]],Table110461117[[#This Row],[Column29]]),"0")</f>
        <v>3.1666666666666665</v>
      </c>
      <c r="AU221" s="117">
        <f>IFERROR(AVERAGE(Table110461117[[#This Row],[Column3]],Table110461117[[#This Row],[Column12]],Table110461117[[#This Row],[Column21]],Table110461117[[#This Row],[Column30]]),"0")</f>
        <v>2.8937500000000003</v>
      </c>
      <c r="AV221" s="117">
        <f>IFERROR(AVERAGE(Table110461117[[#This Row],[Column31]],Table110461117[[#This Row],[Column22]],Table110461117[[#This Row],[Column4]]),"0")</f>
        <v>3</v>
      </c>
      <c r="AW221" s="117">
        <f>IFERROR(AVERAGE(Table110461117[[#This Row],[Column14]]),"0")</f>
        <v>2.5</v>
      </c>
      <c r="AX221" s="117"/>
      <c r="AY221" s="117">
        <f>IFERROR(AVERAGE(Table110461117[[#This Row],[Column34]],Table110461117[[#This Row],[Column16]],Table110461117[[#This Row],[Column7]]),"0")</f>
        <v>2.8333333333333335</v>
      </c>
      <c r="AZ221" s="117">
        <f>IFERROR(AVERAGE(Table110461117[[#This Row],[Column35]],Table110461117[[#This Row],[Column17]],Table110461117[[#This Row],[Column8]]),"0")</f>
        <v>3</v>
      </c>
      <c r="BA221" s="116"/>
      <c r="BB221" s="117"/>
      <c r="BC221" s="117">
        <f>IFERROR(AVERAGE('Book Review'!AY221,Debate!AY221,'Case study'!AY221,Capstone!AY221),"A")</f>
        <v>3</v>
      </c>
      <c r="BD221" s="117">
        <f>IFERROR(AVERAGE('Book Review'!AZ221,Debate!AZ221,'Case study'!AZ221),"A")</f>
        <v>2.8333333333333335</v>
      </c>
    </row>
    <row r="222" spans="1:56" s="109" customFormat="1" ht="23.1" customHeight="1" x14ac:dyDescent="0.3">
      <c r="A222" s="6">
        <v>220</v>
      </c>
      <c r="B222" s="7" t="s">
        <v>473</v>
      </c>
      <c r="C222" s="7" t="s">
        <v>474</v>
      </c>
      <c r="D222" s="7" t="s">
        <v>542</v>
      </c>
      <c r="E222" s="7" t="s">
        <v>289</v>
      </c>
      <c r="F222" s="118">
        <f>'Book Review'!K222</f>
        <v>2.5</v>
      </c>
      <c r="G222" s="118">
        <f>'Book Review'!Q222</f>
        <v>2.2000000000000002</v>
      </c>
      <c r="H222" s="118">
        <f>'Book Review'!W222</f>
        <v>2</v>
      </c>
      <c r="I222" s="118"/>
      <c r="J222" s="118"/>
      <c r="K222" s="118">
        <f>'Book Review'!AO222</f>
        <v>2</v>
      </c>
      <c r="L222" s="118">
        <f>'Book Review'!AU222</f>
        <v>3</v>
      </c>
      <c r="M222" s="116"/>
      <c r="N222" s="118">
        <f>Debate!K222</f>
        <v>2</v>
      </c>
      <c r="O222" s="118">
        <f>Debate!Q222</f>
        <v>2.1</v>
      </c>
      <c r="P222" s="118"/>
      <c r="Q222" s="118">
        <f>Debate!AC222</f>
        <v>3</v>
      </c>
      <c r="R222" s="118"/>
      <c r="S222" s="118">
        <f>Debate!AO222</f>
        <v>2.3333333333333335</v>
      </c>
      <c r="T222" s="118">
        <f>Debate!AU222</f>
        <v>2</v>
      </c>
      <c r="U222" s="116"/>
      <c r="V222" s="7"/>
      <c r="W222" s="118">
        <f>GD!Q222</f>
        <v>2.25</v>
      </c>
      <c r="X222" s="118">
        <f>GD!W222</f>
        <v>2</v>
      </c>
      <c r="Y222" s="118"/>
      <c r="Z222" s="118"/>
      <c r="AA222" s="7"/>
      <c r="AB222" s="118"/>
      <c r="AC222" s="116"/>
      <c r="AD222" s="118">
        <f>'Case study'!K222</f>
        <v>2.5</v>
      </c>
      <c r="AE222" s="118">
        <f>'Case study'!Q222</f>
        <v>2.2000000000000002</v>
      </c>
      <c r="AF222" s="118">
        <f>'Case study'!W222</f>
        <v>2</v>
      </c>
      <c r="AG222" s="118"/>
      <c r="AH222" s="118"/>
      <c r="AI222" s="118">
        <f>'Case study'!AO222</f>
        <v>2.25</v>
      </c>
      <c r="AJ222" s="118">
        <f>'Case study'!AU222</f>
        <v>3</v>
      </c>
      <c r="AK222" s="116"/>
      <c r="AL222" s="118">
        <f>Capstone!K222</f>
        <v>4</v>
      </c>
      <c r="AM222" s="118">
        <f>Capstone!Q223</f>
        <v>5</v>
      </c>
      <c r="AN222" s="118">
        <f>Capstone!W223</f>
        <v>2</v>
      </c>
      <c r="AO222" s="118"/>
      <c r="AP222" s="118"/>
      <c r="AQ222" s="118">
        <f>Capstone!AO223</f>
        <v>5</v>
      </c>
      <c r="AR222" s="118"/>
      <c r="AS222" s="116"/>
      <c r="AT222" s="118">
        <f>IFERROR(AVERAGE(Table110461117[[#This Row],[Column2]],Table110461117[[#This Row],[Column11]],Table110461117[[#This Row],[Column29]]),"0")</f>
        <v>2.3333333333333335</v>
      </c>
      <c r="AU222" s="118">
        <f>IFERROR(AVERAGE(Table110461117[[#This Row],[Column3]],Table110461117[[#This Row],[Column12]],Table110461117[[#This Row],[Column21]],Table110461117[[#This Row],[Column30]]),"0")</f>
        <v>2.1875</v>
      </c>
      <c r="AV222" s="118">
        <f>IFERROR(AVERAGE(Table110461117[[#This Row],[Column31]],Table110461117[[#This Row],[Column22]],Table110461117[[#This Row],[Column4]]),"0")</f>
        <v>2</v>
      </c>
      <c r="AW222" s="118">
        <f>IFERROR(AVERAGE(Table110461117[[#This Row],[Column14]]),"0")</f>
        <v>3</v>
      </c>
      <c r="AX222" s="118"/>
      <c r="AY222" s="118">
        <f>IFERROR(AVERAGE(Table110461117[[#This Row],[Column34]],Table110461117[[#This Row],[Column16]],Table110461117[[#This Row],[Column7]]),"0")</f>
        <v>2.1944444444444446</v>
      </c>
      <c r="AZ222" s="118">
        <f>IFERROR(AVERAGE(Table110461117[[#This Row],[Column35]],Table110461117[[#This Row],[Column17]],Table110461117[[#This Row],[Column8]]),"0")</f>
        <v>2.6666666666666665</v>
      </c>
      <c r="BA222" s="116"/>
      <c r="BB222" s="118"/>
      <c r="BC222" s="118">
        <f>IFERROR(AVERAGE('Book Review'!AY222,Debate!AY222,'Case study'!AY222,Capstone!AY222),"A")</f>
        <v>3.25</v>
      </c>
      <c r="BD222" s="118">
        <f>IFERROR(AVERAGE('Book Review'!AZ222,Debate!AZ222,'Case study'!AZ222),"A")</f>
        <v>3</v>
      </c>
    </row>
    <row r="223" spans="1:56" s="109" customFormat="1" ht="23.1" customHeight="1" x14ac:dyDescent="0.3">
      <c r="A223" s="115">
        <v>221</v>
      </c>
      <c r="B223" s="49" t="s">
        <v>475</v>
      </c>
      <c r="C223" s="49" t="s">
        <v>476</v>
      </c>
      <c r="D223" s="49" t="s">
        <v>450</v>
      </c>
      <c r="E223" s="49" t="s">
        <v>289</v>
      </c>
      <c r="F223" s="117">
        <f>'Book Review'!K223</f>
        <v>2.5</v>
      </c>
      <c r="G223" s="117">
        <f>'Book Review'!Q223</f>
        <v>2.6</v>
      </c>
      <c r="H223" s="117">
        <f>'Book Review'!W223</f>
        <v>2</v>
      </c>
      <c r="I223" s="117"/>
      <c r="J223" s="117"/>
      <c r="K223" s="117">
        <f>'Book Review'!AO223</f>
        <v>3</v>
      </c>
      <c r="L223" s="117">
        <f>'Book Review'!AU223</f>
        <v>2</v>
      </c>
      <c r="M223" s="116"/>
      <c r="N223" s="117">
        <f>Debate!K223</f>
        <v>3</v>
      </c>
      <c r="O223" s="117">
        <f>Debate!Q223</f>
        <v>2.2999999999999998</v>
      </c>
      <c r="P223" s="117"/>
      <c r="Q223" s="117">
        <f>Debate!AC223</f>
        <v>3</v>
      </c>
      <c r="R223" s="117"/>
      <c r="S223" s="117">
        <f>Debate!AO223</f>
        <v>2.6666666666666665</v>
      </c>
      <c r="T223" s="117">
        <f>Debate!AU223</f>
        <v>3</v>
      </c>
      <c r="U223" s="116"/>
      <c r="V223" s="49"/>
      <c r="W223" s="117">
        <f>GD!Q223</f>
        <v>2.5</v>
      </c>
      <c r="X223" s="117">
        <f>GD!W223</f>
        <v>2</v>
      </c>
      <c r="Y223" s="117"/>
      <c r="Z223" s="117"/>
      <c r="AA223" s="49"/>
      <c r="AB223" s="117"/>
      <c r="AC223" s="116"/>
      <c r="AD223" s="117">
        <f>'Case study'!K223</f>
        <v>2.5</v>
      </c>
      <c r="AE223" s="117">
        <f>'Case study'!Q223</f>
        <v>2.6</v>
      </c>
      <c r="AF223" s="117">
        <f>'Case study'!W223</f>
        <v>2</v>
      </c>
      <c r="AG223" s="117"/>
      <c r="AH223" s="117"/>
      <c r="AI223" s="117">
        <f>'Case study'!AO223</f>
        <v>2.5</v>
      </c>
      <c r="AJ223" s="117">
        <f>'Case study'!AU223</f>
        <v>2</v>
      </c>
      <c r="AK223" s="116"/>
      <c r="AL223" s="117">
        <f>Capstone!K223</f>
        <v>4.666666666666667</v>
      </c>
      <c r="AM223" s="117">
        <f>Capstone!Q224</f>
        <v>3</v>
      </c>
      <c r="AN223" s="117">
        <f>Capstone!W224</f>
        <v>2</v>
      </c>
      <c r="AO223" s="117"/>
      <c r="AP223" s="117"/>
      <c r="AQ223" s="117">
        <f>Capstone!AO224</f>
        <v>4.5</v>
      </c>
      <c r="AR223" s="117"/>
      <c r="AS223" s="116"/>
      <c r="AT223" s="117">
        <f>IFERROR(AVERAGE(Table110461117[[#This Row],[Column2]],Table110461117[[#This Row],[Column11]],Table110461117[[#This Row],[Column29]]),"0")</f>
        <v>2.6666666666666665</v>
      </c>
      <c r="AU223" s="117">
        <f>IFERROR(AVERAGE(Table110461117[[#This Row],[Column3]],Table110461117[[#This Row],[Column12]],Table110461117[[#This Row],[Column21]],Table110461117[[#This Row],[Column30]]),"0")</f>
        <v>2.5</v>
      </c>
      <c r="AV223" s="117">
        <f>IFERROR(AVERAGE(Table110461117[[#This Row],[Column31]],Table110461117[[#This Row],[Column22]],Table110461117[[#This Row],[Column4]]),"0")</f>
        <v>2</v>
      </c>
      <c r="AW223" s="117">
        <f>IFERROR(AVERAGE(Table110461117[[#This Row],[Column14]]),"0")</f>
        <v>3</v>
      </c>
      <c r="AX223" s="117"/>
      <c r="AY223" s="117">
        <f>IFERROR(AVERAGE(Table110461117[[#This Row],[Column34]],Table110461117[[#This Row],[Column16]],Table110461117[[#This Row],[Column7]]),"0")</f>
        <v>2.7222222222222219</v>
      </c>
      <c r="AZ223" s="117">
        <f>IFERROR(AVERAGE(Table110461117[[#This Row],[Column35]],Table110461117[[#This Row],[Column17]],Table110461117[[#This Row],[Column8]]),"0")</f>
        <v>2.3333333333333335</v>
      </c>
      <c r="BA223" s="116"/>
      <c r="BB223" s="117"/>
      <c r="BC223" s="117">
        <f>IFERROR(AVERAGE('Book Review'!AY223,Debate!AY223,'Case study'!AY223,Capstone!AY223),"A")</f>
        <v>2.75</v>
      </c>
      <c r="BD223" s="117">
        <f>IFERROR(AVERAGE('Book Review'!AZ223,Debate!AZ223,'Case study'!AZ223),"A")</f>
        <v>2</v>
      </c>
    </row>
    <row r="224" spans="1:56" s="109" customFormat="1" ht="23.1" customHeight="1" x14ac:dyDescent="0.3">
      <c r="A224" s="6">
        <v>222</v>
      </c>
      <c r="B224" s="7" t="s">
        <v>477</v>
      </c>
      <c r="C224" s="7" t="s">
        <v>478</v>
      </c>
      <c r="D224" s="7" t="s">
        <v>450</v>
      </c>
      <c r="E224" s="7" t="s">
        <v>289</v>
      </c>
      <c r="F224" s="118">
        <f>'Book Review'!K224</f>
        <v>2.75</v>
      </c>
      <c r="G224" s="118">
        <f>'Book Review'!Q224</f>
        <v>2.8</v>
      </c>
      <c r="H224" s="118">
        <f>'Book Review'!W224</f>
        <v>4</v>
      </c>
      <c r="I224" s="118"/>
      <c r="J224" s="118"/>
      <c r="K224" s="118">
        <f>'Book Review'!AO224</f>
        <v>2.5</v>
      </c>
      <c r="L224" s="118">
        <f>'Book Review'!AU224</f>
        <v>3</v>
      </c>
      <c r="M224" s="116"/>
      <c r="N224" s="118">
        <f>Debate!K224</f>
        <v>2</v>
      </c>
      <c r="O224" s="118">
        <f>Debate!Q224</f>
        <v>1.9</v>
      </c>
      <c r="P224" s="118"/>
      <c r="Q224" s="118">
        <f>Debate!AC224</f>
        <v>2</v>
      </c>
      <c r="R224" s="118"/>
      <c r="S224" s="118">
        <f>Debate!AO224</f>
        <v>2</v>
      </c>
      <c r="T224" s="118">
        <f>Debate!AU224</f>
        <v>3</v>
      </c>
      <c r="U224" s="116"/>
      <c r="V224" s="7"/>
      <c r="W224" s="118">
        <f>GD!Q224</f>
        <v>1.5</v>
      </c>
      <c r="X224" s="118">
        <f>GD!W224</f>
        <v>1</v>
      </c>
      <c r="Y224" s="118"/>
      <c r="Z224" s="118"/>
      <c r="AA224" s="7"/>
      <c r="AB224" s="118"/>
      <c r="AC224" s="116"/>
      <c r="AD224" s="118">
        <f>'Case study'!K224</f>
        <v>2.5</v>
      </c>
      <c r="AE224" s="118">
        <f>'Case study'!Q224</f>
        <v>2.2000000000000002</v>
      </c>
      <c r="AF224" s="118">
        <f>'Case study'!W224</f>
        <v>2</v>
      </c>
      <c r="AG224" s="118"/>
      <c r="AH224" s="118"/>
      <c r="AI224" s="118">
        <f>'Case study'!AO224</f>
        <v>2.25</v>
      </c>
      <c r="AJ224" s="118">
        <f>'Case study'!AU224</f>
        <v>3</v>
      </c>
      <c r="AK224" s="116"/>
      <c r="AL224" s="118">
        <f>Capstone!K224</f>
        <v>4</v>
      </c>
      <c r="AM224" s="118">
        <f>Capstone!Q225</f>
        <v>4</v>
      </c>
      <c r="AN224" s="118">
        <f>Capstone!W225</f>
        <v>1</v>
      </c>
      <c r="AO224" s="118"/>
      <c r="AP224" s="118"/>
      <c r="AQ224" s="118">
        <f>Capstone!AO225</f>
        <v>4</v>
      </c>
      <c r="AR224" s="118"/>
      <c r="AS224" s="116"/>
      <c r="AT224" s="118">
        <f>IFERROR(AVERAGE(Table110461117[[#This Row],[Column2]],Table110461117[[#This Row],[Column11]],Table110461117[[#This Row],[Column29]]),"0")</f>
        <v>2.4166666666666665</v>
      </c>
      <c r="AU224" s="118">
        <f>IFERROR(AVERAGE(Table110461117[[#This Row],[Column3]],Table110461117[[#This Row],[Column12]],Table110461117[[#This Row],[Column21]],Table110461117[[#This Row],[Column30]]),"0")</f>
        <v>2.0999999999999996</v>
      </c>
      <c r="AV224" s="118">
        <f>IFERROR(AVERAGE(Table110461117[[#This Row],[Column31]],Table110461117[[#This Row],[Column22]],Table110461117[[#This Row],[Column4]]),"0")</f>
        <v>2.3333333333333335</v>
      </c>
      <c r="AW224" s="118">
        <f>IFERROR(AVERAGE(Table110461117[[#This Row],[Column14]]),"0")</f>
        <v>2</v>
      </c>
      <c r="AX224" s="118"/>
      <c r="AY224" s="118">
        <f>IFERROR(AVERAGE(Table110461117[[#This Row],[Column34]],Table110461117[[#This Row],[Column16]],Table110461117[[#This Row],[Column7]]),"0")</f>
        <v>2.25</v>
      </c>
      <c r="AZ224" s="118">
        <f>IFERROR(AVERAGE(Table110461117[[#This Row],[Column35]],Table110461117[[#This Row],[Column17]],Table110461117[[#This Row],[Column8]]),"0")</f>
        <v>3</v>
      </c>
      <c r="BA224" s="116"/>
      <c r="BB224" s="118"/>
      <c r="BC224" s="118">
        <f>IFERROR(AVERAGE('Book Review'!AY224,Debate!AY224,'Case study'!AY224,Capstone!AY224),"A")</f>
        <v>3</v>
      </c>
      <c r="BD224" s="118">
        <f>IFERROR(AVERAGE('Book Review'!AZ224,Debate!AZ224,'Case study'!AZ224),"A")</f>
        <v>2.6666666666666665</v>
      </c>
    </row>
    <row r="225" spans="1:56" s="109" customFormat="1" ht="23.1" customHeight="1" x14ac:dyDescent="0.3">
      <c r="A225" s="115">
        <v>223</v>
      </c>
      <c r="B225" s="49" t="s">
        <v>479</v>
      </c>
      <c r="C225" s="49" t="s">
        <v>480</v>
      </c>
      <c r="D225" s="49" t="s">
        <v>450</v>
      </c>
      <c r="E225" s="49" t="s">
        <v>289</v>
      </c>
      <c r="F225" s="117">
        <f>'Book Review'!K225</f>
        <v>1.25</v>
      </c>
      <c r="G225" s="117">
        <f>'Book Review'!Q225</f>
        <v>1.8</v>
      </c>
      <c r="H225" s="117">
        <f>'Book Review'!W225</f>
        <v>1</v>
      </c>
      <c r="I225" s="117"/>
      <c r="J225" s="117"/>
      <c r="K225" s="117">
        <f>'Book Review'!AO225</f>
        <v>1.5</v>
      </c>
      <c r="L225" s="117">
        <f>'Book Review'!AU225</f>
        <v>4</v>
      </c>
      <c r="M225" s="116"/>
      <c r="N225" s="117">
        <f>Debate!K225</f>
        <v>1</v>
      </c>
      <c r="O225" s="117">
        <f>Debate!Q225</f>
        <v>1</v>
      </c>
      <c r="P225" s="117"/>
      <c r="Q225" s="117">
        <f>Debate!AC225</f>
        <v>1</v>
      </c>
      <c r="R225" s="117"/>
      <c r="S225" s="117">
        <f>Debate!AO225</f>
        <v>1</v>
      </c>
      <c r="T225" s="117">
        <f>Debate!AU225</f>
        <v>3</v>
      </c>
      <c r="U225" s="116"/>
      <c r="V225" s="49"/>
      <c r="W225" s="117">
        <f>GD!Q225</f>
        <v>1</v>
      </c>
      <c r="X225" s="117">
        <f>GD!W225</f>
        <v>1</v>
      </c>
      <c r="Y225" s="117"/>
      <c r="Z225" s="117"/>
      <c r="AA225" s="49"/>
      <c r="AB225" s="117"/>
      <c r="AC225" s="116"/>
      <c r="AD225" s="117">
        <f>'Case study'!K225</f>
        <v>1</v>
      </c>
      <c r="AE225" s="117">
        <f>'Case study'!Q225</f>
        <v>1.6</v>
      </c>
      <c r="AF225" s="117">
        <f>'Case study'!W225</f>
        <v>1</v>
      </c>
      <c r="AG225" s="117"/>
      <c r="AH225" s="117"/>
      <c r="AI225" s="117">
        <f>'Case study'!AO225</f>
        <v>1</v>
      </c>
      <c r="AJ225" s="117">
        <f>'Case study'!AU225</f>
        <v>1</v>
      </c>
      <c r="AK225" s="116"/>
      <c r="AL225" s="117">
        <f>Capstone!K225</f>
        <v>4</v>
      </c>
      <c r="AM225" s="117">
        <f>Capstone!Q226</f>
        <v>3.25</v>
      </c>
      <c r="AN225" s="117">
        <f>Capstone!W226</f>
        <v>2</v>
      </c>
      <c r="AO225" s="117"/>
      <c r="AP225" s="117"/>
      <c r="AQ225" s="117">
        <f>Capstone!AO226</f>
        <v>3.5</v>
      </c>
      <c r="AR225" s="117"/>
      <c r="AS225" s="116"/>
      <c r="AT225" s="117">
        <f>IFERROR(AVERAGE(Table110461117[[#This Row],[Column2]],Table110461117[[#This Row],[Column11]],Table110461117[[#This Row],[Column29]]),"0")</f>
        <v>1.0833333333333333</v>
      </c>
      <c r="AU225" s="117">
        <f>IFERROR(AVERAGE(Table110461117[[#This Row],[Column3]],Table110461117[[#This Row],[Column12]],Table110461117[[#This Row],[Column21]],Table110461117[[#This Row],[Column30]]),"0")</f>
        <v>1.35</v>
      </c>
      <c r="AV225" s="117">
        <f>IFERROR(AVERAGE(Table110461117[[#This Row],[Column31]],Table110461117[[#This Row],[Column22]],Table110461117[[#This Row],[Column4]]),"0")</f>
        <v>1</v>
      </c>
      <c r="AW225" s="117">
        <f>IFERROR(AVERAGE(Table110461117[[#This Row],[Column14]]),"0")</f>
        <v>1</v>
      </c>
      <c r="AX225" s="117"/>
      <c r="AY225" s="117">
        <f>IFERROR(AVERAGE(Table110461117[[#This Row],[Column34]],Table110461117[[#This Row],[Column16]],Table110461117[[#This Row],[Column7]]),"0")</f>
        <v>1.1666666666666667</v>
      </c>
      <c r="AZ225" s="117">
        <f>IFERROR(AVERAGE(Table110461117[[#This Row],[Column35]],Table110461117[[#This Row],[Column17]],Table110461117[[#This Row],[Column8]]),"0")</f>
        <v>2.6666666666666665</v>
      </c>
      <c r="BA225" s="116"/>
      <c r="BB225" s="117"/>
      <c r="BC225" s="117">
        <f>IFERROR(AVERAGE('Book Review'!AY225,Debate!AY225,'Case study'!AY225,Capstone!AY225),"A")</f>
        <v>1.75</v>
      </c>
      <c r="BD225" s="117">
        <f>IFERROR(AVERAGE('Book Review'!AZ225,Debate!AZ225,'Case study'!AZ225),"A")</f>
        <v>1</v>
      </c>
    </row>
    <row r="226" spans="1:56" s="109" customFormat="1" ht="23.1" customHeight="1" x14ac:dyDescent="0.3">
      <c r="A226" s="6">
        <v>224</v>
      </c>
      <c r="B226" s="7" t="s">
        <v>481</v>
      </c>
      <c r="C226" s="7" t="s">
        <v>482</v>
      </c>
      <c r="D226" s="7" t="s">
        <v>450</v>
      </c>
      <c r="E226" s="7" t="s">
        <v>289</v>
      </c>
      <c r="F226" s="118">
        <f>'Book Review'!K226</f>
        <v>2</v>
      </c>
      <c r="G226" s="118">
        <f>'Book Review'!Q226</f>
        <v>2.6</v>
      </c>
      <c r="H226" s="118">
        <f>'Book Review'!W226</f>
        <v>2</v>
      </c>
      <c r="I226" s="118"/>
      <c r="J226" s="118"/>
      <c r="K226" s="118">
        <f>'Book Review'!AO226</f>
        <v>2.5</v>
      </c>
      <c r="L226" s="118">
        <f>'Book Review'!AU226</f>
        <v>2</v>
      </c>
      <c r="M226" s="116"/>
      <c r="N226" s="118">
        <f>Debate!K226</f>
        <v>2</v>
      </c>
      <c r="O226" s="118">
        <f>Debate!Q226</f>
        <v>1.9</v>
      </c>
      <c r="P226" s="118"/>
      <c r="Q226" s="118">
        <f>Debate!AC226</f>
        <v>3</v>
      </c>
      <c r="R226" s="118"/>
      <c r="S226" s="118">
        <f>Debate!AO226</f>
        <v>3</v>
      </c>
      <c r="T226" s="118">
        <f>Debate!AU226</f>
        <v>3</v>
      </c>
      <c r="U226" s="116"/>
      <c r="V226" s="7"/>
      <c r="W226" s="118">
        <f>GD!Q226</f>
        <v>2.75</v>
      </c>
      <c r="X226" s="118">
        <f>GD!W226</f>
        <v>2</v>
      </c>
      <c r="Y226" s="118"/>
      <c r="Z226" s="118"/>
      <c r="AA226" s="7"/>
      <c r="AB226" s="118"/>
      <c r="AC226" s="116"/>
      <c r="AD226" s="118">
        <f>'Case study'!K226</f>
        <v>2</v>
      </c>
      <c r="AE226" s="118">
        <f>'Case study'!Q226</f>
        <v>2.6</v>
      </c>
      <c r="AF226" s="118">
        <f>'Case study'!W226</f>
        <v>2</v>
      </c>
      <c r="AG226" s="118"/>
      <c r="AH226" s="118"/>
      <c r="AI226" s="118">
        <f>'Case study'!AO226</f>
        <v>2.25</v>
      </c>
      <c r="AJ226" s="118">
        <f>'Case study'!AU226</f>
        <v>3</v>
      </c>
      <c r="AK226" s="116"/>
      <c r="AL226" s="118">
        <f>Capstone!K226</f>
        <v>3</v>
      </c>
      <c r="AM226" s="118">
        <f>Capstone!Q227</f>
        <v>5</v>
      </c>
      <c r="AN226" s="118">
        <f>Capstone!W227</f>
        <v>3</v>
      </c>
      <c r="AO226" s="118"/>
      <c r="AP226" s="118"/>
      <c r="AQ226" s="118">
        <f>Capstone!AO227</f>
        <v>5</v>
      </c>
      <c r="AR226" s="118"/>
      <c r="AS226" s="116"/>
      <c r="AT226" s="118">
        <f>IFERROR(AVERAGE(Table110461117[[#This Row],[Column2]],Table110461117[[#This Row],[Column11]],Table110461117[[#This Row],[Column29]]),"0")</f>
        <v>2</v>
      </c>
      <c r="AU226" s="118">
        <f>IFERROR(AVERAGE(Table110461117[[#This Row],[Column3]],Table110461117[[#This Row],[Column12]],Table110461117[[#This Row],[Column21]],Table110461117[[#This Row],[Column30]]),"0")</f>
        <v>2.4624999999999999</v>
      </c>
      <c r="AV226" s="118">
        <f>IFERROR(AVERAGE(Table110461117[[#This Row],[Column31]],Table110461117[[#This Row],[Column22]],Table110461117[[#This Row],[Column4]]),"0")</f>
        <v>2</v>
      </c>
      <c r="AW226" s="118">
        <f>IFERROR(AVERAGE(Table110461117[[#This Row],[Column14]]),"0")</f>
        <v>3</v>
      </c>
      <c r="AX226" s="118"/>
      <c r="AY226" s="118">
        <f>IFERROR(AVERAGE(Table110461117[[#This Row],[Column34]],Table110461117[[#This Row],[Column16]],Table110461117[[#This Row],[Column7]]),"0")</f>
        <v>2.5833333333333335</v>
      </c>
      <c r="AZ226" s="118">
        <f>IFERROR(AVERAGE(Table110461117[[#This Row],[Column35]],Table110461117[[#This Row],[Column17]],Table110461117[[#This Row],[Column8]]),"0")</f>
        <v>2.6666666666666665</v>
      </c>
      <c r="BA226" s="116"/>
      <c r="BB226" s="118"/>
      <c r="BC226" s="118">
        <f>IFERROR(AVERAGE('Book Review'!AY226,Debate!AY226,'Case study'!AY226,Capstone!AY226),"A")</f>
        <v>2.5</v>
      </c>
      <c r="BD226" s="118">
        <f>IFERROR(AVERAGE('Book Review'!AZ226,Debate!AZ226,'Case study'!AZ226),"A")</f>
        <v>2.3333333333333335</v>
      </c>
    </row>
    <row r="227" spans="1:56" s="109" customFormat="1" ht="23.1" customHeight="1" x14ac:dyDescent="0.3">
      <c r="A227" s="115">
        <v>225</v>
      </c>
      <c r="B227" s="49" t="s">
        <v>483</v>
      </c>
      <c r="C227" s="49" t="s">
        <v>540</v>
      </c>
      <c r="D227" s="49" t="s">
        <v>450</v>
      </c>
      <c r="E227" s="49" t="s">
        <v>289</v>
      </c>
      <c r="F227" s="117">
        <f>'Book Review'!K227</f>
        <v>3.25</v>
      </c>
      <c r="G227" s="117">
        <f>'Book Review'!Q227</f>
        <v>3</v>
      </c>
      <c r="H227" s="117">
        <f>'Book Review'!W227</f>
        <v>2</v>
      </c>
      <c r="I227" s="117"/>
      <c r="J227" s="117"/>
      <c r="K227" s="117">
        <f>'Book Review'!AO227</f>
        <v>2.5</v>
      </c>
      <c r="L227" s="117">
        <f>'Book Review'!AU227</f>
        <v>3</v>
      </c>
      <c r="M227" s="116"/>
      <c r="N227" s="117">
        <f>Debate!K227</f>
        <v>2</v>
      </c>
      <c r="O227" s="117">
        <f>Debate!Q227</f>
        <v>2.2999999999999998</v>
      </c>
      <c r="P227" s="117"/>
      <c r="Q227" s="117">
        <f>Debate!AC227</f>
        <v>3</v>
      </c>
      <c r="R227" s="117"/>
      <c r="S227" s="117">
        <f>Debate!AO227</f>
        <v>2.6666666666666665</v>
      </c>
      <c r="T227" s="117">
        <f>Debate!AU227</f>
        <v>3</v>
      </c>
      <c r="U227" s="116"/>
      <c r="V227" s="49"/>
      <c r="W227" s="117">
        <f>GD!Q227</f>
        <v>2.75</v>
      </c>
      <c r="X227" s="117">
        <f>GD!W227</f>
        <v>2</v>
      </c>
      <c r="Y227" s="117"/>
      <c r="Z227" s="117"/>
      <c r="AA227" s="49"/>
      <c r="AB227" s="117"/>
      <c r="AC227" s="116"/>
      <c r="AD227" s="117">
        <f>'Case study'!K227</f>
        <v>3.75</v>
      </c>
      <c r="AE227" s="117">
        <f>'Case study'!Q227</f>
        <v>3</v>
      </c>
      <c r="AF227" s="117">
        <f>'Case study'!W227</f>
        <v>3</v>
      </c>
      <c r="AG227" s="117"/>
      <c r="AH227" s="117"/>
      <c r="AI227" s="117">
        <f>'Case study'!AO227</f>
        <v>3</v>
      </c>
      <c r="AJ227" s="117">
        <f>'Case study'!AU227</f>
        <v>3</v>
      </c>
      <c r="AK227" s="116"/>
      <c r="AL227" s="117">
        <f>Capstone!K227</f>
        <v>5</v>
      </c>
      <c r="AM227" s="117">
        <f>Capstone!Q228</f>
        <v>4</v>
      </c>
      <c r="AN227" s="117">
        <f>Capstone!W228</f>
        <v>2</v>
      </c>
      <c r="AO227" s="117"/>
      <c r="AP227" s="117"/>
      <c r="AQ227" s="117">
        <f>Capstone!AO228</f>
        <v>4</v>
      </c>
      <c r="AR227" s="117"/>
      <c r="AS227" s="116"/>
      <c r="AT227" s="117">
        <f>IFERROR(AVERAGE(Table110461117[[#This Row],[Column2]],Table110461117[[#This Row],[Column11]],Table110461117[[#This Row],[Column29]]),"0")</f>
        <v>3</v>
      </c>
      <c r="AU227" s="117">
        <f>IFERROR(AVERAGE(Table110461117[[#This Row],[Column3]],Table110461117[[#This Row],[Column12]],Table110461117[[#This Row],[Column21]],Table110461117[[#This Row],[Column30]]),"0")</f>
        <v>2.7625000000000002</v>
      </c>
      <c r="AV227" s="117">
        <f>IFERROR(AVERAGE(Table110461117[[#This Row],[Column31]],Table110461117[[#This Row],[Column22]],Table110461117[[#This Row],[Column4]]),"0")</f>
        <v>2.3333333333333335</v>
      </c>
      <c r="AW227" s="117">
        <f>IFERROR(AVERAGE(Table110461117[[#This Row],[Column14]]),"0")</f>
        <v>3</v>
      </c>
      <c r="AX227" s="117"/>
      <c r="AY227" s="117">
        <f>IFERROR(AVERAGE(Table110461117[[#This Row],[Column34]],Table110461117[[#This Row],[Column16]],Table110461117[[#This Row],[Column7]]),"0")</f>
        <v>2.7222222222222219</v>
      </c>
      <c r="AZ227" s="117">
        <f>IFERROR(AVERAGE(Table110461117[[#This Row],[Column35]],Table110461117[[#This Row],[Column17]],Table110461117[[#This Row],[Column8]]),"0")</f>
        <v>3</v>
      </c>
      <c r="BA227" s="116"/>
      <c r="BB227" s="117"/>
      <c r="BC227" s="117">
        <f>IFERROR(AVERAGE('Book Review'!AY227,Debate!AY227,'Case study'!AY227,Capstone!AY227),"A")</f>
        <v>3.5</v>
      </c>
      <c r="BD227" s="117">
        <f>IFERROR(AVERAGE('Book Review'!AZ227,Debate!AZ227,'Case study'!AZ227),"A")</f>
        <v>3.3333333333333335</v>
      </c>
    </row>
    <row r="228" spans="1:56" s="109" customFormat="1" ht="23.1" customHeight="1" x14ac:dyDescent="0.3">
      <c r="A228" s="6">
        <v>226</v>
      </c>
      <c r="B228" s="7" t="s">
        <v>484</v>
      </c>
      <c r="C228" s="7" t="s">
        <v>485</v>
      </c>
      <c r="D228" s="7" t="s">
        <v>450</v>
      </c>
      <c r="E228" s="7" t="s">
        <v>289</v>
      </c>
      <c r="F228" s="118">
        <f>'Book Review'!K228</f>
        <v>2.25</v>
      </c>
      <c r="G228" s="118">
        <f>'Book Review'!Q228</f>
        <v>3</v>
      </c>
      <c r="H228" s="118">
        <f>'Book Review'!W228</f>
        <v>2</v>
      </c>
      <c r="I228" s="118"/>
      <c r="J228" s="118"/>
      <c r="K228" s="118">
        <f>'Book Review'!AO228</f>
        <v>2</v>
      </c>
      <c r="L228" s="118">
        <f>'Book Review'!AU228</f>
        <v>2</v>
      </c>
      <c r="M228" s="116"/>
      <c r="N228" s="118">
        <f>Debate!K228</f>
        <v>2</v>
      </c>
      <c r="O228" s="118">
        <f>Debate!Q228</f>
        <v>2.6</v>
      </c>
      <c r="P228" s="118"/>
      <c r="Q228" s="118">
        <f>Debate!AC228</f>
        <v>3</v>
      </c>
      <c r="R228" s="118"/>
      <c r="S228" s="118">
        <f>Debate!AO228</f>
        <v>2.6666666666666665</v>
      </c>
      <c r="T228" s="118">
        <f>Debate!AU228</f>
        <v>3</v>
      </c>
      <c r="U228" s="116"/>
      <c r="V228" s="7"/>
      <c r="W228" s="118">
        <f>GD!Q228</f>
        <v>2.75</v>
      </c>
      <c r="X228" s="118">
        <f>GD!W228</f>
        <v>2</v>
      </c>
      <c r="Y228" s="118"/>
      <c r="Z228" s="118"/>
      <c r="AA228" s="7"/>
      <c r="AB228" s="118"/>
      <c r="AC228" s="116"/>
      <c r="AD228" s="118">
        <f>'Case study'!K228</f>
        <v>1</v>
      </c>
      <c r="AE228" s="118">
        <f>'Case study'!Q228</f>
        <v>2.2000000000000002</v>
      </c>
      <c r="AF228" s="118">
        <f>'Case study'!W228</f>
        <v>2</v>
      </c>
      <c r="AG228" s="118"/>
      <c r="AH228" s="118"/>
      <c r="AI228" s="118">
        <f>'Case study'!AO228</f>
        <v>1</v>
      </c>
      <c r="AJ228" s="118">
        <f>'Case study'!AU228</f>
        <v>3</v>
      </c>
      <c r="AK228" s="116"/>
      <c r="AL228" s="118">
        <f>Capstone!K228</f>
        <v>4</v>
      </c>
      <c r="AM228" s="118">
        <f>Capstone!Q229</f>
        <v>2</v>
      </c>
      <c r="AN228" s="118">
        <f>Capstone!W229</f>
        <v>0</v>
      </c>
      <c r="AO228" s="118"/>
      <c r="AP228" s="118"/>
      <c r="AQ228" s="118">
        <f>Capstone!AO229</f>
        <v>1.75</v>
      </c>
      <c r="AR228" s="118"/>
      <c r="AS228" s="116"/>
      <c r="AT228" s="118">
        <f>IFERROR(AVERAGE(Table110461117[[#This Row],[Column2]],Table110461117[[#This Row],[Column11]],Table110461117[[#This Row],[Column29]]),"0")</f>
        <v>1.75</v>
      </c>
      <c r="AU228" s="118">
        <f>IFERROR(AVERAGE(Table110461117[[#This Row],[Column3]],Table110461117[[#This Row],[Column12]],Table110461117[[#This Row],[Column21]],Table110461117[[#This Row],[Column30]]),"0")</f>
        <v>2.6375000000000002</v>
      </c>
      <c r="AV228" s="118">
        <f>IFERROR(AVERAGE(Table110461117[[#This Row],[Column31]],Table110461117[[#This Row],[Column22]],Table110461117[[#This Row],[Column4]]),"0")</f>
        <v>2</v>
      </c>
      <c r="AW228" s="118">
        <f>IFERROR(AVERAGE(Table110461117[[#This Row],[Column14]]),"0")</f>
        <v>3</v>
      </c>
      <c r="AX228" s="118"/>
      <c r="AY228" s="118">
        <f>IFERROR(AVERAGE(Table110461117[[#This Row],[Column34]],Table110461117[[#This Row],[Column16]],Table110461117[[#This Row],[Column7]]),"0")</f>
        <v>1.8888888888888886</v>
      </c>
      <c r="AZ228" s="118">
        <f>IFERROR(AVERAGE(Table110461117[[#This Row],[Column35]],Table110461117[[#This Row],[Column17]],Table110461117[[#This Row],[Column8]]),"0")</f>
        <v>2.6666666666666665</v>
      </c>
      <c r="BA228" s="116"/>
      <c r="BB228" s="118"/>
      <c r="BC228" s="118">
        <f>IFERROR(AVERAGE('Book Review'!AY228,Debate!AY228,'Case study'!AY228,Capstone!AY228),"A")</f>
        <v>3</v>
      </c>
      <c r="BD228" s="118">
        <f>IFERROR(AVERAGE('Book Review'!AZ228,Debate!AZ228,'Case study'!AZ228),"A")</f>
        <v>2.3333333333333335</v>
      </c>
    </row>
    <row r="229" spans="1:56" s="109" customFormat="1" ht="23.1" customHeight="1" x14ac:dyDescent="0.3">
      <c r="A229" s="115">
        <v>227</v>
      </c>
      <c r="B229" s="49" t="s">
        <v>486</v>
      </c>
      <c r="C229" s="49" t="s">
        <v>487</v>
      </c>
      <c r="D229" s="49" t="s">
        <v>450</v>
      </c>
      <c r="E229" s="49" t="s">
        <v>289</v>
      </c>
      <c r="F229" s="117">
        <f>'Book Review'!K229</f>
        <v>0</v>
      </c>
      <c r="G229" s="117">
        <f>'Book Review'!Q229</f>
        <v>0</v>
      </c>
      <c r="H229" s="117">
        <f>'Book Review'!W229</f>
        <v>0</v>
      </c>
      <c r="I229" s="117"/>
      <c r="J229" s="117"/>
      <c r="K229" s="117">
        <f>'Book Review'!AO229</f>
        <v>0</v>
      </c>
      <c r="L229" s="117">
        <f>'Book Review'!AU229</f>
        <v>0</v>
      </c>
      <c r="M229" s="116"/>
      <c r="N229" s="117">
        <f>Debate!K229</f>
        <v>1</v>
      </c>
      <c r="O229" s="117">
        <f>Debate!Q229</f>
        <v>1.1000000000000001</v>
      </c>
      <c r="P229" s="117"/>
      <c r="Q229" s="117">
        <f>Debate!AC229</f>
        <v>1</v>
      </c>
      <c r="R229" s="117"/>
      <c r="S229" s="117">
        <f>Debate!AO229</f>
        <v>1</v>
      </c>
      <c r="T229" s="117">
        <f>Debate!AU229</f>
        <v>3</v>
      </c>
      <c r="U229" s="116"/>
      <c r="V229" s="49"/>
      <c r="W229" s="117">
        <f>GD!Q229</f>
        <v>1.75</v>
      </c>
      <c r="X229" s="117">
        <f>GD!W229</f>
        <v>2</v>
      </c>
      <c r="Y229" s="117"/>
      <c r="Z229" s="117"/>
      <c r="AA229" s="49"/>
      <c r="AB229" s="117"/>
      <c r="AC229" s="116"/>
      <c r="AD229" s="117">
        <f>'Case study'!K229</f>
        <v>0</v>
      </c>
      <c r="AE229" s="117">
        <f>'Case study'!Q229</f>
        <v>0</v>
      </c>
      <c r="AF229" s="117">
        <f>'Case study'!W229</f>
        <v>0</v>
      </c>
      <c r="AG229" s="117"/>
      <c r="AH229" s="117"/>
      <c r="AI229" s="117">
        <f>'Case study'!AO229</f>
        <v>0</v>
      </c>
      <c r="AJ229" s="117">
        <f>'Case study'!AU229</f>
        <v>0</v>
      </c>
      <c r="AK229" s="116"/>
      <c r="AL229" s="117">
        <f>Capstone!K229</f>
        <v>1.6666666666666667</v>
      </c>
      <c r="AM229" s="117">
        <f>Capstone!Q230</f>
        <v>2</v>
      </c>
      <c r="AN229" s="117">
        <f>Capstone!W230</f>
        <v>3</v>
      </c>
      <c r="AO229" s="117"/>
      <c r="AP229" s="117"/>
      <c r="AQ229" s="117">
        <f>Capstone!AO230</f>
        <v>2.875</v>
      </c>
      <c r="AR229" s="117"/>
      <c r="AS229" s="116"/>
      <c r="AT229" s="117">
        <f>IFERROR(AVERAGE(Table110461117[[#This Row],[Column2]],Table110461117[[#This Row],[Column11]],Table110461117[[#This Row],[Column29]]),"0")</f>
        <v>0.33333333333333331</v>
      </c>
      <c r="AU229" s="117">
        <f>IFERROR(AVERAGE(Table110461117[[#This Row],[Column3]],Table110461117[[#This Row],[Column12]],Table110461117[[#This Row],[Column21]],Table110461117[[#This Row],[Column30]]),"0")</f>
        <v>0.71250000000000002</v>
      </c>
      <c r="AV229" s="117">
        <f>IFERROR(AVERAGE(Table110461117[[#This Row],[Column31]],Table110461117[[#This Row],[Column22]],Table110461117[[#This Row],[Column4]]),"0")</f>
        <v>0.66666666666666663</v>
      </c>
      <c r="AW229" s="117">
        <f>IFERROR(AVERAGE(Table110461117[[#This Row],[Column14]]),"0")</f>
        <v>1</v>
      </c>
      <c r="AX229" s="117"/>
      <c r="AY229" s="117">
        <f>IFERROR(AVERAGE(Table110461117[[#This Row],[Column34]],Table110461117[[#This Row],[Column16]],Table110461117[[#This Row],[Column7]]),"0")</f>
        <v>0.33333333333333331</v>
      </c>
      <c r="AZ229" s="117">
        <f>IFERROR(AVERAGE(Table110461117[[#This Row],[Column35]],Table110461117[[#This Row],[Column17]],Table110461117[[#This Row],[Column8]]),"0")</f>
        <v>1</v>
      </c>
      <c r="BA229" s="116"/>
      <c r="BB229" s="117"/>
      <c r="BC229" s="117">
        <f>IFERROR(AVERAGE('Book Review'!AY229,Debate!AY229,'Case study'!AY229,Capstone!AY229),"A")</f>
        <v>0.75</v>
      </c>
      <c r="BD229" s="117">
        <f>IFERROR(AVERAGE('Book Review'!AZ229,Debate!AZ229,'Case study'!AZ229),"A")</f>
        <v>0.33333333333333331</v>
      </c>
    </row>
    <row r="230" spans="1:56" s="109" customFormat="1" ht="23.1" customHeight="1" x14ac:dyDescent="0.3">
      <c r="A230" s="6">
        <v>228</v>
      </c>
      <c r="B230" s="7" t="s">
        <v>541</v>
      </c>
      <c r="C230" s="7" t="s">
        <v>488</v>
      </c>
      <c r="D230" s="7" t="s">
        <v>545</v>
      </c>
      <c r="E230" s="7" t="s">
        <v>289</v>
      </c>
      <c r="F230" s="118">
        <f>'Book Review'!K230</f>
        <v>1</v>
      </c>
      <c r="G230" s="118">
        <f>'Book Review'!Q230</f>
        <v>1</v>
      </c>
      <c r="H230" s="118">
        <f>'Book Review'!W230</f>
        <v>1</v>
      </c>
      <c r="I230" s="118"/>
      <c r="J230" s="118"/>
      <c r="K230" s="118">
        <f>'Book Review'!AO230</f>
        <v>1</v>
      </c>
      <c r="L230" s="118">
        <f>'Book Review'!AU230</f>
        <v>1</v>
      </c>
      <c r="M230" s="116"/>
      <c r="N230" s="118">
        <f>Debate!K230</f>
        <v>1</v>
      </c>
      <c r="O230" s="118">
        <f>Debate!Q230</f>
        <v>1</v>
      </c>
      <c r="P230" s="118"/>
      <c r="Q230" s="118">
        <f>Debate!AC230</f>
        <v>1</v>
      </c>
      <c r="R230" s="118"/>
      <c r="S230" s="118">
        <f>Debate!AO230</f>
        <v>1</v>
      </c>
      <c r="T230" s="118">
        <f>Debate!AU230</f>
        <v>1</v>
      </c>
      <c r="U230" s="116"/>
      <c r="V230" s="7"/>
      <c r="W230" s="118">
        <f>GD!Q230</f>
        <v>1</v>
      </c>
      <c r="X230" s="118">
        <f>GD!W230</f>
        <v>2.3333333333333335</v>
      </c>
      <c r="Y230" s="118"/>
      <c r="Z230" s="118"/>
      <c r="AA230" s="7"/>
      <c r="AB230" s="118"/>
      <c r="AC230" s="116"/>
      <c r="AD230" s="118">
        <f>'Case study'!K230</f>
        <v>1</v>
      </c>
      <c r="AE230" s="118">
        <f>'Case study'!Q230</f>
        <v>1</v>
      </c>
      <c r="AF230" s="118">
        <f>'Case study'!W230</f>
        <v>3</v>
      </c>
      <c r="AG230" s="118"/>
      <c r="AH230" s="118"/>
      <c r="AI230" s="118">
        <f>'Case study'!AO230</f>
        <v>1</v>
      </c>
      <c r="AJ230" s="118">
        <f>'Case study'!AU230</f>
        <v>3</v>
      </c>
      <c r="AK230" s="116"/>
      <c r="AL230" s="118">
        <f>Capstone!K230</f>
        <v>3.1666666666666665</v>
      </c>
      <c r="AM230" s="118">
        <f>Capstone!Q231</f>
        <v>0</v>
      </c>
      <c r="AN230" s="118">
        <f>Capstone!W231</f>
        <v>0</v>
      </c>
      <c r="AO230" s="118"/>
      <c r="AP230" s="118"/>
      <c r="AQ230" s="118">
        <f>Capstone!AO231</f>
        <v>0</v>
      </c>
      <c r="AR230" s="118"/>
      <c r="AS230" s="116"/>
      <c r="AT230" s="118">
        <f>IFERROR(AVERAGE(Table110461117[[#This Row],[Column2]],Table110461117[[#This Row],[Column11]],Table110461117[[#This Row],[Column29]]),"0")</f>
        <v>1</v>
      </c>
      <c r="AU230" s="118">
        <f>IFERROR(AVERAGE(Table110461117[[#This Row],[Column3]],Table110461117[[#This Row],[Column12]],Table110461117[[#This Row],[Column21]],Table110461117[[#This Row],[Column30]]),"0")</f>
        <v>1</v>
      </c>
      <c r="AV230" s="118">
        <f>IFERROR(AVERAGE(Table110461117[[#This Row],[Column31]],Table110461117[[#This Row],[Column22]],Table110461117[[#This Row],[Column4]]),"0")</f>
        <v>2.1111111111111112</v>
      </c>
      <c r="AW230" s="118">
        <f>IFERROR(AVERAGE(Table110461117[[#This Row],[Column14]]),"0")</f>
        <v>1</v>
      </c>
      <c r="AX230" s="118"/>
      <c r="AY230" s="118">
        <f>IFERROR(AVERAGE(Table110461117[[#This Row],[Column34]],Table110461117[[#This Row],[Column16]],Table110461117[[#This Row],[Column7]]),"0")</f>
        <v>1</v>
      </c>
      <c r="AZ230" s="118">
        <f>IFERROR(AVERAGE(Table110461117[[#This Row],[Column35]],Table110461117[[#This Row],[Column17]],Table110461117[[#This Row],[Column8]]),"0")</f>
        <v>1.6666666666666667</v>
      </c>
      <c r="BA230" s="116"/>
      <c r="BB230" s="118"/>
      <c r="BC230" s="118">
        <f>IFERROR(AVERAGE('Book Review'!AY230,Debate!AY230,'Case study'!AY230,Capstone!AY230),"A")</f>
        <v>2.25</v>
      </c>
      <c r="BD230" s="118">
        <f>IFERROR(AVERAGE('Book Review'!AZ230,Debate!AZ230,'Case study'!AZ230),"A")</f>
        <v>2.6666666666666665</v>
      </c>
    </row>
  </sheetData>
  <mergeCells count="12">
    <mergeCell ref="E1:E2"/>
    <mergeCell ref="F1:L1"/>
    <mergeCell ref="N1:T1"/>
    <mergeCell ref="V1:AB1"/>
    <mergeCell ref="A1:A2"/>
    <mergeCell ref="B1:B2"/>
    <mergeCell ref="C1:C2"/>
    <mergeCell ref="D1:D2"/>
    <mergeCell ref="BB1:BD1"/>
    <mergeCell ref="AT1:AZ1"/>
    <mergeCell ref="AD1:AJ1"/>
    <mergeCell ref="AL1:AR1"/>
  </mergeCells>
  <phoneticPr fontId="8" type="noConversion"/>
  <conditionalFormatting sqref="AL3:AR230">
    <cfRule type="containsText" dxfId="20" priority="4" operator="containsText" text="A">
      <formula>NOT(ISERROR(SEARCH("A",AL3)))</formula>
    </cfRule>
  </conditionalFormatting>
  <conditionalFormatting sqref="AT3:AZ230">
    <cfRule type="containsText" dxfId="19" priority="5" operator="containsText" text="A">
      <formula>NOT(ISERROR(SEARCH("A",AT3)))</formula>
    </cfRule>
  </conditionalFormatting>
  <conditionalFormatting sqref="BB3:BB230">
    <cfRule type="containsText" dxfId="18" priority="3" operator="containsText" text="A">
      <formula>NOT(ISERROR(SEARCH("A",BB3)))</formula>
    </cfRule>
  </conditionalFormatting>
  <conditionalFormatting sqref="BC3:BC230">
    <cfRule type="containsText" dxfId="17" priority="2" operator="containsText" text="A">
      <formula>NOT(ISERROR(SEARCH("A",BC3)))</formula>
    </cfRule>
  </conditionalFormatting>
  <conditionalFormatting sqref="BD3:BD230">
    <cfRule type="containsText" dxfId="16" priority="1" operator="containsText" text="A">
      <formula>NOT(ISERROR(SEARCH("A",BD3)))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BC879247730E4478C1710422421C630" ma:contentTypeVersion="18" ma:contentTypeDescription="Create a new document." ma:contentTypeScope="" ma:versionID="503549f31b46721692fbe1ff7af278d9">
  <xsd:schema xmlns:xsd="http://www.w3.org/2001/XMLSchema" xmlns:xs="http://www.w3.org/2001/XMLSchema" xmlns:p="http://schemas.microsoft.com/office/2006/metadata/properties" xmlns:ns3="f64232d8-b49d-4d22-ae9a-b0d1c9fb060c" xmlns:ns4="b1977160-066d-4e85-978c-7041653693a7" targetNamespace="http://schemas.microsoft.com/office/2006/metadata/properties" ma:root="true" ma:fieldsID="cae99e0765f7e7c4f1a74feb7b0a215e" ns3:_="" ns4:_="">
    <xsd:import namespace="f64232d8-b49d-4d22-ae9a-b0d1c9fb060c"/>
    <xsd:import namespace="b1977160-066d-4e85-978c-7041653693a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SearchProperties" minOccurs="0"/>
                <xsd:element ref="ns3:_activity" minOccurs="0"/>
                <xsd:element ref="ns3:MediaServiceObjectDetectorVersion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4232d8-b49d-4d22-ae9a-b0d1c9fb06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977160-066d-4e85-978c-7041653693a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64232d8-b49d-4d22-ae9a-b0d1c9fb060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27C81D8-2F49-4EFB-A181-8A5BE00B07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64232d8-b49d-4d22-ae9a-b0d1c9fb060c"/>
    <ds:schemaRef ds:uri="b1977160-066d-4e85-978c-7041653693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45DA58C-7089-4ABF-AA22-80BCE3F490D9}">
  <ds:schemaRefs>
    <ds:schemaRef ds:uri="b1977160-066d-4e85-978c-7041653693a7"/>
    <ds:schemaRef ds:uri="http://purl.org/dc/terms/"/>
    <ds:schemaRef ds:uri="http://purl.org/dc/dcmitype/"/>
    <ds:schemaRef ds:uri="http://schemas.microsoft.com/office/2006/metadata/properties"/>
    <ds:schemaRef ds:uri="http://schemas.microsoft.com/office/infopath/2007/PartnerControls"/>
    <ds:schemaRef ds:uri="f64232d8-b49d-4d22-ae9a-b0d1c9fb060c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71E6DD68-7B44-476F-9952-9EB4C8B3491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Interventions</vt:lpstr>
      <vt:lpstr>Working</vt:lpstr>
      <vt:lpstr>Sheet5</vt:lpstr>
      <vt:lpstr>Book Review</vt:lpstr>
      <vt:lpstr>Debate</vt:lpstr>
      <vt:lpstr>GD</vt:lpstr>
      <vt:lpstr>Case study</vt:lpstr>
      <vt:lpstr>Capstone</vt:lpstr>
      <vt:lpstr>Term Rating Persona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Ajith Kumar</dc:creator>
  <cp:lastModifiedBy>Ajith Kumar</cp:lastModifiedBy>
  <dcterms:created xsi:type="dcterms:W3CDTF">2025-01-08T05:47:24Z</dcterms:created>
  <dcterms:modified xsi:type="dcterms:W3CDTF">2025-10-13T18:01:54Z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0x010100ABC879247730E4478C1710422421C630</vt:lpwstr>
  </property>
</Properties>
</file>